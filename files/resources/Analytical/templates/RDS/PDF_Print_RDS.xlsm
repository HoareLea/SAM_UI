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8_{4D2F256C-2C88-4CDC-94BC-B97D20DF01AC}" xr6:coauthVersionLast="47" xr6:coauthVersionMax="47" xr10:uidLastSave="{00000000-0000-0000-0000-000000000000}"/>
  <bookViews>
    <workbookView xWindow="-108" yWindow="-108" windowWidth="23256" windowHeight="12576" tabRatio="619" firstSheet="3" activeTab="3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Sheet4" sheetId="189" r:id="rId8"/>
    <sheet name="Info" sheetId="33" state="hidden" r:id="rId9"/>
    <sheet name="Used functions" sheetId="65" state="hidden" r:id="rId10"/>
    <sheet name="Revit_FCU" sheetId="68" state="hidden" r:id="rId11"/>
    <sheet name="Sheet1" sheetId="69" state="hidden" r:id="rId12"/>
    <sheet name="TAS_Zones" sheetId="76" state="hidden" r:id="rId13"/>
    <sheet name="FCU_System" sheetId="73" state="hidden" r:id="rId14"/>
    <sheet name="TSD_Data" sheetId="74" state="hidden" r:id="rId15"/>
    <sheet name="Sheet2" sheetId="75" state="hidden" r:id="rId16"/>
    <sheet name="AHU_Zones" sheetId="71" state="hidden" r:id="rId17"/>
    <sheet name="BEType" sheetId="157" state="hidden" r:id="rId18"/>
  </sheets>
  <functionGroups builtInGroupCount="19"/>
  <externalReferences>
    <externalReference r:id="rId19"/>
    <externalReference r:id="rId20"/>
    <externalReference r:id="rId21"/>
  </externalReferences>
  <definedNames>
    <definedName name="_xlnm._FilterDatabase" localSheetId="17" hidden="1">BEType!$G$1:$H$1</definedName>
    <definedName name="_xlnm._FilterDatabase" localSheetId="6" hidden="1">Construction!$A$1:$L$1</definedName>
    <definedName name="_xlnm._FilterDatabase" localSheetId="10" hidden="1">Revit_FCU!$A$2:$D$2</definedName>
    <definedName name="_Var1" localSheetId="2">#REF!</definedName>
    <definedName name="_Var1" localSheetId="1">#REF!</definedName>
    <definedName name="_Var1" localSheetId="12">#REF!</definedName>
    <definedName name="_Var10" localSheetId="2">#REF!</definedName>
    <definedName name="_Var10" localSheetId="1">#REF!</definedName>
    <definedName name="_Var10" localSheetId="12">#REF!</definedName>
    <definedName name="_var11" localSheetId="2">#REF!</definedName>
    <definedName name="_var11" localSheetId="1">#REF!</definedName>
    <definedName name="_var11" localSheetId="12">#REF!</definedName>
    <definedName name="_Var2" localSheetId="2">#REF!</definedName>
    <definedName name="_Var2" localSheetId="1">#REF!</definedName>
    <definedName name="_Var2" localSheetId="12">#REF!</definedName>
    <definedName name="_Var3" localSheetId="2">#REF!</definedName>
    <definedName name="_Var3" localSheetId="1">#REF!</definedName>
    <definedName name="_Var3" localSheetId="12">#REF!</definedName>
    <definedName name="_Var4" localSheetId="2">#REF!</definedName>
    <definedName name="_Var4" localSheetId="1">#REF!</definedName>
    <definedName name="_Var4" localSheetId="12">#REF!</definedName>
    <definedName name="_Var5" localSheetId="2">#REF!</definedName>
    <definedName name="_Var5" localSheetId="1">#REF!</definedName>
    <definedName name="_Var5" localSheetId="12">#REF!</definedName>
    <definedName name="_Var6" localSheetId="2">#REF!</definedName>
    <definedName name="_Var6" localSheetId="1">#REF!</definedName>
    <definedName name="_Var6" localSheetId="12">#REF!</definedName>
    <definedName name="_Var7" localSheetId="2">#REF!</definedName>
    <definedName name="_Var7" localSheetId="1">#REF!</definedName>
    <definedName name="_Var7" localSheetId="12">#REF!</definedName>
    <definedName name="_Var8" localSheetId="2">#REF!</definedName>
    <definedName name="_Var8" localSheetId="1">#REF!</definedName>
    <definedName name="_Var8" localSheetId="12">#REF!</definedName>
    <definedName name="_Var9" localSheetId="2">#REF!</definedName>
    <definedName name="_Var9" localSheetId="1">#REF!</definedName>
    <definedName name="_Var9" localSheetId="12">#REF!</definedName>
    <definedName name="AHU_Zones" localSheetId="12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2">#REF!</definedName>
    <definedName name="Data">Data!$A$3:$CW$15</definedName>
    <definedName name="DataColumn">Data!$A$1:$CW$2</definedName>
    <definedName name="del" localSheetId="2">#REF!</definedName>
    <definedName name="del" localSheetId="1">#REF!</definedName>
    <definedName name="del" localSheetId="12">#REF!</definedName>
    <definedName name="Factor1" localSheetId="2">#REF!</definedName>
    <definedName name="Factor1" localSheetId="1">#REF!</definedName>
    <definedName name="Factor1" localSheetId="12">#REF!</definedName>
    <definedName name="Factor10" localSheetId="2">#REF!</definedName>
    <definedName name="Factor10" localSheetId="1">#REF!</definedName>
    <definedName name="Factor10" localSheetId="12">#REF!</definedName>
    <definedName name="Factor11" localSheetId="2">#REF!</definedName>
    <definedName name="Factor11" localSheetId="1">#REF!</definedName>
    <definedName name="Factor11" localSheetId="12">#REF!</definedName>
    <definedName name="Factor12" localSheetId="2">#REF!</definedName>
    <definedName name="Factor12" localSheetId="1">#REF!</definedName>
    <definedName name="Factor12" localSheetId="12">#REF!</definedName>
    <definedName name="Factor13" localSheetId="2">#REF!</definedName>
    <definedName name="Factor13" localSheetId="1">#REF!</definedName>
    <definedName name="Factor13" localSheetId="12">#REF!</definedName>
    <definedName name="Factor14" localSheetId="2">#REF!</definedName>
    <definedName name="Factor14" localSheetId="1">#REF!</definedName>
    <definedName name="Factor14" localSheetId="12">#REF!</definedName>
    <definedName name="Factor15" localSheetId="2">#REF!</definedName>
    <definedName name="Factor15" localSheetId="1">#REF!</definedName>
    <definedName name="Factor15" localSheetId="12">#REF!</definedName>
    <definedName name="Factor16" localSheetId="2">#REF!</definedName>
    <definedName name="Factor16" localSheetId="1">#REF!</definedName>
    <definedName name="Factor16" localSheetId="12">#REF!</definedName>
    <definedName name="Factor17" localSheetId="2">#REF!</definedName>
    <definedName name="Factor17" localSheetId="1">#REF!</definedName>
    <definedName name="Factor17" localSheetId="12">#REF!</definedName>
    <definedName name="Factor18" localSheetId="2">#REF!</definedName>
    <definedName name="Factor18" localSheetId="1">#REF!</definedName>
    <definedName name="Factor18" localSheetId="12">#REF!</definedName>
    <definedName name="Factor19" localSheetId="2">#REF!</definedName>
    <definedName name="Factor19" localSheetId="1">#REF!</definedName>
    <definedName name="Factor19" localSheetId="12">#REF!</definedName>
    <definedName name="Factor2" localSheetId="2">#REF!</definedName>
    <definedName name="Factor2" localSheetId="1">#REF!</definedName>
    <definedName name="Factor2" localSheetId="12">#REF!</definedName>
    <definedName name="Factor20" localSheetId="2">#REF!</definedName>
    <definedName name="Factor20" localSheetId="1">#REF!</definedName>
    <definedName name="Factor20" localSheetId="12">#REF!</definedName>
    <definedName name="Factor21" localSheetId="2">#REF!</definedName>
    <definedName name="Factor21" localSheetId="1">#REF!</definedName>
    <definedName name="Factor21" localSheetId="12">#REF!</definedName>
    <definedName name="Factor22" localSheetId="2">#REF!</definedName>
    <definedName name="Factor22" localSheetId="1">#REF!</definedName>
    <definedName name="Factor22" localSheetId="12">#REF!</definedName>
    <definedName name="Factor23" localSheetId="2">#REF!</definedName>
    <definedName name="Factor23" localSheetId="1">#REF!</definedName>
    <definedName name="Factor23" localSheetId="12">#REF!</definedName>
    <definedName name="Factor24" localSheetId="2">#REF!</definedName>
    <definedName name="Factor24" localSheetId="1">#REF!</definedName>
    <definedName name="Factor24" localSheetId="12">#REF!</definedName>
    <definedName name="Factor25" localSheetId="2">#REF!</definedName>
    <definedName name="Factor25" localSheetId="1">#REF!</definedName>
    <definedName name="Factor25" localSheetId="12">#REF!</definedName>
    <definedName name="Factor26" localSheetId="2">#REF!</definedName>
    <definedName name="Factor26" localSheetId="1">#REF!</definedName>
    <definedName name="Factor26" localSheetId="12">#REF!</definedName>
    <definedName name="Factor27" localSheetId="2">#REF!</definedName>
    <definedName name="Factor27" localSheetId="1">#REF!</definedName>
    <definedName name="Factor27" localSheetId="12">#REF!</definedName>
    <definedName name="Factor28" localSheetId="2">#REF!</definedName>
    <definedName name="Factor28" localSheetId="1">#REF!</definedName>
    <definedName name="Factor28" localSheetId="12">#REF!</definedName>
    <definedName name="Factor29" localSheetId="2">#REF!</definedName>
    <definedName name="Factor29" localSheetId="1">#REF!</definedName>
    <definedName name="Factor29" localSheetId="12">#REF!</definedName>
    <definedName name="Factor3" localSheetId="2">#REF!</definedName>
    <definedName name="Factor3" localSheetId="1">#REF!</definedName>
    <definedName name="Factor3" localSheetId="12">#REF!</definedName>
    <definedName name="Factor30" localSheetId="2">#REF!</definedName>
    <definedName name="Factor30" localSheetId="1">#REF!</definedName>
    <definedName name="Factor30" localSheetId="12">#REF!</definedName>
    <definedName name="Factor4" localSheetId="2">#REF!</definedName>
    <definedName name="Factor4" localSheetId="1">#REF!</definedName>
    <definedName name="Factor4" localSheetId="12">#REF!</definedName>
    <definedName name="Factor5" localSheetId="2">#REF!</definedName>
    <definedName name="Factor5" localSheetId="1">#REF!</definedName>
    <definedName name="Factor5" localSheetId="12">#REF!</definedName>
    <definedName name="Factor6" localSheetId="2">#REF!</definedName>
    <definedName name="Factor6" localSheetId="1">#REF!</definedName>
    <definedName name="Factor6" localSheetId="12">#REF!</definedName>
    <definedName name="Factor7" localSheetId="2">#REF!</definedName>
    <definedName name="Factor7" localSheetId="1">#REF!</definedName>
    <definedName name="Factor7" localSheetId="12">#REF!</definedName>
    <definedName name="Factor8" localSheetId="2">#REF!</definedName>
    <definedName name="Factor8" localSheetId="1">#REF!</definedName>
    <definedName name="Factor8" localSheetId="12">#REF!</definedName>
    <definedName name="Factor9" localSheetId="2">#REF!</definedName>
    <definedName name="Factor9" localSheetId="1">#REF!</definedName>
    <definedName name="Factor9" localSheetId="12">#REF!</definedName>
    <definedName name="FactorE" localSheetId="2">#REF!</definedName>
    <definedName name="FactorE" localSheetId="1">#REF!</definedName>
    <definedName name="FactorE" localSheetId="12">#REF!</definedName>
    <definedName name="FactorN" localSheetId="2">#REF!</definedName>
    <definedName name="FactorN" localSheetId="1">#REF!</definedName>
    <definedName name="FactorN" localSheetId="12">#REF!</definedName>
    <definedName name="FactorN2" localSheetId="2">#REF!</definedName>
    <definedName name="FactorN2" localSheetId="1">#REF!</definedName>
    <definedName name="FactorN2" localSheetId="12">#REF!</definedName>
    <definedName name="FactorNE" localSheetId="2">#REF!</definedName>
    <definedName name="FactorNE" localSheetId="1">#REF!</definedName>
    <definedName name="FactorNE" localSheetId="12">#REF!</definedName>
    <definedName name="FactorNW" localSheetId="2">#REF!</definedName>
    <definedName name="FactorNW" localSheetId="1">#REF!</definedName>
    <definedName name="FactorNW" localSheetId="12">#REF!</definedName>
    <definedName name="FactorS" localSheetId="2">#REF!</definedName>
    <definedName name="FactorS" localSheetId="1">#REF!</definedName>
    <definedName name="FactorS" localSheetId="12">#REF!</definedName>
    <definedName name="FactorSE" localSheetId="2">#REF!</definedName>
    <definedName name="FactorSE" localSheetId="1">#REF!</definedName>
    <definedName name="FactorSE" localSheetId="12">#REF!</definedName>
    <definedName name="FactorSW" localSheetId="2">#REF!</definedName>
    <definedName name="FactorSW" localSheetId="1">#REF!</definedName>
    <definedName name="FactorSW" localSheetId="12">#REF!</definedName>
    <definedName name="FactorW" localSheetId="2">#REF!</definedName>
    <definedName name="FactorW" localSheetId="1">#REF!</definedName>
    <definedName name="FactorW" localSheetId="12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2">[1]Interface!#REF!</definedName>
    <definedName name="FinAng" localSheetId="2">#REF!</definedName>
    <definedName name="FinAng" localSheetId="1">#REF!</definedName>
    <definedName name="FinAng" localSheetId="12">#REF!</definedName>
    <definedName name="gvalue" localSheetId="2">#REF!</definedName>
    <definedName name="gvalue" localSheetId="1">#REF!</definedName>
    <definedName name="gvalue" localSheetId="12">#REF!</definedName>
    <definedName name="horiz" localSheetId="2">#REF!</definedName>
    <definedName name="horiz" localSheetId="1">#REF!</definedName>
    <definedName name="horiz" localSheetId="12">#REF!</definedName>
    <definedName name="HorizDyn" localSheetId="2">#REF!</definedName>
    <definedName name="HorizDyn" localSheetId="1">#REF!</definedName>
    <definedName name="HorizDyn" localSheetId="12">#REF!</definedName>
    <definedName name="Lower" localSheetId="2">#REF!</definedName>
    <definedName name="Lower" localSheetId="1">#REF!</definedName>
    <definedName name="Lower" localSheetId="12">#REF!</definedName>
    <definedName name="Max" localSheetId="2">#REF!</definedName>
    <definedName name="Max" localSheetId="1">#REF!</definedName>
    <definedName name="Max" localSheetId="12">#REF!</definedName>
    <definedName name="MEAN_AIR_TEMP" localSheetId="2">'[2]Outdoor Running Mean'!#REF!</definedName>
    <definedName name="MEAN_AIR_TEMP" localSheetId="1">'[2]Outdoor Running Mean'!#REF!</definedName>
    <definedName name="MEAN_AIR_TEMP" localSheetId="12">'[2]Outdoor Running Mean'!#REF!</definedName>
    <definedName name="Orient" localSheetId="2">#REF!</definedName>
    <definedName name="Orient" localSheetId="1">#REF!</definedName>
    <definedName name="Orient" localSheetId="12">#REF!</definedName>
    <definedName name="output" localSheetId="2">#REF!</definedName>
    <definedName name="output" localSheetId="1">#REF!</definedName>
    <definedName name="output" localSheetId="12">#REF!</definedName>
    <definedName name="Over_L" localSheetId="2">[1]Interface!#REF!</definedName>
    <definedName name="Over_L" localSheetId="1">[1]Interface!#REF!</definedName>
    <definedName name="Over_L" localSheetId="12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2">'[3]W-Precedent Study'!#REF!</definedName>
    <definedName name="stepT" localSheetId="2">'[3]W-Precedent Study'!#REF!</definedName>
    <definedName name="stepT" localSheetId="1">'[3]W-Precedent Study'!#REF!</definedName>
    <definedName name="stepT" localSheetId="12">'[3]W-Precedent Study'!#REF!</definedName>
    <definedName name="tilt" localSheetId="2">#REF!</definedName>
    <definedName name="tilt" localSheetId="1">#REF!</definedName>
    <definedName name="tilt" localSheetId="12">#REF!</definedName>
    <definedName name="tiltDyn" localSheetId="2">#REF!</definedName>
    <definedName name="tiltDyn" localSheetId="1">#REF!</definedName>
    <definedName name="tiltDyn" localSheetId="12">#REF!</definedName>
    <definedName name="Upper" localSheetId="2">#REF!</definedName>
    <definedName name="Upper" localSheetId="1">#REF!</definedName>
    <definedName name="Upper" localSheetId="12">#REF!</definedName>
    <definedName name="Var" localSheetId="2">#REF!</definedName>
    <definedName name="Var" localSheetId="1">#REF!</definedName>
    <definedName name="Var" localSheetId="12">#REF!</definedName>
    <definedName name="vert" localSheetId="2">#REF!</definedName>
    <definedName name="vert" localSheetId="1">#REF!</definedName>
    <definedName name="vert" localSheetId="12">#REF!</definedName>
    <definedName name="VertandP" localSheetId="2">#REF!</definedName>
    <definedName name="VertandP" localSheetId="1">#REF!</definedName>
    <definedName name="VertandP" localSheetId="12">#REF!</definedName>
    <definedName name="vertang" localSheetId="2">#REF!</definedName>
    <definedName name="vertang" localSheetId="1">#REF!</definedName>
    <definedName name="vertang" localSheetId="12">#REF!</definedName>
    <definedName name="VertangDyn" localSheetId="2">#REF!</definedName>
    <definedName name="VertangDyn" localSheetId="1">#REF!</definedName>
    <definedName name="VertangDyn" localSheetId="12">#REF!</definedName>
    <definedName name="vertangdyn2" localSheetId="2">#REF!</definedName>
    <definedName name="vertangdyn2" localSheetId="1">#REF!</definedName>
    <definedName name="vertangdyn2" localSheetId="12">#REF!</definedName>
    <definedName name="VertangP" localSheetId="2">#REF!</definedName>
    <definedName name="VertangP" localSheetId="1">#REF!</definedName>
    <definedName name="VertangP" localSheetId="12">#REF!</definedName>
    <definedName name="VertDyn" localSheetId="2">#REF!</definedName>
    <definedName name="VertDyn" localSheetId="1">#REF!</definedName>
    <definedName name="VertDyn" localSheetId="12">#REF!</definedName>
    <definedName name="zone" localSheetId="2">#REF!</definedName>
    <definedName name="zone" localSheetId="1">#REF!</definedName>
    <definedName name="zone" localSheetId="1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8" i="37" l="1"/>
  <c r="AC109" i="37"/>
  <c r="AC110" i="37"/>
  <c r="AC111" i="37"/>
  <c r="AC112" i="37"/>
  <c r="AC113" i="37"/>
  <c r="AC114" i="37"/>
  <c r="AC115" i="37"/>
  <c r="AC116" i="37"/>
  <c r="AC117" i="37"/>
  <c r="AC118" i="37"/>
  <c r="AC119" i="37"/>
  <c r="AC120" i="37"/>
  <c r="AC121" i="37"/>
  <c r="AC122" i="37"/>
  <c r="AC45" i="37"/>
  <c r="AC35" i="37"/>
  <c r="AC31" i="37"/>
  <c r="AC29" i="37"/>
  <c r="AC24" i="37"/>
  <c r="AB105" i="37"/>
  <c r="AC105" i="37" s="1"/>
  <c r="AB106" i="37"/>
  <c r="AC106" i="37" s="1"/>
  <c r="AB107" i="37"/>
  <c r="AC107" i="37" s="1"/>
  <c r="AB108" i="37"/>
  <c r="AB109" i="37"/>
  <c r="AB110" i="37"/>
  <c r="AB111" i="37"/>
  <c r="AB112" i="37"/>
  <c r="AB113" i="37"/>
  <c r="AB114" i="37"/>
  <c r="AB115" i="37"/>
  <c r="AB116" i="37"/>
  <c r="AB117" i="37"/>
  <c r="AB118" i="37"/>
  <c r="AB119" i="37"/>
  <c r="AB120" i="37"/>
  <c r="AB121" i="37"/>
  <c r="AB122" i="37"/>
  <c r="C4" i="37" l="1"/>
  <c r="K9" i="37" l="1"/>
  <c r="Q9" i="37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K5" i="37" l="1"/>
  <c r="Q5" i="37"/>
  <c r="Q6" i="37"/>
  <c r="T15" i="37"/>
  <c r="T16" i="37"/>
  <c r="T17" i="37"/>
  <c r="T18" i="37"/>
  <c r="T14" i="37"/>
  <c r="Q8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AF27" i="3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S583" i="67"/>
  <c r="U583" i="67"/>
  <c r="T583" i="67"/>
  <c r="Q583" i="67"/>
  <c r="R583" i="67"/>
  <c r="P583" i="67"/>
  <c r="O583" i="67"/>
  <c r="Y582" i="67" l="1"/>
  <c r="T11" i="67" s="1"/>
  <c r="T7" i="67"/>
  <c r="AF16" i="37" s="1"/>
  <c r="K31" i="37" s="1"/>
  <c r="T13" i="67"/>
  <c r="Q13" i="67" s="1"/>
  <c r="T15" i="67"/>
  <c r="Q15" i="67" s="1"/>
  <c r="T12" i="67"/>
  <c r="AF21" i="37" s="1"/>
  <c r="S32" i="37" s="1"/>
  <c r="V583" i="67"/>
  <c r="Y583" i="67" s="1"/>
  <c r="T23" i="67"/>
  <c r="AF32" i="37" s="1"/>
  <c r="O31" i="37" s="1"/>
  <c r="T17" i="67"/>
  <c r="T16" i="67"/>
  <c r="T10" i="67"/>
  <c r="T20" i="67"/>
  <c r="AF29" i="37" s="1"/>
  <c r="L33" i="37" s="1"/>
  <c r="T22" i="67"/>
  <c r="AF31" i="37" s="1"/>
  <c r="S31" i="37" s="1"/>
  <c r="T21" i="67"/>
  <c r="AF30" i="37" s="1"/>
  <c r="Q31" i="37" s="1"/>
  <c r="T19" i="67"/>
  <c r="AF28" i="37" s="1"/>
  <c r="J33" i="37" s="1"/>
  <c r="W583" i="67"/>
  <c r="X583" i="67"/>
  <c r="AF18" i="37"/>
  <c r="Q9" i="67"/>
  <c r="T14" i="67" l="1"/>
  <c r="Q14" i="67" s="1"/>
  <c r="T8" i="67"/>
  <c r="Q8" i="67" s="1"/>
  <c r="AF22" i="37"/>
  <c r="G33" i="37" s="1"/>
  <c r="Q7" i="67"/>
  <c r="Q12" i="67"/>
  <c r="AF24" i="37"/>
  <c r="I32" i="37" s="1"/>
  <c r="I31" i="37"/>
  <c r="AW31" i="37"/>
  <c r="Q10" i="67"/>
  <c r="AF19" i="37"/>
  <c r="AF25" i="37"/>
  <c r="K32" i="37" s="1"/>
  <c r="Q16" i="67"/>
  <c r="AF26" i="37"/>
  <c r="N32" i="37" s="1"/>
  <c r="Q17" i="67"/>
  <c r="Q11" i="67"/>
  <c r="AF20" i="37"/>
  <c r="P32" i="37" s="1"/>
  <c r="AF17" i="37" l="1"/>
  <c r="G31" i="37" s="1"/>
  <c r="AF23" i="37"/>
  <c r="G32" i="37" s="1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<sst xmlns="http://schemas.openxmlformats.org/spreadsheetml/2006/main" count="1253" uniqueCount="672">
  <si>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</si>
  <si>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</si>
  <si>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</si>
  <si>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</si>
  <si>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</si>
  <si>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</si>
  <si>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</si>
  <si>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</si>
  <si>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</si>
  <si>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</si>
  <si>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</si>
  <si>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</si>
  <si>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</si>
  <si>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</si>
  <si>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</si>
  <si>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</si>
  <si>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</si>
  <si>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</si>
  <si>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</si>
  <si>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</si>
  <si>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</si>
  <si>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</si>
  <si>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</si>
  <si>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</si>
  <si>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</si>
  <si>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</si>
  <si>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</si>
  <si>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</si>
  <si>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</si>
  <si>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</si>
  <si>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</si>
  <si>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</si>
  <si>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</si>
  <si>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</si>
  <si>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</si>
  <si>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</si>
  <si>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</si>
  <si>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</si>
  <si>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</si>
  <si>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</si>
  <si>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</si>
  <si>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</si>
  <si>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</si>
  <si>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</si>
  <si>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</si>
  <si>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</si>
  <si>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</si>
  <si>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</si>
  <si>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</si>
  <si>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</si>
  <si>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</si>
  <si>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</si>
  <si>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</si>
  <si>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</si>
  <si>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</si>
  <si>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</si>
  <si>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</si>
  <si>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</si>
  <si>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</si>
  <si>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</si>
  <si>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</si>
  <si>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</si>
  <si>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</si>
  <si>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</si>
  <si>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</si>
  <si>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</si>
  <si>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</si>
  <si>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</si>
  <si>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</si>
  <si>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</si>
  <si>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</si>
  <si>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</si>
  <si>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</si>
  <si>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</si>
  <si>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</si>
  <si>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</si>
  <si>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</si>
  <si>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</si>
  <si>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</si>
  <si>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</si>
  <si>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</si>
  <si>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</si>
  <si>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</si>
  <si>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</si>
  <si>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</si>
  <si>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</si>
  <si>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</si>
  <si>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</si>
  <si>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</si>
  <si>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</si>
  <si>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</si>
  <si>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</si>
  <si>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</si>
  <si>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</si>
  <si>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</si>
  <si>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</si>
  <si>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</si>
  <si>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</si>
  <si>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</si>
  <si>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</si>
  <si>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</si>
  <si>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</si>
  <si>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</si>
  <si>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</si>
  <si>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</si>
  <si>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</si>
  <si>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</si>
  <si>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</si>
  <si>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</si>
  <si>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</si>
  <si>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</si>
  <si>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</si>
  <si>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</si>
  <si>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</si>
  <si>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</si>
  <si>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</si>
  <si>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</si>
  <si>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</si>
  <si>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</si>
  <si>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</si>
  <si>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</si>
  <si>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</si>
  <si>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</si>
  <si>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</si>
  <si>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</si>
  <si>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</si>
  <si>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</si>
  <si>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</si>
  <si>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</si>
  <si>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</si>
  <si>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</si>
  <si>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</si>
  <si>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</si>
  <si>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</si>
  <si>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</si>
  <si>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</si>
  <si>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</si>
  <si>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</si>
  <si>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</si>
  <si>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</si>
  <si>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</si>
  <si>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</si>
  <si>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</si>
  <si>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</si>
  <si>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</si>
  <si>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</si>
  <si>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</si>
  <si>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</si>
  <si>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</si>
  <si>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</si>
  <si>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</si>
  <si>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</si>
  <si>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</si>
  <si>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</si>
  <si>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</si>
  <si>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</si>
  <si>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</si>
  <si>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</si>
  <si>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</si>
  <si>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</si>
  <si>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</si>
  <si>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</si>
  <si>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</si>
  <si>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</si>
  <si>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</si>
  <si>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</si>
  <si>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</si>
  <si>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</si>
  <si>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</si>
  <si>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</si>
  <si>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</si>
  <si>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</si>
  <si>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</si>
  <si>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</si>
  <si>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</si>
  <si>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</si>
  <si>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</si>
  <si>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</si>
  <si>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</si>
  <si>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</si>
  <si>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</si>
  <si>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</si>
  <si>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</si>
  <si>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</si>
  <si>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</si>
  <si>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</si>
  <si>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</si>
  <si>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</si>
  <si>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</si>
  <si>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</si>
  <si>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</si>
  <si>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</si>
  <si>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</si>
  <si>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</si>
  <si>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</si>
  <si>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</si>
  <si>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</si>
  <si>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</si>
  <si>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</si>
  <si>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</si>
  <si>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</si>
  <si>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</si>
  <si>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</si>
  <si>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</si>
  <si>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</si>
  <si>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</si>
  <si>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</si>
  <si>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</si>
  <si>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</si>
  <si>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</si>
  <si>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</si>
  <si>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</si>
  <si>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</si>
  <si>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</si>
  <si>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</si>
  <si>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</si>
  <si>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</si>
  <si>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</si>
  <si>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</si>
  <si>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</si>
  <si>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</si>
  <si>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</si>
  <si>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</si>
  <si>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</si>
  <si>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</si>
  <si>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</si>
  <si>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</si>
  <si>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</si>
  <si>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</si>
  <si>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</si>
  <si>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</si>
  <si>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</si>
  <si>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</si>
  <si>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</si>
  <si>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</si>
  <si>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</si>
  <si>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</si>
  <si>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</si>
  <si>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</si>
  <si>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</si>
  <si>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</si>
  <si>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</si>
  <si>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</si>
  <si>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</si>
  <si>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</si>
  <si>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</si>
  <si>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</si>
  <si>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</si>
  <si>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</si>
  <si>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</si>
  <si>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</si>
  <si>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</si>
  <si>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</si>
  <si>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</si>
  <si>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</si>
  <si>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</si>
  <si>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</si>
  <si>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</si>
  <si>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</si>
  <si>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</si>
  <si>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</si>
  <si>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</si>
  <si>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</si>
  <si>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</si>
  <si>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</si>
  <si>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</si>
  <si>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</si>
  <si>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</si>
  <si>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</si>
  <si>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</si>
  <si>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</si>
  <si>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</si>
  <si>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</si>
  <si>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</si>
  <si>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</si>
  <si>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</si>
  <si>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</si>
  <si>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</si>
  <si>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</si>
  <si>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</si>
  <si>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</si>
  <si>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</si>
  <si>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</si>
  <si>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</si>
  <si>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</si>
  <si>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</si>
  <si>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</si>
  <si>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</si>
  <si>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</si>
  <si>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</si>
  <si>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</si>
  <si>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</si>
  <si>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</si>
  <si>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</si>
  <si>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</si>
  <si>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</si>
  <si>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</si>
  <si>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</si>
  <si>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</si>
  <si>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</si>
  <si>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</si>
  <si>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</si>
  <si>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</si>
  <si>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</si>
  <si>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</si>
  <si>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</si>
  <si>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</si>
  <si>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</si>
  <si>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</si>
  <si>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</si>
  <si>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</si>
  <si>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</si>
  <si>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</si>
  <si>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</si>
  <si>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</si>
  <si>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</si>
  <si>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</si>
  <si>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</si>
  <si>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</si>
  <si>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</si>
  <si>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</si>
  <si>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</si>
  <si>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</si>
  <si>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</si>
  <si>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</si>
  <si>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</si>
  <si>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</si>
  <si>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</si>
  <si>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</si>
  <si>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</si>
  <si>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</si>
  <si>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</si>
  <si>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</si>
  <si>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</si>
  <si>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</si>
  <si>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</si>
  <si>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</si>
  <si>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</si>
  <si>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</si>
  <si>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</si>
  <si>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</si>
  <si>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</si>
  <si>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</si>
  <si>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</si>
  <si>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</si>
  <si>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</si>
  <si>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</si>
  <si>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</si>
  <si>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</si>
  <si>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</si>
  <si>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</si>
  <si>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</si>
  <si>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</si>
  <si>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</si>
  <si>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</si>
  <si>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</si>
  <si>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</si>
  <si>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</si>
  <si>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</si>
  <si>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</si>
  <si>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</si>
  <si>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</si>
  <si>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</si>
  <si>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</si>
  <si>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</si>
  <si>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</si>
  <si>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</si>
  <si>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</si>
  <si>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</si>
  <si>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</si>
  <si>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</si>
  <si>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</si>
  <si>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</si>
  <si>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</si>
  <si>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</si>
  <si>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</si>
  <si>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</si>
  <si>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</si>
  <si>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</si>
  <si>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</si>
  <si>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</si>
  <si>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</si>
  <si>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</si>
  <si>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</si>
  <si>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</si>
  <si>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</si>
  <si>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</si>
  <si>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</si>
  <si>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</si>
  <si>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</si>
  <si>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</si>
  <si>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</si>
  <si>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</si>
  <si>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</si>
  <si>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</si>
  <si>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</si>
  <si>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</si>
  <si>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</si>
  <si>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</si>
  <si>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</si>
  <si>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</si>
  <si>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</si>
  <si>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</si>
  <si>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</si>
  <si>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</si>
  <si>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</si>
  <si>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</si>
  <si>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</si>
  <si>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</si>
  <si>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</si>
  <si>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</si>
  <si>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</si>
  <si>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</si>
  <si>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</si>
  <si>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</si>
  <si>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</si>
  <si>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</si>
  <si>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</si>
  <si>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</si>
  <si>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</si>
  <si>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</si>
  <si>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</si>
  <si>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</si>
  <si>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</si>
  <si>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</si>
  <si>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</si>
  <si>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</si>
  <si>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</si>
  <si>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</si>
  <si>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</si>
  <si>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</si>
  <si>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</si>
  <si>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</si>
  <si>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</si>
  <si>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</si>
  <si>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</si>
  <si>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</si>
  <si>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</si>
  <si>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</si>
  <si>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</si>
  <si>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</si>
  <si>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</si>
  <si>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</si>
  <si>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</si>
  <si>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</si>
  <si>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</si>
  <si>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</si>
  <si>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</si>
  <si>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</si>
  <si>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</si>
  <si>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</si>
  <si>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</si>
  <si>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</si>
  <si>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</si>
  <si>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</si>
  <si>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</si>
  <si>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</si>
  <si>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</si>
  <si>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</si>
  <si>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</si>
  <si>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</si>
  <si>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</si>
  <si>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</si>
  <si>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</si>
  <si>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</si>
  <si>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</si>
  <si>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</si>
  <si>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</si>
  <si>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</si>
  <si>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</si>
  <si>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</si>
  <si>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</si>
  <si>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</si>
  <si>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</si>
  <si>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</si>
  <si>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</si>
  <si>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</si>
  <si>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</si>
  <si>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</si>
  <si>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</si>
  <si>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</si>
  <si>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</si>
  <si>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</si>
  <si>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</si>
  <si>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</si>
  <si>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</si>
  <si>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</si>
  <si>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</si>
  <si>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</si>
  <si>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</si>
  <si>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</si>
  <si>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</si>
  <si>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</si>
  <si>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</si>
  <si>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</si>
  <si>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</si>
  <si>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</si>
  <si>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</si>
  <si>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</si>
  <si>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</si>
  <si>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</si>
  <si>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</si>
  <si>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</si>
  <si>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</si>
  <si>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</si>
  <si>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</si>
  <si>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</si>
  <si>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</si>
  <si>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</si>
  <si>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</si>
  <si>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</si>
  <si>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</si>
  <si>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</si>
  <si>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</si>
  <si>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</si>
  <si>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</si>
  <si>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</si>
  <si>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</si>
  <si>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</si>
  <si>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</si>
  <si>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</si>
  <si>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</si>
  <si>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</si>
  <si>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</si>
  <si>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</si>
  <si>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</si>
  <si>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</si>
  <si>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</si>
  <si>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</si>
  <si>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</si>
  <si>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</si>
  <si>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</si>
  <si>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</si>
  <si>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</si>
  <si>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</si>
  <si>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</si>
  <si>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</si>
  <si>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</si>
  <si>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</si>
  <si>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</si>
  <si>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</si>
  <si>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</si>
  <si>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</si>
  <si>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</si>
  <si>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</si>
  <si>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</si>
  <si>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</si>
  <si>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</si>
  <si>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</si>
  <si>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</si>
  <si>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</si>
  <si>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</si>
  <si>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</si>
  <si>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</si>
  <si>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</si>
  <si>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</si>
  <si>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</si>
  <si>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</si>
  <si>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</si>
  <si>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</si>
  <si>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</si>
  <si>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</si>
  <si>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</si>
  <si>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</si>
  <si>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</si>
  <si>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</si>
  <si>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</si>
  <si>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</si>
  <si>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</si>
  <si>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</si>
  <si>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</si>
  <si>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</si>
  <si>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</si>
  <si>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</si>
  <si>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</si>
  <si>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</si>
  <si>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</si>
  <si>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</si>
  <si>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</si>
  <si>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</si>
  <si>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</si>
  <si>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</si>
  <si>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</si>
  <si>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</si>
  <si>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</si>
  <si>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</si>
  <si>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</si>
  <si>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</si>
  <si>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</si>
  <si>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</si>
  <si>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</si>
  <si>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</si>
  <si>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</si>
  <si>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</si>
  <si>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</si>
  <si>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</si>
  <si>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</si>
  <si>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</si>
  <si>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</si>
  <si>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</si>
  <si>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</si>
  <si>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</si>
  <si>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</si>
  <si>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</si>
  <si>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</si>
  <si>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</si>
  <si>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</si>
  <si>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</si>
  <si>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</si>
  <si>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</si>
  <si>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</si>
  <si>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</si>
  <si>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</si>
  <si>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</si>
  <si>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</si>
  <si>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</si>
  <si>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</si>
  <si>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</si>
  <si>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</si>
  <si>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</si>
  <si>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</si>
  <si>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</si>
  <si>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</si>
  <si>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</si>
  <si>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</si>
  <si>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</si>
  <si>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</si>
  <si>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</si>
  <si>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</si>
  <si>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</si>
  <si>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</si>
  <si>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</si>
  <si>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</si>
  <si>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</si>
  <si>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</si>
  <si>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</si>
  <si>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</si>
  <si>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</si>
  <si>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</si>
  <si>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</si>
  <si>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</si>
  <si>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</si>
  <si>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</si>
  <si>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</si>
  <si>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</si>
  <si>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</si>
  <si>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</si>
  <si>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</si>
  <si>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</si>
  <si>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</si>
  <si>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</si>
  <si>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</si>
  <si>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</si>
  <si>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000111 PDF_Print_RDS_ver09c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</si>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</sst>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8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D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44699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44699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W641"/>
  <sheetViews>
    <sheetView tabSelected="1" topLeftCell="CP1" workbookViewId="0">
      <selection activeCell="CU3" sqref="CU3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101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635</v>
      </c>
      <c r="CG1" s="115" t="s">
        <v>637</v>
      </c>
      <c r="CH1" s="115" t="s">
        <v>636</v>
      </c>
      <c r="CI1" s="115" t="s">
        <v>652</v>
      </c>
      <c r="CJ1" s="115" t="s">
        <v>651</v>
      </c>
      <c r="CK1" s="115" t="s">
        <v>650</v>
      </c>
      <c r="CL1" s="115" t="s">
        <v>649</v>
      </c>
      <c r="CM1" s="115" t="s">
        <v>648</v>
      </c>
      <c r="CN1" s="115" t="s">
        <v>647</v>
      </c>
      <c r="CO1" s="115" t="s">
        <v>646</v>
      </c>
      <c r="CP1" s="115" t="s">
        <v>645</v>
      </c>
      <c r="CQ1" s="115" t="s">
        <v>644</v>
      </c>
      <c r="CR1" s="115" t="s">
        <v>643</v>
      </c>
      <c r="CS1" s="115" t="s">
        <v>642</v>
      </c>
      <c r="CT1" s="115" t="s">
        <v>641</v>
      </c>
      <c r="CU1" s="115" t="s">
        <v>640</v>
      </c>
      <c r="CV1" s="115" t="s">
        <v>639</v>
      </c>
      <c r="CW1" s="115" t="s">
        <v>638</v>
      </c>
    </row>
    <row r="2" spans="1:101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</row>
    <row r="3" spans="1:101" ht="12.75" customHeight="1">
      <c r="A3" t="s">
        <v>620</v>
      </c>
      <c r="C3" t="s">
        <v>621</v>
      </c>
      <c r="D3">
        <v>1</v>
      </c>
      <c r="E3" t="s">
        <v>654</v>
      </c>
      <c r="F3">
        <v>65535</v>
      </c>
      <c r="I3" t="s">
        <v>655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656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6">
        <v>43102</v>
      </c>
      <c r="CF3">
        <v>47.966152000000001</v>
      </c>
      <c r="CG3" s="464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</row>
    <row r="4" spans="1:101" ht="12.75" customHeight="1">
      <c r="A4" t="s">
        <v>622</v>
      </c>
      <c r="C4" t="s">
        <v>621</v>
      </c>
      <c r="D4">
        <v>2</v>
      </c>
      <c r="E4" t="s">
        <v>657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4">
        <v>43328.666666666664</v>
      </c>
      <c r="AF4">
        <v>1.9916463643312454E-2</v>
      </c>
      <c r="AG4" t="s">
        <v>656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6">
        <v>43102</v>
      </c>
      <c r="CF4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</row>
    <row r="5" spans="1:101" ht="12.75" customHeight="1">
      <c r="A5" t="s">
        <v>623</v>
      </c>
      <c r="C5" t="s">
        <v>621</v>
      </c>
      <c r="D5">
        <v>3</v>
      </c>
      <c r="E5" t="s">
        <v>658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4">
        <v>43328.666666666664</v>
      </c>
      <c r="AF5">
        <v>1.9916458055377007E-2</v>
      </c>
      <c r="AG5" t="s">
        <v>656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6">
        <v>43102</v>
      </c>
      <c r="CF5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</row>
    <row r="6" spans="1:101" ht="12.75" customHeight="1">
      <c r="A6" t="s">
        <v>624</v>
      </c>
      <c r="C6" t="s">
        <v>621</v>
      </c>
      <c r="D6">
        <v>4</v>
      </c>
      <c r="E6" t="s">
        <v>659</v>
      </c>
      <c r="F6">
        <v>65535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656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</row>
    <row r="7" spans="1:101" ht="12.75" customHeight="1">
      <c r="A7" t="s">
        <v>625</v>
      </c>
      <c r="C7" t="s">
        <v>621</v>
      </c>
      <c r="D7">
        <v>5</v>
      </c>
      <c r="E7" t="s">
        <v>660</v>
      </c>
      <c r="F7">
        <v>65535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656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6">
        <v>43102</v>
      </c>
      <c r="CF7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88.033848116000001</v>
      </c>
      <c r="CW7">
        <v>62.085427859999996</v>
      </c>
    </row>
    <row r="8" spans="1:101" ht="12.75" customHeight="1">
      <c r="A8" t="s">
        <v>626</v>
      </c>
      <c r="C8" t="s">
        <v>627</v>
      </c>
      <c r="D8">
        <v>6</v>
      </c>
      <c r="E8" t="s">
        <v>661</v>
      </c>
      <c r="F8">
        <v>65535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656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</row>
    <row r="9" spans="1:101" ht="12.75" customHeight="1">
      <c r="A9" t="s">
        <v>628</v>
      </c>
      <c r="C9" t="s">
        <v>627</v>
      </c>
      <c r="D9">
        <v>7</v>
      </c>
      <c r="E9" t="s">
        <v>662</v>
      </c>
      <c r="F9">
        <v>65535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656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</row>
    <row r="10" spans="1:101" ht="12.75" customHeight="1">
      <c r="A10" t="s">
        <v>629</v>
      </c>
      <c r="C10" t="s">
        <v>627</v>
      </c>
      <c r="D10">
        <v>8</v>
      </c>
      <c r="E10" t="s">
        <v>663</v>
      </c>
      <c r="F10">
        <v>65535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656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</row>
    <row r="11" spans="1:101" ht="12.75" customHeight="1">
      <c r="A11" t="s">
        <v>630</v>
      </c>
      <c r="C11" t="s">
        <v>627</v>
      </c>
      <c r="D11">
        <v>9</v>
      </c>
      <c r="E11" t="s">
        <v>664</v>
      </c>
      <c r="F11">
        <v>65535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656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</row>
    <row r="12" spans="1:101" ht="12.75" customHeight="1">
      <c r="A12" t="s">
        <v>631</v>
      </c>
      <c r="C12" t="s">
        <v>627</v>
      </c>
      <c r="D12">
        <v>10</v>
      </c>
      <c r="E12" t="s">
        <v>665</v>
      </c>
      <c r="F12">
        <v>65535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656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</row>
    <row r="13" spans="1:101" ht="12.75" customHeight="1">
      <c r="A13" t="s">
        <v>666</v>
      </c>
      <c r="C13" t="s">
        <v>627</v>
      </c>
      <c r="D13">
        <v>11</v>
      </c>
      <c r="E13" t="s">
        <v>667</v>
      </c>
      <c r="F13">
        <v>65535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656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</row>
    <row r="14" spans="1:101" ht="12.75" customHeight="1">
      <c r="A14" t="s">
        <v>668</v>
      </c>
      <c r="C14" t="s">
        <v>627</v>
      </c>
      <c r="D14">
        <v>12</v>
      </c>
      <c r="E14" t="s">
        <v>669</v>
      </c>
      <c r="F14">
        <v>65535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656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</row>
    <row r="15" spans="1:101" ht="12.75" customHeight="1">
      <c r="A15" t="s">
        <v>670</v>
      </c>
      <c r="C15" t="s">
        <v>627</v>
      </c>
      <c r="D15">
        <v>13</v>
      </c>
      <c r="E15" t="s">
        <v>671</v>
      </c>
      <c r="F15">
        <v>65535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656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</row>
    <row r="16" spans="1:101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CW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22"/>
  <sheetViews>
    <sheetView view="pageBreakPreview" zoomScale="70" zoomScaleNormal="40" zoomScaleSheetLayoutView="70" workbookViewId="0">
      <selection activeCell="AB12" sqref="AB12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34">
        <f ca="1">TODAY()</f>
        <v>44699</v>
      </c>
      <c r="D2" s="535"/>
      <c r="E2" s="53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1">
        <v>41589</v>
      </c>
      <c r="AO2" s="532"/>
      <c r="AP2" s="532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653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Tmax=20°C @43101.6666666667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@47.966152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00e6bda8-de8b-4fa4-a10d-8235543803e6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Simulation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</v>
      </c>
      <c r="E7" s="214">
        <f ca="1">AC16</f>
        <v>0</v>
      </c>
      <c r="F7" s="466" t="str">
        <f ca="1">$AC$15</f>
        <v>Cell 2.1</v>
      </c>
      <c r="G7" s="215"/>
      <c r="H7" s="215"/>
      <c r="I7" s="215"/>
      <c r="J7" s="496" t="str">
        <f ca="1">AC47</f>
        <v>Level 3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No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33.686535000000006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43101 0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134.74613952636719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001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-1°C/ -1°C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  = - °C 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T-STAT=20°C</v>
      </c>
      <c r="R10" s="244"/>
      <c r="S10" s="245"/>
      <c r="T10" s="246"/>
      <c r="U10" s="508" t="str">
        <f ca="1">IF($V$7="No","   - °C ","  "&amp;ROUND($AC$99,1)&amp;"°C")</f>
        <v xml:space="preserve">  18.1°C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=0°C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=0% / 0kg/kg</v>
      </c>
      <c r="E11" s="248"/>
      <c r="F11" s="248"/>
      <c r="G11" s="248"/>
      <c r="H11" s="248"/>
      <c r="I11" s="248"/>
      <c r="J11" s="249"/>
      <c r="K11" s="523" t="s">
        <v>68</v>
      </c>
      <c r="L11" s="524"/>
      <c r="M11" s="527" t="str">
        <f>IF($AB$1="English","Sensible","Sensibel")</f>
        <v>Sensible</v>
      </c>
      <c r="N11" s="528"/>
      <c r="O11" s="527" t="s">
        <v>70</v>
      </c>
      <c r="P11" s="528"/>
      <c r="Q11" s="523" t="s">
        <v>68</v>
      </c>
      <c r="R11" s="524"/>
      <c r="S11" s="527" t="str">
        <f>IF($AB$1="English","Sensible","Sensibel")</f>
        <v>Sensible</v>
      </c>
      <c r="T11" s="528"/>
      <c r="U11" s="527" t="s">
        <v>70</v>
      </c>
      <c r="V11" s="528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29" t="s">
        <v>69</v>
      </c>
      <c r="AY11" s="530"/>
      <c r="AZ11" s="529" t="s">
        <v>70</v>
      </c>
      <c r="BA11" s="530"/>
      <c r="BB11" s="86"/>
      <c r="BC11" s="83"/>
      <c r="BD11" s="529" t="s">
        <v>69</v>
      </c>
      <c r="BE11" s="530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S50_Toilet</v>
      </c>
      <c r="G12" s="199"/>
      <c r="H12" s="199"/>
      <c r="I12" s="199"/>
      <c r="J12" s="252"/>
      <c r="K12" s="525"/>
      <c r="L12" s="526"/>
      <c r="M12" s="254" t="s">
        <v>487</v>
      </c>
      <c r="N12" s="253" t="s">
        <v>84</v>
      </c>
      <c r="O12" s="254" t="s">
        <v>487</v>
      </c>
      <c r="P12" s="253" t="s">
        <v>84</v>
      </c>
      <c r="Q12" s="525"/>
      <c r="R12" s="526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-1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-1</v>
      </c>
      <c r="O14" s="263"/>
      <c r="P14" s="261"/>
      <c r="Q14" s="264"/>
      <c r="R14" s="261"/>
      <c r="S14" s="263"/>
      <c r="T14" s="261">
        <f ca="1">$AC$96</f>
        <v>-647.68994140625</v>
      </c>
      <c r="U14" s="262"/>
      <c r="V14" s="261"/>
      <c r="W14" s="213"/>
      <c r="X14" s="213"/>
      <c r="Y14" s="213"/>
      <c r="Z14" s="204"/>
      <c r="AA14" s="8"/>
      <c r="AB14" s="27"/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-1</v>
      </c>
      <c r="O15" s="263"/>
      <c r="P15" s="261"/>
      <c r="Q15" s="264"/>
      <c r="R15" s="261"/>
      <c r="S15" s="263"/>
      <c r="T15" s="261">
        <f ca="1">$AC$95</f>
        <v>0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2.1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</v>
      </c>
      <c r="O16" s="263"/>
      <c r="P16" s="261"/>
      <c r="Q16" s="264"/>
      <c r="R16" s="261"/>
      <c r="S16" s="509" t="str">
        <f ca="1">"*"&amp;ROUND((T26-T15-T17-T14-T18),0)</f>
        <v>*-361</v>
      </c>
      <c r="T16" s="510">
        <f ca="1">$AC$94</f>
        <v>-14.719191622248823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ROUND(Construction!T7,1)</f>
        <v>0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S50_Toilet</v>
      </c>
      <c r="AD17" s="490" t="s">
        <v>534</v>
      </c>
      <c r="AE17" s="445" t="s">
        <v>161</v>
      </c>
      <c r="AF17" s="162">
        <f ca="1">ROUND(Construction!T8,1)</f>
        <v>0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-1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-174.19200134277344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ROUND(Construction!T9,1)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ROUND(Construction!T10,1)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65535</v>
      </c>
      <c r="M20" s="467">
        <f ca="1">IF(AC8=0,N20,N20/$F$8)</f>
        <v>-2.9685451471930843E-2</v>
      </c>
      <c r="N20" s="261">
        <f ca="1">$AC$67</f>
        <v>-1</v>
      </c>
      <c r="O20" s="467">
        <f ca="1">P20/$F$8</f>
        <v>-2.9685451471930843E-2</v>
      </c>
      <c r="P20" s="261">
        <f ca="1">$AC$70</f>
        <v>-1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ROUND(Construction!T11,1)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-2.9685451471930843E-2</v>
      </c>
      <c r="N21" s="261">
        <f ca="1">$AC$61</f>
        <v>-1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ROUND(Construction!T12,1)</f>
        <v>2138.8000000000002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-2.9685451471930843E-2</v>
      </c>
      <c r="N22" s="261">
        <f ca="1">$AC$68</f>
        <v>-1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33.686535000000006</v>
      </c>
      <c r="AD22" s="490" t="s">
        <v>548</v>
      </c>
      <c r="AE22" s="445" t="s">
        <v>184</v>
      </c>
      <c r="AF22" s="162">
        <f ca="1">ROUND(Construction!T13,1)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-2.9685451471930843E-2</v>
      </c>
      <c r="N23" s="261">
        <f ca="1">$AC$69</f>
        <v>-1</v>
      </c>
      <c r="O23" s="467">
        <f ca="1">P23/$F$8</f>
        <v>-2.9685451471930843E-2</v>
      </c>
      <c r="P23" s="261">
        <f ca="1">$AC$69</f>
        <v>-1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134.74613952636719</v>
      </c>
      <c r="AD23" s="490" t="s">
        <v>550</v>
      </c>
      <c r="AE23" s="445" t="s">
        <v>167</v>
      </c>
      <c r="AF23" s="162">
        <f ca="1">ROUND(Construction!T14,1)</f>
        <v>897.6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2.1</v>
      </c>
      <c r="AD24" s="129" t="s">
        <v>131</v>
      </c>
      <c r="AE24" s="445" t="s">
        <v>168</v>
      </c>
      <c r="AF24" s="162">
        <f ca="1">ROUND(Construction!T15,1)</f>
        <v>0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65535</v>
      </c>
      <c r="AD25" s="490" t="s">
        <v>531</v>
      </c>
      <c r="AE25" s="445" t="s">
        <v>169</v>
      </c>
      <c r="AF25" s="162">
        <f ca="1">ROUND(Construction!T16,1)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-9</v>
      </c>
      <c r="O26" s="467"/>
      <c r="P26" s="261">
        <f ca="1">P20+P23+P24</f>
        <v>-2</v>
      </c>
      <c r="Q26" s="264"/>
      <c r="R26" s="261"/>
      <c r="S26" s="468"/>
      <c r="T26" s="261">
        <f ca="1">-AC39</f>
        <v>-1182.972900390625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ROUND(Construction!T17,1)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-0.26716906324737755</v>
      </c>
      <c r="N27" s="471">
        <f ca="1">IF(N26=0,0,N26*(1+N25))</f>
        <v>-9</v>
      </c>
      <c r="O27" s="467">
        <f ca="1">IF(P26=0,0,P27/$F$8)</f>
        <v>-5.9370902943861686E-2</v>
      </c>
      <c r="P27" s="261">
        <f ca="1">IF(P26=0,0,P26*(P25/100+1))</f>
        <v>-2</v>
      </c>
      <c r="Q27" s="264"/>
      <c r="R27" s="261"/>
      <c r="S27" s="467">
        <f ca="1">IF(T26=0,0,T27/$F$8)</f>
        <v>-35.117084627155172</v>
      </c>
      <c r="T27" s="515">
        <f ca="1">IF(T26=0,0,T26*(1+T25))</f>
        <v>-1182.972900390625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ROUND(Construction!T18,1)</f>
        <v>0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0</v>
      </c>
      <c r="AD28" s="491" t="s">
        <v>544</v>
      </c>
      <c r="AE28" s="445" t="s">
        <v>494</v>
      </c>
      <c r="AF28" s="162">
        <f ca="1">ROUND(Construction!T19,1)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2.1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33" t="s">
        <v>589</v>
      </c>
      <c r="M30" s="533"/>
      <c r="N30" s="504">
        <f ca="1">IFERROR(AC87,"")</f>
        <v>0</v>
      </c>
      <c r="O30" s="533" t="s">
        <v>590</v>
      </c>
      <c r="P30" s="53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0</v>
      </c>
      <c r="AD30" s="491" t="s">
        <v>543</v>
      </c>
      <c r="AE30" s="445" t="s">
        <v>496</v>
      </c>
      <c r="AF30" s="162">
        <f ca="1">ROUND(Construction!T21,1)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=0m²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2.1</v>
      </c>
      <c r="AD31" s="129" t="s">
        <v>139</v>
      </c>
      <c r="AE31" s="445" t="s">
        <v>498</v>
      </c>
      <c r="AF31" s="162">
        <f ca="1">ROUND(Construction!T22,1)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=897.6m²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=2138.8m²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0</v>
      </c>
      <c r="AD32" s="176" t="s">
        <v>478</v>
      </c>
      <c r="AE32" s="445" t="s">
        <v>164</v>
      </c>
      <c r="AF32" s="162">
        <f ca="1">ROUND(Construction!T23,1)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-1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2.1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1182.972900390625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0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2.1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3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00e6bda8-de8b-4fa4-a10d-8235543803e6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200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-1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1182.972900390625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-1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-1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-1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-1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-1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-1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-1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-1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-1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-1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0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44698.404490740744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0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20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35.117084750591772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43101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0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-174.19200134277344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-14.719191622248823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0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-647.68994140625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Simulation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19.802900314331055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18.108207702636719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20.000568389892578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>
        <f ca="1">OFFSET(Data!$A$2,$AC$8,AB104,1,1)</f>
        <v>43101.666666666664</v>
      </c>
      <c r="AD104" s="115" t="s">
        <v>606</v>
      </c>
    </row>
    <row r="105" spans="28:30" ht="12.75" customHeight="1">
      <c r="AB105" s="448">
        <f t="shared" si="9"/>
        <v>83</v>
      </c>
      <c r="AC105" s="451">
        <f ca="1">OFFSET(Data!$A$2,$AC$8,AB105,1,1)</f>
        <v>47.966152000000001</v>
      </c>
      <c r="AD105" s="433" t="s">
        <v>635</v>
      </c>
    </row>
    <row r="106" spans="28:30" ht="12.75" customHeight="1">
      <c r="AB106" s="448">
        <f t="shared" si="9"/>
        <v>84</v>
      </c>
      <c r="AC106" s="451">
        <f ca="1">OFFSET(Data!$A$2,$AC$8,AB106,1,1)</f>
        <v>0</v>
      </c>
      <c r="AD106" s="433" t="s">
        <v>637</v>
      </c>
    </row>
    <row r="107" spans="28:30" ht="12.75" customHeight="1">
      <c r="AB107" s="448">
        <f t="shared" si="9"/>
        <v>85</v>
      </c>
      <c r="AC107" s="451">
        <f ca="1">OFFSET(Data!$A$2,$AC$8,AB107,1,1)</f>
        <v>0</v>
      </c>
      <c r="AD107" s="433" t="s">
        <v>636</v>
      </c>
    </row>
    <row r="108" spans="28:30" ht="12.75" customHeight="1">
      <c r="AB108" s="448">
        <f t="shared" si="9"/>
        <v>86</v>
      </c>
      <c r="AC108" s="451">
        <f ca="1">OFFSET(Data!$A$2,$AC$8,AB108,1,1)</f>
        <v>0</v>
      </c>
      <c r="AD108" s="433" t="s">
        <v>652</v>
      </c>
    </row>
    <row r="109" spans="28:30" ht="12.75" customHeight="1">
      <c r="AB109" s="448">
        <f t="shared" si="9"/>
        <v>87</v>
      </c>
      <c r="AC109" s="451">
        <f ca="1">OFFSET(Data!$A$2,$AC$8,AB109,1,1)</f>
        <v>0</v>
      </c>
      <c r="AD109" s="433" t="s">
        <v>651</v>
      </c>
    </row>
    <row r="110" spans="28:30" ht="12.75" customHeight="1">
      <c r="AB110" s="448">
        <f t="shared" si="9"/>
        <v>88</v>
      </c>
      <c r="AC110" s="451">
        <f ca="1">OFFSET(Data!$A$2,$AC$8,AB110,1,1)</f>
        <v>8.4312767700001068E-2</v>
      </c>
      <c r="AD110" s="433" t="s">
        <v>650</v>
      </c>
    </row>
    <row r="111" spans="28:30" ht="12.75" customHeight="1">
      <c r="AB111" s="448">
        <f t="shared" si="9"/>
        <v>89</v>
      </c>
      <c r="AC111" s="451">
        <f ca="1">OFFSET(Data!$A$2,$AC$8,AB111,1,1)</f>
        <v>33.602222232300001</v>
      </c>
      <c r="AD111" s="433" t="s">
        <v>649</v>
      </c>
    </row>
    <row r="112" spans="28:30" ht="12.75" customHeight="1">
      <c r="AB112" s="448">
        <f t="shared" si="9"/>
        <v>90</v>
      </c>
      <c r="AC112" s="451">
        <f ca="1">OFFSET(Data!$A$2,$AC$8,AB112,1,1)</f>
        <v>0</v>
      </c>
      <c r="AD112" s="433" t="s">
        <v>648</v>
      </c>
    </row>
    <row r="113" spans="28:30" ht="12.75" customHeight="1">
      <c r="AB113" s="448">
        <f t="shared" si="9"/>
        <v>91</v>
      </c>
      <c r="AC113" s="451">
        <f ca="1">OFFSET(Data!$A$2,$AC$8,AB113,1,1)</f>
        <v>33.686534782499997</v>
      </c>
      <c r="AD113" s="433" t="s">
        <v>647</v>
      </c>
    </row>
    <row r="114" spans="28:30" ht="12.75" customHeight="1">
      <c r="AB114" s="448">
        <f t="shared" si="9"/>
        <v>92</v>
      </c>
      <c r="AC114" s="451">
        <f ca="1">OFFSET(Data!$A$2,$AC$8,AB114,1,1)</f>
        <v>0</v>
      </c>
      <c r="AD114" s="433" t="s">
        <v>646</v>
      </c>
    </row>
    <row r="115" spans="28:30" ht="12.75" customHeight="1">
      <c r="AB115" s="448">
        <f t="shared" si="9"/>
        <v>93</v>
      </c>
      <c r="AC115" s="451">
        <f ca="1">OFFSET(Data!$A$2,$AC$8,AB115,1,1)</f>
        <v>0</v>
      </c>
      <c r="AD115" s="433" t="s">
        <v>645</v>
      </c>
    </row>
    <row r="116" spans="28:30" ht="12.75" customHeight="1">
      <c r="AB116" s="448">
        <f t="shared" si="9"/>
        <v>94</v>
      </c>
      <c r="AC116" s="451">
        <f ca="1">OFFSET(Data!$A$2,$AC$8,AB116,1,1)</f>
        <v>0</v>
      </c>
      <c r="AD116" s="433" t="s">
        <v>644</v>
      </c>
    </row>
    <row r="117" spans="28:30" ht="12.75" customHeight="1">
      <c r="AB117" s="448">
        <f t="shared" si="9"/>
        <v>95</v>
      </c>
      <c r="AC117" s="451">
        <f ca="1">OFFSET(Data!$A$2,$AC$8,AB117,1,1)</f>
        <v>0</v>
      </c>
      <c r="AD117" s="433" t="s">
        <v>643</v>
      </c>
    </row>
    <row r="118" spans="28:30" ht="12.75" customHeight="1">
      <c r="AB118" s="448">
        <f t="shared" si="9"/>
        <v>96</v>
      </c>
      <c r="AC118" s="451">
        <f ca="1">OFFSET(Data!$A$2,$AC$8,AB118,1,1)</f>
        <v>0</v>
      </c>
      <c r="AD118" s="433" t="s">
        <v>642</v>
      </c>
    </row>
    <row r="119" spans="28:30" ht="12.75" customHeight="1">
      <c r="AB119" s="448">
        <f t="shared" si="9"/>
        <v>97</v>
      </c>
      <c r="AC119" s="451">
        <f ca="1">OFFSET(Data!$A$2,$AC$8,AB119,1,1)</f>
        <v>0</v>
      </c>
      <c r="AD119" s="433" t="s">
        <v>641</v>
      </c>
    </row>
    <row r="120" spans="28:30" ht="12.75" customHeight="1">
      <c r="AB120" s="448">
        <f t="shared" si="9"/>
        <v>98</v>
      </c>
      <c r="AC120" s="451">
        <f ca="1">OFFSET(Data!$A$2,$AC$8,AB120,1,1)</f>
        <v>0</v>
      </c>
      <c r="AD120" s="433" t="s">
        <v>640</v>
      </c>
    </row>
    <row r="121" spans="28:30" ht="12.75" customHeight="1">
      <c r="AB121" s="448">
        <f t="shared" si="9"/>
        <v>99</v>
      </c>
      <c r="AC121" s="451">
        <f ca="1">OFFSET(Data!$A$2,$AC$8,AB121,1,1)</f>
        <v>47.966151883999999</v>
      </c>
      <c r="AD121" s="433" t="s">
        <v>639</v>
      </c>
    </row>
    <row r="122" spans="28:30" ht="12.75" customHeight="1">
      <c r="AB122" s="448">
        <f t="shared" si="9"/>
        <v>100</v>
      </c>
      <c r="AC122" s="451">
        <f ca="1">OFFSET(Data!$A$2,$AC$8,AB122,1,1)</f>
        <v>0</v>
      </c>
      <c r="AD122" s="433" t="s">
        <v>638</v>
      </c>
    </row>
  </sheetData>
  <dataConsolidate/>
  <mergeCells count="13">
    <mergeCell ref="L30:M30"/>
    <mergeCell ref="O30:P30"/>
    <mergeCell ref="C2:E2"/>
    <mergeCell ref="M11:N11"/>
    <mergeCell ref="O11:P11"/>
    <mergeCell ref="K11:L12"/>
    <mergeCell ref="Q11:R12"/>
    <mergeCell ref="U11:V11"/>
    <mergeCell ref="S11:T11"/>
    <mergeCell ref="BD11:BE11"/>
    <mergeCell ref="AN2:AP2"/>
    <mergeCell ref="AX11:AY11"/>
    <mergeCell ref="AZ11:BA11"/>
  </mergeCells>
  <dataValidations disablePrompts="1" count="1">
    <dataValidation type="list" allowBlank="1" showInputMessage="1" showErrorMessage="1" sqref="AB1" xr:uid="{00000000-0002-0000-0400-000000000000}">
      <formula1>"English, Deutsch"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19" r:id="rId4" name="CommandButton3">
          <controlPr defaultSize="0" autoLine="0" r:id="rId5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autoPict="0" r:id="rId9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8" name="CommandButton2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L15" sqref="L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1</v>
      </c>
      <c r="K1" s="475">
        <f>VLOOKUP($N$30,$J$2:$L$588,2,0)</f>
        <v>36</v>
      </c>
      <c r="L1" s="475">
        <f>VLOOKUP($N$30,$J$2:$L$588,3,0)</f>
        <v>2</v>
      </c>
      <c r="N1" s="150"/>
      <c r="O1" s="150"/>
    </row>
    <row r="2" spans="1:22" ht="14.4">
      <c r="A2" s="129">
        <v>2</v>
      </c>
      <c r="B2" s="129">
        <v>1</v>
      </c>
      <c r="C2" s="129" t="s">
        <v>633</v>
      </c>
      <c r="D2" s="129" t="s">
        <v>632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632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:L4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634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897.5999755859375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2138.800048828125</v>
      </c>
      <c r="R12" s="156" t="s">
        <v>183</v>
      </c>
      <c r="S12" s="156"/>
      <c r="T12" s="157">
        <f ca="1">SUMIF($V$30:$V$582,R12, $Q$30:$Q$582)</f>
        <v>2138.800048828125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897.5999755859375</v>
      </c>
      <c r="R14" s="156" t="s">
        <v>185</v>
      </c>
      <c r="S14" s="156"/>
      <c r="T14" s="157">
        <f ca="1">SUMIF($Y$30:$Y$582,R14, $Q$30:$Q$582)</f>
        <v>897.5999755859375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2138.800048828125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str">
        <f ca="1">O30</f>
        <v>Cell 1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>
        <f>L1</f>
        <v>2</v>
      </c>
      <c r="N30" s="159">
        <f>Print!AC8</f>
        <v>1</v>
      </c>
      <c r="O30" s="160" t="str">
        <f ca="1">IF($M30="end",0,OFFSET($A$1,$M30-1,O$29,1,1))</f>
        <v>Cell 1</v>
      </c>
      <c r="P30" s="160" t="str">
        <f t="shared" ref="P30:U45" ca="1" si="3">IF($M30="end",0,OFFSET($A$1,$M30-1,P$29,1,1))</f>
        <v>Basic Wall: SIM_EXT_SLD</v>
      </c>
      <c r="Q30" s="160">
        <f t="shared" ca="1" si="3"/>
        <v>897.5999755859375</v>
      </c>
      <c r="R30" s="160">
        <f t="shared" ca="1" si="3"/>
        <v>1</v>
      </c>
      <c r="S30" s="160">
        <f t="shared" ca="1" si="3"/>
        <v>90</v>
      </c>
      <c r="T30" s="160">
        <f ca="1">IF($M30="end",0,OFFSET($A$1,$M30-1,T$29,1,1))</f>
        <v>2</v>
      </c>
      <c r="U30" s="160" t="str">
        <f ca="1">IF($M30="end",0,OFFSET($A$1,$M30-1,U$29,1,1))</f>
        <v>Basic Wall: SIM_EXT_SLD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Basic Wall: SIM_EXT_SLD</v>
      </c>
      <c r="X30" s="163" t="str">
        <f ca="1">IF(ISNUMBER(SEARCH($X$29,U30))=TRUE,IF(ISNUMBER(SEARCH($X$27,U30))=TRUE,IF(R30=1,"eFrameDoor",IF(R30=3,"iFrameDoor")),IF(R30=1,"eDoor",IF(R30=3,"iDoor"))),U30)</f>
        <v>Basic Wall: SIM_EXT_SLD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External Wall</v>
      </c>
    </row>
    <row r="31" spans="1:25" ht="14.4">
      <c r="I31" s="153"/>
      <c r="L31" s="464"/>
      <c r="M31" s="129">
        <f>IF(M30="end","end",IF(M30=$K$1,"end",M30+1))</f>
        <v>3</v>
      </c>
      <c r="N31" s="161">
        <f>N30</f>
        <v>1</v>
      </c>
      <c r="O31" s="160">
        <f t="shared" ref="O31:O40" ca="1" si="4">IF($M31="end",0,OFFSET($A$1,$M31-1,O$29,1,1))</f>
        <v>0</v>
      </c>
      <c r="P31" s="160" t="str">
        <f t="shared" ca="1" si="3"/>
        <v>Floor: SIM_EXT_GRD_FLR FLR01</v>
      </c>
      <c r="Q31" s="160">
        <f t="shared" ca="1" si="3"/>
        <v>2138.800048828125</v>
      </c>
      <c r="R31" s="160">
        <f t="shared" ca="1" si="3"/>
        <v>0</v>
      </c>
      <c r="S31" s="160">
        <f t="shared" ca="1" si="3"/>
        <v>180</v>
      </c>
      <c r="T31" s="160">
        <f t="shared" ca="1" si="3"/>
        <v>11</v>
      </c>
      <c r="U31" s="160" t="str">
        <f t="shared" ca="1" si="3"/>
        <v>Floor: SIM_EXT_GRD_FLR FLR01-ground</v>
      </c>
      <c r="V31" s="163" t="str">
        <f t="shared" ref="V31:V94" ca="1" si="5">IF(Q31=0,0,IF(S31=180,IF(R31=0,"Slab on Grade",IF(R31=1,"Exposed Floor",IF(R31=3,"Internal Floor",U31))),IF(S31&lt;45,IF(R31=3,"Internal Ceiling",IF(R31=1,"Roof",U31)))))</f>
        <v>Slab on Grade</v>
      </c>
      <c r="W31" s="163" t="str">
        <f t="shared" ref="W31:W94" ca="1" si="6">IF(ISNUMBER(SEARCH($W$29,U31))=TRUE,IF(ISNUMBER(SEARCH($W$27,U31))=TRUE,IF(R31=1,"eFrame",IF(R31=3,"iFrame")),IF(R31=1,"eWindow",IF(R31=3,"iWindow"))),U31)</f>
        <v>Floor: SIM_EXT_GRD_FLR FLR01-ground</v>
      </c>
      <c r="X31" s="163" t="str">
        <f t="shared" ref="X31:X94" ca="1" si="7">IF(ISNUMBER(SEARCH($X$29,U31))=TRUE,IF(ISNUMBER(SEARCH($X$27,U31))=TRUE,IF(R31=1,"eFrameDoor",IF(R31=3,"iFrameDoor")),IF(R31=1,"eDoor",IF(R31=3,"iDoor"))),U31)</f>
        <v>Floor: SIM_EXT_GRD_FLR FLR01-ground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Slab on Grade</v>
      </c>
    </row>
    <row r="32" spans="1:25" ht="14.4">
      <c r="I32" s="153"/>
      <c r="L32" s="464"/>
      <c r="M32" s="129">
        <f t="shared" ref="M32:M95" si="9">IF(M31="end","end",IF(M31=$K$1,"end",M31+1))</f>
        <v>4</v>
      </c>
      <c r="N32" s="161">
        <f t="shared" ref="N32:N40" si="10">N31</f>
        <v>1</v>
      </c>
      <c r="O32" s="160">
        <f t="shared" ca="1" si="4"/>
        <v>0</v>
      </c>
      <c r="P32" s="160">
        <f t="shared" ca="1" si="3"/>
        <v>0</v>
      </c>
      <c r="Q32" s="160">
        <f t="shared" ca="1" si="3"/>
        <v>0</v>
      </c>
      <c r="R32" s="160">
        <f t="shared" ca="1" si="3"/>
        <v>0</v>
      </c>
      <c r="S32" s="160">
        <f t="shared" ca="1" si="3"/>
        <v>0</v>
      </c>
      <c r="T32" s="160">
        <f t="shared" ca="1" si="3"/>
        <v>0</v>
      </c>
      <c r="U32" s="160">
        <f t="shared" ca="1" si="3"/>
        <v>0</v>
      </c>
      <c r="V32" s="163">
        <f t="shared" ca="1" si="5"/>
        <v>0</v>
      </c>
      <c r="W32" s="163">
        <f t="shared" ca="1" si="6"/>
        <v>0</v>
      </c>
      <c r="X32" s="163">
        <f t="shared" ca="1" si="7"/>
        <v>0</v>
      </c>
      <c r="Y32" s="163">
        <f t="shared" ca="1" si="8"/>
        <v>0</v>
      </c>
    </row>
    <row r="33" spans="9:25" ht="14.4">
      <c r="I33" s="153"/>
      <c r="L33" s="464"/>
      <c r="M33" s="129">
        <f t="shared" si="9"/>
        <v>5</v>
      </c>
      <c r="N33" s="161">
        <f t="shared" si="10"/>
        <v>1</v>
      </c>
      <c r="O33" s="160">
        <f t="shared" ca="1" si="4"/>
        <v>0</v>
      </c>
      <c r="P33" s="160">
        <f t="shared" ca="1" si="3"/>
        <v>0</v>
      </c>
      <c r="Q33" s="160">
        <f t="shared" ca="1" si="3"/>
        <v>0</v>
      </c>
      <c r="R33" s="160">
        <f t="shared" ca="1" si="3"/>
        <v>0</v>
      </c>
      <c r="S33" s="160">
        <f t="shared" ca="1" si="3"/>
        <v>0</v>
      </c>
      <c r="T33" s="160">
        <f t="shared" ca="1" si="3"/>
        <v>0</v>
      </c>
      <c r="U33" s="160">
        <f t="shared" ca="1" si="3"/>
        <v>0</v>
      </c>
      <c r="V33" s="163">
        <f t="shared" ca="1" si="5"/>
        <v>0</v>
      </c>
      <c r="W33" s="163">
        <f t="shared" ca="1" si="6"/>
        <v>0</v>
      </c>
      <c r="X33" s="163">
        <f t="shared" ca="1" si="7"/>
        <v>0</v>
      </c>
      <c r="Y33" s="163">
        <f t="shared" ca="1" si="8"/>
        <v>0</v>
      </c>
    </row>
    <row r="34" spans="9:25" ht="14.4">
      <c r="I34" s="153"/>
      <c r="L34" s="464"/>
      <c r="M34" s="129">
        <f t="shared" si="9"/>
        <v>6</v>
      </c>
      <c r="N34" s="161">
        <f t="shared" si="10"/>
        <v>1</v>
      </c>
      <c r="O34" s="160">
        <f t="shared" ca="1" si="4"/>
        <v>0</v>
      </c>
      <c r="P34" s="160">
        <f t="shared" ca="1" si="3"/>
        <v>0</v>
      </c>
      <c r="Q34" s="160">
        <f t="shared" ca="1" si="3"/>
        <v>0</v>
      </c>
      <c r="R34" s="160">
        <f t="shared" ca="1" si="3"/>
        <v>0</v>
      </c>
      <c r="S34" s="160">
        <f t="shared" ca="1" si="3"/>
        <v>0</v>
      </c>
      <c r="T34" s="160">
        <f t="shared" ca="1" si="3"/>
        <v>0</v>
      </c>
      <c r="U34" s="160">
        <f t="shared" ca="1" si="3"/>
        <v>0</v>
      </c>
      <c r="V34" s="163">
        <f t="shared" ca="1" si="5"/>
        <v>0</v>
      </c>
      <c r="W34" s="163">
        <f t="shared" ca="1" si="6"/>
        <v>0</v>
      </c>
      <c r="X34" s="163">
        <f t="shared" ca="1" si="7"/>
        <v>0</v>
      </c>
      <c r="Y34" s="163">
        <f t="shared" ca="1" si="8"/>
        <v>0</v>
      </c>
    </row>
    <row r="35" spans="9:25" ht="14.4">
      <c r="I35" s="153"/>
      <c r="L35" s="464"/>
      <c r="M35" s="129">
        <f t="shared" si="9"/>
        <v>7</v>
      </c>
      <c r="N35" s="161">
        <f t="shared" si="10"/>
        <v>1</v>
      </c>
      <c r="O35" s="160">
        <f t="shared" ca="1" si="4"/>
        <v>0</v>
      </c>
      <c r="P35" s="160">
        <f t="shared" ca="1" si="3"/>
        <v>0</v>
      </c>
      <c r="Q35" s="160">
        <f t="shared" ca="1" si="3"/>
        <v>0</v>
      </c>
      <c r="R35" s="160">
        <f t="shared" ca="1" si="3"/>
        <v>0</v>
      </c>
      <c r="S35" s="160">
        <f t="shared" ca="1" si="3"/>
        <v>0</v>
      </c>
      <c r="T35" s="160">
        <f t="shared" ca="1" si="3"/>
        <v>0</v>
      </c>
      <c r="U35" s="160">
        <f t="shared" ca="1" si="3"/>
        <v>0</v>
      </c>
      <c r="V35" s="163">
        <f t="shared" ca="1" si="5"/>
        <v>0</v>
      </c>
      <c r="W35" s="163">
        <f t="shared" ca="1" si="6"/>
        <v>0</v>
      </c>
      <c r="X35" s="163">
        <f t="shared" ca="1" si="7"/>
        <v>0</v>
      </c>
      <c r="Y35" s="163">
        <f t="shared" ca="1" si="8"/>
        <v>0</v>
      </c>
    </row>
    <row r="36" spans="9:25" ht="14.4">
      <c r="I36" s="153"/>
      <c r="L36" s="464"/>
      <c r="M36" s="129">
        <f t="shared" si="9"/>
        <v>8</v>
      </c>
      <c r="N36" s="161">
        <f t="shared" si="10"/>
        <v>1</v>
      </c>
      <c r="O36" s="160">
        <f t="shared" ca="1" si="4"/>
        <v>0</v>
      </c>
      <c r="P36" s="160">
        <f t="shared" ca="1" si="3"/>
        <v>0</v>
      </c>
      <c r="Q36" s="160">
        <f t="shared" ca="1" si="3"/>
        <v>0</v>
      </c>
      <c r="R36" s="160">
        <f t="shared" ca="1" si="3"/>
        <v>0</v>
      </c>
      <c r="S36" s="160">
        <f t="shared" ca="1" si="3"/>
        <v>0</v>
      </c>
      <c r="T36" s="160">
        <f t="shared" ca="1" si="3"/>
        <v>0</v>
      </c>
      <c r="U36" s="160">
        <f t="shared" ca="1" si="3"/>
        <v>0</v>
      </c>
      <c r="V36" s="163">
        <f t="shared" ca="1" si="5"/>
        <v>0</v>
      </c>
      <c r="W36" s="163">
        <f t="shared" ca="1" si="6"/>
        <v>0</v>
      </c>
      <c r="X36" s="163">
        <f t="shared" ca="1" si="7"/>
        <v>0</v>
      </c>
      <c r="Y36" s="163">
        <f t="shared" ca="1" si="8"/>
        <v>0</v>
      </c>
    </row>
    <row r="37" spans="9:25" ht="14.4">
      <c r="I37" s="153"/>
      <c r="L37" s="464"/>
      <c r="M37" s="129">
        <f t="shared" si="9"/>
        <v>9</v>
      </c>
      <c r="N37" s="161">
        <f t="shared" si="10"/>
        <v>1</v>
      </c>
      <c r="O37" s="160">
        <f t="shared" ca="1" si="4"/>
        <v>0</v>
      </c>
      <c r="P37" s="160">
        <f t="shared" ca="1" si="3"/>
        <v>0</v>
      </c>
      <c r="Q37" s="160">
        <f t="shared" ca="1" si="3"/>
        <v>0</v>
      </c>
      <c r="R37" s="160">
        <f t="shared" ca="1" si="3"/>
        <v>0</v>
      </c>
      <c r="S37" s="160">
        <f t="shared" ca="1" si="3"/>
        <v>0</v>
      </c>
      <c r="T37" s="160">
        <f t="shared" ca="1" si="3"/>
        <v>0</v>
      </c>
      <c r="U37" s="160">
        <f t="shared" ca="1" si="3"/>
        <v>0</v>
      </c>
      <c r="V37" s="163">
        <f t="shared" ca="1" si="5"/>
        <v>0</v>
      </c>
      <c r="W37" s="163">
        <f t="shared" ca="1" si="6"/>
        <v>0</v>
      </c>
      <c r="X37" s="163">
        <f t="shared" ca="1" si="7"/>
        <v>0</v>
      </c>
      <c r="Y37" s="163">
        <f t="shared" ca="1" si="8"/>
        <v>0</v>
      </c>
    </row>
    <row r="38" spans="9:25" ht="14.4">
      <c r="I38" s="153"/>
      <c r="L38" s="464"/>
      <c r="M38" s="129">
        <f t="shared" si="9"/>
        <v>10</v>
      </c>
      <c r="N38" s="161">
        <f t="shared" si="10"/>
        <v>1</v>
      </c>
      <c r="O38" s="160">
        <f t="shared" ca="1" si="4"/>
        <v>0</v>
      </c>
      <c r="P38" s="160">
        <f t="shared" ca="1" si="3"/>
        <v>0</v>
      </c>
      <c r="Q38" s="160">
        <f t="shared" ca="1" si="3"/>
        <v>0</v>
      </c>
      <c r="R38" s="160">
        <f t="shared" ca="1" si="3"/>
        <v>0</v>
      </c>
      <c r="S38" s="160">
        <f t="shared" ca="1" si="3"/>
        <v>0</v>
      </c>
      <c r="T38" s="160">
        <f t="shared" ca="1" si="3"/>
        <v>0</v>
      </c>
      <c r="U38" s="160">
        <f t="shared" ca="1" si="3"/>
        <v>0</v>
      </c>
      <c r="V38" s="163">
        <f t="shared" ca="1" si="5"/>
        <v>0</v>
      </c>
      <c r="W38" s="163">
        <f t="shared" ca="1" si="6"/>
        <v>0</v>
      </c>
      <c r="X38" s="163">
        <f t="shared" ca="1" si="7"/>
        <v>0</v>
      </c>
      <c r="Y38" s="163">
        <f t="shared" ca="1" si="8"/>
        <v>0</v>
      </c>
    </row>
    <row r="39" spans="9:25" ht="14.4">
      <c r="I39" s="153"/>
      <c r="L39" s="464"/>
      <c r="M39" s="129">
        <f t="shared" si="9"/>
        <v>11</v>
      </c>
      <c r="N39" s="161">
        <f t="shared" si="10"/>
        <v>1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>
        <f t="shared" si="9"/>
        <v>12</v>
      </c>
      <c r="N40" s="161">
        <f t="shared" si="10"/>
        <v>1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>
        <f t="shared" si="9"/>
        <v>13</v>
      </c>
      <c r="N41" s="161">
        <f t="shared" ref="N41:N81" si="11">N40</f>
        <v>1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>
        <f t="shared" si="9"/>
        <v>14</v>
      </c>
      <c r="N42" s="161">
        <f t="shared" si="11"/>
        <v>1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>
        <f t="shared" si="9"/>
        <v>15</v>
      </c>
      <c r="N43" s="161">
        <f t="shared" si="11"/>
        <v>1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>
        <f t="shared" si="9"/>
        <v>16</v>
      </c>
      <c r="N44" s="161">
        <f t="shared" si="11"/>
        <v>1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>
        <f t="shared" si="9"/>
        <v>17</v>
      </c>
      <c r="N45" s="161">
        <f t="shared" si="11"/>
        <v>1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>
        <f t="shared" si="9"/>
        <v>18</v>
      </c>
      <c r="N46" s="161">
        <f t="shared" si="11"/>
        <v>1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>
        <f t="shared" si="9"/>
        <v>19</v>
      </c>
      <c r="N47" s="161">
        <f t="shared" si="11"/>
        <v>1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>
        <f t="shared" si="9"/>
        <v>20</v>
      </c>
      <c r="N48" s="161">
        <f t="shared" si="11"/>
        <v>1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>
        <f t="shared" si="9"/>
        <v>21</v>
      </c>
      <c r="N49" s="161">
        <f t="shared" si="11"/>
        <v>1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>
        <f t="shared" si="9"/>
        <v>22</v>
      </c>
      <c r="N50" s="161">
        <f t="shared" si="11"/>
        <v>1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>
        <f t="shared" si="9"/>
        <v>23</v>
      </c>
      <c r="N51" s="161">
        <f t="shared" si="11"/>
        <v>1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>
        <f t="shared" si="9"/>
        <v>24</v>
      </c>
      <c r="N52" s="161">
        <f t="shared" si="11"/>
        <v>1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>
        <f t="shared" si="9"/>
        <v>25</v>
      </c>
      <c r="N53" s="161">
        <f t="shared" si="11"/>
        <v>1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>
        <f t="shared" si="9"/>
        <v>26</v>
      </c>
      <c r="N54" s="161">
        <f t="shared" si="11"/>
        <v>1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>
        <f t="shared" si="9"/>
        <v>27</v>
      </c>
      <c r="N55" s="161">
        <f t="shared" si="11"/>
        <v>1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>
        <f t="shared" si="9"/>
        <v>28</v>
      </c>
      <c r="N56" s="161">
        <f t="shared" si="11"/>
        <v>1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>
        <f t="shared" si="9"/>
        <v>29</v>
      </c>
      <c r="N57" s="161">
        <f t="shared" si="11"/>
        <v>1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>
        <f t="shared" si="9"/>
        <v>30</v>
      </c>
      <c r="N58" s="161">
        <f t="shared" si="11"/>
        <v>1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>
        <f t="shared" si="9"/>
        <v>31</v>
      </c>
      <c r="N59" s="161">
        <f t="shared" si="11"/>
        <v>1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>
        <f t="shared" si="9"/>
        <v>32</v>
      </c>
      <c r="N60" s="161">
        <f t="shared" si="11"/>
        <v>1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>
        <f t="shared" si="9"/>
        <v>33</v>
      </c>
      <c r="N61" s="161">
        <f t="shared" si="11"/>
        <v>1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>
        <f t="shared" si="9"/>
        <v>34</v>
      </c>
      <c r="N62" s="161">
        <f t="shared" si="11"/>
        <v>1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>
        <f t="shared" si="9"/>
        <v>35</v>
      </c>
      <c r="N63" s="161">
        <f t="shared" si="11"/>
        <v>1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>
        <f t="shared" si="9"/>
        <v>36</v>
      </c>
      <c r="N64" s="161">
        <f t="shared" si="11"/>
        <v>1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1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1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1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1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1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1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1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1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1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1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1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1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1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1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1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1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1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1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1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1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1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1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1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1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1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1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1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1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1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1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1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1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1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1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1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1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1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1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1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1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1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1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1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1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1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1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1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1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1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1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1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1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1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1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1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1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1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1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1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1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1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1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1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1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1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1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1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1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1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1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1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1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1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1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1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1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1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1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1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1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1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1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1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1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1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1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1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1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1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1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1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1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1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1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1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1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1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1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1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1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1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1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1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1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1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1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1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1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1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1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1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1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1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1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1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1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1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1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1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1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1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1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1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1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1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1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1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1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1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1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1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1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1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1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1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1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1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1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1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1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1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1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1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1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1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1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1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1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1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1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1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1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1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1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1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1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1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1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1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1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1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1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1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1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1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1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1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1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1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1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1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1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1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1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1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1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1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1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1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1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1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1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1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1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1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1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1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1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1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1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1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1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1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1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1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1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1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1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1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1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1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1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1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1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1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1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1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1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1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1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1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1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1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1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1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1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1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1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1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1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1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1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1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1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1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1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1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1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1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1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1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1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1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1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1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1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1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1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1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1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1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1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1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1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1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1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1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1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1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1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1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1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1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1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1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1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1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1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1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1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1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1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1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1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1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1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1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1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1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1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1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1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1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1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1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1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1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1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1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1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1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1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1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1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1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1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1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1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1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1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1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1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1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1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1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1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1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1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1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1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1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1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1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1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1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1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1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1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1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1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1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1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1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1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1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1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1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1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1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1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1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1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1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1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1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1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1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1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1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1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1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1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1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1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1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1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1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1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1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1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1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1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1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1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1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1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1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1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1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1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1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1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1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1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1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1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1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1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1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1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1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1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1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1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1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1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1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1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1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1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1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1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1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1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1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1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1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1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1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1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1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1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1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1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1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1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1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1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1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1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1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1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1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1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1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1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1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1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1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1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1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1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1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1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1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1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1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1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1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1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1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1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1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1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1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1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1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1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1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1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1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1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1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1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1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1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1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1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1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1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1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1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1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1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1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1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1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1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1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1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1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1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1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1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1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1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1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1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1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1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1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1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1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1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1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1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1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1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1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1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1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1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1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1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1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1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1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1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1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1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1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1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1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1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1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1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1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1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1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1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1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1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1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1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1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1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1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1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1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1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1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1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1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1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1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1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1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1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1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1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1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1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1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1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1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1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1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1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1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1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1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1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1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1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1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1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1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1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1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6E58-FFE5-4276-A173-07A0BE8D87C1}">
  <sheetPr codeName="Sheet9"/>
  <dimension ref="A5:A22"/>
  <sheetViews>
    <sheetView workbookViewId="0">
      <selection activeCell="A5" sqref="A5:A22"/>
    </sheetView>
  </sheetViews>
  <sheetFormatPr defaultRowHeight="14.4"/>
  <cols>
    <col min="1" max="1" width="26.44140625" customWidth="1"/>
  </cols>
  <sheetData>
    <row r="5" spans="1:1">
      <c r="A5" s="115" t="s">
        <v>635</v>
      </c>
    </row>
    <row r="6" spans="1:1">
      <c r="A6" s="115" t="s">
        <v>637</v>
      </c>
    </row>
    <row r="7" spans="1:1">
      <c r="A7" s="115" t="s">
        <v>636</v>
      </c>
    </row>
    <row r="8" spans="1:1">
      <c r="A8" s="115" t="s">
        <v>652</v>
      </c>
    </row>
    <row r="9" spans="1:1">
      <c r="A9" s="115" t="s">
        <v>651</v>
      </c>
    </row>
    <row r="10" spans="1:1">
      <c r="A10" s="115" t="s">
        <v>650</v>
      </c>
    </row>
    <row r="11" spans="1:1">
      <c r="A11" s="115" t="s">
        <v>649</v>
      </c>
    </row>
    <row r="12" spans="1:1">
      <c r="A12" s="115" t="s">
        <v>648</v>
      </c>
    </row>
    <row r="13" spans="1:1">
      <c r="A13" s="115" t="s">
        <v>647</v>
      </c>
    </row>
    <row r="14" spans="1:1">
      <c r="A14" s="115" t="s">
        <v>646</v>
      </c>
    </row>
    <row r="15" spans="1:1">
      <c r="A15" s="115" t="s">
        <v>645</v>
      </c>
    </row>
    <row r="16" spans="1:1">
      <c r="A16" s="115" t="s">
        <v>644</v>
      </c>
    </row>
    <row r="17" spans="1:1">
      <c r="A17" s="115" t="s">
        <v>643</v>
      </c>
    </row>
    <row r="18" spans="1:1">
      <c r="A18" s="115" t="s">
        <v>642</v>
      </c>
    </row>
    <row r="19" spans="1:1">
      <c r="A19" s="115" t="s">
        <v>641</v>
      </c>
    </row>
    <row r="20" spans="1:1">
      <c r="A20" s="115" t="s">
        <v>640</v>
      </c>
    </row>
    <row r="21" spans="1:1">
      <c r="A21" s="115" t="s">
        <v>639</v>
      </c>
    </row>
    <row r="22" spans="1:1">
      <c r="A22" s="115" t="s">
        <v>638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22" name="CommandButton9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Sheet4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2022-05-18T10:37:31Z</cp:lastPrinted>
  <dcterms:created xsi:type="dcterms:W3CDTF">2011-08-17T14:29:03Z</dcterms:created>
  <dcterms:modified xsi:type="dcterms:W3CDTF">2022-05-18T10:52:27Z</dcterms:modified>
</cp:coreProperties>
</file>