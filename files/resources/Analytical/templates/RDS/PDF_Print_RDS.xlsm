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7E79872E-638F-4661-BD3F-23F95106E28A}" xr6:coauthVersionLast="47" xr6:coauthVersionMax="47" xr10:uidLastSave="{00000000-0000-0000-0000-000000000000}"/>
  <bookViews>
    <workbookView xWindow="-108" yWindow="-108" windowWidth="23256" windowHeight="12576" tabRatio="619" firstSheet="3" activeTab="3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Data!$A$3:$CE$893</definedName>
    <definedName name="DataColumn">Data!$A$1:$CE$2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2" i="37" l="1"/>
  <c r="AC105" i="37"/>
  <c r="AC104" i="37"/>
  <c r="AC103" i="37"/>
  <c r="AC102" i="37"/>
  <c r="AC101" i="37"/>
  <c r="AC100" i="37"/>
  <c r="AC99" i="37"/>
  <c r="AC98" i="37"/>
  <c r="AC97" i="37"/>
  <c r="AC96" i="37"/>
  <c r="AC95" i="37"/>
  <c r="AC94" i="37"/>
  <c r="AC93" i="37"/>
  <c r="AC92" i="37"/>
  <c r="AC91" i="37"/>
  <c r="AC90" i="37"/>
  <c r="AC89" i="37"/>
  <c r="AC88" i="37"/>
  <c r="AC87" i="37"/>
  <c r="AC86" i="37"/>
  <c r="AC85" i="37"/>
  <c r="AC84" i="37"/>
  <c r="AC83" i="37"/>
  <c r="AC82" i="37"/>
  <c r="AC81" i="37"/>
  <c r="AC80" i="37"/>
  <c r="AC79" i="37"/>
  <c r="AC78" i="37"/>
  <c r="AC77" i="37"/>
  <c r="AC76" i="37"/>
  <c r="AC75" i="37"/>
  <c r="AC74" i="37"/>
  <c r="AC73" i="37"/>
  <c r="AC72" i="37"/>
  <c r="AC71" i="37"/>
  <c r="AC70" i="37"/>
  <c r="AC69" i="37"/>
  <c r="AC68" i="37"/>
  <c r="AC67" i="37"/>
  <c r="AC66" i="37"/>
  <c r="AC65" i="37"/>
  <c r="AC64" i="37"/>
  <c r="AC63" i="37"/>
  <c r="AC62" i="37"/>
  <c r="AC61" i="37"/>
  <c r="AC60" i="37"/>
  <c r="AC59" i="37"/>
  <c r="AC58" i="37"/>
  <c r="AC57" i="37"/>
  <c r="AC56" i="37"/>
  <c r="AC55" i="37"/>
  <c r="AC54" i="37"/>
  <c r="AC53" i="37"/>
  <c r="AC52" i="37"/>
  <c r="AC51" i="37"/>
  <c r="AC50" i="37"/>
  <c r="AC49" i="37"/>
  <c r="AC48" i="37"/>
  <c r="AC47" i="37"/>
  <c r="AC46" i="37"/>
  <c r="AC45" i="37"/>
  <c r="AC44" i="37"/>
  <c r="AC43" i="37"/>
  <c r="AC42" i="37"/>
  <c r="AC41" i="37"/>
  <c r="AC40" i="37"/>
  <c r="AC39" i="37"/>
  <c r="AC38" i="37"/>
  <c r="AC37" i="37"/>
  <c r="AC36" i="37"/>
  <c r="AC35" i="37"/>
  <c r="AC34" i="37"/>
  <c r="AC33" i="37"/>
  <c r="AC32" i="37"/>
  <c r="AC31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C4" i="37" l="1"/>
  <c r="K9" i="37" l="1"/>
  <c r="Q9" i="37"/>
  <c r="AN32" i="37" l="1"/>
  <c r="AN31" i="37"/>
  <c r="L3" i="67" l="1"/>
  <c r="AC9" i="37" l="1"/>
  <c r="AC11" i="37" l="1"/>
  <c r="AC12" i="37"/>
  <c r="AB92" i="37"/>
  <c r="AB93" i="37"/>
  <c r="AB94" i="37"/>
  <c r="AB95" i="37"/>
  <c r="AB96" i="37"/>
  <c r="AB97" i="37"/>
  <c r="AB98" i="37"/>
  <c r="AB99" i="37"/>
  <c r="AB100" i="37"/>
  <c r="AB101" i="37"/>
  <c r="AB102" i="37"/>
  <c r="AB103" i="37"/>
  <c r="AB104" i="37"/>
  <c r="AB105" i="37"/>
  <c r="K5" i="37" l="1"/>
  <c r="Q5" i="37"/>
  <c r="Q6" i="37"/>
  <c r="T15" i="37"/>
  <c r="T16" i="37"/>
  <c r="T17" i="37"/>
  <c r="T18" i="37"/>
  <c r="T14" i="37"/>
  <c r="Q8" i="37"/>
  <c r="AB91" i="37" l="1"/>
  <c r="J20" i="37" l="1"/>
  <c r="AB90" i="37"/>
  <c r="AB89" i="37"/>
  <c r="AB88" i="37"/>
  <c r="AB87" i="37"/>
  <c r="AB86" i="37"/>
  <c r="AB85" i="37"/>
  <c r="K30" i="37" l="1"/>
  <c r="H30" i="37"/>
  <c r="Q30" i="37"/>
  <c r="N30" i="37"/>
  <c r="D31" i="37"/>
  <c r="T29" i="37"/>
  <c r="P29" i="37"/>
  <c r="N29" i="37"/>
  <c r="AB81" i="37" l="1"/>
  <c r="L28" i="37" l="1"/>
  <c r="N30" i="67"/>
  <c r="AB44" i="37" l="1"/>
  <c r="AB84" i="37" l="1"/>
  <c r="AB83" i="37"/>
  <c r="AB82" i="37"/>
  <c r="L29" i="37" l="1"/>
  <c r="K6" i="37"/>
  <c r="K29" i="37" l="1"/>
  <c r="H29" i="37"/>
  <c r="AB80" i="37"/>
  <c r="C2" i="37" l="1"/>
  <c r="AB79" i="37" l="1"/>
  <c r="AB78" i="37"/>
  <c r="AB77" i="37"/>
  <c r="AB76" i="37"/>
  <c r="AB75" i="37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B73" i="37"/>
  <c r="AB72" i="37"/>
  <c r="AB71" i="37"/>
  <c r="AB70" i="37"/>
  <c r="AB69" i="37"/>
  <c r="AB68" i="37"/>
  <c r="AB67" i="37"/>
  <c r="AB66" i="37"/>
  <c r="AB65" i="37"/>
  <c r="AB64" i="37"/>
  <c r="AB63" i="37"/>
  <c r="AB62" i="37"/>
  <c r="AB61" i="37"/>
  <c r="AB60" i="37"/>
  <c r="AB59" i="37"/>
  <c r="AB58" i="37"/>
  <c r="AB57" i="37"/>
  <c r="AB56" i="37"/>
  <c r="AB55" i="37"/>
  <c r="AB54" i="37"/>
  <c r="AB53" i="37"/>
  <c r="AB52" i="37"/>
  <c r="AB51" i="37"/>
  <c r="AB50" i="37"/>
  <c r="AB49" i="37"/>
  <c r="AB48" i="37"/>
  <c r="AB47" i="37"/>
  <c r="AB46" i="37"/>
  <c r="AB43" i="37"/>
  <c r="AB42" i="37"/>
  <c r="AB41" i="37"/>
  <c r="AB40" i="37"/>
  <c r="AB39" i="37"/>
  <c r="AB38" i="37"/>
  <c r="AB37" i="37"/>
  <c r="AB36" i="37"/>
  <c r="AB34" i="37"/>
  <c r="BH33" i="37"/>
  <c r="BG33" i="37"/>
  <c r="AB33" i="37"/>
  <c r="V33" i="37"/>
  <c r="U33" i="37"/>
  <c r="BB32" i="37"/>
  <c r="AY32" i="37"/>
  <c r="AW32" i="37"/>
  <c r="AU32" i="37"/>
  <c r="AB32" i="37"/>
  <c r="E32" i="37"/>
  <c r="BD31" i="37"/>
  <c r="BB31" i="37"/>
  <c r="AU31" i="37"/>
  <c r="E31" i="37"/>
  <c r="AB30" i="37"/>
  <c r="D29" i="37"/>
  <c r="AB28" i="37"/>
  <c r="BD27" i="37"/>
  <c r="AX27" i="37"/>
  <c r="AB27" i="37"/>
  <c r="D27" i="37"/>
  <c r="AB26" i="37"/>
  <c r="D26" i="37"/>
  <c r="AB25" i="37"/>
  <c r="D25" i="37"/>
  <c r="D24" i="37"/>
  <c r="AZ23" i="37"/>
  <c r="AB23" i="37"/>
  <c r="D23" i="37"/>
  <c r="AX22" i="37"/>
  <c r="AB22" i="37"/>
  <c r="D22" i="37"/>
  <c r="AX21" i="37"/>
  <c r="AB21" i="37"/>
  <c r="D21" i="37"/>
  <c r="AZ20" i="37"/>
  <c r="AX20" i="37"/>
  <c r="AS20" i="37"/>
  <c r="AB20" i="37"/>
  <c r="K20" i="37"/>
  <c r="D20" i="37"/>
  <c r="AB19" i="37"/>
  <c r="AI18" i="37"/>
  <c r="AB18" i="37"/>
  <c r="D18" i="37"/>
  <c r="AB17" i="37"/>
  <c r="D17" i="37"/>
  <c r="AB16" i="37"/>
  <c r="D16" i="37"/>
  <c r="AB15" i="37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AF27" i="3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AF16" i="37" s="1"/>
  <c r="K31" i="37" s="1"/>
  <c r="T13" i="67"/>
  <c r="Q13" i="67" s="1"/>
  <c r="T15" i="67"/>
  <c r="Q15" i="67" s="1"/>
  <c r="T12" i="67"/>
  <c r="AF21" i="37" s="1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AF18" i="37"/>
  <c r="Q9" i="67"/>
  <c r="T14" i="67" l="1"/>
  <c r="Q14" i="67" s="1"/>
  <c r="T8" i="67"/>
  <c r="Q8" i="67" s="1"/>
  <c r="AF22" i="37"/>
  <c r="G33" i="37" s="1"/>
  <c r="Q7" i="67"/>
  <c r="Q12" i="67"/>
  <c r="AF24" i="37"/>
  <c r="I32" i="37" s="1"/>
  <c r="I31" i="37"/>
  <c r="AW31" i="37"/>
  <c r="Q10" i="67"/>
  <c r="AF19" i="37"/>
  <c r="AF25" i="37"/>
  <c r="K32" i="37" s="1"/>
  <c r="Q16" i="67"/>
  <c r="AF26" i="37"/>
  <c r="N32" i="37" s="1"/>
  <c r="Q17" i="67"/>
  <c r="Q11" i="67"/>
  <c r="AF20" i="37"/>
  <c r="P32" i="37" s="1"/>
  <c r="AF17" i="37" l="1"/>
  <c r="G31" i="37" s="1"/>
  <c r="AF23" i="37"/>
  <c r="G32" i="37" s="1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<sst xmlns="http://schemas.openxmlformats.org/spreadsheetml/2006/main" count="1184" uniqueCount="632">
  <si>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</si>
  <si>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</si>
  <si>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</si>
  <si>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</si>
  <si>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</si>
  <si>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</si>
  <si>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</si>
  <si>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</si>
  <si>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</si>
  <si>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</si>
  <si>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</si>
  <si>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</si>
  <si>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</si>
  <si>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</si>
  <si>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</si>
  <si>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</si>
  <si>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</si>
  <si>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</si>
  <si>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</si>
  <si>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</si>
  <si>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</si>
  <si>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</si>
  <si>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</si>
  <si>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</si>
  <si>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</si>
  <si>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</si>
  <si>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</si>
  <si>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</si>
  <si>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</si>
  <si>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</si>
  <si>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</si>
  <si>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</si>
  <si>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</si>
  <si>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</si>
  <si>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</si>
  <si>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</si>
  <si>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</si>
  <si>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</si>
  <si>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</si>
  <si>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</si>
  <si>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</si>
  <si>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</si>
  <si>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</si>
  <si>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</si>
  <si>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</si>
  <si>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</si>
  <si>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</si>
  <si>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</si>
  <si>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</si>
  <si>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</si>
  <si>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</si>
  <si>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</si>
  <si>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</si>
  <si>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</si>
  <si>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</si>
  <si>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</si>
  <si>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</si>
  <si>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</si>
  <si>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</si>
  <si>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</si>
  <si>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</si>
  <si>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</si>
  <si>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</si>
  <si>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</si>
  <si>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</si>
  <si>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</si>
  <si>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</si>
  <si>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</si>
  <si>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</si>
  <si>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</si>
  <si>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</si>
  <si>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</si>
  <si>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</si>
  <si>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</si>
  <si>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</si>
  <si>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</si>
  <si>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</si>
  <si>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</si>
  <si>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</si>
  <si>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</si>
  <si>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</si>
  <si>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</si>
  <si>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</si>
  <si>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</si>
  <si>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</si>
  <si>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</si>
  <si>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</si>
  <si>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</si>
  <si>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</si>
  <si>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</si>
  <si>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</si>
  <si>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</si>
  <si>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</si>
  <si>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</si>
  <si>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</si>
  <si>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</si>
  <si>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</si>
  <si>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</si>
  <si>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</si>
  <si>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</si>
  <si>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</si>
  <si>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</si>
  <si>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</si>
  <si>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</si>
  <si>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</si>
  <si>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</si>
  <si>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</si>
  <si>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</si>
  <si>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</si>
  <si>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</si>
  <si>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</si>
  <si>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</si>
  <si>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</si>
  <si>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</si>
  <si>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</si>
  <si>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</si>
  <si>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</si>
  <si>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</si>
  <si>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</si>
  <si>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</si>
  <si>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</si>
  <si>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</si>
  <si>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</si>
  <si>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</si>
  <si>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</si>
  <si>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</si>
  <si>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</si>
  <si>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</si>
  <si>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</si>
  <si>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</si>
  <si>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</si>
  <si>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</si>
  <si>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</si>
  <si>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</si>
  <si>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</si>
  <si>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</si>
  <si>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</si>
  <si>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</si>
  <si>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</si>
  <si>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</si>
  <si>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</si>
  <si>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</si>
  <si>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</si>
  <si>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</si>
  <si>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</si>
  <si>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</si>
  <si>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</si>
  <si>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</si>
  <si>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</si>
  <si>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</si>
  <si>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</si>
  <si>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</si>
  <si>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</si>
  <si>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</si>
  <si>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</si>
  <si>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</si>
  <si>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</si>
  <si>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</si>
  <si>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</si>
  <si>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</si>
  <si>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</si>
  <si>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</si>
  <si>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</si>
  <si>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</si>
  <si>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</si>
  <si>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</si>
  <si>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</si>
  <si>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</si>
  <si>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</si>
  <si>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</si>
  <si>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</si>
  <si>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</si>
  <si>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</si>
  <si>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</si>
  <si>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</si>
  <si>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</si>
  <si>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</si>
  <si>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</si>
  <si>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</si>
  <si>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</si>
  <si>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</si>
  <si>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</si>
  <si>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</si>
  <si>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</si>
  <si>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</si>
  <si>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</si>
  <si>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</si>
  <si>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</si>
  <si>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</si>
  <si>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</si>
  <si>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</si>
  <si>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</si>
  <si>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</si>
  <si>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</si>
  <si>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</si>
  <si>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</si>
  <si>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</si>
  <si>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</si>
  <si>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</si>
  <si>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</si>
  <si>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</si>
  <si>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</si>
  <si>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</si>
  <si>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</si>
  <si>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</si>
  <si>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</si>
  <si>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</si>
  <si>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</si>
  <si>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</si>
  <si>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</si>
  <si>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</si>
  <si>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</si>
  <si>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</si>
  <si>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</si>
  <si>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</si>
  <si>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</si>
  <si>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</si>
  <si>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</si>
  <si>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</si>
  <si>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</si>
  <si>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</si>
  <si>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</si>
  <si>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</si>
  <si>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</si>
  <si>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</si>
  <si>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</si>
  <si>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</si>
  <si>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</si>
  <si>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</si>
  <si>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</si>
  <si>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</si>
  <si>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</si>
  <si>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</si>
  <si>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</si>
  <si>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</si>
  <si>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</si>
  <si>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</si>
  <si>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</si>
  <si>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</si>
  <si>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</si>
  <si>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</si>
  <si>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</si>
  <si>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</si>
  <si>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</si>
  <si>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</si>
  <si>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</si>
  <si>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</si>
  <si>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</si>
  <si>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</si>
  <si>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</si>
  <si>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</si>
  <si>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</si>
  <si>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</si>
  <si>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</si>
  <si>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</si>
  <si>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</si>
  <si>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</si>
  <si>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</si>
  <si>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</si>
  <si>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</si>
  <si>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</si>
  <si>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</si>
  <si>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</si>
  <si>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</si>
  <si>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</si>
  <si>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</si>
  <si>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</si>
  <si>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</si>
  <si>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</si>
  <si>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</si>
  <si>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</si>
  <si>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</si>
  <si>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</si>
  <si>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</si>
  <si>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</si>
  <si>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</si>
  <si>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</si>
  <si>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</si>
  <si>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</si>
  <si>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</si>
  <si>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</si>
  <si>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</si>
  <si>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</si>
  <si>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</si>
  <si>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</si>
  <si>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</si>
  <si>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</si>
  <si>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</si>
  <si>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</si>
  <si>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</si>
  <si>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</si>
  <si>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</si>
  <si>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</si>
  <si>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</si>
  <si>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</si>
  <si>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</si>
  <si>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</si>
  <si>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</si>
  <si>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</si>
  <si>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</si>
  <si>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</si>
  <si>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</si>
  <si>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</si>
  <si>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</si>
  <si>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</si>
  <si>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</si>
  <si>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</si>
  <si>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</si>
  <si>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</si>
  <si>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</si>
  <si>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</si>
  <si>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</si>
  <si>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</si>
  <si>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</si>
  <si>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</si>
  <si>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</si>
  <si>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</si>
  <si>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</si>
  <si>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</si>
  <si>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</si>
  <si>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</si>
  <si>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</si>
  <si>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</si>
  <si>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</si>
  <si>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</si>
  <si>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</si>
  <si>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</si>
  <si>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</si>
  <si>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</si>
  <si>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</si>
  <si>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</si>
  <si>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</si>
  <si>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</si>
  <si>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</si>
  <si>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</si>
  <si>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</si>
  <si>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</si>
  <si>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</si>
  <si>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</si>
  <si>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</si>
  <si>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</si>
  <si>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</si>
  <si>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</si>
  <si>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</si>
  <si>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</si>
  <si>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</si>
  <si>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</si>
  <si>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</si>
  <si>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</si>
  <si>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</si>
  <si>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</si>
  <si>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</si>
  <si>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</si>
  <si>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</si>
  <si>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</si>
  <si>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</si>
  <si>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</si>
  <si>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</si>
  <si>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</si>
  <si>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</si>
  <si>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</si>
  <si>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</si>
  <si>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</si>
  <si>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</si>
  <si>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</si>
  <si>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</si>
  <si>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</si>
  <si>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</si>
  <si>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</si>
  <si>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</si>
  <si>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</si>
  <si>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</si>
  <si>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</si>
  <si>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</si>
  <si>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</si>
  <si>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</si>
  <si>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</si>
  <si>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</si>
  <si>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</si>
  <si>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</si>
  <si>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</si>
  <si>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</si>
  <si>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</si>
  <si>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</si>
  <si>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</si>
  <si>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</si>
  <si>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</si>
  <si>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</si>
  <si>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</si>
  <si>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</si>
  <si>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</si>
  <si>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</si>
  <si>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</si>
  <si>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</si>
  <si>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</si>
  <si>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</si>
  <si>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</si>
  <si>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</si>
  <si>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</si>
  <si>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</si>
  <si>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</si>
  <si>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</si>
  <si>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</si>
  <si>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</si>
  <si>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</si>
  <si>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</si>
  <si>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</si>
  <si>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</si>
  <si>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</si>
  <si>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</si>
  <si>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</si>
  <si>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</si>
  <si>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</si>
  <si>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</si>
  <si>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</si>
  <si>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</si>
  <si>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</si>
  <si>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</si>
  <si>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</si>
  <si>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</si>
  <si>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</si>
  <si>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</si>
  <si>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</si>
  <si>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</si>
  <si>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</si>
  <si>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</si>
  <si>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</si>
  <si>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</si>
  <si>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</si>
  <si>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</si>
  <si>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</si>
  <si>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</si>
  <si>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</si>
  <si>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</si>
  <si>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</si>
  <si>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</si>
  <si>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</si>
  <si>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</si>
  <si>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</si>
  <si>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</si>
  <si>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</si>
  <si>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</si>
  <si>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</si>
  <si>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</si>
  <si>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</si>
  <si>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</si>
  <si>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</si>
  <si>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</si>
  <si>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</si>
  <si>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</si>
  <si>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</si>
  <si>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</si>
  <si>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</si>
  <si>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</si>
  <si>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</si>
  <si>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</si>
  <si>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</si>
  <si>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</si>
  <si>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</si>
  <si>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</si>
  <si>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</si>
  <si>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</si>
  <si>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</si>
  <si>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</si>
  <si>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</si>
  <si>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</si>
  <si>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</si>
  <si>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</si>
  <si>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</si>
  <si>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</si>
  <si>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</si>
  <si>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</si>
  <si>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</si>
  <si>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</si>
  <si>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</si>
  <si>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</si>
  <si>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</si>
  <si>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</si>
  <si>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</si>
  <si>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</si>
  <si>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</si>
  <si>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</si>
  <si>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</si>
  <si>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</si>
  <si>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</si>
  <si>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</si>
  <si>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</si>
  <si>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</si>
  <si>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</si>
  <si>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</si>
  <si>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</si>
  <si>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</si>
  <si>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</si>
  <si>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</si>
  <si>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</si>
  <si>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</si>
  <si>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</si>
  <si>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</si>
  <si>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</si>
  <si>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</si>
  <si>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</si>
  <si>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</si>
  <si>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</si>
  <si>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</si>
  <si>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</si>
  <si>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</si>
  <si>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</si>
  <si>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</si>
  <si>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</si>
  <si>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</si>
  <si>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</si>
  <si>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</si>
  <si>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</si>
  <si>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</si>
  <si>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</si>
  <si>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</si>
  <si>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</si>
  <si>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</si>
  <si>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</si>
  <si>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</si>
  <si>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</si>
  <si>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</si>
  <si>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</si>
  <si>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</si>
  <si>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</si>
  <si>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</si>
  <si>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</si>
  <si>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</si>
  <si>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</si>
  <si>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</si>
  <si>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</si>
  <si>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</si>
  <si>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</si>
  <si>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</si>
  <si>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</si>
  <si>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</si>
  <si>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</si>
  <si>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</si>
  <si>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</si>
  <si>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</si>
  <si>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</si>
  <si>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</si>
  <si>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</si>
  <si>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</si>
  <si>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</si>
  <si>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</si>
  <si>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</si>
  <si>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</si>
  <si>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</si>
  <si>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</si>
  <si>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</si>
  <si>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</si>
  <si>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</si>
  <si>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</si>
  <si>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</si>
  <si>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</si>
  <si>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</si>
  <si>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</si>
  <si>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</si>
  <si>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</si>
  <si>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</si>
  <si>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</si>
  <si>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</si>
  <si>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</si>
  <si>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</si>
  <si>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</si>
  <si>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</si>
  <si>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</si>
  <si>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</si>
  <si>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</si>
  <si>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</si>
  <si>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</si>
  <si>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</si>
  <si>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</si>
  <si>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</si>
  <si>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</si>
  <si>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</si>
  <si>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</si>
  <si>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</si>
  <si>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</si>
  <si>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</si>
  <si>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</si>
  <si>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</si>
  <si>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</si>
  <si>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</si>
  <si>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</si>
  <si>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</si>
  <si>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</si>
  <si>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</si>
  <si>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</si>
  <si>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</si>
  <si>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</si>
  <si>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</si>
  <si>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</si>
  <si>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</si>
  <si>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</si>
  <si>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</si>
  <si>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</si>
  <si>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</si>
  <si>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</si>
  <si>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</si>
  <si>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</si>
  <si>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</si>
  <si>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</si>
  <si>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</si>
  <si>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</si>
  <si>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</si>
  <si>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</si>
  <si>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</si>
  <si>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</si>
  <si>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</si>
  <si>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</si>
  <si>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</si>
  <si>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</si>
  <si>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000111 Michal</t>
  </si>
  <si>
    <t>Heating Design Day</t>
  </si>
  <si>
    <t>S37_OfficeCell</t>
  </si>
  <si>
    <t>VAV</t>
  </si>
  <si>
    <t>UFH</t>
  </si>
  <si>
    <t>8to19</t>
  </si>
  <si>
    <t>Level 0</t>
  </si>
  <si>
    <t>0_001 Cell 1.1</t>
  </si>
  <si>
    <t>Cooling Design Day</t>
  </si>
  <si>
    <t>01.01.2018@17:00</t>
  </si>
  <si>
    <t>02.01.2018@00:00</t>
  </si>
  <si>
    <t>0_002 Cell 1.2</t>
  </si>
  <si>
    <t>C:\Users\DengusiakM\Desktop\SAM\2022-05-07_Warsaw\testDelete.tbd</t>
  </si>
  <si>
    <t>SIM_INT_SLD_Partition</t>
  </si>
  <si>
    <t>SIM_EXT_SLD</t>
  </si>
  <si>
    <t>SIM_EXT_GLZ -pane</t>
  </si>
  <si>
    <t>SIM_EXT_GRD_FLR FLR01</t>
  </si>
  <si>
    <t>SIM_EXT_SLD_Roof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</si>
</sst>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5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6">
        <f ca="1">Print!C2</f>
        <v>44698</v>
      </c>
      <c r="D2" s="517"/>
      <c r="E2" s="517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8">
        <f ca="1">Print!C2</f>
        <v>44698</v>
      </c>
      <c r="D2" s="519"/>
      <c r="E2" s="519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0" t="s">
        <v>69</v>
      </c>
      <c r="N11" s="521"/>
      <c r="O11" s="520" t="s">
        <v>70</v>
      </c>
      <c r="P11" s="521"/>
      <c r="Q11" s="362"/>
      <c r="R11" s="361"/>
      <c r="S11" s="520" t="s">
        <v>69</v>
      </c>
      <c r="T11" s="521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641"/>
  <sheetViews>
    <sheetView tabSelected="1" workbookViewId="0">
      <selection activeCell="N16" sqref="N16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83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</row>
    <row r="2" spans="1:83" ht="14.4">
      <c r="A2" s="464">
        <v>0</v>
      </c>
      <c r="B2" s="464">
        <v>1</v>
      </c>
      <c r="C2" s="464">
        <v>2</v>
      </c>
      <c r="D2" s="464">
        <v>3</v>
      </c>
      <c r="E2" s="464">
        <v>4</v>
      </c>
      <c r="F2" s="464">
        <v>5</v>
      </c>
      <c r="G2" s="464">
        <v>6</v>
      </c>
      <c r="H2" s="464">
        <v>7</v>
      </c>
      <c r="I2" s="464">
        <v>8</v>
      </c>
      <c r="J2" s="464">
        <v>9</v>
      </c>
      <c r="K2" s="464">
        <v>10</v>
      </c>
      <c r="L2" s="464">
        <v>11</v>
      </c>
      <c r="M2" s="464">
        <v>12</v>
      </c>
      <c r="N2" s="464">
        <v>13</v>
      </c>
      <c r="O2" s="464">
        <v>14</v>
      </c>
      <c r="P2" s="464">
        <v>15</v>
      </c>
      <c r="Q2" s="464">
        <v>16</v>
      </c>
      <c r="R2" s="464">
        <v>17</v>
      </c>
      <c r="S2" s="464">
        <v>18</v>
      </c>
      <c r="T2" s="464">
        <v>19</v>
      </c>
      <c r="U2" s="464">
        <v>20</v>
      </c>
      <c r="V2" s="464">
        <v>21</v>
      </c>
      <c r="W2" s="464">
        <v>22</v>
      </c>
      <c r="X2" s="464">
        <v>23</v>
      </c>
      <c r="Y2" s="464">
        <v>24</v>
      </c>
      <c r="Z2" s="464">
        <v>25</v>
      </c>
      <c r="AA2" s="464">
        <v>26</v>
      </c>
      <c r="AB2" s="464">
        <v>27</v>
      </c>
      <c r="AC2" s="464">
        <v>28</v>
      </c>
      <c r="AD2" s="464">
        <v>29</v>
      </c>
      <c r="AE2" s="464">
        <v>30</v>
      </c>
      <c r="AF2" s="464">
        <v>31</v>
      </c>
      <c r="AG2" s="464">
        <v>32</v>
      </c>
      <c r="AH2" s="464">
        <v>33</v>
      </c>
      <c r="AI2" s="464">
        <v>34</v>
      </c>
      <c r="AJ2" s="464">
        <v>35</v>
      </c>
      <c r="AK2" s="464">
        <v>36</v>
      </c>
      <c r="AL2" s="464">
        <v>37</v>
      </c>
      <c r="AM2" s="464">
        <v>38</v>
      </c>
      <c r="AN2" s="464">
        <v>39</v>
      </c>
      <c r="AO2" s="464">
        <v>40</v>
      </c>
      <c r="AP2" s="464">
        <v>41</v>
      </c>
      <c r="AQ2" s="464">
        <v>42</v>
      </c>
      <c r="AR2" s="464">
        <v>43</v>
      </c>
      <c r="AS2" s="464">
        <v>44</v>
      </c>
      <c r="AT2" s="464">
        <v>45</v>
      </c>
      <c r="AU2" s="464">
        <v>46</v>
      </c>
      <c r="AV2" s="464">
        <v>47</v>
      </c>
      <c r="AW2" s="464">
        <v>48</v>
      </c>
      <c r="AX2" s="464">
        <v>49</v>
      </c>
      <c r="AY2" s="464">
        <v>50</v>
      </c>
      <c r="AZ2" s="464">
        <v>51</v>
      </c>
      <c r="BA2" s="464">
        <v>52</v>
      </c>
      <c r="BB2" s="464">
        <v>53</v>
      </c>
      <c r="BC2" s="464">
        <v>54</v>
      </c>
      <c r="BD2" s="464">
        <v>55</v>
      </c>
      <c r="BE2" s="464">
        <v>56</v>
      </c>
      <c r="BF2" s="464">
        <v>57</v>
      </c>
      <c r="BG2" s="464">
        <v>58</v>
      </c>
      <c r="BH2" s="464">
        <v>59</v>
      </c>
      <c r="BI2" s="464">
        <v>60</v>
      </c>
      <c r="BJ2" s="464">
        <v>61</v>
      </c>
      <c r="BK2" s="464">
        <v>62</v>
      </c>
      <c r="BL2" s="464">
        <v>63</v>
      </c>
      <c r="BM2" s="464">
        <v>64</v>
      </c>
      <c r="BN2" s="464">
        <v>65</v>
      </c>
      <c r="BO2" s="464">
        <v>66</v>
      </c>
      <c r="BP2" s="464">
        <v>67</v>
      </c>
      <c r="BQ2" s="464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>
        <v>77</v>
      </c>
      <c r="CA2">
        <v>78</v>
      </c>
      <c r="CB2">
        <v>79</v>
      </c>
      <c r="CC2">
        <v>80</v>
      </c>
      <c r="CD2">
        <v>81</v>
      </c>
      <c r="CE2">
        <v>82</v>
      </c>
    </row>
    <row r="3" spans="1:83" ht="12.75" customHeight="1">
      <c r="A3" t="s">
        <v>621</v>
      </c>
      <c r="C3" t="s">
        <v>620</v>
      </c>
      <c r="D3">
        <v>1</v>
      </c>
      <c r="F3">
        <v>3.1638233647999998</v>
      </c>
      <c r="I3" t="s">
        <v>616</v>
      </c>
      <c r="J3" t="s">
        <v>617</v>
      </c>
      <c r="K3" t="s">
        <v>618</v>
      </c>
      <c r="L3">
        <v>0.2</v>
      </c>
      <c r="N3">
        <v>500</v>
      </c>
      <c r="R3">
        <v>23.728675842285156</v>
      </c>
      <c r="S3">
        <v>4238</v>
      </c>
      <c r="T3">
        <v>71.186027526855469</v>
      </c>
      <c r="V3" t="s">
        <v>619</v>
      </c>
      <c r="W3" s="514">
        <v>44697.359722222223</v>
      </c>
      <c r="X3">
        <v>96.527984619140625</v>
      </c>
      <c r="Y3" t="s">
        <v>189</v>
      </c>
      <c r="AF3">
        <v>1.9434530287981033E-2</v>
      </c>
      <c r="AG3" t="s">
        <v>622</v>
      </c>
      <c r="AN3">
        <v>13</v>
      </c>
      <c r="AO3">
        <v>0</v>
      </c>
      <c r="AP3">
        <v>0</v>
      </c>
      <c r="AQ3">
        <v>0</v>
      </c>
      <c r="AS3">
        <v>20</v>
      </c>
      <c r="AT3">
        <v>9.9999997444926283</v>
      </c>
      <c r="AU3">
        <v>8</v>
      </c>
      <c r="AV3">
        <v>-6.1534227283761469</v>
      </c>
      <c r="AW3">
        <v>49.390063871209406</v>
      </c>
      <c r="AX3">
        <v>2990.5751953125</v>
      </c>
      <c r="AY3">
        <v>189.82940673828125</v>
      </c>
      <c r="AZ3">
        <v>31.961759567260742</v>
      </c>
      <c r="BA3">
        <v>0</v>
      </c>
      <c r="BB3">
        <v>-146.0125732421875</v>
      </c>
      <c r="BC3">
        <v>-33.84173583984375</v>
      </c>
      <c r="BD3">
        <v>-843.1353759765625</v>
      </c>
      <c r="BE3">
        <v>237.28675842285156</v>
      </c>
      <c r="BF3">
        <v>474.57351684570313</v>
      </c>
      <c r="BG3">
        <v>0</v>
      </c>
      <c r="BH3">
        <v>174.01028442382813</v>
      </c>
      <c r="BI3">
        <v>1172.0096435546875</v>
      </c>
      <c r="BJ3">
        <v>1171.9608154296875</v>
      </c>
      <c r="BK3">
        <v>2901.335205078125</v>
      </c>
      <c r="BL3">
        <v>2901.234375</v>
      </c>
      <c r="BM3">
        <v>21</v>
      </c>
      <c r="BN3">
        <v>30.63140869140625</v>
      </c>
      <c r="BP3">
        <v>21</v>
      </c>
      <c r="BQ3">
        <v>25</v>
      </c>
      <c r="BR3">
        <v>-123.97287750244141</v>
      </c>
      <c r="BS3">
        <v>0</v>
      </c>
      <c r="BT3">
        <v>29.2236328125</v>
      </c>
      <c r="BU3">
        <v>-857.46295166015625</v>
      </c>
      <c r="BV3">
        <v>-219.74920654296875</v>
      </c>
      <c r="BW3" t="s">
        <v>615</v>
      </c>
      <c r="BX3">
        <v>21</v>
      </c>
      <c r="BY3">
        <v>18.690338134765625</v>
      </c>
      <c r="CB3">
        <v>24.390819549560547</v>
      </c>
      <c r="CC3">
        <v>0</v>
      </c>
      <c r="CD3" t="s">
        <v>623</v>
      </c>
      <c r="CE3" t="s">
        <v>624</v>
      </c>
    </row>
    <row r="4" spans="1:83" ht="12.75" customHeight="1">
      <c r="A4" t="s">
        <v>625</v>
      </c>
      <c r="C4" t="s">
        <v>620</v>
      </c>
      <c r="D4">
        <v>2</v>
      </c>
      <c r="F4">
        <v>3.2361766352000001</v>
      </c>
      <c r="I4" t="s">
        <v>616</v>
      </c>
      <c r="J4" t="s">
        <v>617</v>
      </c>
      <c r="K4" t="s">
        <v>618</v>
      </c>
      <c r="L4">
        <v>0.2</v>
      </c>
      <c r="N4">
        <v>500</v>
      </c>
      <c r="R4">
        <v>24.271324157714844</v>
      </c>
      <c r="S4">
        <v>4240</v>
      </c>
      <c r="T4">
        <v>72.813972473144531</v>
      </c>
      <c r="V4" t="s">
        <v>619</v>
      </c>
      <c r="W4" s="514">
        <v>44697.359722222223</v>
      </c>
      <c r="X4">
        <v>100</v>
      </c>
      <c r="Y4" t="s">
        <v>189</v>
      </c>
      <c r="AF4">
        <v>2.0156227052211761E-2</v>
      </c>
      <c r="AG4" t="s">
        <v>622</v>
      </c>
      <c r="AN4">
        <v>13</v>
      </c>
      <c r="AO4">
        <v>0</v>
      </c>
      <c r="AP4">
        <v>0</v>
      </c>
      <c r="AQ4">
        <v>0</v>
      </c>
      <c r="AS4">
        <v>20</v>
      </c>
      <c r="AT4">
        <v>10.000000249794843</v>
      </c>
      <c r="AU4">
        <v>8</v>
      </c>
      <c r="AV4">
        <v>1.3246358160884999</v>
      </c>
      <c r="AW4">
        <v>38.629358961503364</v>
      </c>
      <c r="AX4">
        <v>1705.525390625</v>
      </c>
      <c r="AY4">
        <v>194.17059326171875</v>
      </c>
      <c r="AZ4">
        <v>29.720623016357422</v>
      </c>
      <c r="BA4">
        <v>0</v>
      </c>
      <c r="BB4">
        <v>32.150665283203125</v>
      </c>
      <c r="BC4">
        <v>2.5405731201171875</v>
      </c>
      <c r="BD4">
        <v>-548.4713134765625</v>
      </c>
      <c r="BE4">
        <v>242.71324157714844</v>
      </c>
      <c r="BF4">
        <v>485.42648315429688</v>
      </c>
      <c r="BG4">
        <v>0</v>
      </c>
      <c r="BH4">
        <v>177.98971557617188</v>
      </c>
      <c r="BI4">
        <v>937.62347412109375</v>
      </c>
      <c r="BJ4">
        <v>937.585693359375</v>
      </c>
      <c r="BK4">
        <v>2143.8662109375</v>
      </c>
      <c r="BL4">
        <v>2143.771728515625</v>
      </c>
      <c r="BM4">
        <v>21</v>
      </c>
      <c r="BN4">
        <v>28.59283447265625</v>
      </c>
      <c r="BP4">
        <v>21</v>
      </c>
      <c r="BQ4">
        <v>25</v>
      </c>
      <c r="BR4">
        <v>-126.80799865722656</v>
      </c>
      <c r="BS4">
        <v>0</v>
      </c>
      <c r="BT4">
        <v>-29.223388671875</v>
      </c>
      <c r="BU4">
        <v>-461.29132080078125</v>
      </c>
      <c r="BV4">
        <v>-320.25994873046875</v>
      </c>
      <c r="BW4" t="s">
        <v>615</v>
      </c>
      <c r="BX4">
        <v>21</v>
      </c>
      <c r="BY4">
        <v>19.106033325195313</v>
      </c>
      <c r="CB4">
        <v>24.999006271362305</v>
      </c>
      <c r="CC4">
        <v>0</v>
      </c>
      <c r="CD4" t="s">
        <v>623</v>
      </c>
      <c r="CE4" t="s">
        <v>624</v>
      </c>
    </row>
    <row r="5" spans="1:83" ht="12.75" customHeight="1">
      <c r="W5" s="514"/>
    </row>
    <row r="6" spans="1:83" ht="12.75" customHeight="1">
      <c r="W6" s="514"/>
    </row>
    <row r="7" spans="1:83" ht="12.75" customHeight="1">
      <c r="W7" s="514"/>
    </row>
    <row r="8" spans="1:83" ht="12.75" customHeight="1">
      <c r="W8" s="514"/>
    </row>
    <row r="9" spans="1:83" ht="12.75" customHeight="1">
      <c r="W9" s="514"/>
    </row>
    <row r="10" spans="1:83" ht="12.75" customHeight="1">
      <c r="W10" s="514"/>
    </row>
    <row r="11" spans="1:83" ht="12.75" customHeight="1">
      <c r="W11" s="514"/>
    </row>
    <row r="12" spans="1:83" ht="12.75" customHeight="1">
      <c r="W12" s="514"/>
    </row>
    <row r="13" spans="1:83" ht="12.75" customHeight="1">
      <c r="W13" s="514"/>
    </row>
    <row r="14" spans="1:83" ht="12.75" customHeight="1">
      <c r="W14" s="514"/>
    </row>
    <row r="15" spans="1:83" ht="12.75" customHeight="1">
      <c r="W15" s="514"/>
    </row>
    <row r="16" spans="1:83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CE89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05"/>
  <sheetViews>
    <sheetView view="pageBreakPreview" zoomScale="70" zoomScaleNormal="40" zoomScaleSheetLayoutView="70" workbookViewId="0">
      <selection activeCell="AC19" sqref="AC19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3">
        <f ca="1">TODAY()</f>
        <v>44698</v>
      </c>
      <c r="D2" s="524"/>
      <c r="E2" s="524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3">
        <v>41589</v>
      </c>
      <c r="AO2" s="534"/>
      <c r="AP2" s="534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614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VAV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/>
      </c>
      <c r="K5" s="465" t="str">
        <f ca="1">" Tmax="&amp;ROUND(AC102,2)&amp;"°C @"&amp;AC104</f>
        <v xml:space="preserve"> Tmax=25°C @01.01.2018@17:00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@02.01.2018@00:00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>
        <f ca="1">AC49</f>
        <v>0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2</v>
      </c>
      <c r="E7" s="214">
        <f ca="1">AC16</f>
        <v>0</v>
      </c>
      <c r="F7" s="466" t="str">
        <f ca="1">$AC$15</f>
        <v>0_002 Cell 1.2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24.271324157714844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0 4240</v>
      </c>
      <c r="L8" s="222"/>
      <c r="M8" s="222"/>
      <c r="N8" s="222"/>
      <c r="O8" s="222"/>
      <c r="P8" s="481" t="str">
        <f ca="1">IF(AC46=0,"N/A",AC46)</f>
        <v>FCU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UFH</v>
      </c>
      <c r="W8" s="213"/>
      <c r="X8" s="213"/>
      <c r="Y8" s="218"/>
      <c r="Z8" s="204"/>
      <c r="AA8" s="8"/>
      <c r="AB8" s="27"/>
      <c r="AC8" s="127">
        <v>2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72.813972473144531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002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21°C/ 28.6°C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T-STAT=21°C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T-STAT=25°C</v>
      </c>
      <c r="R10" s="244"/>
      <c r="S10" s="245"/>
      <c r="T10" s="246"/>
      <c r="U10" s="508" t="str">
        <f ca="1">IF($V$7="No","   - °C ","  "&amp;ROUND($AC$99,1)&amp;"°C")</f>
        <v xml:space="preserve">  19.1°C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=2143.8662109375°C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=100% / 0.02016kg/kg</v>
      </c>
      <c r="E11" s="248"/>
      <c r="F11" s="248"/>
      <c r="G11" s="248"/>
      <c r="H11" s="248"/>
      <c r="I11" s="248"/>
      <c r="J11" s="249"/>
      <c r="K11" s="527" t="s">
        <v>68</v>
      </c>
      <c r="L11" s="528"/>
      <c r="M11" s="525" t="str">
        <f>IF($AB$1="English","Sensible","Sensibel")</f>
        <v>Sensible</v>
      </c>
      <c r="N11" s="526"/>
      <c r="O11" s="525" t="s">
        <v>70</v>
      </c>
      <c r="P11" s="526"/>
      <c r="Q11" s="527" t="s">
        <v>68</v>
      </c>
      <c r="R11" s="528"/>
      <c r="S11" s="525" t="str">
        <f>IF($AB$1="English","Sensible","Sensibel")</f>
        <v>Sensible</v>
      </c>
      <c r="T11" s="526"/>
      <c r="U11" s="525" t="s">
        <v>70</v>
      </c>
      <c r="V11" s="526"/>
      <c r="W11" s="250"/>
      <c r="X11" s="218"/>
      <c r="Y11" s="213"/>
      <c r="Z11" s="204"/>
      <c r="AA11" s="8"/>
      <c r="AB11" s="27" t="s">
        <v>82</v>
      </c>
      <c r="AC11" s="126">
        <f>AB12</f>
        <v>2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1" t="s">
        <v>69</v>
      </c>
      <c r="AY11" s="532"/>
      <c r="AZ11" s="531" t="s">
        <v>70</v>
      </c>
      <c r="BA11" s="532"/>
      <c r="BB11" s="86"/>
      <c r="BC11" s="83"/>
      <c r="BD11" s="531" t="s">
        <v>69</v>
      </c>
      <c r="BE11" s="532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9"/>
      <c r="L12" s="530"/>
      <c r="M12" s="254" t="s">
        <v>487</v>
      </c>
      <c r="N12" s="253" t="s">
        <v>84</v>
      </c>
      <c r="O12" s="254" t="s">
        <v>487</v>
      </c>
      <c r="P12" s="253" t="s">
        <v>84</v>
      </c>
      <c r="Q12" s="529"/>
      <c r="R12" s="530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f>COUNTA(Data!A:A)-2</f>
        <v>2</v>
      </c>
      <c r="AC12" s="24" t="str">
        <f>"  Index End Max  ="&amp;AB12&amp;"  Zones"</f>
        <v xml:space="preserve">  Index End Max  =2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1705.525390625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-548.4713134765625</v>
      </c>
      <c r="O14" s="263"/>
      <c r="P14" s="261"/>
      <c r="Q14" s="264"/>
      <c r="R14" s="261"/>
      <c r="S14" s="263"/>
      <c r="T14" s="261">
        <f ca="1">$AC$96</f>
        <v>-320.25994873046875</v>
      </c>
      <c r="U14" s="262"/>
      <c r="V14" s="261"/>
      <c r="W14" s="213"/>
      <c r="X14" s="213"/>
      <c r="Y14" s="213"/>
      <c r="Z14" s="204"/>
      <c r="AA14" s="8"/>
      <c r="AB14" s="27"/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2.5405731201171875</v>
      </c>
      <c r="O15" s="263"/>
      <c r="P15" s="261"/>
      <c r="Q15" s="264"/>
      <c r="R15" s="261"/>
      <c r="S15" s="263"/>
      <c r="T15" s="261">
        <f ca="1">$AC$95</f>
        <v>-461.29132080078125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0_002 Cell 1.2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32.150665283203125</v>
      </c>
      <c r="O16" s="263"/>
      <c r="P16" s="261"/>
      <c r="Q16" s="264"/>
      <c r="R16" s="261"/>
      <c r="S16" s="509" t="str">
        <f ca="1">"*"&amp;ROUND((T26-T15-T17-T14-T18),0)</f>
        <v>*-29</v>
      </c>
      <c r="T16" s="510">
        <f ca="1">$AC$94</f>
        <v>-29.223388671875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ROUND(Construction!T7,1)</f>
        <v>0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ROUND(Construction!T8,1)</f>
        <v>25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29.720623016357422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-126.80799865722656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 t="str">
        <f ca="1">OFFSET(Data!$A$2,$AC$8,AB18,1,1)</f>
        <v>VAV</v>
      </c>
      <c r="AD18" s="490" t="s">
        <v>535</v>
      </c>
      <c r="AE18" s="445" t="s">
        <v>162</v>
      </c>
      <c r="AF18" s="162">
        <f ca="1">ROUND(Construction!T9,1)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ROUND(Construction!T10,1)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13 hr/y</v>
      </c>
      <c r="K20" s="260" t="str">
        <f>IF($AB$1="English","Number:","Anzahl")</f>
        <v>Number:</v>
      </c>
      <c r="L20" s="279">
        <f ca="1">AC25</f>
        <v>3.2361766352000001</v>
      </c>
      <c r="M20" s="467">
        <f ca="1">IF(AC8=0,N20,N20/$F$8)</f>
        <v>10</v>
      </c>
      <c r="N20" s="261">
        <f ca="1">$AC$67</f>
        <v>242.71324157714844</v>
      </c>
      <c r="O20" s="467">
        <f ca="1">P20/$F$8</f>
        <v>7.3333335428918636</v>
      </c>
      <c r="P20" s="261">
        <f ca="1">$AC$70</f>
        <v>177.98971557617188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ROUND(Construction!T11,1)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8</v>
      </c>
      <c r="N21" s="261">
        <f ca="1">$AC$61</f>
        <v>194.17059326171875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ROUND(Construction!T12,1)</f>
        <v>24.3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20</v>
      </c>
      <c r="N22" s="261">
        <f ca="1">$AC$68</f>
        <v>485.42648315429688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24.271324157714844</v>
      </c>
      <c r="AD22" s="490" t="s">
        <v>548</v>
      </c>
      <c r="AE22" s="445" t="s">
        <v>184</v>
      </c>
      <c r="AF22" s="162">
        <f ca="1">ROUND(Construction!T13,1)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72.813972473144531</v>
      </c>
      <c r="AD23" s="490" t="s">
        <v>550</v>
      </c>
      <c r="AE23" s="445" t="s">
        <v>167</v>
      </c>
      <c r="AF23" s="162">
        <f ca="1">ROUND(Construction!T14,1)</f>
        <v>42.3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0_002 Cell 1.2</v>
      </c>
      <c r="AD24" s="129" t="s">
        <v>131</v>
      </c>
      <c r="AE24" s="445" t="s">
        <v>168</v>
      </c>
      <c r="AF24" s="162">
        <f ca="1">ROUND(Construction!T15,1)</f>
        <v>24.3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3.2361766352000001</v>
      </c>
      <c r="AD25" s="490" t="s">
        <v>531</v>
      </c>
      <c r="AE25" s="445" t="s">
        <v>169</v>
      </c>
      <c r="AF25" s="162">
        <f ca="1">ROUND(Construction!T16,1)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2143.7762565612793</v>
      </c>
      <c r="O26" s="467"/>
      <c r="P26" s="261">
        <f ca="1">P20+P23+P24</f>
        <v>177.98971557617188</v>
      </c>
      <c r="Q26" s="264"/>
      <c r="R26" s="261"/>
      <c r="S26" s="468"/>
      <c r="T26" s="261">
        <f ca="1">-AC39</f>
        <v>-937.62347412109375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88.325475883847162</v>
      </c>
      <c r="N27" s="471">
        <f ca="1">IF(N26=0,0,N26*(1+N25))</f>
        <v>2143.7762565612793</v>
      </c>
      <c r="O27" s="467">
        <f ca="1">IF(P26=0,0,P27/$F$8)</f>
        <v>7.3333335428918636</v>
      </c>
      <c r="P27" s="261">
        <f ca="1">IF(P26=0,0,P26*(P25/100+1))</f>
        <v>177.98971557617188</v>
      </c>
      <c r="Q27" s="264"/>
      <c r="R27" s="261"/>
      <c r="S27" s="467">
        <f ca="1">IF(T26=0,0,T27/$F$8)</f>
        <v>-38.630915562267013</v>
      </c>
      <c r="T27" s="515">
        <f ca="1">IF(T26=0,0,T26*(1+T25))</f>
        <v>-937.62347412109375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ROUND(Construction!T18,1)</f>
        <v>0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10.000000249794843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0_002 Cell 1.2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2" t="s">
        <v>589</v>
      </c>
      <c r="M30" s="522"/>
      <c r="N30" s="504">
        <f ca="1">IFERROR(AC87,"")</f>
        <v>0</v>
      </c>
      <c r="O30" s="522" t="s">
        <v>590</v>
      </c>
      <c r="P30" s="522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=25m²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0_002 Cell 1.2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=42.3m²</v>
      </c>
      <c r="H32" s="469"/>
      <c r="I32" s="470" t="str">
        <f ca="1">"Roof ="&amp;AF24&amp;"m²"</f>
        <v>Roof =24.3m²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=24.3m²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2143.8662109375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2</v>
      </c>
      <c r="W33" s="218" t="str">
        <f>"/ "&amp;AC11</f>
        <v>/ 2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0_002 Cell 1.2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937.62347412109375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2143.8662109375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0_002 Cell 1.2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 t="str">
        <f ca="1">OFFSET(Data!$A$2,$AC$8,AB46,1,1)</f>
        <v>FCU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2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>
        <f ca="1">OFFSET(Data!$A$2,$AC$8,AB49,1,1)</f>
        <v>0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 t="str">
        <f ca="1">OFFSET(Data!$A$2,$AC$8,AB50,1,1)</f>
        <v>UFH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28.59283447265625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937.585693359375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2143.771728515625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1705.525390625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194.17059326171875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29.720623016357422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32.150665283203125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2.5405731201171875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-548.4713134765625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242.71324157714844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485.42648315429688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177.98971557617188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4240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44697.359722222223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100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25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38.629358961503364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0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2.0156227052211761E-2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05" si="9">HLOOKUP(AD91,DataColumn,2,0)</f>
        <v>39</v>
      </c>
      <c r="AC91" s="451">
        <f ca="1">OFFSET(Data!$A$2,$AC$8,AB91,1,1)</f>
        <v>13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-126.80799865722656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-29.223388671875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-461.29132080078125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-320.25994873046875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19.106033325195313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24.999006271362305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 t="str">
        <f ca="1">OFFSET(Data!$A$2,$AC$8,AB104,1,1)</f>
        <v>01.01.2018@17:00</v>
      </c>
      <c r="AD104" s="115" t="s">
        <v>606</v>
      </c>
    </row>
    <row r="105" spans="28:30" ht="12.75" customHeight="1">
      <c r="AB105" s="448">
        <f t="shared" si="9"/>
        <v>82</v>
      </c>
      <c r="AC105" s="451" t="str">
        <f ca="1">OFFSET(Data!$A$2,$AC$8,AB105,1,1)</f>
        <v>02.01.2018@00:00</v>
      </c>
      <c r="AD105" s="115" t="s">
        <v>607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1">
    <dataValidation type="list" allowBlank="1" showInputMessage="1" showErrorMessage="1" sqref="AB1" xr:uid="{00000000-0002-0000-0400-000000000000}">
      <formula1>"English, Deutsch"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741"/>
  <sheetViews>
    <sheetView topLeftCell="A840" zoomScale="80" zoomScaleNormal="80" workbookViewId="0">
      <selection activeCell="H867" sqref="H867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2</v>
      </c>
      <c r="K1" s="475">
        <f>VLOOKUP($N$30,$J$2:$L$588,2,0)</f>
        <v>20</v>
      </c>
      <c r="L1" s="475">
        <f>VLOOKUP($N$30,$J$2:$L$588,3,0)</f>
        <v>12</v>
      </c>
      <c r="N1" s="150"/>
      <c r="O1" s="150"/>
    </row>
    <row r="2" spans="1:22" ht="14.4">
      <c r="A2" s="129">
        <v>2</v>
      </c>
      <c r="B2" s="129">
        <v>1</v>
      </c>
      <c r="C2" s="129" t="s">
        <v>621</v>
      </c>
      <c r="D2" s="129" t="s">
        <v>627</v>
      </c>
      <c r="E2" s="152">
        <v>25</v>
      </c>
      <c r="F2" s="129">
        <v>3</v>
      </c>
      <c r="G2" s="129">
        <v>90</v>
      </c>
      <c r="H2" s="129">
        <v>1</v>
      </c>
      <c r="I2" s="129" t="s">
        <v>627</v>
      </c>
      <c r="J2" s="129">
        <v>1</v>
      </c>
      <c r="K2" s="129">
        <v>10</v>
      </c>
      <c r="L2" s="464">
        <v>2</v>
      </c>
      <c r="N2" s="129">
        <v>21</v>
      </c>
    </row>
    <row r="3" spans="1:22" ht="14.4">
      <c r="A3" s="129">
        <v>3</v>
      </c>
      <c r="B3" s="129">
        <v>1</v>
      </c>
      <c r="C3" s="152"/>
      <c r="D3" s="129" t="s">
        <v>628</v>
      </c>
      <c r="E3" s="129">
        <v>2.0999999046325684</v>
      </c>
      <c r="F3" s="129">
        <v>1</v>
      </c>
      <c r="G3" s="129">
        <v>90</v>
      </c>
      <c r="H3" s="129">
        <v>2</v>
      </c>
      <c r="I3" s="153" t="s">
        <v>628</v>
      </c>
      <c r="J3" s="129">
        <v>2</v>
      </c>
      <c r="K3" s="129">
        <v>20</v>
      </c>
      <c r="L3" s="464">
        <f t="shared" ref="L3" si="0">K2+$L$2</f>
        <v>12</v>
      </c>
    </row>
    <row r="4" spans="1:22" ht="14.4">
      <c r="A4" s="129">
        <v>4</v>
      </c>
      <c r="B4" s="129">
        <v>1</v>
      </c>
      <c r="C4" s="152"/>
      <c r="D4" s="129" t="s">
        <v>629</v>
      </c>
      <c r="E4" s="129">
        <v>3.2000000476837158</v>
      </c>
      <c r="F4" s="129">
        <v>1</v>
      </c>
      <c r="G4" s="129">
        <v>90</v>
      </c>
      <c r="H4" s="129">
        <v>12</v>
      </c>
      <c r="I4" s="153" t="s">
        <v>629</v>
      </c>
      <c r="L4" s="464"/>
      <c r="O4" s="129" t="s">
        <v>178</v>
      </c>
      <c r="P4" s="154" t="s">
        <v>626</v>
      </c>
      <c r="Q4" s="154"/>
    </row>
    <row r="5" spans="1:22" ht="14.4">
      <c r="A5" s="129">
        <v>5</v>
      </c>
      <c r="B5" s="129">
        <v>1</v>
      </c>
      <c r="C5" s="152"/>
      <c r="D5" s="129" t="s">
        <v>630</v>
      </c>
      <c r="E5" s="129">
        <v>23.700000762939453</v>
      </c>
      <c r="F5" s="129">
        <v>0</v>
      </c>
      <c r="G5" s="129">
        <v>180</v>
      </c>
      <c r="H5" s="129">
        <v>11</v>
      </c>
      <c r="I5" s="153" t="s">
        <v>630</v>
      </c>
      <c r="L5" s="464"/>
      <c r="O5" s="129" t="s">
        <v>179</v>
      </c>
      <c r="P5" s="129">
        <f>MAX(B2:B588)</f>
        <v>2</v>
      </c>
    </row>
    <row r="6" spans="1:22" ht="14.4">
      <c r="A6" s="129">
        <v>6</v>
      </c>
      <c r="B6" s="129">
        <v>1</v>
      </c>
      <c r="C6" s="152"/>
      <c r="D6" s="129" t="s">
        <v>631</v>
      </c>
      <c r="E6" s="129">
        <v>23.700000762939453</v>
      </c>
      <c r="F6" s="129">
        <v>1</v>
      </c>
      <c r="G6" s="129">
        <v>0</v>
      </c>
      <c r="H6" s="129">
        <v>3</v>
      </c>
      <c r="I6" s="153" t="s">
        <v>631</v>
      </c>
      <c r="L6" s="464"/>
      <c r="O6" s="129" t="str">
        <f>C2</f>
        <v>0_001 Cell 1.1</v>
      </c>
      <c r="S6" s="129" t="s">
        <v>180</v>
      </c>
      <c r="T6" s="129" t="s">
        <v>181</v>
      </c>
      <c r="U6" s="129" t="s">
        <v>182</v>
      </c>
    </row>
    <row r="7" spans="1:22" ht="14.4">
      <c r="A7" s="129">
        <v>7</v>
      </c>
      <c r="B7" s="129">
        <v>1</v>
      </c>
      <c r="C7" s="152"/>
      <c r="D7" s="129" t="s">
        <v>628</v>
      </c>
      <c r="E7" s="129">
        <v>6.1999998092651367</v>
      </c>
      <c r="F7" s="129">
        <v>1</v>
      </c>
      <c r="G7" s="129">
        <v>90</v>
      </c>
      <c r="H7" s="129">
        <v>2</v>
      </c>
      <c r="I7" s="153" t="s">
        <v>628</v>
      </c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A8" s="129">
        <v>8</v>
      </c>
      <c r="B8" s="129">
        <v>1</v>
      </c>
      <c r="C8" s="152"/>
      <c r="D8" s="129" t="s">
        <v>629</v>
      </c>
      <c r="E8" s="129">
        <v>6.1999998092651367</v>
      </c>
      <c r="F8" s="129">
        <v>1</v>
      </c>
      <c r="G8" s="129">
        <v>90</v>
      </c>
      <c r="H8" s="129">
        <v>12</v>
      </c>
      <c r="I8" s="153" t="s">
        <v>629</v>
      </c>
      <c r="L8" s="464"/>
      <c r="O8" s="155" t="s">
        <v>161</v>
      </c>
      <c r="P8" s="155"/>
      <c r="Q8" s="145">
        <f t="shared" ref="Q8:Q17" ca="1" si="2">T8</f>
        <v>25</v>
      </c>
      <c r="R8" s="158" t="s">
        <v>156</v>
      </c>
      <c r="S8" s="156"/>
      <c r="T8" s="157">
        <f ca="1">SUMIF($Y$30:$Y$582,R8, $Q$30:$Q$582)</f>
        <v>25</v>
      </c>
      <c r="U8" s="487" t="s">
        <v>512</v>
      </c>
      <c r="V8" s="488">
        <f t="shared" ca="1" si="1"/>
        <v>0</v>
      </c>
    </row>
    <row r="9" spans="1:22" ht="14.4">
      <c r="A9" s="129">
        <v>9</v>
      </c>
      <c r="B9" s="129">
        <v>1</v>
      </c>
      <c r="C9" s="152"/>
      <c r="D9" s="129" t="s">
        <v>628</v>
      </c>
      <c r="E9" s="129">
        <v>4.8000001907348633</v>
      </c>
      <c r="F9" s="129">
        <v>1</v>
      </c>
      <c r="G9" s="129">
        <v>90</v>
      </c>
      <c r="H9" s="129">
        <v>2</v>
      </c>
      <c r="I9" s="153" t="s">
        <v>628</v>
      </c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A10" s="129">
        <v>10</v>
      </c>
      <c r="B10" s="129">
        <v>1</v>
      </c>
      <c r="C10" s="152"/>
      <c r="D10" s="129" t="s">
        <v>629</v>
      </c>
      <c r="E10" s="129">
        <v>19.200000762939453</v>
      </c>
      <c r="F10" s="129">
        <v>1</v>
      </c>
      <c r="G10" s="129">
        <v>90</v>
      </c>
      <c r="H10" s="129">
        <v>12</v>
      </c>
      <c r="I10" s="153" t="s">
        <v>629</v>
      </c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A11" s="129">
        <v>11</v>
      </c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27.100000619888306</v>
      </c>
    </row>
    <row r="12" spans="1:22" ht="14.4">
      <c r="A12" s="129">
        <v>12</v>
      </c>
      <c r="B12" s="129">
        <v>2</v>
      </c>
      <c r="C12" s="152" t="s">
        <v>625</v>
      </c>
      <c r="D12" s="129" t="s">
        <v>627</v>
      </c>
      <c r="E12" s="129">
        <v>25</v>
      </c>
      <c r="F12" s="129">
        <v>3</v>
      </c>
      <c r="G12" s="129">
        <v>90</v>
      </c>
      <c r="H12" s="129">
        <v>1</v>
      </c>
      <c r="I12" s="153" t="s">
        <v>627</v>
      </c>
      <c r="L12" s="464"/>
      <c r="O12" s="155" t="s">
        <v>165</v>
      </c>
      <c r="P12" s="155"/>
      <c r="Q12" s="145">
        <f t="shared" ca="1" si="2"/>
        <v>24.299999237060547</v>
      </c>
      <c r="R12" s="156" t="s">
        <v>183</v>
      </c>
      <c r="S12" s="156"/>
      <c r="T12" s="157">
        <f ca="1">SUMIF($V$30:$V$582,R12, $Q$30:$Q$582)</f>
        <v>24.299999237060547</v>
      </c>
      <c r="U12" s="487" t="s">
        <v>514</v>
      </c>
      <c r="V12" s="488">
        <f t="shared" ca="1" si="1"/>
        <v>0</v>
      </c>
    </row>
    <row r="13" spans="1:22" ht="14.4">
      <c r="A13" s="129">
        <v>13</v>
      </c>
      <c r="B13" s="129">
        <v>2</v>
      </c>
      <c r="C13" s="152"/>
      <c r="D13" s="129" t="s">
        <v>628</v>
      </c>
      <c r="E13" s="129">
        <v>5.0999999046325684</v>
      </c>
      <c r="F13" s="129">
        <v>1</v>
      </c>
      <c r="G13" s="129">
        <v>90</v>
      </c>
      <c r="H13" s="129">
        <v>2</v>
      </c>
      <c r="I13" s="153" t="s">
        <v>628</v>
      </c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15.200000047683716</v>
      </c>
    </row>
    <row r="14" spans="1:22" ht="14.4">
      <c r="A14" s="464">
        <v>14</v>
      </c>
      <c r="B14" s="129">
        <v>2</v>
      </c>
      <c r="C14" s="152"/>
      <c r="D14" s="129" t="s">
        <v>629</v>
      </c>
      <c r="E14" s="129">
        <v>7.5999999046325684</v>
      </c>
      <c r="F14" s="129">
        <v>1</v>
      </c>
      <c r="G14" s="129">
        <v>90</v>
      </c>
      <c r="H14" s="129">
        <v>12</v>
      </c>
      <c r="I14" s="153" t="s">
        <v>629</v>
      </c>
      <c r="L14" s="464"/>
      <c r="O14" s="155" t="s">
        <v>167</v>
      </c>
      <c r="P14" s="155"/>
      <c r="Q14" s="145">
        <f t="shared" ca="1" si="2"/>
        <v>42.300000667572021</v>
      </c>
      <c r="R14" s="156" t="s">
        <v>185</v>
      </c>
      <c r="S14" s="156"/>
      <c r="T14" s="157">
        <f ca="1">SUMIF($Y$30:$Y$582,R14, $Q$30:$Q$582)</f>
        <v>42.300000667572021</v>
      </c>
      <c r="U14" s="487" t="s">
        <v>156</v>
      </c>
      <c r="V14" s="488">
        <f t="shared" ca="1" si="1"/>
        <v>25</v>
      </c>
    </row>
    <row r="15" spans="1:22" ht="14.4">
      <c r="A15" s="464">
        <v>15</v>
      </c>
      <c r="B15" s="129">
        <v>2</v>
      </c>
      <c r="C15" s="152"/>
      <c r="D15" s="129" t="s">
        <v>630</v>
      </c>
      <c r="E15" s="129">
        <v>24.299999237060547</v>
      </c>
      <c r="F15" s="129">
        <v>0</v>
      </c>
      <c r="G15" s="129">
        <v>180</v>
      </c>
      <c r="H15" s="129">
        <v>11</v>
      </c>
      <c r="I15" s="153" t="s">
        <v>630</v>
      </c>
      <c r="L15" s="464"/>
      <c r="O15" s="155" t="s">
        <v>168</v>
      </c>
      <c r="P15" s="155"/>
      <c r="Q15" s="145">
        <f t="shared" ca="1" si="2"/>
        <v>24.299999237060547</v>
      </c>
      <c r="R15" s="156" t="s">
        <v>168</v>
      </c>
      <c r="S15" s="156"/>
      <c r="T15" s="157">
        <f ca="1">SUMIF($V$30:$V$582,R15, $Q$30:$Q$582)</f>
        <v>24.299999237060547</v>
      </c>
      <c r="U15" s="487" t="s">
        <v>515</v>
      </c>
      <c r="V15" s="488">
        <f t="shared" ca="1" si="1"/>
        <v>0</v>
      </c>
    </row>
    <row r="16" spans="1:22" ht="14.4">
      <c r="A16" s="464">
        <v>16</v>
      </c>
      <c r="B16" s="129">
        <v>2</v>
      </c>
      <c r="C16" s="152"/>
      <c r="D16" s="129" t="s">
        <v>631</v>
      </c>
      <c r="E16" s="129">
        <v>24.299999237060547</v>
      </c>
      <c r="F16" s="129">
        <v>1</v>
      </c>
      <c r="G16" s="129">
        <v>0</v>
      </c>
      <c r="H16" s="129">
        <v>3</v>
      </c>
      <c r="I16" s="153" t="s">
        <v>631</v>
      </c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>
        <v>17</v>
      </c>
      <c r="B17" s="129">
        <v>2</v>
      </c>
      <c r="C17" s="152"/>
      <c r="D17" s="129" t="s">
        <v>628</v>
      </c>
      <c r="E17" s="129">
        <v>2.7999999523162842</v>
      </c>
      <c r="F17" s="129">
        <v>1</v>
      </c>
      <c r="G17" s="129">
        <v>90</v>
      </c>
      <c r="H17" s="129">
        <v>2</v>
      </c>
      <c r="I17" s="153" t="s">
        <v>628</v>
      </c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>
        <v>18</v>
      </c>
      <c r="B18" s="129">
        <v>2</v>
      </c>
      <c r="C18" s="152"/>
      <c r="D18" s="129" t="s">
        <v>629</v>
      </c>
      <c r="E18" s="129">
        <v>2.7999999523162842</v>
      </c>
      <c r="F18" s="129">
        <v>1</v>
      </c>
      <c r="G18" s="129">
        <v>90</v>
      </c>
      <c r="H18" s="129">
        <v>12</v>
      </c>
      <c r="I18" s="153" t="s">
        <v>629</v>
      </c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>
        <v>19</v>
      </c>
      <c r="B19" s="129">
        <v>2</v>
      </c>
      <c r="C19" s="152"/>
      <c r="D19" s="129" t="s">
        <v>628</v>
      </c>
      <c r="E19" s="129">
        <v>19.200000762939453</v>
      </c>
      <c r="F19" s="129">
        <v>1</v>
      </c>
      <c r="G19" s="129">
        <v>90</v>
      </c>
      <c r="H19" s="129">
        <v>2</v>
      </c>
      <c r="I19" s="153" t="s">
        <v>628</v>
      </c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24.299999237060547</v>
      </c>
    </row>
    <row r="20" spans="1:25" ht="14.4">
      <c r="A20" s="464">
        <v>20</v>
      </c>
      <c r="B20" s="129">
        <v>2</v>
      </c>
      <c r="C20" s="152"/>
      <c r="D20" s="129" t="s">
        <v>629</v>
      </c>
      <c r="E20" s="129">
        <v>4.8000001907348633</v>
      </c>
      <c r="F20" s="129">
        <v>1</v>
      </c>
      <c r="G20" s="129">
        <v>90</v>
      </c>
      <c r="H20" s="129">
        <v>12</v>
      </c>
      <c r="I20" s="153" t="s">
        <v>629</v>
      </c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24.299999237060547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0_002 Cell 1.2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>
        <f>L1</f>
        <v>12</v>
      </c>
      <c r="N30" s="159">
        <f>Print!AC8</f>
        <v>2</v>
      </c>
      <c r="O30" s="160" t="str">
        <f ca="1">IF($M30="end",0,OFFSET($A$1,$M30-1,O$29,1,1))</f>
        <v>0_002 Cell 1.2</v>
      </c>
      <c r="P30" s="160" t="str">
        <f t="shared" ref="P30:U45" ca="1" si="3">IF($M30="end",0,OFFSET($A$1,$M30-1,P$29,1,1))</f>
        <v>SIM_INT_SLD_Partition</v>
      </c>
      <c r="Q30" s="160">
        <f t="shared" ca="1" si="3"/>
        <v>25</v>
      </c>
      <c r="R30" s="160">
        <f t="shared" ca="1" si="3"/>
        <v>3</v>
      </c>
      <c r="S30" s="160">
        <f t="shared" ca="1" si="3"/>
        <v>90</v>
      </c>
      <c r="T30" s="160">
        <f ca="1">IF($M30="end",0,OFFSET($A$1,$M30-1,T$29,1,1))</f>
        <v>1</v>
      </c>
      <c r="U30" s="160" t="str">
        <f ca="1">IF($M30="end",0,OFFSET($A$1,$M30-1,U$29,1,1))</f>
        <v>SIM_INT_SLD_Partition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SIM_INT_SLD_Partition</v>
      </c>
      <c r="X30" s="163" t="str">
        <f ca="1">IF(ISNUMBER(SEARCH($X$29,U30))=TRUE,IF(ISNUMBER(SEARCH($X$27,U30))=TRUE,IF(R30=1,"eFrameDoor",IF(R30=3,"iFrameDoor")),IF(R30=1,"eDoor",IF(R30=3,"iDoor"))),U30)</f>
        <v>SIM_INT_SLD_Partition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Internal Wall</v>
      </c>
    </row>
    <row r="31" spans="1:25" ht="14.4">
      <c r="I31" s="153"/>
      <c r="L31" s="464"/>
      <c r="M31" s="129">
        <f>IF(M30="end","end",IF(M30=$K$1,"end",M30+1))</f>
        <v>13</v>
      </c>
      <c r="N31" s="161">
        <f>N30</f>
        <v>2</v>
      </c>
      <c r="O31" s="160">
        <f t="shared" ref="O31:O40" ca="1" si="4">IF($M31="end",0,OFFSET($A$1,$M31-1,O$29,1,1))</f>
        <v>0</v>
      </c>
      <c r="P31" s="160" t="str">
        <f t="shared" ca="1" si="3"/>
        <v>SIM_EXT_SLD</v>
      </c>
      <c r="Q31" s="160">
        <f t="shared" ca="1" si="3"/>
        <v>5.0999999046325684</v>
      </c>
      <c r="R31" s="160">
        <f t="shared" ca="1" si="3"/>
        <v>1</v>
      </c>
      <c r="S31" s="160">
        <f t="shared" ca="1" si="3"/>
        <v>90</v>
      </c>
      <c r="T31" s="160">
        <f t="shared" ca="1" si="3"/>
        <v>2</v>
      </c>
      <c r="U31" s="160" t="str">
        <f t="shared" ca="1" si="3"/>
        <v>SIM_EXT_SLD</v>
      </c>
      <c r="V31" s="163" t="b">
        <f t="shared" ref="V31:V94" ca="1" si="5">IF(Q31=0,0,IF(S31=180,IF(R31=0,"Slab on Grade",IF(R31=1,"Exposed Floor",IF(R31=3,"Internal Floor",U31))),IF(S31&lt;45,IF(R31=3,"Internal Ceiling",IF(R31=1,"Roof",U31)))))</f>
        <v>0</v>
      </c>
      <c r="W31" s="163" t="str">
        <f t="shared" ref="W31:W94" ca="1" si="6">IF(ISNUMBER(SEARCH($W$29,U31))=TRUE,IF(ISNUMBER(SEARCH($W$27,U31))=TRUE,IF(R31=1,"eFrame",IF(R31=3,"iFrame")),IF(R31=1,"eWindow",IF(R31=3,"iWindow"))),U31)</f>
        <v>SIM_EXT_SLD</v>
      </c>
      <c r="X31" s="163" t="str">
        <f t="shared" ref="X31:X94" ca="1" si="7">IF(ISNUMBER(SEARCH($X$29,U31))=TRUE,IF(ISNUMBER(SEARCH($X$27,U31))=TRUE,IF(R31=1,"eFrameDoor",IF(R31=3,"iFrameDoor")),IF(R31=1,"eDoor",IF(R31=3,"iDoor"))),U31)</f>
        <v>SIM_EXT_SLD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External Wall</v>
      </c>
    </row>
    <row r="32" spans="1:25" ht="14.4">
      <c r="I32" s="153"/>
      <c r="L32" s="464"/>
      <c r="M32" s="129">
        <f t="shared" ref="M32:M95" si="9">IF(M31="end","end",IF(M31=$K$1,"end",M31+1))</f>
        <v>14</v>
      </c>
      <c r="N32" s="161">
        <f t="shared" ref="N32:N40" si="10">N31</f>
        <v>2</v>
      </c>
      <c r="O32" s="160">
        <f t="shared" ca="1" si="4"/>
        <v>0</v>
      </c>
      <c r="P32" s="160" t="str">
        <f t="shared" ca="1" si="3"/>
        <v>SIM_EXT_GLZ -pane</v>
      </c>
      <c r="Q32" s="160">
        <f t="shared" ca="1" si="3"/>
        <v>7.5999999046325684</v>
      </c>
      <c r="R32" s="160">
        <f t="shared" ca="1" si="3"/>
        <v>1</v>
      </c>
      <c r="S32" s="160">
        <f t="shared" ca="1" si="3"/>
        <v>90</v>
      </c>
      <c r="T32" s="160">
        <f t="shared" ca="1" si="3"/>
        <v>12</v>
      </c>
      <c r="U32" s="160" t="str">
        <f t="shared" ca="1" si="3"/>
        <v>SIM_EXT_GLZ -pane</v>
      </c>
      <c r="V32" s="163" t="b">
        <f t="shared" ca="1" si="5"/>
        <v>0</v>
      </c>
      <c r="W32" s="163" t="str">
        <f t="shared" ca="1" si="6"/>
        <v>SIM_EXT_GLZ -pane</v>
      </c>
      <c r="X32" s="163" t="str">
        <f t="shared" ca="1" si="7"/>
        <v>SIM_EXT_GLZ -pane</v>
      </c>
      <c r="Y32" s="163" t="str">
        <f t="shared" ca="1" si="8"/>
        <v>External Wall</v>
      </c>
    </row>
    <row r="33" spans="9:25" ht="14.4">
      <c r="I33" s="153"/>
      <c r="L33" s="464"/>
      <c r="M33" s="129">
        <f t="shared" si="9"/>
        <v>15</v>
      </c>
      <c r="N33" s="161">
        <f t="shared" si="10"/>
        <v>2</v>
      </c>
      <c r="O33" s="160">
        <f t="shared" ca="1" si="4"/>
        <v>0</v>
      </c>
      <c r="P33" s="160" t="str">
        <f t="shared" ca="1" si="3"/>
        <v>SIM_EXT_GRD_FLR FLR01</v>
      </c>
      <c r="Q33" s="160">
        <f t="shared" ca="1" si="3"/>
        <v>24.299999237060547</v>
      </c>
      <c r="R33" s="160">
        <f t="shared" ca="1" si="3"/>
        <v>0</v>
      </c>
      <c r="S33" s="160">
        <f t="shared" ca="1" si="3"/>
        <v>180</v>
      </c>
      <c r="T33" s="160">
        <f t="shared" ca="1" si="3"/>
        <v>11</v>
      </c>
      <c r="U33" s="160" t="str">
        <f t="shared" ca="1" si="3"/>
        <v>SIM_EXT_GRD_FLR FLR01</v>
      </c>
      <c r="V33" s="163" t="str">
        <f t="shared" ca="1" si="5"/>
        <v>Slab on Grade</v>
      </c>
      <c r="W33" s="163" t="str">
        <f t="shared" ca="1" si="6"/>
        <v>SIM_EXT_GRD_FLR FLR01</v>
      </c>
      <c r="X33" s="163" t="str">
        <f t="shared" ca="1" si="7"/>
        <v>SIM_EXT_GRD_FLR FLR01</v>
      </c>
      <c r="Y33" s="163" t="str">
        <f t="shared" ca="1" si="8"/>
        <v>Slab on Grade</v>
      </c>
    </row>
    <row r="34" spans="9:25" ht="14.4">
      <c r="I34" s="153"/>
      <c r="L34" s="464"/>
      <c r="M34" s="129">
        <f t="shared" si="9"/>
        <v>16</v>
      </c>
      <c r="N34" s="161">
        <f t="shared" si="10"/>
        <v>2</v>
      </c>
      <c r="O34" s="160">
        <f t="shared" ca="1" si="4"/>
        <v>0</v>
      </c>
      <c r="P34" s="160" t="str">
        <f t="shared" ca="1" si="3"/>
        <v>SIM_EXT_SLD_Roof</v>
      </c>
      <c r="Q34" s="160">
        <f t="shared" ca="1" si="3"/>
        <v>24.299999237060547</v>
      </c>
      <c r="R34" s="160">
        <f t="shared" ca="1" si="3"/>
        <v>1</v>
      </c>
      <c r="S34" s="160">
        <f t="shared" ca="1" si="3"/>
        <v>0</v>
      </c>
      <c r="T34" s="160">
        <f t="shared" ca="1" si="3"/>
        <v>3</v>
      </c>
      <c r="U34" s="160" t="str">
        <f t="shared" ca="1" si="3"/>
        <v>SIM_EXT_SLD_Roof</v>
      </c>
      <c r="V34" s="163" t="str">
        <f t="shared" ca="1" si="5"/>
        <v>Roof</v>
      </c>
      <c r="W34" s="163" t="str">
        <f t="shared" ca="1" si="6"/>
        <v>SIM_EXT_SLD_Roof</v>
      </c>
      <c r="X34" s="163" t="str">
        <f t="shared" ca="1" si="7"/>
        <v>SIM_EXT_SLD_Roof</v>
      </c>
      <c r="Y34" s="163" t="str">
        <f t="shared" ca="1" si="8"/>
        <v>Roof</v>
      </c>
    </row>
    <row r="35" spans="9:25" ht="14.4">
      <c r="I35" s="153"/>
      <c r="L35" s="464"/>
      <c r="M35" s="129">
        <f t="shared" si="9"/>
        <v>17</v>
      </c>
      <c r="N35" s="161">
        <f t="shared" si="10"/>
        <v>2</v>
      </c>
      <c r="O35" s="160">
        <f t="shared" ca="1" si="4"/>
        <v>0</v>
      </c>
      <c r="P35" s="160" t="str">
        <f t="shared" ca="1" si="3"/>
        <v>SIM_EXT_SLD</v>
      </c>
      <c r="Q35" s="160">
        <f t="shared" ca="1" si="3"/>
        <v>2.7999999523162842</v>
      </c>
      <c r="R35" s="160">
        <f t="shared" ca="1" si="3"/>
        <v>1</v>
      </c>
      <c r="S35" s="160">
        <f t="shared" ca="1" si="3"/>
        <v>90</v>
      </c>
      <c r="T35" s="160">
        <f t="shared" ca="1" si="3"/>
        <v>2</v>
      </c>
      <c r="U35" s="160" t="str">
        <f t="shared" ca="1" si="3"/>
        <v>SIM_EXT_SLD</v>
      </c>
      <c r="V35" s="163" t="b">
        <f t="shared" ca="1" si="5"/>
        <v>0</v>
      </c>
      <c r="W35" s="163" t="str">
        <f t="shared" ca="1" si="6"/>
        <v>SIM_EXT_SLD</v>
      </c>
      <c r="X35" s="163" t="str">
        <f t="shared" ca="1" si="7"/>
        <v>SIM_EXT_SLD</v>
      </c>
      <c r="Y35" s="163" t="str">
        <f t="shared" ca="1" si="8"/>
        <v>External Wall</v>
      </c>
    </row>
    <row r="36" spans="9:25" ht="14.4">
      <c r="I36" s="153"/>
      <c r="L36" s="464"/>
      <c r="M36" s="129">
        <f t="shared" si="9"/>
        <v>18</v>
      </c>
      <c r="N36" s="161">
        <f t="shared" si="10"/>
        <v>2</v>
      </c>
      <c r="O36" s="160">
        <f t="shared" ca="1" si="4"/>
        <v>0</v>
      </c>
      <c r="P36" s="160" t="str">
        <f t="shared" ca="1" si="3"/>
        <v>SIM_EXT_GLZ -pane</v>
      </c>
      <c r="Q36" s="160">
        <f t="shared" ca="1" si="3"/>
        <v>2.7999999523162842</v>
      </c>
      <c r="R36" s="160">
        <f t="shared" ca="1" si="3"/>
        <v>1</v>
      </c>
      <c r="S36" s="160">
        <f t="shared" ca="1" si="3"/>
        <v>90</v>
      </c>
      <c r="T36" s="160">
        <f t="shared" ca="1" si="3"/>
        <v>12</v>
      </c>
      <c r="U36" s="160" t="str">
        <f t="shared" ca="1" si="3"/>
        <v>SIM_EXT_GLZ -pane</v>
      </c>
      <c r="V36" s="163" t="b">
        <f t="shared" ca="1" si="5"/>
        <v>0</v>
      </c>
      <c r="W36" s="163" t="str">
        <f t="shared" ca="1" si="6"/>
        <v>SIM_EXT_GLZ -pane</v>
      </c>
      <c r="X36" s="163" t="str">
        <f t="shared" ca="1" si="7"/>
        <v>SIM_EXT_GLZ -pane</v>
      </c>
      <c r="Y36" s="163" t="str">
        <f t="shared" ca="1" si="8"/>
        <v>External Wall</v>
      </c>
    </row>
    <row r="37" spans="9:25" ht="14.4">
      <c r="I37" s="153"/>
      <c r="L37" s="464"/>
      <c r="M37" s="129">
        <f t="shared" si="9"/>
        <v>19</v>
      </c>
      <c r="N37" s="161">
        <f t="shared" si="10"/>
        <v>2</v>
      </c>
      <c r="O37" s="160">
        <f t="shared" ca="1" si="4"/>
        <v>0</v>
      </c>
      <c r="P37" s="160" t="str">
        <f t="shared" ca="1" si="3"/>
        <v>SIM_EXT_SLD</v>
      </c>
      <c r="Q37" s="160">
        <f t="shared" ca="1" si="3"/>
        <v>19.200000762939453</v>
      </c>
      <c r="R37" s="160">
        <f t="shared" ca="1" si="3"/>
        <v>1</v>
      </c>
      <c r="S37" s="160">
        <f t="shared" ca="1" si="3"/>
        <v>90</v>
      </c>
      <c r="T37" s="160">
        <f t="shared" ca="1" si="3"/>
        <v>2</v>
      </c>
      <c r="U37" s="160" t="str">
        <f t="shared" ca="1" si="3"/>
        <v>SIM_EXT_SLD</v>
      </c>
      <c r="V37" s="163" t="b">
        <f t="shared" ca="1" si="5"/>
        <v>0</v>
      </c>
      <c r="W37" s="163" t="str">
        <f t="shared" ca="1" si="6"/>
        <v>SIM_EXT_SLD</v>
      </c>
      <c r="X37" s="163" t="str">
        <f t="shared" ca="1" si="7"/>
        <v>SIM_EXT_SLD</v>
      </c>
      <c r="Y37" s="163" t="str">
        <f t="shared" ca="1" si="8"/>
        <v>External Wall</v>
      </c>
    </row>
    <row r="38" spans="9:25" ht="14.4">
      <c r="I38" s="153"/>
      <c r="L38" s="464"/>
      <c r="M38" s="129">
        <f t="shared" si="9"/>
        <v>20</v>
      </c>
      <c r="N38" s="161">
        <f t="shared" si="10"/>
        <v>2</v>
      </c>
      <c r="O38" s="160">
        <f t="shared" ca="1" si="4"/>
        <v>0</v>
      </c>
      <c r="P38" s="160" t="str">
        <f t="shared" ca="1" si="3"/>
        <v>SIM_EXT_GLZ -pane</v>
      </c>
      <c r="Q38" s="160">
        <f t="shared" ca="1" si="3"/>
        <v>4.8000001907348633</v>
      </c>
      <c r="R38" s="160">
        <f t="shared" ca="1" si="3"/>
        <v>1</v>
      </c>
      <c r="S38" s="160">
        <f t="shared" ca="1" si="3"/>
        <v>90</v>
      </c>
      <c r="T38" s="160">
        <f t="shared" ca="1" si="3"/>
        <v>12</v>
      </c>
      <c r="U38" s="160" t="str">
        <f t="shared" ca="1" si="3"/>
        <v>SIM_EXT_GLZ -pane</v>
      </c>
      <c r="V38" s="163" t="b">
        <f t="shared" ca="1" si="5"/>
        <v>0</v>
      </c>
      <c r="W38" s="163" t="str">
        <f t="shared" ca="1" si="6"/>
        <v>SIM_EXT_GLZ -pane</v>
      </c>
      <c r="X38" s="163" t="str">
        <f t="shared" ca="1" si="7"/>
        <v>SIM_EXT_GLZ -pane</v>
      </c>
      <c r="Y38" s="163" t="str">
        <f t="shared" ca="1" si="8"/>
        <v>External Wall</v>
      </c>
    </row>
    <row r="39" spans="9:25" ht="14.4">
      <c r="I39" s="153"/>
      <c r="L39" s="464"/>
      <c r="M39" s="129" t="str">
        <f t="shared" si="9"/>
        <v>end</v>
      </c>
      <c r="N39" s="161">
        <f t="shared" si="10"/>
        <v>2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 t="str">
        <f t="shared" si="9"/>
        <v>end</v>
      </c>
      <c r="N40" s="161">
        <f t="shared" si="10"/>
        <v>2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 t="str">
        <f t="shared" si="9"/>
        <v>end</v>
      </c>
      <c r="N41" s="161">
        <f t="shared" ref="N41:N81" si="11">N40</f>
        <v>2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 t="str">
        <f t="shared" si="9"/>
        <v>end</v>
      </c>
      <c r="N42" s="161">
        <f t="shared" si="11"/>
        <v>2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 t="str">
        <f t="shared" si="9"/>
        <v>end</v>
      </c>
      <c r="N43" s="161">
        <f t="shared" si="11"/>
        <v>2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 t="str">
        <f t="shared" si="9"/>
        <v>end</v>
      </c>
      <c r="N44" s="161">
        <f t="shared" si="11"/>
        <v>2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 t="str">
        <f t="shared" si="9"/>
        <v>end</v>
      </c>
      <c r="N45" s="161">
        <f t="shared" si="11"/>
        <v>2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 t="str">
        <f t="shared" si="9"/>
        <v>end</v>
      </c>
      <c r="N46" s="161">
        <f t="shared" si="11"/>
        <v>2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 t="str">
        <f t="shared" si="9"/>
        <v>end</v>
      </c>
      <c r="N47" s="161">
        <f t="shared" si="11"/>
        <v>2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 t="str">
        <f t="shared" si="9"/>
        <v>end</v>
      </c>
      <c r="N48" s="161">
        <f t="shared" si="11"/>
        <v>2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 t="str">
        <f t="shared" si="9"/>
        <v>end</v>
      </c>
      <c r="N49" s="161">
        <f t="shared" si="11"/>
        <v>2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 t="str">
        <f t="shared" si="9"/>
        <v>end</v>
      </c>
      <c r="N50" s="161">
        <f t="shared" si="11"/>
        <v>2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 t="str">
        <f t="shared" si="9"/>
        <v>end</v>
      </c>
      <c r="N51" s="161">
        <f t="shared" si="11"/>
        <v>2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 t="str">
        <f t="shared" si="9"/>
        <v>end</v>
      </c>
      <c r="N52" s="161">
        <f t="shared" si="11"/>
        <v>2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 t="str">
        <f t="shared" si="9"/>
        <v>end</v>
      </c>
      <c r="N53" s="161">
        <f t="shared" si="11"/>
        <v>2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 t="str">
        <f t="shared" si="9"/>
        <v>end</v>
      </c>
      <c r="N54" s="161">
        <f t="shared" si="11"/>
        <v>2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 t="str">
        <f t="shared" si="9"/>
        <v>end</v>
      </c>
      <c r="N55" s="161">
        <f t="shared" si="11"/>
        <v>2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 t="str">
        <f t="shared" si="9"/>
        <v>end</v>
      </c>
      <c r="N56" s="161">
        <f t="shared" si="11"/>
        <v>2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 t="str">
        <f t="shared" si="9"/>
        <v>end</v>
      </c>
      <c r="N57" s="161">
        <f t="shared" si="11"/>
        <v>2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 t="str">
        <f t="shared" si="9"/>
        <v>end</v>
      </c>
      <c r="N58" s="161">
        <f t="shared" si="11"/>
        <v>2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 t="str">
        <f t="shared" si="9"/>
        <v>end</v>
      </c>
      <c r="N59" s="161">
        <f t="shared" si="11"/>
        <v>2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 t="str">
        <f t="shared" si="9"/>
        <v>end</v>
      </c>
      <c r="N60" s="161">
        <f t="shared" si="11"/>
        <v>2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 t="str">
        <f t="shared" si="9"/>
        <v>end</v>
      </c>
      <c r="N61" s="161">
        <f t="shared" si="11"/>
        <v>2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 t="str">
        <f t="shared" si="9"/>
        <v>end</v>
      </c>
      <c r="N62" s="161">
        <f t="shared" si="11"/>
        <v>2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 t="str">
        <f t="shared" si="9"/>
        <v>end</v>
      </c>
      <c r="N63" s="161">
        <f t="shared" si="11"/>
        <v>2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 t="str">
        <f t="shared" si="9"/>
        <v>end</v>
      </c>
      <c r="N64" s="161">
        <f t="shared" si="11"/>
        <v>2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2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2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2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2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2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2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2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2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2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2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2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2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2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2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2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2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2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2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2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2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2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2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2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2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2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2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2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2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2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2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2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2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2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2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2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2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2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2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2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2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2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2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2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2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2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2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2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2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2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2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2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2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2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2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2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2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2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2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2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2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2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2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2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2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2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2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2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2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2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2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2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2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2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2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2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2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2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2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2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2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2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2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2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2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2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2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2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2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2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2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2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2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2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2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2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2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2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2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2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2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2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2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2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2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2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2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2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2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2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2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2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2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2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2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2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2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2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2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2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2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2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2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2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2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2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2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2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2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2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2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2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2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2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2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2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2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2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2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2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2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2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2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2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2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2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2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2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2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2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2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2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2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2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2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2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2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2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2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2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2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2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2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2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2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2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2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2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2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2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2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2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2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2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2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2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2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2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2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2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2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2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2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2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2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2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2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2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2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2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2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2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2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2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2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2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2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2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2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2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2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2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2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2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2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2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2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2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2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2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2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2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2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2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2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2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2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2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2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2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2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2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2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2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2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2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2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2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2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2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2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2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2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2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2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2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2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2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2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2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2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2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2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2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2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2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2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2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2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2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2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2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2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2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2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2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2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2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2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2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2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2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2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2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2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2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2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2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2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2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2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2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2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2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2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2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2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2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2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2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2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2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2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2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2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2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2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2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2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2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2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2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2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2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2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2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2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2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2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2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2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2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2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2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2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2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2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2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2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2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2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2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2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2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2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2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2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2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2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2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2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2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2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2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2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2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2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2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2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2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2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2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2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2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2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2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2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2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2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2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2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2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2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2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2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2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2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2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2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2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2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2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2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2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2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2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2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2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2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2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2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2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2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2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2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2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2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2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2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2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2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2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2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2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2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2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2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2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2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2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2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2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2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2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2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2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2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2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2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2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2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2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2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2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2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2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2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2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2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2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2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2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2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2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2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2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2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2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2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2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2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2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2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2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2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2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2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2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2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2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2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2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2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2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2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2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2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2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2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2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2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2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2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2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2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2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2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2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2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2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2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2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2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2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2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2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2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2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2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2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2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2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2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2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2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2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2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2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2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2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2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2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2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2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2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2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2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2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2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2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2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2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2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2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2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2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2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2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2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2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2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2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2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2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2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2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2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2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2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2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2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2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2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2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2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2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2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2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2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2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2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2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2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2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2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2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2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2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2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2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2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2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2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2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2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2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2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2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2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2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2022-05-16T07:40:18Z</cp:lastPrinted>
  <dcterms:created xsi:type="dcterms:W3CDTF">2011-08-17T14:29:03Z</dcterms:created>
  <dcterms:modified xsi:type="dcterms:W3CDTF">2022-05-17T14:04:23Z</dcterms:modified>
</cp:coreProperties>
</file>