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gif" ContentType="image/gi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externalLinks/externalLink1.xml" ContentType="application/vnd.openxmlformats-officedocument.spreadsheetml.externalLink+xml"/>
  <Override PartName="/xl/externalLinks/externalLink2.xml" ContentType="application/vnd.openxmlformats-officedocument.spreadsheetml.externalLink+xml"/>
  <Override PartName="/xl/externalLinks/externalLink3.xml" ContentType="application/vnd.openxmlformats-officedocument.spreadsheetml.externalLink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drawings/drawing3.xml" ContentType="application/vnd.openxmlformats-officedocument.drawing+xml"/>
  <Override PartName="/xl/activeX/activeX2.xml" ContentType="application/vnd.ms-office.activeX+xml"/>
  <Override PartName="/xl/activeX/activeX2.bin" ContentType="application/vnd.ms-office.activeX"/>
  <Override PartName="/xl/drawings/drawing4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trlProps/ctrlProp2.xml" ContentType="application/vnd.ms-excel.controlproperties+xml"/>
  <Override PartName="/xl/drawings/drawing5.xml" ContentType="application/vnd.openxmlformats-officedocument.drawing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drawings/drawing6.xml" ContentType="application/vnd.openxmlformats-officedocument.drawing+xml"/>
  <Override PartName="/xl/activeX/activeX6.xml" ContentType="application/vnd.ms-office.activeX+xml"/>
  <Override PartName="/xl/activeX/activeX6.bin" ContentType="application/vnd.ms-office.activeX"/>
  <Override PartName="/xl/activeX/activeX7.xml" ContentType="application/vnd.ms-office.activeX+xml"/>
  <Override PartName="/xl/activeX/activeX7.bin" ContentType="application/vnd.ms-office.activeX"/>
  <Override PartName="/xl/activeX/activeX8.xml" ContentType="application/vnd.ms-office.activeX+xml"/>
  <Override PartName="/xl/activeX/activeX8.bin" ContentType="application/vnd.ms-office.activeX"/>
  <Override PartName="/xl/activeX/activeX9.xml" ContentType="application/vnd.ms-office.activeX+xml"/>
  <Override PartName="/xl/activeX/activeX9.bin" ContentType="application/vnd.ms-office.activeX"/>
  <Override PartName="/xl/activeX/activeX10.xml" ContentType="application/vnd.ms-office.activeX+xml"/>
  <Override PartName="/xl/activeX/activeX10.bin" ContentType="application/vnd.ms-office.activeX"/>
  <Override PartName="/xl/activeX/activeX11.xml" ContentType="application/vnd.ms-office.activeX+xml"/>
  <Override PartName="/xl/activeX/activeX11.bin" ContentType="application/vnd.ms-office.activeX"/>
  <Override PartName="/xl/activeX/activeX12.xml" ContentType="application/vnd.ms-office.activeX+xml"/>
  <Override PartName="/xl/activeX/activeX12.bin" ContentType="application/vnd.ms-office.activeX"/>
  <Override PartName="/xl/activeX/activeX13.xml" ContentType="application/vnd.ms-office.activeX+xml"/>
  <Override PartName="/xl/activeX/activeX13.bin" ContentType="application/vnd.ms-office.activeX"/>
  <Override PartName="/xl/activeX/activeX14.xml" ContentType="application/vnd.ms-office.activeX+xml"/>
  <Override PartName="/xl/activeX/activeX14.bin" ContentType="application/vnd.ms-office.activeX"/>
  <Override PartName="/xl/drawings/drawing7.xml" ContentType="application/vnd.openxmlformats-officedocument.drawing+xml"/>
  <Override PartName="/xl/ctrlProps/ctrlProp6.xml" ContentType="application/vnd.ms-excel.controlproperties+xml"/>
  <Override PartName="/xl/comments1.xml" ContentType="application/vnd.openxmlformats-officedocument.spreadsheetml.comments+xml"/>
  <Override PartName="/xl/drawings/drawing8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4" rupBuild="24326" codeName="{4D1C537B-E38A-612A-F078-A93A15B4B7F4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DengusiakM\Desktop\SAM\2022-05-07_Warsaw\"/>
    </mc:Choice>
  </mc:AlternateContent>
  <xr:revisionPtr revIDLastSave="0" documentId="13_ncr:1_{27A3056F-13C5-43C0-AC30-B72EFC8B537C}" xr6:coauthVersionLast="47" xr6:coauthVersionMax="47" xr10:uidLastSave="{00000000-0000-0000-0000-000000000000}"/>
  <bookViews>
    <workbookView xWindow="16776" yWindow="1536" windowWidth="10908" windowHeight="10956" tabRatio="619" firstSheet="3" activeTab="5" xr2:uid="{00000000-000D-0000-FFFF-FFFF00000000}"/>
  </bookViews>
  <sheets>
    <sheet name="ReadME" sheetId="64" state="hidden" r:id="rId1"/>
    <sheet name="Print Legend" sheetId="77" state="hidden" r:id="rId2"/>
    <sheet name="Print AHU" sheetId="70" state="hidden" r:id="rId3"/>
    <sheet name="Data" sheetId="187" r:id="rId4"/>
    <sheet name="Sheet3" sheetId="188" state="hidden" r:id="rId5"/>
    <sheet name="Print" sheetId="37" r:id="rId6"/>
    <sheet name="Construction" sheetId="67" r:id="rId7"/>
    <sheet name="Info" sheetId="33" state="hidden" r:id="rId8"/>
    <sheet name="Used functions" sheetId="65" state="hidden" r:id="rId9"/>
    <sheet name="Revit_FCU" sheetId="68" state="hidden" r:id="rId10"/>
    <sheet name="Sheet1" sheetId="69" state="hidden" r:id="rId11"/>
    <sheet name="TAS_Zones" sheetId="76" state="hidden" r:id="rId12"/>
    <sheet name="FCU_System" sheetId="73" state="hidden" r:id="rId13"/>
    <sheet name="TSD_Data" sheetId="74" state="hidden" r:id="rId14"/>
    <sheet name="Sheet2" sheetId="75" state="hidden" r:id="rId15"/>
    <sheet name="AHU_Zones" sheetId="71" state="hidden" r:id="rId16"/>
    <sheet name="BEType" sheetId="157" state="hidden" r:id="rId17"/>
  </sheets>
  <functionGroups builtInGroupCount="19"/>
  <externalReferences>
    <externalReference r:id="rId18"/>
    <externalReference r:id="rId19"/>
    <externalReference r:id="rId20"/>
  </externalReferences>
  <definedNames>
    <definedName name="_xlnm._FilterDatabase" localSheetId="16" hidden="1">BEType!$G$1:$H$1</definedName>
    <definedName name="_xlnm._FilterDatabase" localSheetId="6" hidden="1">Construction!$A$1:$L$1</definedName>
    <definedName name="_xlnm._FilterDatabase" localSheetId="9" hidden="1">Revit_FCU!$A$2:$D$2</definedName>
    <definedName name="_Var1" localSheetId="2">#REF!</definedName>
    <definedName name="_Var1" localSheetId="1">#REF!</definedName>
    <definedName name="_Var1" localSheetId="11">#REF!</definedName>
    <definedName name="_Var10" localSheetId="2">#REF!</definedName>
    <definedName name="_Var10" localSheetId="1">#REF!</definedName>
    <definedName name="_Var10" localSheetId="11">#REF!</definedName>
    <definedName name="_var11" localSheetId="2">#REF!</definedName>
    <definedName name="_var11" localSheetId="1">#REF!</definedName>
    <definedName name="_var11" localSheetId="11">#REF!</definedName>
    <definedName name="_Var2" localSheetId="2">#REF!</definedName>
    <definedName name="_Var2" localSheetId="1">#REF!</definedName>
    <definedName name="_Var2" localSheetId="11">#REF!</definedName>
    <definedName name="_Var3" localSheetId="2">#REF!</definedName>
    <definedName name="_Var3" localSheetId="1">#REF!</definedName>
    <definedName name="_Var3" localSheetId="11">#REF!</definedName>
    <definedName name="_Var4" localSheetId="2">#REF!</definedName>
    <definedName name="_Var4" localSheetId="1">#REF!</definedName>
    <definedName name="_Var4" localSheetId="11">#REF!</definedName>
    <definedName name="_Var5" localSheetId="2">#REF!</definedName>
    <definedName name="_Var5" localSheetId="1">#REF!</definedName>
    <definedName name="_Var5" localSheetId="11">#REF!</definedName>
    <definedName name="_Var6" localSheetId="2">#REF!</definedName>
    <definedName name="_Var6" localSheetId="1">#REF!</definedName>
    <definedName name="_Var6" localSheetId="11">#REF!</definedName>
    <definedName name="_Var7" localSheetId="2">#REF!</definedName>
    <definedName name="_Var7" localSheetId="1">#REF!</definedName>
    <definedName name="_Var7" localSheetId="11">#REF!</definedName>
    <definedName name="_Var8" localSheetId="2">#REF!</definedName>
    <definedName name="_Var8" localSheetId="1">#REF!</definedName>
    <definedName name="_Var8" localSheetId="11">#REF!</definedName>
    <definedName name="_Var9" localSheetId="2">#REF!</definedName>
    <definedName name="_Var9" localSheetId="1">#REF!</definedName>
    <definedName name="_Var9" localSheetId="11">#REF!</definedName>
    <definedName name="AHU_Zones" localSheetId="11">TAS_Zones!$B$2:$K$59</definedName>
    <definedName name="AHU_Zones">AHU_Zones!$A$3:$R$66</definedName>
    <definedName name="BEType">BEType!$G$1:$H$22</definedName>
    <definedName name="CCT" localSheetId="2">#REF!</definedName>
    <definedName name="CCT" localSheetId="1">#REF!</definedName>
    <definedName name="CCT" localSheetId="11">#REF!</definedName>
    <definedName name="Data">Data!$A$3:$CE$893</definedName>
    <definedName name="DataColumn">Data!$A$1:$CE$2</definedName>
    <definedName name="del" localSheetId="2">#REF!</definedName>
    <definedName name="del" localSheetId="1">#REF!</definedName>
    <definedName name="del" localSheetId="11">#REF!</definedName>
    <definedName name="Factor1" localSheetId="2">#REF!</definedName>
    <definedName name="Factor1" localSheetId="1">#REF!</definedName>
    <definedName name="Factor1" localSheetId="11">#REF!</definedName>
    <definedName name="Factor10" localSheetId="2">#REF!</definedName>
    <definedName name="Factor10" localSheetId="1">#REF!</definedName>
    <definedName name="Factor10" localSheetId="11">#REF!</definedName>
    <definedName name="Factor11" localSheetId="2">#REF!</definedName>
    <definedName name="Factor11" localSheetId="1">#REF!</definedName>
    <definedName name="Factor11" localSheetId="11">#REF!</definedName>
    <definedName name="Factor12" localSheetId="2">#REF!</definedName>
    <definedName name="Factor12" localSheetId="1">#REF!</definedName>
    <definedName name="Factor12" localSheetId="11">#REF!</definedName>
    <definedName name="Factor13" localSheetId="2">#REF!</definedName>
    <definedName name="Factor13" localSheetId="1">#REF!</definedName>
    <definedName name="Factor13" localSheetId="11">#REF!</definedName>
    <definedName name="Factor14" localSheetId="2">#REF!</definedName>
    <definedName name="Factor14" localSheetId="1">#REF!</definedName>
    <definedName name="Factor14" localSheetId="11">#REF!</definedName>
    <definedName name="Factor15" localSheetId="2">#REF!</definedName>
    <definedName name="Factor15" localSheetId="1">#REF!</definedName>
    <definedName name="Factor15" localSheetId="11">#REF!</definedName>
    <definedName name="Factor16" localSheetId="2">#REF!</definedName>
    <definedName name="Factor16" localSheetId="1">#REF!</definedName>
    <definedName name="Factor16" localSheetId="11">#REF!</definedName>
    <definedName name="Factor17" localSheetId="2">#REF!</definedName>
    <definedName name="Factor17" localSheetId="1">#REF!</definedName>
    <definedName name="Factor17" localSheetId="11">#REF!</definedName>
    <definedName name="Factor18" localSheetId="2">#REF!</definedName>
    <definedName name="Factor18" localSheetId="1">#REF!</definedName>
    <definedName name="Factor18" localSheetId="11">#REF!</definedName>
    <definedName name="Factor19" localSheetId="2">#REF!</definedName>
    <definedName name="Factor19" localSheetId="1">#REF!</definedName>
    <definedName name="Factor19" localSheetId="11">#REF!</definedName>
    <definedName name="Factor2" localSheetId="2">#REF!</definedName>
    <definedName name="Factor2" localSheetId="1">#REF!</definedName>
    <definedName name="Factor2" localSheetId="11">#REF!</definedName>
    <definedName name="Factor20" localSheetId="2">#REF!</definedName>
    <definedName name="Factor20" localSheetId="1">#REF!</definedName>
    <definedName name="Factor20" localSheetId="11">#REF!</definedName>
    <definedName name="Factor21" localSheetId="2">#REF!</definedName>
    <definedName name="Factor21" localSheetId="1">#REF!</definedName>
    <definedName name="Factor21" localSheetId="11">#REF!</definedName>
    <definedName name="Factor22" localSheetId="2">#REF!</definedName>
    <definedName name="Factor22" localSheetId="1">#REF!</definedName>
    <definedName name="Factor22" localSheetId="11">#REF!</definedName>
    <definedName name="Factor23" localSheetId="2">#REF!</definedName>
    <definedName name="Factor23" localSheetId="1">#REF!</definedName>
    <definedName name="Factor23" localSheetId="11">#REF!</definedName>
    <definedName name="Factor24" localSheetId="2">#REF!</definedName>
    <definedName name="Factor24" localSheetId="1">#REF!</definedName>
    <definedName name="Factor24" localSheetId="11">#REF!</definedName>
    <definedName name="Factor25" localSheetId="2">#REF!</definedName>
    <definedName name="Factor25" localSheetId="1">#REF!</definedName>
    <definedName name="Factor25" localSheetId="11">#REF!</definedName>
    <definedName name="Factor26" localSheetId="2">#REF!</definedName>
    <definedName name="Factor26" localSheetId="1">#REF!</definedName>
    <definedName name="Factor26" localSheetId="11">#REF!</definedName>
    <definedName name="Factor27" localSheetId="2">#REF!</definedName>
    <definedName name="Factor27" localSheetId="1">#REF!</definedName>
    <definedName name="Factor27" localSheetId="11">#REF!</definedName>
    <definedName name="Factor28" localSheetId="2">#REF!</definedName>
    <definedName name="Factor28" localSheetId="1">#REF!</definedName>
    <definedName name="Factor28" localSheetId="11">#REF!</definedName>
    <definedName name="Factor29" localSheetId="2">#REF!</definedName>
    <definedName name="Factor29" localSheetId="1">#REF!</definedName>
    <definedName name="Factor29" localSheetId="11">#REF!</definedName>
    <definedName name="Factor3" localSheetId="2">#REF!</definedName>
    <definedName name="Factor3" localSheetId="1">#REF!</definedName>
    <definedName name="Factor3" localSheetId="11">#REF!</definedName>
    <definedName name="Factor30" localSheetId="2">#REF!</definedName>
    <definedName name="Factor30" localSheetId="1">#REF!</definedName>
    <definedName name="Factor30" localSheetId="11">#REF!</definedName>
    <definedName name="Factor4" localSheetId="2">#REF!</definedName>
    <definedName name="Factor4" localSheetId="1">#REF!</definedName>
    <definedName name="Factor4" localSheetId="11">#REF!</definedName>
    <definedName name="Factor5" localSheetId="2">#REF!</definedName>
    <definedName name="Factor5" localSheetId="1">#REF!</definedName>
    <definedName name="Factor5" localSheetId="11">#REF!</definedName>
    <definedName name="Factor6" localSheetId="2">#REF!</definedName>
    <definedName name="Factor6" localSheetId="1">#REF!</definedName>
    <definedName name="Factor6" localSheetId="11">#REF!</definedName>
    <definedName name="Factor7" localSheetId="2">#REF!</definedName>
    <definedName name="Factor7" localSheetId="1">#REF!</definedName>
    <definedName name="Factor7" localSheetId="11">#REF!</definedName>
    <definedName name="Factor8" localSheetId="2">#REF!</definedName>
    <definedName name="Factor8" localSheetId="1">#REF!</definedName>
    <definedName name="Factor8" localSheetId="11">#REF!</definedName>
    <definedName name="Factor9" localSheetId="2">#REF!</definedName>
    <definedName name="Factor9" localSheetId="1">#REF!</definedName>
    <definedName name="Factor9" localSheetId="11">#REF!</definedName>
    <definedName name="FactorE" localSheetId="2">#REF!</definedName>
    <definedName name="FactorE" localSheetId="1">#REF!</definedName>
    <definedName name="FactorE" localSheetId="11">#REF!</definedName>
    <definedName name="FactorN" localSheetId="2">#REF!</definedName>
    <definedName name="FactorN" localSheetId="1">#REF!</definedName>
    <definedName name="FactorN" localSheetId="11">#REF!</definedName>
    <definedName name="FactorN2" localSheetId="2">#REF!</definedName>
    <definedName name="FactorN2" localSheetId="1">#REF!</definedName>
    <definedName name="FactorN2" localSheetId="11">#REF!</definedName>
    <definedName name="FactorNE" localSheetId="2">#REF!</definedName>
    <definedName name="FactorNE" localSheetId="1">#REF!</definedName>
    <definedName name="FactorNE" localSheetId="11">#REF!</definedName>
    <definedName name="FactorNW" localSheetId="2">#REF!</definedName>
    <definedName name="FactorNW" localSheetId="1">#REF!</definedName>
    <definedName name="FactorNW" localSheetId="11">#REF!</definedName>
    <definedName name="FactorS" localSheetId="2">#REF!</definedName>
    <definedName name="FactorS" localSheetId="1">#REF!</definedName>
    <definedName name="FactorS" localSheetId="11">#REF!</definedName>
    <definedName name="FactorSE" localSheetId="2">#REF!</definedName>
    <definedName name="FactorSE" localSheetId="1">#REF!</definedName>
    <definedName name="FactorSE" localSheetId="11">#REF!</definedName>
    <definedName name="FactorSW" localSheetId="2">#REF!</definedName>
    <definedName name="FactorSW" localSheetId="1">#REF!</definedName>
    <definedName name="FactorSW" localSheetId="11">#REF!</definedName>
    <definedName name="FactorW" localSheetId="2">#REF!</definedName>
    <definedName name="FactorW" localSheetId="1">#REF!</definedName>
    <definedName name="FactorW" localSheetId="11">#REF!</definedName>
    <definedName name="FCU_List">Revit_FCU!$A$1:$B$62</definedName>
    <definedName name="Fin_L" localSheetId="2">[1]Interface!#REF!</definedName>
    <definedName name="Fin_L" localSheetId="1">[1]Interface!#REF!</definedName>
    <definedName name="Fin_L" localSheetId="11">[1]Interface!#REF!</definedName>
    <definedName name="FinAng" localSheetId="2">#REF!</definedName>
    <definedName name="FinAng" localSheetId="1">#REF!</definedName>
    <definedName name="FinAng" localSheetId="11">#REF!</definedName>
    <definedName name="gvalue" localSheetId="2">#REF!</definedName>
    <definedName name="gvalue" localSheetId="1">#REF!</definedName>
    <definedName name="gvalue" localSheetId="11">#REF!</definedName>
    <definedName name="horiz" localSheetId="2">#REF!</definedName>
    <definedName name="horiz" localSheetId="1">#REF!</definedName>
    <definedName name="horiz" localSheetId="11">#REF!</definedName>
    <definedName name="HorizDyn" localSheetId="2">#REF!</definedName>
    <definedName name="HorizDyn" localSheetId="1">#REF!</definedName>
    <definedName name="HorizDyn" localSheetId="11">#REF!</definedName>
    <definedName name="Lower" localSheetId="2">#REF!</definedName>
    <definedName name="Lower" localSheetId="1">#REF!</definedName>
    <definedName name="Lower" localSheetId="11">#REF!</definedName>
    <definedName name="Max" localSheetId="2">#REF!</definedName>
    <definedName name="Max" localSheetId="1">#REF!</definedName>
    <definedName name="Max" localSheetId="11">#REF!</definedName>
    <definedName name="MEAN_AIR_TEMP" localSheetId="2">'[2]Outdoor Running Mean'!#REF!</definedName>
    <definedName name="MEAN_AIR_TEMP" localSheetId="1">'[2]Outdoor Running Mean'!#REF!</definedName>
    <definedName name="MEAN_AIR_TEMP" localSheetId="11">'[2]Outdoor Running Mean'!#REF!</definedName>
    <definedName name="Orient" localSheetId="2">#REF!</definedName>
    <definedName name="Orient" localSheetId="1">#REF!</definedName>
    <definedName name="Orient" localSheetId="11">#REF!</definedName>
    <definedName name="output" localSheetId="2">#REF!</definedName>
    <definedName name="output" localSheetId="1">#REF!</definedName>
    <definedName name="output" localSheetId="11">#REF!</definedName>
    <definedName name="Over_L" localSheetId="2">[1]Interface!#REF!</definedName>
    <definedName name="Over_L" localSheetId="1">[1]Interface!#REF!</definedName>
    <definedName name="Over_L" localSheetId="11">[1]Interface!#REF!</definedName>
    <definedName name="_xlnm.Print_Area" localSheetId="5">Print!$A$1:$Y$34</definedName>
    <definedName name="_xlnm.Print_Area" localSheetId="2">'Print AHU'!$A$1:$AA$34</definedName>
    <definedName name="_xlnm.Print_Area" localSheetId="1">'Print Legend'!$A$1:$X$34</definedName>
    <definedName name="stepRH" localSheetId="2">'[3]W-Precedent Study'!#REF!</definedName>
    <definedName name="stepRH" localSheetId="1">'[3]W-Precedent Study'!#REF!</definedName>
    <definedName name="stepRH" localSheetId="11">'[3]W-Precedent Study'!#REF!</definedName>
    <definedName name="stepT" localSheetId="2">'[3]W-Precedent Study'!#REF!</definedName>
    <definedName name="stepT" localSheetId="1">'[3]W-Precedent Study'!#REF!</definedName>
    <definedName name="stepT" localSheetId="11">'[3]W-Precedent Study'!#REF!</definedName>
    <definedName name="tilt" localSheetId="2">#REF!</definedName>
    <definedName name="tilt" localSheetId="1">#REF!</definedName>
    <definedName name="tilt" localSheetId="11">#REF!</definedName>
    <definedName name="tiltDyn" localSheetId="2">#REF!</definedName>
    <definedName name="tiltDyn" localSheetId="1">#REF!</definedName>
    <definedName name="tiltDyn" localSheetId="11">#REF!</definedName>
    <definedName name="Upper" localSheetId="2">#REF!</definedName>
    <definedName name="Upper" localSheetId="1">#REF!</definedName>
    <definedName name="Upper" localSheetId="11">#REF!</definedName>
    <definedName name="Var" localSheetId="2">#REF!</definedName>
    <definedName name="Var" localSheetId="1">#REF!</definedName>
    <definedName name="Var" localSheetId="11">#REF!</definedName>
    <definedName name="vert" localSheetId="2">#REF!</definedName>
    <definedName name="vert" localSheetId="1">#REF!</definedName>
    <definedName name="vert" localSheetId="11">#REF!</definedName>
    <definedName name="VertandP" localSheetId="2">#REF!</definedName>
    <definedName name="VertandP" localSheetId="1">#REF!</definedName>
    <definedName name="VertandP" localSheetId="11">#REF!</definedName>
    <definedName name="vertang" localSheetId="2">#REF!</definedName>
    <definedName name="vertang" localSheetId="1">#REF!</definedName>
    <definedName name="vertang" localSheetId="11">#REF!</definedName>
    <definedName name="VertangDyn" localSheetId="2">#REF!</definedName>
    <definedName name="VertangDyn" localSheetId="1">#REF!</definedName>
    <definedName name="VertangDyn" localSheetId="11">#REF!</definedName>
    <definedName name="vertangdyn2" localSheetId="2">#REF!</definedName>
    <definedName name="vertangdyn2" localSheetId="1">#REF!</definedName>
    <definedName name="vertangdyn2" localSheetId="11">#REF!</definedName>
    <definedName name="VertangP" localSheetId="2">#REF!</definedName>
    <definedName name="VertangP" localSheetId="1">#REF!</definedName>
    <definedName name="VertangP" localSheetId="11">#REF!</definedName>
    <definedName name="VertDyn" localSheetId="2">#REF!</definedName>
    <definedName name="VertDyn" localSheetId="1">#REF!</definedName>
    <definedName name="VertDyn" localSheetId="11">#REF!</definedName>
    <definedName name="zone" localSheetId="2">#REF!</definedName>
    <definedName name="zone" localSheetId="1">#REF!</definedName>
    <definedName name="zone" localSheetId="11">#REF!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calcChain.xml><?xml version="1.0" encoding="utf-8"?>
<calcChain xmlns="http://schemas.openxmlformats.org/spreadsheetml/2006/main">
  <c r="AC105" i="37" l="1"/>
  <c r="AC104" i="37"/>
  <c r="AC103" i="37"/>
  <c r="AC102" i="37"/>
  <c r="AC101" i="37"/>
  <c r="AC100" i="37"/>
  <c r="AC99" i="37"/>
  <c r="AC98" i="37"/>
  <c r="AC97" i="37"/>
  <c r="AC96" i="37"/>
  <c r="AC95" i="37"/>
  <c r="AC94" i="37"/>
  <c r="AC93" i="37"/>
  <c r="AC92" i="37"/>
  <c r="AC91" i="37"/>
  <c r="AC90" i="37"/>
  <c r="AC89" i="37"/>
  <c r="AC88" i="37"/>
  <c r="AC87" i="37"/>
  <c r="AC86" i="37"/>
  <c r="AC85" i="37"/>
  <c r="AC84" i="37"/>
  <c r="AC83" i="37"/>
  <c r="AC82" i="37"/>
  <c r="AC81" i="37"/>
  <c r="AC80" i="37"/>
  <c r="AC79" i="37"/>
  <c r="AC78" i="37"/>
  <c r="AC77" i="37"/>
  <c r="AC76" i="37"/>
  <c r="AC75" i="37"/>
  <c r="AC74" i="37"/>
  <c r="AC73" i="37"/>
  <c r="AC72" i="37"/>
  <c r="AC71" i="37"/>
  <c r="AC70" i="37"/>
  <c r="AC69" i="37"/>
  <c r="AC68" i="37"/>
  <c r="AC67" i="37"/>
  <c r="AC66" i="37"/>
  <c r="AC65" i="37"/>
  <c r="AC64" i="37"/>
  <c r="AC63" i="37"/>
  <c r="AC62" i="37"/>
  <c r="AC61" i="37"/>
  <c r="AC60" i="37"/>
  <c r="AC59" i="37"/>
  <c r="AC58" i="37"/>
  <c r="AC57" i="37"/>
  <c r="AC56" i="37"/>
  <c r="AC55" i="37"/>
  <c r="AC54" i="37"/>
  <c r="AC53" i="37"/>
  <c r="AC52" i="37"/>
  <c r="AC51" i="37"/>
  <c r="AC50" i="37"/>
  <c r="AC49" i="37"/>
  <c r="AC48" i="37"/>
  <c r="AC47" i="37"/>
  <c r="AC46" i="37"/>
  <c r="AC45" i="37"/>
  <c r="AC44" i="37"/>
  <c r="AC43" i="37"/>
  <c r="AC42" i="37"/>
  <c r="AC41" i="37"/>
  <c r="AC40" i="37"/>
  <c r="AC39" i="37"/>
  <c r="AC38" i="37"/>
  <c r="AC37" i="37"/>
  <c r="AC36" i="37"/>
  <c r="AC35" i="37"/>
  <c r="AC34" i="37"/>
  <c r="AC33" i="37"/>
  <c r="AC32" i="37"/>
  <c r="AC31" i="37"/>
  <c r="AC30" i="37"/>
  <c r="AC29" i="37"/>
  <c r="AC28" i="37"/>
  <c r="AC27" i="37"/>
  <c r="AC26" i="37"/>
  <c r="AC25" i="37"/>
  <c r="AC24" i="37"/>
  <c r="AC23" i="37"/>
  <c r="AC22" i="37"/>
  <c r="AC21" i="37"/>
  <c r="AC20" i="37"/>
  <c r="AC19" i="37"/>
  <c r="AC18" i="37"/>
  <c r="AC17" i="37"/>
  <c r="AC16" i="37"/>
  <c r="AC15" i="37"/>
  <c r="C4" i="37" l="1"/>
  <c r="K9" i="37" l="1"/>
  <c r="Q9" i="37"/>
  <c r="AN32" i="37" l="1"/>
  <c r="AN31" i="37"/>
  <c r="L3" i="67" l="1"/>
  <c r="AC9" i="37" l="1"/>
  <c r="AC11" i="37" l="1"/>
  <c r="AC12" i="37"/>
  <c r="AB92" i="37"/>
  <c r="AB93" i="37"/>
  <c r="AB94" i="37"/>
  <c r="AB95" i="37"/>
  <c r="AB96" i="37"/>
  <c r="AB97" i="37"/>
  <c r="AB98" i="37"/>
  <c r="AB99" i="37"/>
  <c r="AB100" i="37"/>
  <c r="AB101" i="37"/>
  <c r="AB102" i="37"/>
  <c r="AB103" i="37"/>
  <c r="AB104" i="37"/>
  <c r="AB105" i="37"/>
  <c r="K5" i="37" l="1"/>
  <c r="Q5" i="37"/>
  <c r="Q6" i="37"/>
  <c r="T15" i="37"/>
  <c r="T16" i="37"/>
  <c r="T17" i="37"/>
  <c r="T18" i="37"/>
  <c r="T14" i="37"/>
  <c r="Q8" i="37"/>
  <c r="AB91" i="37" l="1"/>
  <c r="J20" i="37" l="1"/>
  <c r="AB90" i="37"/>
  <c r="AB89" i="37"/>
  <c r="AB88" i="37"/>
  <c r="AB87" i="37"/>
  <c r="AB86" i="37"/>
  <c r="AB85" i="37"/>
  <c r="K30" i="37" l="1"/>
  <c r="H30" i="37"/>
  <c r="Q30" i="37"/>
  <c r="N30" i="37"/>
  <c r="D31" i="37"/>
  <c r="T29" i="37"/>
  <c r="P29" i="37"/>
  <c r="N29" i="37"/>
  <c r="AB81" i="37" l="1"/>
  <c r="L28" i="37" l="1"/>
  <c r="N30" i="67"/>
  <c r="AB44" i="37" l="1"/>
  <c r="AB84" i="37" l="1"/>
  <c r="AB83" i="37"/>
  <c r="AB82" i="37"/>
  <c r="L29" i="37" l="1"/>
  <c r="K6" i="37"/>
  <c r="K29" i="37" l="1"/>
  <c r="H29" i="37"/>
  <c r="AB80" i="37"/>
  <c r="C2" i="37" l="1"/>
  <c r="AB79" i="37" l="1"/>
  <c r="AB78" i="37"/>
  <c r="AB77" i="37"/>
  <c r="AB76" i="37"/>
  <c r="AB75" i="37"/>
  <c r="K7" i="37" l="1"/>
  <c r="Q7" i="37"/>
  <c r="K4" i="37"/>
  <c r="C58" i="71" l="1"/>
  <c r="C59" i="71" s="1"/>
  <c r="C60" i="71" s="1"/>
  <c r="C61" i="71" s="1"/>
  <c r="C62" i="71" s="1"/>
  <c r="C56" i="71"/>
  <c r="C49" i="71"/>
  <c r="C50" i="71" s="1"/>
  <c r="C51" i="71" s="1"/>
  <c r="C52" i="71" s="1"/>
  <c r="C53" i="71" s="1"/>
  <c r="C54" i="71" s="1"/>
  <c r="D34" i="71" s="1"/>
  <c r="C42" i="71"/>
  <c r="C43" i="71" s="1"/>
  <c r="C44" i="71" s="1"/>
  <c r="C45" i="71" s="1"/>
  <c r="C46" i="71" s="1"/>
  <c r="C47" i="71" s="1"/>
  <c r="C48" i="71" s="1"/>
  <c r="C34" i="71" s="1"/>
  <c r="C35" i="71"/>
  <c r="C36" i="71" s="1"/>
  <c r="C37" i="71" s="1"/>
  <c r="C38" i="71" s="1"/>
  <c r="C39" i="71" s="1"/>
  <c r="C40" i="71" s="1"/>
  <c r="C41" i="71" s="1"/>
  <c r="B34" i="71" s="1"/>
  <c r="C33" i="71"/>
  <c r="E8" i="71" s="1"/>
  <c r="C25" i="71"/>
  <c r="C26" i="71" s="1"/>
  <c r="C27" i="71" s="1"/>
  <c r="C28" i="71" s="1"/>
  <c r="C29" i="71" s="1"/>
  <c r="C30" i="71" s="1"/>
  <c r="C31" i="71" s="1"/>
  <c r="C32" i="71" s="1"/>
  <c r="D8" i="71" s="1"/>
  <c r="C17" i="71"/>
  <c r="C18" i="71" s="1"/>
  <c r="C19" i="71" s="1"/>
  <c r="C20" i="71" s="1"/>
  <c r="C21" i="71" s="1"/>
  <c r="C22" i="71" s="1"/>
  <c r="C23" i="71" s="1"/>
  <c r="C24" i="71" s="1"/>
  <c r="C8" i="71" s="1"/>
  <c r="C10" i="71"/>
  <c r="C11" i="71" s="1"/>
  <c r="C12" i="71" s="1"/>
  <c r="C13" i="71" s="1"/>
  <c r="C14" i="71" s="1"/>
  <c r="C15" i="71" s="1"/>
  <c r="C16" i="71" s="1"/>
  <c r="B8" i="71" s="1"/>
  <c r="C5" i="71"/>
  <c r="C6" i="71" s="1"/>
  <c r="C7" i="71" s="1"/>
  <c r="B3" i="71" s="1"/>
  <c r="G188" i="73"/>
  <c r="G187" i="73"/>
  <c r="G186" i="73"/>
  <c r="G185" i="73"/>
  <c r="G184" i="73"/>
  <c r="G183" i="73"/>
  <c r="G182" i="73"/>
  <c r="G181" i="73"/>
  <c r="G180" i="73"/>
  <c r="G179" i="73"/>
  <c r="G178" i="73"/>
  <c r="G177" i="73"/>
  <c r="G176" i="73"/>
  <c r="G175" i="73"/>
  <c r="G174" i="73"/>
  <c r="G173" i="73"/>
  <c r="G172" i="73"/>
  <c r="G171" i="73"/>
  <c r="G170" i="73"/>
  <c r="G169" i="73"/>
  <c r="G168" i="73"/>
  <c r="G167" i="73"/>
  <c r="G166" i="73"/>
  <c r="G165" i="73"/>
  <c r="G164" i="73"/>
  <c r="G163" i="73"/>
  <c r="G162" i="73"/>
  <c r="G161" i="73"/>
  <c r="G160" i="73"/>
  <c r="G159" i="73"/>
  <c r="G158" i="73"/>
  <c r="G157" i="73"/>
  <c r="G156" i="73"/>
  <c r="G155" i="73"/>
  <c r="G154" i="73"/>
  <c r="G153" i="73"/>
  <c r="G152" i="73"/>
  <c r="G151" i="73"/>
  <c r="G150" i="73"/>
  <c r="G149" i="73"/>
  <c r="G148" i="73"/>
  <c r="G147" i="73"/>
  <c r="G146" i="73"/>
  <c r="G145" i="73"/>
  <c r="G144" i="73"/>
  <c r="G143" i="73"/>
  <c r="G142" i="73"/>
  <c r="G141" i="73"/>
  <c r="G140" i="73"/>
  <c r="G139" i="73"/>
  <c r="G138" i="73"/>
  <c r="G137" i="73"/>
  <c r="G136" i="73"/>
  <c r="G135" i="73"/>
  <c r="G134" i="73"/>
  <c r="G133" i="73"/>
  <c r="G132" i="73"/>
  <c r="G131" i="73"/>
  <c r="G130" i="73"/>
  <c r="G129" i="73"/>
  <c r="G128" i="73"/>
  <c r="G127" i="73"/>
  <c r="G126" i="73"/>
  <c r="G125" i="73"/>
  <c r="G124" i="73"/>
  <c r="G123" i="73"/>
  <c r="G122" i="73"/>
  <c r="G121" i="73"/>
  <c r="G120" i="73"/>
  <c r="G119" i="73"/>
  <c r="G118" i="73"/>
  <c r="G117" i="73"/>
  <c r="G116" i="73"/>
  <c r="G115" i="73"/>
  <c r="G114" i="73"/>
  <c r="G113" i="73"/>
  <c r="G112" i="73"/>
  <c r="G111" i="73"/>
  <c r="G110" i="73"/>
  <c r="G109" i="73"/>
  <c r="G108" i="73"/>
  <c r="G107" i="73"/>
  <c r="G106" i="73"/>
  <c r="G105" i="73"/>
  <c r="G104" i="73"/>
  <c r="G103" i="73"/>
  <c r="G102" i="73"/>
  <c r="G101" i="73"/>
  <c r="G100" i="73"/>
  <c r="G99" i="73"/>
  <c r="G98" i="73"/>
  <c r="G97" i="73"/>
  <c r="G96" i="73"/>
  <c r="G95" i="73"/>
  <c r="G94" i="73"/>
  <c r="G93" i="73"/>
  <c r="G92" i="73"/>
  <c r="G91" i="73"/>
  <c r="G90" i="73"/>
  <c r="G89" i="73"/>
  <c r="G88" i="73"/>
  <c r="G87" i="73"/>
  <c r="G86" i="73"/>
  <c r="G85" i="73"/>
  <c r="G84" i="73"/>
  <c r="G83" i="73"/>
  <c r="G82" i="73"/>
  <c r="G81" i="73"/>
  <c r="G80" i="73"/>
  <c r="G79" i="73"/>
  <c r="G78" i="73"/>
  <c r="G77" i="73"/>
  <c r="G76" i="73"/>
  <c r="G75" i="73"/>
  <c r="G74" i="73"/>
  <c r="G73" i="73"/>
  <c r="G72" i="73"/>
  <c r="G71" i="73"/>
  <c r="G70" i="73"/>
  <c r="G69" i="73"/>
  <c r="G68" i="73"/>
  <c r="G67" i="73"/>
  <c r="G66" i="73"/>
  <c r="G65" i="73"/>
  <c r="G64" i="73"/>
  <c r="G63" i="73"/>
  <c r="G62" i="73"/>
  <c r="G61" i="73"/>
  <c r="G60" i="73"/>
  <c r="G59" i="73"/>
  <c r="G58" i="73"/>
  <c r="G57" i="73"/>
  <c r="G56" i="73"/>
  <c r="G55" i="73"/>
  <c r="G54" i="73"/>
  <c r="G53" i="73"/>
  <c r="G52" i="73"/>
  <c r="G51" i="73"/>
  <c r="G50" i="73"/>
  <c r="G49" i="73"/>
  <c r="G48" i="73"/>
  <c r="G47" i="73"/>
  <c r="G46" i="73"/>
  <c r="G45" i="73"/>
  <c r="G44" i="73"/>
  <c r="G43" i="73"/>
  <c r="G42" i="73"/>
  <c r="G41" i="73"/>
  <c r="G40" i="73"/>
  <c r="G39" i="73"/>
  <c r="G38" i="73"/>
  <c r="G37" i="73"/>
  <c r="G36" i="73"/>
  <c r="G35" i="73"/>
  <c r="G34" i="73"/>
  <c r="G33" i="73"/>
  <c r="G32" i="73"/>
  <c r="G31" i="73"/>
  <c r="G30" i="73"/>
  <c r="G29" i="73"/>
  <c r="G28" i="73"/>
  <c r="G27" i="73"/>
  <c r="G26" i="73"/>
  <c r="G25" i="73"/>
  <c r="G24" i="73"/>
  <c r="G23" i="73"/>
  <c r="G22" i="73"/>
  <c r="G21" i="73"/>
  <c r="G20" i="73"/>
  <c r="G19" i="73"/>
  <c r="G18" i="73"/>
  <c r="G17" i="73"/>
  <c r="G16" i="73"/>
  <c r="G15" i="73"/>
  <c r="G14" i="73"/>
  <c r="G13" i="73"/>
  <c r="G12" i="73"/>
  <c r="G11" i="73"/>
  <c r="G10" i="73"/>
  <c r="G9" i="73"/>
  <c r="G8" i="73"/>
  <c r="G7" i="73"/>
  <c r="G6" i="73"/>
  <c r="G5" i="73"/>
  <c r="G4" i="73"/>
  <c r="G3" i="73"/>
  <c r="G2" i="73"/>
  <c r="C59" i="76"/>
  <c r="C58" i="76"/>
  <c r="C57" i="76"/>
  <c r="C56" i="76"/>
  <c r="C55" i="76"/>
  <c r="C54" i="76"/>
  <c r="C53" i="76"/>
  <c r="C52" i="76"/>
  <c r="C51" i="76"/>
  <c r="C50" i="76"/>
  <c r="C49" i="76"/>
  <c r="C48" i="76"/>
  <c r="C47" i="76"/>
  <c r="C46" i="76"/>
  <c r="C45" i="76"/>
  <c r="C44" i="76"/>
  <c r="C43" i="76"/>
  <c r="C42" i="76"/>
  <c r="C41" i="76"/>
  <c r="C40" i="76"/>
  <c r="C39" i="76"/>
  <c r="C38" i="76"/>
  <c r="C37" i="76"/>
  <c r="C36" i="76"/>
  <c r="C35" i="76"/>
  <c r="C34" i="76"/>
  <c r="C33" i="76"/>
  <c r="C32" i="76"/>
  <c r="C31" i="76"/>
  <c r="C30" i="76"/>
  <c r="C29" i="76"/>
  <c r="C28" i="76"/>
  <c r="C27" i="76"/>
  <c r="C26" i="76"/>
  <c r="C25" i="76"/>
  <c r="C24" i="76"/>
  <c r="C23" i="76"/>
  <c r="C22" i="76"/>
  <c r="C21" i="76"/>
  <c r="C20" i="76"/>
  <c r="C19" i="76"/>
  <c r="C18" i="76"/>
  <c r="C17" i="76"/>
  <c r="C16" i="76"/>
  <c r="C15" i="76"/>
  <c r="C14" i="76"/>
  <c r="C13" i="76"/>
  <c r="C12" i="76"/>
  <c r="C11" i="76"/>
  <c r="C10" i="76"/>
  <c r="C9" i="76"/>
  <c r="C8" i="76"/>
  <c r="C7" i="76"/>
  <c r="C6" i="76"/>
  <c r="C5" i="76"/>
  <c r="C4" i="76"/>
  <c r="C3" i="76"/>
  <c r="C2" i="76"/>
  <c r="C1" i="76"/>
  <c r="G25" i="65"/>
  <c r="B18" i="65"/>
  <c r="E5" i="65"/>
  <c r="N31" i="67"/>
  <c r="N32" i="67" s="1"/>
  <c r="N33" i="67" s="1"/>
  <c r="N34" i="67" s="1"/>
  <c r="N35" i="67" s="1"/>
  <c r="N36" i="67" s="1"/>
  <c r="N37" i="67" s="1"/>
  <c r="N38" i="67" s="1"/>
  <c r="N39" i="67" s="1"/>
  <c r="N40" i="67" s="1"/>
  <c r="N41" i="67" s="1"/>
  <c r="N42" i="67" s="1"/>
  <c r="N43" i="67" s="1"/>
  <c r="N44" i="67" s="1"/>
  <c r="N45" i="67" s="1"/>
  <c r="N46" i="67" s="1"/>
  <c r="N47" i="67" s="1"/>
  <c r="N48" i="67" s="1"/>
  <c r="N49" i="67" s="1"/>
  <c r="N50" i="67" s="1"/>
  <c r="N51" i="67" s="1"/>
  <c r="N52" i="67" s="1"/>
  <c r="N53" i="67" s="1"/>
  <c r="N54" i="67" s="1"/>
  <c r="N55" i="67" s="1"/>
  <c r="N56" i="67" s="1"/>
  <c r="N57" i="67" s="1"/>
  <c r="N58" i="67" s="1"/>
  <c r="N59" i="67" s="1"/>
  <c r="N60" i="67" s="1"/>
  <c r="N61" i="67" s="1"/>
  <c r="N62" i="67" s="1"/>
  <c r="N63" i="67" s="1"/>
  <c r="N64" i="67" s="1"/>
  <c r="N65" i="67" s="1"/>
  <c r="N66" i="67" s="1"/>
  <c r="N67" i="67" s="1"/>
  <c r="N68" i="67" s="1"/>
  <c r="N69" i="67" s="1"/>
  <c r="N70" i="67" s="1"/>
  <c r="N71" i="67" s="1"/>
  <c r="N72" i="67" s="1"/>
  <c r="N73" i="67" s="1"/>
  <c r="N74" i="67" s="1"/>
  <c r="N75" i="67" s="1"/>
  <c r="N76" i="67" s="1"/>
  <c r="N77" i="67" s="1"/>
  <c r="N78" i="67" s="1"/>
  <c r="N79" i="67" s="1"/>
  <c r="N80" i="67" s="1"/>
  <c r="N81" i="67" s="1"/>
  <c r="N82" i="67" s="1"/>
  <c r="N83" i="67" s="1"/>
  <c r="N84" i="67" s="1"/>
  <c r="N85" i="67" s="1"/>
  <c r="N86" i="67" s="1"/>
  <c r="N87" i="67" s="1"/>
  <c r="N88" i="67" s="1"/>
  <c r="N89" i="67" s="1"/>
  <c r="N90" i="67" s="1"/>
  <c r="N91" i="67" s="1"/>
  <c r="N92" i="67" s="1"/>
  <c r="N93" i="67" s="1"/>
  <c r="N94" i="67" s="1"/>
  <c r="N95" i="67" s="1"/>
  <c r="N96" i="67" s="1"/>
  <c r="N97" i="67" s="1"/>
  <c r="N98" i="67" s="1"/>
  <c r="N99" i="67" s="1"/>
  <c r="N100" i="67" s="1"/>
  <c r="N101" i="67" s="1"/>
  <c r="N102" i="67" s="1"/>
  <c r="N103" i="67" s="1"/>
  <c r="N104" i="67" s="1"/>
  <c r="N105" i="67" s="1"/>
  <c r="N106" i="67" s="1"/>
  <c r="N107" i="67" s="1"/>
  <c r="N108" i="67" s="1"/>
  <c r="N109" i="67" s="1"/>
  <c r="N110" i="67" s="1"/>
  <c r="N111" i="67" s="1"/>
  <c r="N112" i="67" s="1"/>
  <c r="N113" i="67" s="1"/>
  <c r="N114" i="67" s="1"/>
  <c r="N115" i="67" s="1"/>
  <c r="N116" i="67" s="1"/>
  <c r="N117" i="67" s="1"/>
  <c r="N118" i="67" s="1"/>
  <c r="N119" i="67" s="1"/>
  <c r="N120" i="67" s="1"/>
  <c r="N121" i="67" s="1"/>
  <c r="N122" i="67" s="1"/>
  <c r="N123" i="67" s="1"/>
  <c r="N124" i="67" s="1"/>
  <c r="N125" i="67" s="1"/>
  <c r="N126" i="67" s="1"/>
  <c r="N127" i="67" s="1"/>
  <c r="N128" i="67" s="1"/>
  <c r="N129" i="67" s="1"/>
  <c r="N130" i="67" s="1"/>
  <c r="N131" i="67" s="1"/>
  <c r="N132" i="67" s="1"/>
  <c r="N133" i="67" s="1"/>
  <c r="N134" i="67" s="1"/>
  <c r="N135" i="67" s="1"/>
  <c r="N136" i="67" s="1"/>
  <c r="N137" i="67" s="1"/>
  <c r="N138" i="67" s="1"/>
  <c r="N139" i="67" s="1"/>
  <c r="N140" i="67" s="1"/>
  <c r="N141" i="67" s="1"/>
  <c r="N142" i="67" s="1"/>
  <c r="N143" i="67" s="1"/>
  <c r="N144" i="67" s="1"/>
  <c r="N145" i="67" s="1"/>
  <c r="N146" i="67" s="1"/>
  <c r="N147" i="67" s="1"/>
  <c r="N148" i="67" s="1"/>
  <c r="N149" i="67" s="1"/>
  <c r="N150" i="67" s="1"/>
  <c r="N151" i="67" s="1"/>
  <c r="N152" i="67" s="1"/>
  <c r="N153" i="67" s="1"/>
  <c r="N154" i="67" s="1"/>
  <c r="N155" i="67" s="1"/>
  <c r="N156" i="67" s="1"/>
  <c r="N157" i="67" s="1"/>
  <c r="N158" i="67" s="1"/>
  <c r="N159" i="67" s="1"/>
  <c r="N160" i="67" s="1"/>
  <c r="N161" i="67" s="1"/>
  <c r="N162" i="67" s="1"/>
  <c r="N163" i="67" s="1"/>
  <c r="N164" i="67" s="1"/>
  <c r="N165" i="67" s="1"/>
  <c r="N166" i="67" s="1"/>
  <c r="N167" i="67" s="1"/>
  <c r="N168" i="67" s="1"/>
  <c r="N169" i="67" s="1"/>
  <c r="N170" i="67" s="1"/>
  <c r="N171" i="67" s="1"/>
  <c r="N172" i="67" s="1"/>
  <c r="N173" i="67" s="1"/>
  <c r="N174" i="67" s="1"/>
  <c r="N175" i="67" s="1"/>
  <c r="N176" i="67" s="1"/>
  <c r="N177" i="67" s="1"/>
  <c r="N178" i="67" s="1"/>
  <c r="N179" i="67" s="1"/>
  <c r="N180" i="67" s="1"/>
  <c r="N181" i="67" s="1"/>
  <c r="N182" i="67" s="1"/>
  <c r="N183" i="67" s="1"/>
  <c r="N184" i="67" s="1"/>
  <c r="N185" i="67" s="1"/>
  <c r="N186" i="67" s="1"/>
  <c r="N187" i="67" s="1"/>
  <c r="N188" i="67" s="1"/>
  <c r="N189" i="67" s="1"/>
  <c r="N190" i="67" s="1"/>
  <c r="N191" i="67" s="1"/>
  <c r="N192" i="67" s="1"/>
  <c r="N193" i="67" s="1"/>
  <c r="N194" i="67" s="1"/>
  <c r="N195" i="67" s="1"/>
  <c r="N196" i="67" s="1"/>
  <c r="N197" i="67" s="1"/>
  <c r="N198" i="67" s="1"/>
  <c r="N199" i="67" s="1"/>
  <c r="N200" i="67" s="1"/>
  <c r="N201" i="67" s="1"/>
  <c r="N202" i="67" s="1"/>
  <c r="N203" i="67" s="1"/>
  <c r="N204" i="67" s="1"/>
  <c r="N205" i="67" s="1"/>
  <c r="N206" i="67" s="1"/>
  <c r="N207" i="67" s="1"/>
  <c r="N208" i="67" s="1"/>
  <c r="N209" i="67" s="1"/>
  <c r="N210" i="67" s="1"/>
  <c r="N211" i="67" s="1"/>
  <c r="N212" i="67" s="1"/>
  <c r="N213" i="67" s="1"/>
  <c r="N214" i="67" s="1"/>
  <c r="N215" i="67" s="1"/>
  <c r="N216" i="67" s="1"/>
  <c r="N217" i="67" s="1"/>
  <c r="N218" i="67" s="1"/>
  <c r="N219" i="67" s="1"/>
  <c r="N220" i="67" s="1"/>
  <c r="N221" i="67" s="1"/>
  <c r="N222" i="67" s="1"/>
  <c r="N223" i="67" s="1"/>
  <c r="N224" i="67" s="1"/>
  <c r="N225" i="67" s="1"/>
  <c r="N226" i="67" s="1"/>
  <c r="N227" i="67" s="1"/>
  <c r="N228" i="67" s="1"/>
  <c r="N229" i="67" s="1"/>
  <c r="N230" i="67" s="1"/>
  <c r="N231" i="67" s="1"/>
  <c r="N232" i="67" s="1"/>
  <c r="N233" i="67" s="1"/>
  <c r="N234" i="67" s="1"/>
  <c r="N235" i="67" s="1"/>
  <c r="N236" i="67" s="1"/>
  <c r="N237" i="67" s="1"/>
  <c r="N238" i="67" s="1"/>
  <c r="N239" i="67" s="1"/>
  <c r="N240" i="67" s="1"/>
  <c r="N241" i="67" s="1"/>
  <c r="N242" i="67" s="1"/>
  <c r="N243" i="67" s="1"/>
  <c r="N244" i="67" s="1"/>
  <c r="N245" i="67" s="1"/>
  <c r="N246" i="67" s="1"/>
  <c r="N247" i="67" s="1"/>
  <c r="N248" i="67" s="1"/>
  <c r="N249" i="67" s="1"/>
  <c r="N250" i="67" s="1"/>
  <c r="N251" i="67" s="1"/>
  <c r="N252" i="67" s="1"/>
  <c r="N253" i="67" s="1"/>
  <c r="N254" i="67" s="1"/>
  <c r="N255" i="67" s="1"/>
  <c r="N256" i="67" s="1"/>
  <c r="N257" i="67" s="1"/>
  <c r="N258" i="67" s="1"/>
  <c r="N259" i="67" s="1"/>
  <c r="N260" i="67" s="1"/>
  <c r="N261" i="67" s="1"/>
  <c r="N262" i="67" s="1"/>
  <c r="N263" i="67" s="1"/>
  <c r="N264" i="67" s="1"/>
  <c r="N265" i="67" s="1"/>
  <c r="N266" i="67" s="1"/>
  <c r="N267" i="67" s="1"/>
  <c r="N268" i="67" s="1"/>
  <c r="N269" i="67" s="1"/>
  <c r="N270" i="67" s="1"/>
  <c r="N271" i="67" s="1"/>
  <c r="N272" i="67" s="1"/>
  <c r="N273" i="67" s="1"/>
  <c r="N274" i="67" s="1"/>
  <c r="N275" i="67" s="1"/>
  <c r="N276" i="67" s="1"/>
  <c r="N277" i="67" s="1"/>
  <c r="N278" i="67" s="1"/>
  <c r="N279" i="67" s="1"/>
  <c r="N280" i="67" s="1"/>
  <c r="N281" i="67" s="1"/>
  <c r="N282" i="67" s="1"/>
  <c r="N283" i="67" s="1"/>
  <c r="N284" i="67" s="1"/>
  <c r="N285" i="67" s="1"/>
  <c r="N286" i="67" s="1"/>
  <c r="N287" i="67" s="1"/>
  <c r="N288" i="67" s="1"/>
  <c r="N289" i="67" s="1"/>
  <c r="N290" i="67" s="1"/>
  <c r="N291" i="67" s="1"/>
  <c r="N292" i="67" s="1"/>
  <c r="N293" i="67" s="1"/>
  <c r="N294" i="67" s="1"/>
  <c r="N295" i="67" s="1"/>
  <c r="N296" i="67" s="1"/>
  <c r="N297" i="67" s="1"/>
  <c r="N298" i="67" s="1"/>
  <c r="N299" i="67" s="1"/>
  <c r="N300" i="67" s="1"/>
  <c r="N301" i="67" s="1"/>
  <c r="N302" i="67" s="1"/>
  <c r="N303" i="67" s="1"/>
  <c r="N304" i="67" s="1"/>
  <c r="N305" i="67" s="1"/>
  <c r="N306" i="67" s="1"/>
  <c r="N307" i="67" s="1"/>
  <c r="N308" i="67" s="1"/>
  <c r="N309" i="67" s="1"/>
  <c r="N310" i="67" s="1"/>
  <c r="N311" i="67" s="1"/>
  <c r="N312" i="67" s="1"/>
  <c r="N313" i="67" s="1"/>
  <c r="N314" i="67" s="1"/>
  <c r="N315" i="67" s="1"/>
  <c r="N316" i="67" s="1"/>
  <c r="N317" i="67" s="1"/>
  <c r="N318" i="67" s="1"/>
  <c r="N319" i="67" s="1"/>
  <c r="N320" i="67" s="1"/>
  <c r="N321" i="67" s="1"/>
  <c r="N322" i="67" s="1"/>
  <c r="N323" i="67" s="1"/>
  <c r="N324" i="67" s="1"/>
  <c r="N325" i="67" s="1"/>
  <c r="N326" i="67" s="1"/>
  <c r="N327" i="67" s="1"/>
  <c r="N328" i="67" s="1"/>
  <c r="N329" i="67" s="1"/>
  <c r="N330" i="67" s="1"/>
  <c r="N331" i="67" s="1"/>
  <c r="N332" i="67" s="1"/>
  <c r="N333" i="67" s="1"/>
  <c r="N334" i="67" s="1"/>
  <c r="N335" i="67" s="1"/>
  <c r="N336" i="67" s="1"/>
  <c r="N337" i="67" s="1"/>
  <c r="N338" i="67" s="1"/>
  <c r="N339" i="67" s="1"/>
  <c r="N340" i="67" s="1"/>
  <c r="N341" i="67" s="1"/>
  <c r="N342" i="67" s="1"/>
  <c r="N343" i="67" s="1"/>
  <c r="N344" i="67" s="1"/>
  <c r="N345" i="67" s="1"/>
  <c r="N346" i="67" s="1"/>
  <c r="N347" i="67" s="1"/>
  <c r="N348" i="67" s="1"/>
  <c r="N349" i="67" s="1"/>
  <c r="N350" i="67" s="1"/>
  <c r="N351" i="67" s="1"/>
  <c r="N352" i="67" s="1"/>
  <c r="N353" i="67" s="1"/>
  <c r="N354" i="67" s="1"/>
  <c r="N355" i="67" s="1"/>
  <c r="N356" i="67" s="1"/>
  <c r="N357" i="67" s="1"/>
  <c r="N358" i="67" s="1"/>
  <c r="N359" i="67" s="1"/>
  <c r="N360" i="67" s="1"/>
  <c r="N361" i="67" s="1"/>
  <c r="N362" i="67" s="1"/>
  <c r="N363" i="67" s="1"/>
  <c r="N364" i="67" s="1"/>
  <c r="N365" i="67" s="1"/>
  <c r="N366" i="67" s="1"/>
  <c r="N367" i="67" s="1"/>
  <c r="N368" i="67" s="1"/>
  <c r="N369" i="67" s="1"/>
  <c r="N370" i="67" s="1"/>
  <c r="N371" i="67" s="1"/>
  <c r="N372" i="67" s="1"/>
  <c r="N373" i="67" s="1"/>
  <c r="N374" i="67" s="1"/>
  <c r="N375" i="67" s="1"/>
  <c r="N376" i="67" s="1"/>
  <c r="N377" i="67" s="1"/>
  <c r="N378" i="67" s="1"/>
  <c r="N379" i="67" s="1"/>
  <c r="N380" i="67" s="1"/>
  <c r="N381" i="67" s="1"/>
  <c r="N382" i="67" s="1"/>
  <c r="N383" i="67" s="1"/>
  <c r="N384" i="67" s="1"/>
  <c r="N385" i="67" s="1"/>
  <c r="N386" i="67" s="1"/>
  <c r="N387" i="67" s="1"/>
  <c r="N388" i="67" s="1"/>
  <c r="N389" i="67" s="1"/>
  <c r="N390" i="67" s="1"/>
  <c r="N391" i="67" s="1"/>
  <c r="N392" i="67" s="1"/>
  <c r="N393" i="67" s="1"/>
  <c r="N394" i="67" s="1"/>
  <c r="N395" i="67" s="1"/>
  <c r="N396" i="67" s="1"/>
  <c r="N397" i="67" s="1"/>
  <c r="N398" i="67" s="1"/>
  <c r="N399" i="67" s="1"/>
  <c r="N400" i="67" s="1"/>
  <c r="N401" i="67" s="1"/>
  <c r="N402" i="67" s="1"/>
  <c r="N403" i="67" s="1"/>
  <c r="N404" i="67" s="1"/>
  <c r="N405" i="67" s="1"/>
  <c r="N406" i="67" s="1"/>
  <c r="N407" i="67" s="1"/>
  <c r="N408" i="67" s="1"/>
  <c r="N409" i="67" s="1"/>
  <c r="N410" i="67" s="1"/>
  <c r="N411" i="67" s="1"/>
  <c r="N412" i="67" s="1"/>
  <c r="N413" i="67" s="1"/>
  <c r="N414" i="67" s="1"/>
  <c r="N415" i="67" s="1"/>
  <c r="N416" i="67" s="1"/>
  <c r="N417" i="67" s="1"/>
  <c r="N418" i="67" s="1"/>
  <c r="N419" i="67" s="1"/>
  <c r="N420" i="67" s="1"/>
  <c r="N421" i="67" s="1"/>
  <c r="N422" i="67" s="1"/>
  <c r="N423" i="67" s="1"/>
  <c r="N424" i="67" s="1"/>
  <c r="N425" i="67" s="1"/>
  <c r="N426" i="67" s="1"/>
  <c r="N427" i="67" s="1"/>
  <c r="N428" i="67" s="1"/>
  <c r="N429" i="67" s="1"/>
  <c r="N430" i="67" s="1"/>
  <c r="N431" i="67" s="1"/>
  <c r="N432" i="67" s="1"/>
  <c r="N433" i="67" s="1"/>
  <c r="N434" i="67" s="1"/>
  <c r="N435" i="67" s="1"/>
  <c r="N436" i="67" s="1"/>
  <c r="N437" i="67" s="1"/>
  <c r="N438" i="67" s="1"/>
  <c r="N439" i="67" s="1"/>
  <c r="N440" i="67" s="1"/>
  <c r="N441" i="67" s="1"/>
  <c r="N442" i="67" s="1"/>
  <c r="N443" i="67" s="1"/>
  <c r="N444" i="67" s="1"/>
  <c r="N445" i="67" s="1"/>
  <c r="N446" i="67" s="1"/>
  <c r="N447" i="67" s="1"/>
  <c r="N448" i="67" s="1"/>
  <c r="N449" i="67" s="1"/>
  <c r="N450" i="67" s="1"/>
  <c r="N451" i="67" s="1"/>
  <c r="N452" i="67" s="1"/>
  <c r="N453" i="67" s="1"/>
  <c r="N454" i="67" s="1"/>
  <c r="N455" i="67" s="1"/>
  <c r="N456" i="67" s="1"/>
  <c r="N457" i="67" s="1"/>
  <c r="N458" i="67" s="1"/>
  <c r="N459" i="67" s="1"/>
  <c r="N460" i="67" s="1"/>
  <c r="N461" i="67" s="1"/>
  <c r="N462" i="67" s="1"/>
  <c r="N463" i="67" s="1"/>
  <c r="N464" i="67" s="1"/>
  <c r="N465" i="67" s="1"/>
  <c r="N466" i="67" s="1"/>
  <c r="N467" i="67" s="1"/>
  <c r="N468" i="67" s="1"/>
  <c r="N469" i="67" s="1"/>
  <c r="N470" i="67" s="1"/>
  <c r="N471" i="67" s="1"/>
  <c r="N472" i="67" s="1"/>
  <c r="N473" i="67" s="1"/>
  <c r="N474" i="67" s="1"/>
  <c r="N475" i="67" s="1"/>
  <c r="N476" i="67" s="1"/>
  <c r="N477" i="67" s="1"/>
  <c r="N478" i="67" s="1"/>
  <c r="N479" i="67" s="1"/>
  <c r="N480" i="67" s="1"/>
  <c r="N481" i="67" s="1"/>
  <c r="N482" i="67" s="1"/>
  <c r="N483" i="67" s="1"/>
  <c r="N484" i="67" s="1"/>
  <c r="N485" i="67" s="1"/>
  <c r="N486" i="67" s="1"/>
  <c r="N487" i="67" s="1"/>
  <c r="N488" i="67" s="1"/>
  <c r="N489" i="67" s="1"/>
  <c r="N490" i="67" s="1"/>
  <c r="N491" i="67" s="1"/>
  <c r="N492" i="67" s="1"/>
  <c r="N493" i="67" s="1"/>
  <c r="N494" i="67" s="1"/>
  <c r="N495" i="67" s="1"/>
  <c r="N496" i="67" s="1"/>
  <c r="N497" i="67" s="1"/>
  <c r="N498" i="67" s="1"/>
  <c r="N499" i="67" s="1"/>
  <c r="N500" i="67" s="1"/>
  <c r="N501" i="67" s="1"/>
  <c r="N502" i="67" s="1"/>
  <c r="N503" i="67" s="1"/>
  <c r="N504" i="67" s="1"/>
  <c r="N505" i="67" s="1"/>
  <c r="N506" i="67" s="1"/>
  <c r="N507" i="67" s="1"/>
  <c r="N508" i="67" s="1"/>
  <c r="N509" i="67" s="1"/>
  <c r="N510" i="67" s="1"/>
  <c r="N511" i="67" s="1"/>
  <c r="N512" i="67" s="1"/>
  <c r="N513" i="67" s="1"/>
  <c r="N514" i="67" s="1"/>
  <c r="N515" i="67" s="1"/>
  <c r="N516" i="67" s="1"/>
  <c r="N517" i="67" s="1"/>
  <c r="N518" i="67" s="1"/>
  <c r="N519" i="67" s="1"/>
  <c r="N520" i="67" s="1"/>
  <c r="N521" i="67" s="1"/>
  <c r="N522" i="67" s="1"/>
  <c r="N523" i="67" s="1"/>
  <c r="N524" i="67" s="1"/>
  <c r="N525" i="67" s="1"/>
  <c r="N526" i="67" s="1"/>
  <c r="N527" i="67" s="1"/>
  <c r="N528" i="67" s="1"/>
  <c r="N529" i="67" s="1"/>
  <c r="N530" i="67" s="1"/>
  <c r="N531" i="67" s="1"/>
  <c r="N532" i="67" s="1"/>
  <c r="N533" i="67" s="1"/>
  <c r="N534" i="67" s="1"/>
  <c r="N535" i="67" s="1"/>
  <c r="N536" i="67" s="1"/>
  <c r="N537" i="67" s="1"/>
  <c r="N538" i="67" s="1"/>
  <c r="N539" i="67" s="1"/>
  <c r="N540" i="67" s="1"/>
  <c r="N541" i="67" s="1"/>
  <c r="N542" i="67" s="1"/>
  <c r="N543" i="67" s="1"/>
  <c r="N544" i="67" s="1"/>
  <c r="N545" i="67" s="1"/>
  <c r="N546" i="67" s="1"/>
  <c r="N547" i="67" s="1"/>
  <c r="N548" i="67" s="1"/>
  <c r="N549" i="67" s="1"/>
  <c r="N550" i="67" s="1"/>
  <c r="N551" i="67" s="1"/>
  <c r="N552" i="67" s="1"/>
  <c r="N553" i="67" s="1"/>
  <c r="N554" i="67" s="1"/>
  <c r="N555" i="67" s="1"/>
  <c r="N556" i="67" s="1"/>
  <c r="N557" i="67" s="1"/>
  <c r="N558" i="67" s="1"/>
  <c r="N559" i="67" s="1"/>
  <c r="N560" i="67" s="1"/>
  <c r="N561" i="67" s="1"/>
  <c r="N562" i="67" s="1"/>
  <c r="N563" i="67" s="1"/>
  <c r="N564" i="67" s="1"/>
  <c r="N565" i="67" s="1"/>
  <c r="N566" i="67" s="1"/>
  <c r="N567" i="67" s="1"/>
  <c r="N568" i="67" s="1"/>
  <c r="N569" i="67" s="1"/>
  <c r="N570" i="67" s="1"/>
  <c r="N571" i="67" s="1"/>
  <c r="N572" i="67" s="1"/>
  <c r="N573" i="67" s="1"/>
  <c r="N574" i="67" s="1"/>
  <c r="N575" i="67" s="1"/>
  <c r="N576" i="67" s="1"/>
  <c r="N577" i="67" s="1"/>
  <c r="N578" i="67" s="1"/>
  <c r="N579" i="67" s="1"/>
  <c r="N580" i="67" s="1"/>
  <c r="N581" i="67" s="1"/>
  <c r="N582" i="67" s="1"/>
  <c r="N583" i="67" s="1"/>
  <c r="N29" i="67"/>
  <c r="O6" i="67"/>
  <c r="P5" i="67"/>
  <c r="AB74" i="37"/>
  <c r="AB73" i="37"/>
  <c r="AB72" i="37"/>
  <c r="AB71" i="37"/>
  <c r="AB70" i="37"/>
  <c r="AB69" i="37"/>
  <c r="AB68" i="37"/>
  <c r="AB67" i="37"/>
  <c r="AB66" i="37"/>
  <c r="AB65" i="37"/>
  <c r="AB64" i="37"/>
  <c r="AB63" i="37"/>
  <c r="AB62" i="37"/>
  <c r="AB61" i="37"/>
  <c r="AB60" i="37"/>
  <c r="AB59" i="37"/>
  <c r="AB58" i="37"/>
  <c r="AB57" i="37"/>
  <c r="AB56" i="37"/>
  <c r="AB55" i="37"/>
  <c r="AB54" i="37"/>
  <c r="AB53" i="37"/>
  <c r="AB52" i="37"/>
  <c r="AB51" i="37"/>
  <c r="AB50" i="37"/>
  <c r="AB49" i="37"/>
  <c r="AB48" i="37"/>
  <c r="AB47" i="37"/>
  <c r="AB46" i="37"/>
  <c r="AB43" i="37"/>
  <c r="AB42" i="37"/>
  <c r="AB41" i="37"/>
  <c r="AB40" i="37"/>
  <c r="AB39" i="37"/>
  <c r="AB38" i="37"/>
  <c r="AB37" i="37"/>
  <c r="AB36" i="37"/>
  <c r="AB34" i="37"/>
  <c r="BH33" i="37"/>
  <c r="BG33" i="37"/>
  <c r="AB33" i="37"/>
  <c r="V33" i="37"/>
  <c r="U33" i="37"/>
  <c r="BB32" i="37"/>
  <c r="AY32" i="37"/>
  <c r="AW32" i="37"/>
  <c r="AU32" i="37"/>
  <c r="AB32" i="37"/>
  <c r="E32" i="37"/>
  <c r="BD31" i="37"/>
  <c r="BB31" i="37"/>
  <c r="AU31" i="37"/>
  <c r="E31" i="37"/>
  <c r="AB30" i="37"/>
  <c r="D29" i="37"/>
  <c r="AB28" i="37"/>
  <c r="BD27" i="37"/>
  <c r="AX27" i="37"/>
  <c r="AB27" i="37"/>
  <c r="D27" i="37"/>
  <c r="AB26" i="37"/>
  <c r="D26" i="37"/>
  <c r="AB25" i="37"/>
  <c r="D25" i="37"/>
  <c r="D24" i="37"/>
  <c r="AZ23" i="37"/>
  <c r="AB23" i="37"/>
  <c r="D23" i="37"/>
  <c r="AX22" i="37"/>
  <c r="AB22" i="37"/>
  <c r="D22" i="37"/>
  <c r="AX21" i="37"/>
  <c r="AB21" i="37"/>
  <c r="D21" i="37"/>
  <c r="AZ20" i="37"/>
  <c r="AX20" i="37"/>
  <c r="AS20" i="37"/>
  <c r="AB20" i="37"/>
  <c r="K20" i="37"/>
  <c r="D20" i="37"/>
  <c r="AB19" i="37"/>
  <c r="AI18" i="37"/>
  <c r="AB18" i="37"/>
  <c r="D18" i="37"/>
  <c r="AB17" i="37"/>
  <c r="D17" i="37"/>
  <c r="AB16" i="37"/>
  <c r="D16" i="37"/>
  <c r="AB15" i="37"/>
  <c r="D15" i="37"/>
  <c r="D14" i="37"/>
  <c r="AH13" i="37"/>
  <c r="D13" i="37"/>
  <c r="D12" i="37"/>
  <c r="W33" i="37"/>
  <c r="S11" i="37"/>
  <c r="M11" i="37"/>
  <c r="AO10" i="37"/>
  <c r="D9" i="37"/>
  <c r="AV8" i="37"/>
  <c r="D8" i="37"/>
  <c r="AP7" i="37"/>
  <c r="S7" i="37"/>
  <c r="M7" i="37"/>
  <c r="AU4" i="37"/>
  <c r="AY3" i="37"/>
  <c r="AN33" i="37" s="1"/>
  <c r="AW3" i="37"/>
  <c r="C3" i="37"/>
  <c r="C3" i="77" s="1"/>
  <c r="AG2" i="37"/>
  <c r="L29" i="70" s="1"/>
  <c r="AE2" i="37"/>
  <c r="M2" i="70" s="1"/>
  <c r="M2" i="37"/>
  <c r="T27" i="70"/>
  <c r="P27" i="70"/>
  <c r="N27" i="70"/>
  <c r="T26" i="70"/>
  <c r="P26" i="70"/>
  <c r="N26" i="70"/>
  <c r="T25" i="70"/>
  <c r="P25" i="70"/>
  <c r="N25" i="70"/>
  <c r="T24" i="70"/>
  <c r="P24" i="70"/>
  <c r="N24" i="70"/>
  <c r="T23" i="70"/>
  <c r="P23" i="70"/>
  <c r="N23" i="70"/>
  <c r="T22" i="70"/>
  <c r="P22" i="70"/>
  <c r="N22" i="70"/>
  <c r="T21" i="70"/>
  <c r="P21" i="70"/>
  <c r="N21" i="70"/>
  <c r="T20" i="70"/>
  <c r="P20" i="70"/>
  <c r="N20" i="70"/>
  <c r="H20" i="70"/>
  <c r="T19" i="70"/>
  <c r="P19" i="70"/>
  <c r="N19" i="70"/>
  <c r="T18" i="70"/>
  <c r="P18" i="70"/>
  <c r="N18" i="70"/>
  <c r="T17" i="70"/>
  <c r="P17" i="70"/>
  <c r="N17" i="70"/>
  <c r="T16" i="70"/>
  <c r="P16" i="70"/>
  <c r="N16" i="70"/>
  <c r="T15" i="70"/>
  <c r="P15" i="70"/>
  <c r="N15" i="70"/>
  <c r="T14" i="70"/>
  <c r="P14" i="70"/>
  <c r="N14" i="70"/>
  <c r="T13" i="70"/>
  <c r="P13" i="70"/>
  <c r="N13" i="70"/>
  <c r="F9" i="70"/>
  <c r="F8" i="70"/>
  <c r="D7" i="70"/>
  <c r="C2" i="70"/>
  <c r="W33" i="77"/>
  <c r="V33" i="77"/>
  <c r="AD13" i="77"/>
  <c r="AH33" i="77" s="1"/>
  <c r="H33" i="77" s="1"/>
  <c r="AC9" i="77"/>
  <c r="C2" i="77"/>
  <c r="AH12" i="37"/>
  <c r="J18" i="37" l="1"/>
  <c r="F8" i="37"/>
  <c r="AJ7" i="77"/>
  <c r="M7" i="77" s="1"/>
  <c r="R18" i="37"/>
  <c r="T26" i="37"/>
  <c r="D7" i="37"/>
  <c r="D11" i="37"/>
  <c r="I29" i="37"/>
  <c r="J7" i="37"/>
  <c r="D6" i="37"/>
  <c r="E6" i="37"/>
  <c r="D10" i="37"/>
  <c r="K8" i="37"/>
  <c r="N4" i="37"/>
  <c r="L4" i="37"/>
  <c r="P8" i="37"/>
  <c r="H4" i="37"/>
  <c r="V7" i="37"/>
  <c r="U10" i="37" s="1"/>
  <c r="P7" i="37"/>
  <c r="K10" i="37" s="1"/>
  <c r="H20" i="37"/>
  <c r="N18" i="37"/>
  <c r="AH6" i="77"/>
  <c r="H6" i="77" s="1"/>
  <c r="AJ10" i="77"/>
  <c r="M10" i="77" s="1"/>
  <c r="AI20" i="77"/>
  <c r="K20" i="77" s="1"/>
  <c r="AK30" i="77"/>
  <c r="Q30" i="77" s="1"/>
  <c r="AI24" i="77"/>
  <c r="K24" i="77" s="1"/>
  <c r="AH9" i="77"/>
  <c r="H9" i="77" s="1"/>
  <c r="AK16" i="77"/>
  <c r="Q16" i="77" s="1"/>
  <c r="AK28" i="77"/>
  <c r="Q28" i="77" s="1"/>
  <c r="AI9" i="77"/>
  <c r="K9" i="77" s="1"/>
  <c r="AI17" i="77"/>
  <c r="K17" i="77" s="1"/>
  <c r="AI29" i="77"/>
  <c r="K29" i="77" s="1"/>
  <c r="AG7" i="77"/>
  <c r="F7" i="77" s="1"/>
  <c r="AI12" i="77"/>
  <c r="K12" i="77" s="1"/>
  <c r="AJ20" i="77"/>
  <c r="M20" i="77" s="1"/>
  <c r="AK32" i="77"/>
  <c r="Q32" i="77" s="1"/>
  <c r="AH7" i="77"/>
  <c r="H7" i="77" s="1"/>
  <c r="AJ12" i="77"/>
  <c r="M12" i="77" s="1"/>
  <c r="AI22" i="77"/>
  <c r="K22" i="77" s="1"/>
  <c r="AK13" i="77"/>
  <c r="Q13" i="77" s="1"/>
  <c r="AH25" i="77"/>
  <c r="H25" i="77" s="1"/>
  <c r="AF9" i="77"/>
  <c r="C9" i="77" s="1"/>
  <c r="AK15" i="77"/>
  <c r="Q15" i="77" s="1"/>
  <c r="AK26" i="77"/>
  <c r="Q26" i="77" s="1"/>
  <c r="AG17" i="77"/>
  <c r="F17" i="77" s="1"/>
  <c r="AH21" i="77"/>
  <c r="H21" i="77" s="1"/>
  <c r="AI25" i="77"/>
  <c r="K25" i="77" s="1"/>
  <c r="AI30" i="77"/>
  <c r="K30" i="77" s="1"/>
  <c r="AI7" i="77"/>
  <c r="K7" i="77" s="1"/>
  <c r="AH10" i="77"/>
  <c r="H10" i="77" s="1"/>
  <c r="AI13" i="77"/>
  <c r="K13" i="77" s="1"/>
  <c r="AH17" i="77"/>
  <c r="H17" i="77" s="1"/>
  <c r="AH22" i="77"/>
  <c r="H22" i="77" s="1"/>
  <c r="AJ25" i="77"/>
  <c r="M25" i="77" s="1"/>
  <c r="AJ30" i="77"/>
  <c r="M30" i="77" s="1"/>
  <c r="AK33" i="77"/>
  <c r="Q33" i="77" s="1"/>
  <c r="AK10" i="77"/>
  <c r="Q10" i="77" s="1"/>
  <c r="AJ22" i="77"/>
  <c r="M22" i="77" s="1"/>
  <c r="AG31" i="77"/>
  <c r="F31" i="77" s="1"/>
  <c r="AF6" i="77"/>
  <c r="C6" i="77" s="1"/>
  <c r="AK8" i="77"/>
  <c r="P8" i="77" s="1"/>
  <c r="AK11" i="77"/>
  <c r="Q11" i="77" s="1"/>
  <c r="AI14" i="77"/>
  <c r="K14" i="77" s="1"/>
  <c r="AG19" i="77"/>
  <c r="F19" i="77" s="1"/>
  <c r="AK22" i="77"/>
  <c r="Q22" i="77" s="1"/>
  <c r="AI27" i="77"/>
  <c r="K27" i="77" s="1"/>
  <c r="AH32" i="77"/>
  <c r="H32" i="77" s="1"/>
  <c r="AF8" i="77"/>
  <c r="C8" i="77" s="1"/>
  <c r="AH14" i="77"/>
  <c r="H14" i="77" s="1"/>
  <c r="AJ18" i="77"/>
  <c r="M18" i="77" s="1"/>
  <c r="AH27" i="77"/>
  <c r="H27" i="77" s="1"/>
  <c r="AG6" i="77"/>
  <c r="F6" i="77" s="1"/>
  <c r="AG12" i="77"/>
  <c r="F12" i="77" s="1"/>
  <c r="AH15" i="77"/>
  <c r="H15" i="77" s="1"/>
  <c r="AH19" i="77"/>
  <c r="H19" i="77" s="1"/>
  <c r="AG24" i="77"/>
  <c r="F24" i="77" s="1"/>
  <c r="AJ27" i="77"/>
  <c r="M27" i="77" s="1"/>
  <c r="AJ32" i="77"/>
  <c r="M32" i="77" s="1"/>
  <c r="E7" i="37"/>
  <c r="L20" i="37"/>
  <c r="N14" i="37"/>
  <c r="N13" i="37"/>
  <c r="BB10" i="37"/>
  <c r="N22" i="37"/>
  <c r="AI10" i="77"/>
  <c r="K10" i="77" s="1"/>
  <c r="AK12" i="77"/>
  <c r="Q12" i="77" s="1"/>
  <c r="AI15" i="77"/>
  <c r="K15" i="77" s="1"/>
  <c r="AJ17" i="77"/>
  <c r="M17" i="77" s="1"/>
  <c r="AK20" i="77"/>
  <c r="Q20" i="77" s="1"/>
  <c r="AJ23" i="77"/>
  <c r="M23" i="77" s="1"/>
  <c r="AK25" i="77"/>
  <c r="Q25" i="77" s="1"/>
  <c r="AG29" i="77"/>
  <c r="F29" i="77" s="1"/>
  <c r="AH31" i="77"/>
  <c r="H31" i="77" s="1"/>
  <c r="AI33" i="77"/>
  <c r="K33" i="77" s="1"/>
  <c r="N15" i="37"/>
  <c r="L18" i="37"/>
  <c r="N21" i="37"/>
  <c r="AJ15" i="77"/>
  <c r="M15" i="77" s="1"/>
  <c r="AI18" i="77"/>
  <c r="K18" i="77" s="1"/>
  <c r="AG21" i="77"/>
  <c r="F21" i="77" s="1"/>
  <c r="AK23" i="77"/>
  <c r="Q23" i="77" s="1"/>
  <c r="AG26" i="77"/>
  <c r="F26" i="77" s="1"/>
  <c r="AH29" i="77"/>
  <c r="H29" i="77" s="1"/>
  <c r="AG32" i="77"/>
  <c r="F32" i="77" s="1"/>
  <c r="AJ33" i="77"/>
  <c r="M33" i="77" s="1"/>
  <c r="F9" i="37"/>
  <c r="P20" i="37"/>
  <c r="AV10" i="37"/>
  <c r="F12" i="37"/>
  <c r="N20" i="37"/>
  <c r="N17" i="37"/>
  <c r="AF11" i="77"/>
  <c r="C11" i="77" s="1"/>
  <c r="AJ13" i="77"/>
  <c r="M13" i="77" s="1"/>
  <c r="AG16" i="77"/>
  <c r="F16" i="77" s="1"/>
  <c r="AK18" i="77"/>
  <c r="Q18" i="77" s="1"/>
  <c r="AG22" i="77"/>
  <c r="F22" i="77" s="1"/>
  <c r="AH24" i="77"/>
  <c r="H24" i="77" s="1"/>
  <c r="AG27" i="77"/>
  <c r="F27" i="77" s="1"/>
  <c r="AJ29" i="77"/>
  <c r="M29" i="77" s="1"/>
  <c r="AI32" i="77"/>
  <c r="K32" i="77" s="1"/>
  <c r="N16" i="37"/>
  <c r="J1" i="67"/>
  <c r="K1" i="67"/>
  <c r="B55" i="71"/>
  <c r="C63" i="71"/>
  <c r="C64" i="71" s="1"/>
  <c r="C65" i="71" s="1"/>
  <c r="C66" i="71" s="1"/>
  <c r="B57" i="71" s="1"/>
  <c r="N23" i="37"/>
  <c r="P23" i="37"/>
  <c r="AJ14" i="77"/>
  <c r="M14" i="77" s="1"/>
  <c r="AK29" i="77"/>
  <c r="Q29" i="77" s="1"/>
  <c r="AK17" i="77"/>
  <c r="Q17" i="77" s="1"/>
  <c r="AI21" i="77"/>
  <c r="K21" i="77" s="1"/>
  <c r="AJ24" i="77"/>
  <c r="M24" i="77" s="1"/>
  <c r="AI31" i="77"/>
  <c r="K31" i="77" s="1"/>
  <c r="AJ6" i="77"/>
  <c r="M6" i="77" s="1"/>
  <c r="AH8" i="77"/>
  <c r="H8" i="77" s="1"/>
  <c r="AK9" i="77"/>
  <c r="Q9" i="77" s="1"/>
  <c r="AI11" i="77"/>
  <c r="K11" i="77" s="1"/>
  <c r="AG13" i="77"/>
  <c r="F13" i="77" s="1"/>
  <c r="AK14" i="77"/>
  <c r="Q14" i="77" s="1"/>
  <c r="AI16" i="77"/>
  <c r="K16" i="77" s="1"/>
  <c r="AG18" i="77"/>
  <c r="F18" i="77" s="1"/>
  <c r="AJ19" i="77"/>
  <c r="M19" i="77" s="1"/>
  <c r="AJ21" i="77"/>
  <c r="M21" i="77" s="1"/>
  <c r="AH23" i="77"/>
  <c r="H23" i="77" s="1"/>
  <c r="AK24" i="77"/>
  <c r="Q24" i="77" s="1"/>
  <c r="AI26" i="77"/>
  <c r="K26" i="77" s="1"/>
  <c r="AI28" i="77"/>
  <c r="K28" i="77" s="1"/>
  <c r="AG30" i="77"/>
  <c r="F30" i="77" s="1"/>
  <c r="AJ31" i="77"/>
  <c r="M31" i="77" s="1"/>
  <c r="AI6" i="77"/>
  <c r="K6" i="77" s="1"/>
  <c r="AG8" i="77"/>
  <c r="F8" i="77" s="1"/>
  <c r="AJ9" i="77"/>
  <c r="M9" i="77" s="1"/>
  <c r="AH11" i="77"/>
  <c r="H11" i="77" s="1"/>
  <c r="AH16" i="77"/>
  <c r="H16" i="77" s="1"/>
  <c r="AI19" i="77"/>
  <c r="K19" i="77" s="1"/>
  <c r="AG23" i="77"/>
  <c r="F23" i="77" s="1"/>
  <c r="AH26" i="77"/>
  <c r="H26" i="77" s="1"/>
  <c r="AK27" i="77"/>
  <c r="Q27" i="77" s="1"/>
  <c r="AF7" i="77"/>
  <c r="C7" i="77" s="1"/>
  <c r="AI8" i="77"/>
  <c r="K8" i="77" s="1"/>
  <c r="AF10" i="77"/>
  <c r="C10" i="77" s="1"/>
  <c r="AJ11" i="77"/>
  <c r="M11" i="77" s="1"/>
  <c r="AH13" i="77"/>
  <c r="H13" i="77" s="1"/>
  <c r="AG15" i="77"/>
  <c r="F15" i="77" s="1"/>
  <c r="AJ16" i="77"/>
  <c r="M16" i="77" s="1"/>
  <c r="AH18" i="77"/>
  <c r="H18" i="77" s="1"/>
  <c r="AK19" i="77"/>
  <c r="Q19" i="77" s="1"/>
  <c r="AK21" i="77"/>
  <c r="Q21" i="77" s="1"/>
  <c r="AI23" i="77"/>
  <c r="K23" i="77" s="1"/>
  <c r="AG25" i="77"/>
  <c r="F25" i="77" s="1"/>
  <c r="AJ26" i="77"/>
  <c r="M26" i="77" s="1"/>
  <c r="AJ28" i="77"/>
  <c r="M28" i="77" s="1"/>
  <c r="AH30" i="77"/>
  <c r="H30" i="77" s="1"/>
  <c r="AK31" i="77"/>
  <c r="Q31" i="77" s="1"/>
  <c r="AC9" i="70"/>
  <c r="D30" i="70" s="1"/>
  <c r="AF12" i="77"/>
  <c r="C12" i="77" s="1"/>
  <c r="AF20" i="77"/>
  <c r="C20" i="77" s="1"/>
  <c r="AF28" i="77"/>
  <c r="C28" i="77" s="1"/>
  <c r="AF33" i="77"/>
  <c r="C33" i="77" s="1"/>
  <c r="C3" i="70"/>
  <c r="AF14" i="77"/>
  <c r="C14" i="77" s="1"/>
  <c r="AG20" i="77"/>
  <c r="F20" i="77" s="1"/>
  <c r="AG28" i="77"/>
  <c r="F28" i="77" s="1"/>
  <c r="AG33" i="77"/>
  <c r="F33" i="77" s="1"/>
  <c r="AK6" i="77"/>
  <c r="P6" i="77" s="1"/>
  <c r="AK7" i="77"/>
  <c r="P7" i="77" s="1"/>
  <c r="AJ8" i="77"/>
  <c r="M8" i="77" s="1"/>
  <c r="AG9" i="77"/>
  <c r="F9" i="77" s="1"/>
  <c r="AG10" i="77"/>
  <c r="F10" i="77" s="1"/>
  <c r="AG11" i="77"/>
  <c r="F11" i="77" s="1"/>
  <c r="AH12" i="77"/>
  <c r="H12" i="77" s="1"/>
  <c r="AF13" i="77"/>
  <c r="C13" i="77" s="1"/>
  <c r="AG14" i="77"/>
  <c r="F14" i="77" s="1"/>
  <c r="AF15" i="77"/>
  <c r="C15" i="77" s="1"/>
  <c r="AF16" i="77"/>
  <c r="C16" i="77" s="1"/>
  <c r="AF17" i="77"/>
  <c r="C17" i="77" s="1"/>
  <c r="AF18" i="77"/>
  <c r="C18" i="77" s="1"/>
  <c r="AF19" i="77"/>
  <c r="C19" i="77" s="1"/>
  <c r="AH20" i="77"/>
  <c r="H20" i="77" s="1"/>
  <c r="AF21" i="77"/>
  <c r="C21" i="77" s="1"/>
  <c r="AF22" i="77"/>
  <c r="C22" i="77" s="1"/>
  <c r="AF23" i="77"/>
  <c r="C23" i="77" s="1"/>
  <c r="AF24" i="77"/>
  <c r="C24" i="77" s="1"/>
  <c r="AF25" i="77"/>
  <c r="C25" i="77" s="1"/>
  <c r="AF26" i="77"/>
  <c r="C26" i="77" s="1"/>
  <c r="AF27" i="77"/>
  <c r="C27" i="77" s="1"/>
  <c r="AH28" i="77"/>
  <c r="H28" i="77" s="1"/>
  <c r="AF29" i="77"/>
  <c r="C29" i="77" s="1"/>
  <c r="AF30" i="77"/>
  <c r="C30" i="77" s="1"/>
  <c r="AF31" i="77"/>
  <c r="C31" i="77" s="1"/>
  <c r="AF32" i="77"/>
  <c r="C32" i="77" s="1"/>
  <c r="S16" i="37" l="1"/>
  <c r="T27" i="37"/>
  <c r="S27" i="37" s="1"/>
  <c r="Q10" i="37"/>
  <c r="J5" i="37"/>
  <c r="J4" i="37"/>
  <c r="V8" i="37"/>
  <c r="C33" i="37"/>
  <c r="O20" i="37"/>
  <c r="M22" i="37"/>
  <c r="C31" i="37"/>
  <c r="F7" i="37"/>
  <c r="M20" i="37"/>
  <c r="M21" i="37"/>
  <c r="C32" i="37"/>
  <c r="AI22" i="37"/>
  <c r="D35" i="70"/>
  <c r="AI23" i="37"/>
  <c r="D32" i="70"/>
  <c r="D36" i="70"/>
  <c r="P26" i="37"/>
  <c r="P27" i="37" s="1"/>
  <c r="O27" i="37" s="1"/>
  <c r="D31" i="70"/>
  <c r="AI27" i="37"/>
  <c r="N26" i="37"/>
  <c r="N27" i="37" s="1"/>
  <c r="M27" i="37" s="1"/>
  <c r="AI24" i="37"/>
  <c r="D34" i="70"/>
  <c r="D33" i="70"/>
  <c r="AI25" i="37"/>
  <c r="AI26" i="37"/>
  <c r="O23" i="37"/>
  <c r="M23" i="37"/>
  <c r="AF2" i="37" l="1"/>
  <c r="L1" i="67" l="1"/>
  <c r="M30" i="67" s="1"/>
  <c r="U30" i="67" s="1"/>
  <c r="X30" i="67" l="1"/>
  <c r="R30" i="67"/>
  <c r="W30" i="67" s="1"/>
  <c r="S30" i="67"/>
  <c r="P30" i="67"/>
  <c r="M31" i="67"/>
  <c r="O30" i="67"/>
  <c r="N27" i="67" s="1"/>
  <c r="Q30" i="67"/>
  <c r="T30" i="67"/>
  <c r="V30" i="67" l="1"/>
  <c r="Y30" i="67" s="1"/>
  <c r="T31" i="67"/>
  <c r="U31" i="67"/>
  <c r="P31" i="67"/>
  <c r="R31" i="67"/>
  <c r="S31" i="67"/>
  <c r="Q31" i="67"/>
  <c r="O31" i="67"/>
  <c r="M32" i="67"/>
  <c r="V31" i="67" l="1"/>
  <c r="Y31" i="67" s="1"/>
  <c r="X31" i="67"/>
  <c r="W31" i="67"/>
  <c r="R32" i="67"/>
  <c r="T32" i="67"/>
  <c r="O32" i="67"/>
  <c r="Q32" i="67"/>
  <c r="S32" i="67"/>
  <c r="P32" i="67"/>
  <c r="U32" i="67"/>
  <c r="M33" i="67"/>
  <c r="S33" i="67" l="1"/>
  <c r="T33" i="67"/>
  <c r="P33" i="67"/>
  <c r="R33" i="67"/>
  <c r="U33" i="67"/>
  <c r="Q33" i="67"/>
  <c r="O33" i="67"/>
  <c r="M34" i="67"/>
  <c r="W32" i="67"/>
  <c r="X32" i="67"/>
  <c r="V32" i="67"/>
  <c r="Y32" i="67" s="1"/>
  <c r="X33" i="67" l="1"/>
  <c r="W33" i="67"/>
  <c r="Q34" i="67"/>
  <c r="R34" i="67"/>
  <c r="T34" i="67"/>
  <c r="S34" i="67"/>
  <c r="U34" i="67"/>
  <c r="O34" i="67"/>
  <c r="P34" i="67"/>
  <c r="M35" i="67"/>
  <c r="V33" i="67"/>
  <c r="Y33" i="67" s="1"/>
  <c r="V34" i="67" l="1"/>
  <c r="Y34" i="67" s="1"/>
  <c r="P35" i="67"/>
  <c r="S35" i="67"/>
  <c r="O35" i="67"/>
  <c r="U35" i="67"/>
  <c r="T35" i="67"/>
  <c r="Q35" i="67"/>
  <c r="R35" i="67"/>
  <c r="M36" i="67"/>
  <c r="W34" i="67"/>
  <c r="X34" i="67"/>
  <c r="X35" i="67" l="1"/>
  <c r="W35" i="67"/>
  <c r="T36" i="67"/>
  <c r="R36" i="67"/>
  <c r="S36" i="67"/>
  <c r="O36" i="67"/>
  <c r="Q36" i="67"/>
  <c r="U36" i="67"/>
  <c r="P36" i="67"/>
  <c r="M37" i="67"/>
  <c r="V35" i="67"/>
  <c r="Y35" i="67" s="1"/>
  <c r="V36" i="67" l="1"/>
  <c r="Y36" i="67" s="1"/>
  <c r="X36" i="67"/>
  <c r="W36" i="67"/>
  <c r="U37" i="67"/>
  <c r="P37" i="67"/>
  <c r="S37" i="67"/>
  <c r="T37" i="67"/>
  <c r="O37" i="67"/>
  <c r="Q37" i="67"/>
  <c r="R37" i="67"/>
  <c r="M38" i="67"/>
  <c r="V37" i="67" l="1"/>
  <c r="Y37" i="67" s="1"/>
  <c r="W37" i="67"/>
  <c r="X37" i="67"/>
  <c r="R38" i="67"/>
  <c r="P38" i="67"/>
  <c r="T38" i="67"/>
  <c r="O38" i="67"/>
  <c r="S38" i="67"/>
  <c r="Q38" i="67"/>
  <c r="U38" i="67"/>
  <c r="M39" i="67"/>
  <c r="V38" i="67" l="1"/>
  <c r="Y38" i="67" s="1"/>
  <c r="W38" i="67"/>
  <c r="X38" i="67"/>
  <c r="R39" i="67"/>
  <c r="P39" i="67"/>
  <c r="U39" i="67"/>
  <c r="S39" i="67"/>
  <c r="Q39" i="67"/>
  <c r="T39" i="67"/>
  <c r="O39" i="67"/>
  <c r="M40" i="67"/>
  <c r="V39" i="67" l="1"/>
  <c r="Y39" i="67" s="1"/>
  <c r="X39" i="67"/>
  <c r="W39" i="67"/>
  <c r="T40" i="67"/>
  <c r="R40" i="67"/>
  <c r="Q40" i="67"/>
  <c r="S40" i="67"/>
  <c r="O40" i="67"/>
  <c r="P40" i="67"/>
  <c r="U40" i="67"/>
  <c r="M41" i="67"/>
  <c r="V40" i="67" l="1"/>
  <c r="Y40" i="67" s="1"/>
  <c r="P41" i="67"/>
  <c r="R41" i="67"/>
  <c r="T41" i="67"/>
  <c r="U41" i="67"/>
  <c r="S41" i="67"/>
  <c r="O41" i="67"/>
  <c r="Q41" i="67"/>
  <c r="M42" i="67"/>
  <c r="W40" i="67"/>
  <c r="X40" i="67"/>
  <c r="V41" i="67" l="1"/>
  <c r="Y41" i="67" s="1"/>
  <c r="S42" i="67"/>
  <c r="O42" i="67"/>
  <c r="T42" i="67"/>
  <c r="R42" i="67"/>
  <c r="U42" i="67"/>
  <c r="P42" i="67"/>
  <c r="Q42" i="67"/>
  <c r="M43" i="67"/>
  <c r="X41" i="67"/>
  <c r="W41" i="67"/>
  <c r="V42" i="67" l="1"/>
  <c r="Y42" i="67" s="1"/>
  <c r="Q43" i="67"/>
  <c r="S43" i="67"/>
  <c r="T43" i="67"/>
  <c r="P43" i="67"/>
  <c r="O43" i="67"/>
  <c r="R43" i="67"/>
  <c r="U43" i="67"/>
  <c r="M44" i="67"/>
  <c r="X42" i="67"/>
  <c r="W42" i="67"/>
  <c r="V43" i="67" l="1"/>
  <c r="Y43" i="67" s="1"/>
  <c r="X43" i="67"/>
  <c r="W43" i="67"/>
  <c r="T44" i="67"/>
  <c r="P44" i="67"/>
  <c r="S44" i="67"/>
  <c r="R44" i="67"/>
  <c r="O44" i="67"/>
  <c r="U44" i="67"/>
  <c r="Q44" i="67"/>
  <c r="M45" i="67"/>
  <c r="V44" i="67" l="1"/>
  <c r="Y44" i="67" s="1"/>
  <c r="T45" i="67"/>
  <c r="R45" i="67"/>
  <c r="Q45" i="67"/>
  <c r="S45" i="67"/>
  <c r="U45" i="67"/>
  <c r="P45" i="67"/>
  <c r="O45" i="67"/>
  <c r="M46" i="67"/>
  <c r="X44" i="67"/>
  <c r="W44" i="67"/>
  <c r="V45" i="67" l="1"/>
  <c r="Y45" i="67" s="1"/>
  <c r="T46" i="67"/>
  <c r="S46" i="67"/>
  <c r="U46" i="67"/>
  <c r="Q46" i="67"/>
  <c r="R46" i="67"/>
  <c r="O46" i="67"/>
  <c r="P46" i="67"/>
  <c r="M47" i="67"/>
  <c r="W45" i="67"/>
  <c r="X45" i="67"/>
  <c r="V46" i="67" l="1"/>
  <c r="Y46" i="67" s="1"/>
  <c r="R47" i="67"/>
  <c r="O47" i="67"/>
  <c r="T47" i="67"/>
  <c r="P47" i="67"/>
  <c r="S47" i="67"/>
  <c r="Q47" i="67"/>
  <c r="U47" i="67"/>
  <c r="M48" i="67"/>
  <c r="X46" i="67"/>
  <c r="W46" i="67"/>
  <c r="V47" i="67" l="1"/>
  <c r="Y47" i="67" s="1"/>
  <c r="P48" i="67"/>
  <c r="O48" i="67"/>
  <c r="S48" i="67"/>
  <c r="Q48" i="67"/>
  <c r="U48" i="67"/>
  <c r="R48" i="67"/>
  <c r="T48" i="67"/>
  <c r="M49" i="67"/>
  <c r="X47" i="67"/>
  <c r="W47" i="67"/>
  <c r="V48" i="67" l="1"/>
  <c r="Y48" i="67" s="1"/>
  <c r="R49" i="67"/>
  <c r="U49" i="67"/>
  <c r="O49" i="67"/>
  <c r="P49" i="67"/>
  <c r="S49" i="67"/>
  <c r="Q49" i="67"/>
  <c r="T49" i="67"/>
  <c r="M50" i="67"/>
  <c r="X48" i="67"/>
  <c r="W48" i="67"/>
  <c r="V49" i="67" l="1"/>
  <c r="Y49" i="67" s="1"/>
  <c r="W49" i="67"/>
  <c r="X49" i="67"/>
  <c r="R50" i="67"/>
  <c r="P50" i="67"/>
  <c r="T50" i="67"/>
  <c r="S50" i="67"/>
  <c r="U50" i="67"/>
  <c r="O50" i="67"/>
  <c r="Q50" i="67"/>
  <c r="M51" i="67"/>
  <c r="V50" i="67" l="1"/>
  <c r="Y50" i="67" s="1"/>
  <c r="T51" i="67"/>
  <c r="U51" i="67"/>
  <c r="P51" i="67"/>
  <c r="R51" i="67"/>
  <c r="S51" i="67"/>
  <c r="Q51" i="67"/>
  <c r="O51" i="67"/>
  <c r="M52" i="67"/>
  <c r="W50" i="67"/>
  <c r="X50" i="67"/>
  <c r="V51" i="67" l="1"/>
  <c r="Y51" i="67" s="1"/>
  <c r="W51" i="67"/>
  <c r="X51" i="67"/>
  <c r="U52" i="67"/>
  <c r="S52" i="67"/>
  <c r="R52" i="67"/>
  <c r="T52" i="67"/>
  <c r="O52" i="67"/>
  <c r="P52" i="67"/>
  <c r="Q52" i="67"/>
  <c r="M53" i="67"/>
  <c r="V52" i="67" l="1"/>
  <c r="Y52" i="67" s="1"/>
  <c r="R53" i="67"/>
  <c r="P53" i="67"/>
  <c r="T53" i="67"/>
  <c r="O53" i="67"/>
  <c r="U53" i="67"/>
  <c r="S53" i="67"/>
  <c r="Q53" i="67"/>
  <c r="M54" i="67"/>
  <c r="X52" i="67"/>
  <c r="W52" i="67"/>
  <c r="V53" i="67" l="1"/>
  <c r="Y53" i="67" s="1"/>
  <c r="X53" i="67"/>
  <c r="W53" i="67"/>
  <c r="R54" i="67"/>
  <c r="Q54" i="67"/>
  <c r="S54" i="67"/>
  <c r="U54" i="67"/>
  <c r="P54" i="67"/>
  <c r="T54" i="67"/>
  <c r="O54" i="67"/>
  <c r="M55" i="67"/>
  <c r="V54" i="67" l="1"/>
  <c r="Y54" i="67" s="1"/>
  <c r="W54" i="67"/>
  <c r="X54" i="67"/>
  <c r="T55" i="67"/>
  <c r="O55" i="67"/>
  <c r="S55" i="67"/>
  <c r="U55" i="67"/>
  <c r="P55" i="67"/>
  <c r="R55" i="67"/>
  <c r="Q55" i="67"/>
  <c r="M56" i="67"/>
  <c r="V55" i="67" l="1"/>
  <c r="Y55" i="67" s="1"/>
  <c r="R56" i="67"/>
  <c r="P56" i="67"/>
  <c r="S56" i="67"/>
  <c r="U56" i="67"/>
  <c r="O56" i="67"/>
  <c r="T56" i="67"/>
  <c r="Q56" i="67"/>
  <c r="M57" i="67"/>
  <c r="W55" i="67"/>
  <c r="X55" i="67"/>
  <c r="V56" i="67" l="1"/>
  <c r="Y56" i="67" s="1"/>
  <c r="S57" i="67"/>
  <c r="R57" i="67"/>
  <c r="O57" i="67"/>
  <c r="P57" i="67"/>
  <c r="U57" i="67"/>
  <c r="T57" i="67"/>
  <c r="Q57" i="67"/>
  <c r="M58" i="67"/>
  <c r="X56" i="67"/>
  <c r="W56" i="67"/>
  <c r="V57" i="67" l="1"/>
  <c r="Y57" i="67" s="1"/>
  <c r="S58" i="67"/>
  <c r="T58" i="67"/>
  <c r="O58" i="67"/>
  <c r="U58" i="67"/>
  <c r="P58" i="67"/>
  <c r="R58" i="67"/>
  <c r="Q58" i="67"/>
  <c r="M59" i="67"/>
  <c r="W57" i="67"/>
  <c r="X57" i="67"/>
  <c r="V58" i="67" l="1"/>
  <c r="Y58" i="67" s="1"/>
  <c r="R59" i="67"/>
  <c r="Q59" i="67"/>
  <c r="P59" i="67"/>
  <c r="S59" i="67"/>
  <c r="T59" i="67"/>
  <c r="O59" i="67"/>
  <c r="U59" i="67"/>
  <c r="M60" i="67"/>
  <c r="W58" i="67"/>
  <c r="X58" i="67"/>
  <c r="V59" i="67" l="1"/>
  <c r="Y59" i="67" s="1"/>
  <c r="T60" i="67"/>
  <c r="R60" i="67"/>
  <c r="P60" i="67"/>
  <c r="S60" i="67"/>
  <c r="O60" i="67"/>
  <c r="U60" i="67"/>
  <c r="M61" i="67"/>
  <c r="Q60" i="67"/>
  <c r="W59" i="67"/>
  <c r="X59" i="67"/>
  <c r="V60" i="67" l="1"/>
  <c r="Y60" i="67" s="1"/>
  <c r="W60" i="67"/>
  <c r="X60" i="67"/>
  <c r="O61" i="67"/>
  <c r="R61" i="67"/>
  <c r="T61" i="67"/>
  <c r="S61" i="67"/>
  <c r="Q61" i="67"/>
  <c r="P61" i="67"/>
  <c r="U61" i="67"/>
  <c r="M62" i="67"/>
  <c r="V61" i="67" l="1"/>
  <c r="Y61" i="67" s="1"/>
  <c r="O62" i="67"/>
  <c r="U62" i="67"/>
  <c r="S62" i="67"/>
  <c r="R62" i="67"/>
  <c r="P62" i="67"/>
  <c r="T62" i="67"/>
  <c r="Q62" i="67"/>
  <c r="M63" i="67"/>
  <c r="X61" i="67"/>
  <c r="W61" i="67"/>
  <c r="V62" i="67" l="1"/>
  <c r="Y62" i="67" s="1"/>
  <c r="R63" i="67"/>
  <c r="P63" i="67"/>
  <c r="T63" i="67"/>
  <c r="S63" i="67"/>
  <c r="O63" i="67"/>
  <c r="U63" i="67"/>
  <c r="Q63" i="67"/>
  <c r="M64" i="67"/>
  <c r="W62" i="67"/>
  <c r="X62" i="67"/>
  <c r="V63" i="67" l="1"/>
  <c r="Y63" i="67" s="1"/>
  <c r="X63" i="67"/>
  <c r="W63" i="67"/>
  <c r="P64" i="67"/>
  <c r="T64" i="67"/>
  <c r="S64" i="67"/>
  <c r="O64" i="67"/>
  <c r="Q64" i="67"/>
  <c r="R64" i="67"/>
  <c r="U64" i="67"/>
  <c r="M65" i="67"/>
  <c r="V64" i="67" l="1"/>
  <c r="Y64" i="67" s="1"/>
  <c r="T65" i="67"/>
  <c r="P65" i="67"/>
  <c r="O65" i="67"/>
  <c r="R65" i="67"/>
  <c r="U65" i="67"/>
  <c r="Q65" i="67"/>
  <c r="S65" i="67"/>
  <c r="M66" i="67"/>
  <c r="W64" i="67"/>
  <c r="X64" i="67"/>
  <c r="V65" i="67" l="1"/>
  <c r="Y65" i="67" s="1"/>
  <c r="P66" i="67"/>
  <c r="O66" i="67"/>
  <c r="Q66" i="67"/>
  <c r="S66" i="67"/>
  <c r="T66" i="67"/>
  <c r="R66" i="67"/>
  <c r="U66" i="67"/>
  <c r="M67" i="67"/>
  <c r="X65" i="67"/>
  <c r="W65" i="67"/>
  <c r="V66" i="67" l="1"/>
  <c r="Y66" i="67" s="1"/>
  <c r="T67" i="67"/>
  <c r="U67" i="67"/>
  <c r="P67" i="67"/>
  <c r="S67" i="67"/>
  <c r="R67" i="67"/>
  <c r="O67" i="67"/>
  <c r="Q67" i="67"/>
  <c r="M68" i="67"/>
  <c r="X66" i="67"/>
  <c r="W66" i="67"/>
  <c r="V67" i="67" l="1"/>
  <c r="Y67" i="67" s="1"/>
  <c r="X67" i="67"/>
  <c r="W67" i="67"/>
  <c r="T68" i="67"/>
  <c r="O68" i="67"/>
  <c r="U68" i="67"/>
  <c r="P68" i="67"/>
  <c r="R68" i="67"/>
  <c r="S68" i="67"/>
  <c r="Q68" i="67"/>
  <c r="M69" i="67"/>
  <c r="V68" i="67" l="1"/>
  <c r="Y68" i="67" s="1"/>
  <c r="S69" i="67"/>
  <c r="R69" i="67"/>
  <c r="U69" i="67"/>
  <c r="O69" i="67"/>
  <c r="P69" i="67"/>
  <c r="T69" i="67"/>
  <c r="Q69" i="67"/>
  <c r="M70" i="67"/>
  <c r="X68" i="67"/>
  <c r="W68" i="67"/>
  <c r="V69" i="67" l="1"/>
  <c r="Y69" i="67" s="1"/>
  <c r="X69" i="67"/>
  <c r="W69" i="67"/>
  <c r="T70" i="67"/>
  <c r="U70" i="67"/>
  <c r="Q70" i="67"/>
  <c r="S70" i="67"/>
  <c r="O70" i="67"/>
  <c r="R70" i="67"/>
  <c r="P70" i="67"/>
  <c r="M71" i="67"/>
  <c r="V70" i="67" l="1"/>
  <c r="Y70" i="67" s="1"/>
  <c r="X70" i="67"/>
  <c r="W70" i="67"/>
  <c r="S71" i="67"/>
  <c r="U71" i="67"/>
  <c r="R71" i="67"/>
  <c r="Q71" i="67"/>
  <c r="P71" i="67"/>
  <c r="T71" i="67"/>
  <c r="O71" i="67"/>
  <c r="M72" i="67"/>
  <c r="V71" i="67" l="1"/>
  <c r="Y71" i="67" s="1"/>
  <c r="O72" i="67"/>
  <c r="T72" i="67"/>
  <c r="S72" i="67"/>
  <c r="R72" i="67"/>
  <c r="Q72" i="67"/>
  <c r="U72" i="67"/>
  <c r="P72" i="67"/>
  <c r="M73" i="67"/>
  <c r="X71" i="67"/>
  <c r="W71" i="67"/>
  <c r="V72" i="67" l="1"/>
  <c r="Y72" i="67" s="1"/>
  <c r="R73" i="67"/>
  <c r="S73" i="67"/>
  <c r="O73" i="67"/>
  <c r="T73" i="67"/>
  <c r="P73" i="67"/>
  <c r="U73" i="67"/>
  <c r="Q73" i="67"/>
  <c r="M74" i="67"/>
  <c r="X72" i="67"/>
  <c r="W72" i="67"/>
  <c r="V73" i="67" l="1"/>
  <c r="Y73" i="67" s="1"/>
  <c r="O74" i="67"/>
  <c r="S74" i="67"/>
  <c r="T74" i="67"/>
  <c r="R74" i="67"/>
  <c r="Q74" i="67"/>
  <c r="U74" i="67"/>
  <c r="P74" i="67"/>
  <c r="M75" i="67"/>
  <c r="W73" i="67"/>
  <c r="X73" i="67"/>
  <c r="V74" i="67" l="1"/>
  <c r="Y74" i="67" s="1"/>
  <c r="P75" i="67"/>
  <c r="U75" i="67"/>
  <c r="T75" i="67"/>
  <c r="R75" i="67"/>
  <c r="S75" i="67"/>
  <c r="O75" i="67"/>
  <c r="Q75" i="67"/>
  <c r="M76" i="67"/>
  <c r="X74" i="67"/>
  <c r="W74" i="67"/>
  <c r="V75" i="67" l="1"/>
  <c r="Y75" i="67" s="1"/>
  <c r="W75" i="67"/>
  <c r="X75" i="67"/>
  <c r="U76" i="67"/>
  <c r="T76" i="67"/>
  <c r="O76" i="67"/>
  <c r="R76" i="67"/>
  <c r="P76" i="67"/>
  <c r="S76" i="67"/>
  <c r="Q76" i="67"/>
  <c r="M77" i="67"/>
  <c r="V76" i="67" l="1"/>
  <c r="Y76" i="67" s="1"/>
  <c r="U77" i="67"/>
  <c r="O77" i="67"/>
  <c r="R77" i="67"/>
  <c r="S77" i="67"/>
  <c r="P77" i="67"/>
  <c r="T77" i="67"/>
  <c r="Q77" i="67"/>
  <c r="M78" i="67"/>
  <c r="X76" i="67"/>
  <c r="W76" i="67"/>
  <c r="V77" i="67" l="1"/>
  <c r="Y77" i="67" s="1"/>
  <c r="P78" i="67"/>
  <c r="Q78" i="67"/>
  <c r="T78" i="67"/>
  <c r="O78" i="67"/>
  <c r="U78" i="67"/>
  <c r="S78" i="67"/>
  <c r="R78" i="67"/>
  <c r="M79" i="67"/>
  <c r="W77" i="67"/>
  <c r="X77" i="67"/>
  <c r="V78" i="67" l="1"/>
  <c r="Y78" i="67" s="1"/>
  <c r="P79" i="67"/>
  <c r="T79" i="67"/>
  <c r="S79" i="67"/>
  <c r="R79" i="67"/>
  <c r="Q79" i="67"/>
  <c r="U79" i="67"/>
  <c r="O79" i="67"/>
  <c r="M80" i="67"/>
  <c r="W78" i="67"/>
  <c r="X78" i="67"/>
  <c r="V79" i="67" l="1"/>
  <c r="Y79" i="67" s="1"/>
  <c r="X79" i="67"/>
  <c r="W79" i="67"/>
  <c r="R80" i="67"/>
  <c r="U80" i="67"/>
  <c r="P80" i="67"/>
  <c r="S80" i="67"/>
  <c r="O80" i="67"/>
  <c r="T80" i="67"/>
  <c r="Q80" i="67"/>
  <c r="M81" i="67"/>
  <c r="V80" i="67" l="1"/>
  <c r="Y80" i="67" s="1"/>
  <c r="P81" i="67"/>
  <c r="S81" i="67"/>
  <c r="O81" i="67"/>
  <c r="R81" i="67"/>
  <c r="T81" i="67"/>
  <c r="U81" i="67"/>
  <c r="Q81" i="67"/>
  <c r="M82" i="67"/>
  <c r="W80" i="67"/>
  <c r="X80" i="67"/>
  <c r="V81" i="67" l="1"/>
  <c r="Y81" i="67" s="1"/>
  <c r="O82" i="67"/>
  <c r="R82" i="67"/>
  <c r="T82" i="67"/>
  <c r="S82" i="67"/>
  <c r="U82" i="67"/>
  <c r="P82" i="67"/>
  <c r="Q82" i="67"/>
  <c r="M83" i="67"/>
  <c r="X81" i="67"/>
  <c r="W81" i="67"/>
  <c r="V82" i="67" l="1"/>
  <c r="Y82" i="67" s="1"/>
  <c r="O83" i="67"/>
  <c r="S83" i="67"/>
  <c r="R83" i="67"/>
  <c r="T83" i="67"/>
  <c r="U83" i="67"/>
  <c r="P83" i="67"/>
  <c r="Q83" i="67"/>
  <c r="M84" i="67"/>
  <c r="W82" i="67"/>
  <c r="X82" i="67"/>
  <c r="V83" i="67" l="1"/>
  <c r="Y83" i="67" s="1"/>
  <c r="T84" i="67"/>
  <c r="P84" i="67"/>
  <c r="O84" i="67"/>
  <c r="R84" i="67"/>
  <c r="U84" i="67"/>
  <c r="Q84" i="67"/>
  <c r="S84" i="67"/>
  <c r="M85" i="67"/>
  <c r="W83" i="67"/>
  <c r="X83" i="67"/>
  <c r="V84" i="67" l="1"/>
  <c r="Y84" i="67" s="1"/>
  <c r="W84" i="67"/>
  <c r="X84" i="67"/>
  <c r="T85" i="67"/>
  <c r="R85" i="67"/>
  <c r="P85" i="67"/>
  <c r="U85" i="67"/>
  <c r="S85" i="67"/>
  <c r="O85" i="67"/>
  <c r="Q85" i="67"/>
  <c r="M86" i="67"/>
  <c r="V85" i="67" l="1"/>
  <c r="Y85" i="67" s="1"/>
  <c r="R86" i="67"/>
  <c r="U86" i="67"/>
  <c r="S86" i="67"/>
  <c r="O86" i="67"/>
  <c r="P86" i="67"/>
  <c r="Q86" i="67"/>
  <c r="T86" i="67"/>
  <c r="M87" i="67"/>
  <c r="X85" i="67"/>
  <c r="W85" i="67"/>
  <c r="V86" i="67" l="1"/>
  <c r="Y86" i="67" s="1"/>
  <c r="O87" i="67"/>
  <c r="R87" i="67"/>
  <c r="S87" i="67"/>
  <c r="Q87" i="67"/>
  <c r="T87" i="67"/>
  <c r="U87" i="67"/>
  <c r="P87" i="67"/>
  <c r="M88" i="67"/>
  <c r="W86" i="67"/>
  <c r="X86" i="67"/>
  <c r="V87" i="67" l="1"/>
  <c r="Y87" i="67" s="1"/>
  <c r="O88" i="67"/>
  <c r="R88" i="67"/>
  <c r="T88" i="67"/>
  <c r="S88" i="67"/>
  <c r="P88" i="67"/>
  <c r="U88" i="67"/>
  <c r="Q88" i="67"/>
  <c r="M89" i="67"/>
  <c r="W87" i="67"/>
  <c r="X87" i="67"/>
  <c r="V88" i="67" l="1"/>
  <c r="Y88" i="67" s="1"/>
  <c r="W88" i="67"/>
  <c r="X88" i="67"/>
  <c r="O89" i="67"/>
  <c r="T89" i="67"/>
  <c r="P89" i="67"/>
  <c r="R89" i="67"/>
  <c r="S89" i="67"/>
  <c r="Q89" i="67"/>
  <c r="U89" i="67"/>
  <c r="M90" i="67"/>
  <c r="V89" i="67" l="1"/>
  <c r="Y89" i="67" s="1"/>
  <c r="S90" i="67"/>
  <c r="R90" i="67"/>
  <c r="P90" i="67"/>
  <c r="U90" i="67"/>
  <c r="T90" i="67"/>
  <c r="Q90" i="67"/>
  <c r="O90" i="67"/>
  <c r="M91" i="67"/>
  <c r="W89" i="67"/>
  <c r="X89" i="67"/>
  <c r="V90" i="67" l="1"/>
  <c r="Y90" i="67" s="1"/>
  <c r="S91" i="67"/>
  <c r="P91" i="67"/>
  <c r="R91" i="67"/>
  <c r="U91" i="67"/>
  <c r="O91" i="67"/>
  <c r="Q91" i="67"/>
  <c r="T91" i="67"/>
  <c r="M92" i="67"/>
  <c r="X90" i="67"/>
  <c r="W90" i="67"/>
  <c r="V91" i="67" l="1"/>
  <c r="Y91" i="67" s="1"/>
  <c r="X91" i="67"/>
  <c r="W91" i="67"/>
  <c r="O92" i="67"/>
  <c r="S92" i="67"/>
  <c r="P92" i="67"/>
  <c r="T92" i="67"/>
  <c r="R92" i="67"/>
  <c r="Q92" i="67"/>
  <c r="U92" i="67"/>
  <c r="M93" i="67"/>
  <c r="V92" i="67" l="1"/>
  <c r="Y92" i="67" s="1"/>
  <c r="W92" i="67"/>
  <c r="X92" i="67"/>
  <c r="T93" i="67"/>
  <c r="P93" i="67"/>
  <c r="O93" i="67"/>
  <c r="U93" i="67"/>
  <c r="S93" i="67"/>
  <c r="R93" i="67"/>
  <c r="Q93" i="67"/>
  <c r="M94" i="67"/>
  <c r="V93" i="67" l="1"/>
  <c r="Y93" i="67" s="1"/>
  <c r="X93" i="67"/>
  <c r="W93" i="67"/>
  <c r="O94" i="67"/>
  <c r="Q94" i="67"/>
  <c r="R94" i="67"/>
  <c r="P94" i="67"/>
  <c r="T94" i="67"/>
  <c r="S94" i="67"/>
  <c r="U94" i="67"/>
  <c r="M95" i="67"/>
  <c r="V94" i="67" l="1"/>
  <c r="Y94" i="67" s="1"/>
  <c r="P95" i="67"/>
  <c r="U95" i="67"/>
  <c r="S95" i="67"/>
  <c r="T95" i="67"/>
  <c r="Q95" i="67"/>
  <c r="R95" i="67"/>
  <c r="O95" i="67"/>
  <c r="M96" i="67"/>
  <c r="X94" i="67"/>
  <c r="W94" i="67"/>
  <c r="V95" i="67" l="1"/>
  <c r="Y95" i="67" s="1"/>
  <c r="X95" i="67"/>
  <c r="W95" i="67"/>
  <c r="T96" i="67"/>
  <c r="P96" i="67"/>
  <c r="O96" i="67"/>
  <c r="U96" i="67"/>
  <c r="S96" i="67"/>
  <c r="R96" i="67"/>
  <c r="Q96" i="67"/>
  <c r="M97" i="67"/>
  <c r="V96" i="67" l="1"/>
  <c r="Y96" i="67" s="1"/>
  <c r="W96" i="67"/>
  <c r="X96" i="67"/>
  <c r="O97" i="67"/>
  <c r="T97" i="67"/>
  <c r="P97" i="67"/>
  <c r="R97" i="67"/>
  <c r="S97" i="67"/>
  <c r="Q97" i="67"/>
  <c r="U97" i="67"/>
  <c r="M98" i="67"/>
  <c r="V97" i="67" l="1"/>
  <c r="Y97" i="67" s="1"/>
  <c r="R98" i="67"/>
  <c r="S98" i="67"/>
  <c r="P98" i="67"/>
  <c r="O98" i="67"/>
  <c r="U98" i="67"/>
  <c r="T98" i="67"/>
  <c r="Q98" i="67"/>
  <c r="M99" i="67"/>
  <c r="X97" i="67"/>
  <c r="W97" i="67"/>
  <c r="V98" i="67" l="1"/>
  <c r="Y98" i="67" s="1"/>
  <c r="W98" i="67"/>
  <c r="X98" i="67"/>
  <c r="T99" i="67"/>
  <c r="S99" i="67"/>
  <c r="U99" i="67"/>
  <c r="O99" i="67"/>
  <c r="R99" i="67"/>
  <c r="P99" i="67"/>
  <c r="Q99" i="67"/>
  <c r="M100" i="67"/>
  <c r="V99" i="67" l="1"/>
  <c r="Y99" i="67" s="1"/>
  <c r="X99" i="67"/>
  <c r="W99" i="67"/>
  <c r="P100" i="67"/>
  <c r="S100" i="67"/>
  <c r="U100" i="67"/>
  <c r="R100" i="67"/>
  <c r="O100" i="67"/>
  <c r="T100" i="67"/>
  <c r="Q100" i="67"/>
  <c r="M101" i="67"/>
  <c r="V100" i="67" l="1"/>
  <c r="Y100" i="67" s="1"/>
  <c r="X100" i="67"/>
  <c r="W100" i="67"/>
  <c r="T101" i="67"/>
  <c r="Q101" i="67"/>
  <c r="S101" i="67"/>
  <c r="U101" i="67"/>
  <c r="P101" i="67"/>
  <c r="O101" i="67"/>
  <c r="R101" i="67"/>
  <c r="M102" i="67"/>
  <c r="V101" i="67" l="1"/>
  <c r="Y101" i="67" s="1"/>
  <c r="W101" i="67"/>
  <c r="X101" i="67"/>
  <c r="Q102" i="67"/>
  <c r="T102" i="67"/>
  <c r="S102" i="67"/>
  <c r="U102" i="67"/>
  <c r="O102" i="67"/>
  <c r="P102" i="67"/>
  <c r="R102" i="67"/>
  <c r="M103" i="67"/>
  <c r="V102" i="67" l="1"/>
  <c r="Y102" i="67" s="1"/>
  <c r="O103" i="67"/>
  <c r="T103" i="67"/>
  <c r="U103" i="67"/>
  <c r="S103" i="67"/>
  <c r="Q103" i="67"/>
  <c r="R103" i="67"/>
  <c r="P103" i="67"/>
  <c r="M104" i="67"/>
  <c r="X102" i="67"/>
  <c r="W102" i="67"/>
  <c r="V103" i="67" l="1"/>
  <c r="Y103" i="67" s="1"/>
  <c r="T104" i="67"/>
  <c r="O104" i="67"/>
  <c r="R104" i="67"/>
  <c r="S104" i="67"/>
  <c r="P104" i="67"/>
  <c r="Q104" i="67"/>
  <c r="U104" i="67"/>
  <c r="M105" i="67"/>
  <c r="X103" i="67"/>
  <c r="W103" i="67"/>
  <c r="V104" i="67" l="1"/>
  <c r="Y104" i="67" s="1"/>
  <c r="S105" i="67"/>
  <c r="O105" i="67"/>
  <c r="T105" i="67"/>
  <c r="P105" i="67"/>
  <c r="R105" i="67"/>
  <c r="Q105" i="67"/>
  <c r="U105" i="67"/>
  <c r="M106" i="67"/>
  <c r="X104" i="67"/>
  <c r="W104" i="67"/>
  <c r="V105" i="67" l="1"/>
  <c r="Y105" i="67" s="1"/>
  <c r="X105" i="67"/>
  <c r="W105" i="67"/>
  <c r="R106" i="67"/>
  <c r="S106" i="67"/>
  <c r="O106" i="67"/>
  <c r="T106" i="67"/>
  <c r="U106" i="67"/>
  <c r="Q106" i="67"/>
  <c r="P106" i="67"/>
  <c r="M107" i="67"/>
  <c r="V106" i="67" l="1"/>
  <c r="Y106" i="67" s="1"/>
  <c r="X106" i="67"/>
  <c r="W106" i="67"/>
  <c r="T107" i="67"/>
  <c r="O107" i="67"/>
  <c r="P107" i="67"/>
  <c r="U107" i="67"/>
  <c r="S107" i="67"/>
  <c r="R107" i="67"/>
  <c r="Q107" i="67"/>
  <c r="M108" i="67"/>
  <c r="V107" i="67" l="1"/>
  <c r="Y107" i="67" s="1"/>
  <c r="T108" i="67"/>
  <c r="S108" i="67"/>
  <c r="O108" i="67"/>
  <c r="P108" i="67"/>
  <c r="R108" i="67"/>
  <c r="Q108" i="67"/>
  <c r="U108" i="67"/>
  <c r="M109" i="67"/>
  <c r="X107" i="67"/>
  <c r="W107" i="67"/>
  <c r="V108" i="67" l="1"/>
  <c r="Y108" i="67" s="1"/>
  <c r="S109" i="67"/>
  <c r="U109" i="67"/>
  <c r="T109" i="67"/>
  <c r="P109" i="67"/>
  <c r="Q109" i="67"/>
  <c r="O109" i="67"/>
  <c r="R109" i="67"/>
  <c r="M110" i="67"/>
  <c r="W108" i="67"/>
  <c r="X108" i="67"/>
  <c r="V109" i="67" l="1"/>
  <c r="Y109" i="67" s="1"/>
  <c r="S110" i="67"/>
  <c r="T110" i="67"/>
  <c r="P110" i="67"/>
  <c r="R110" i="67"/>
  <c r="Q110" i="67"/>
  <c r="O110" i="67"/>
  <c r="U110" i="67"/>
  <c r="M111" i="67"/>
  <c r="W109" i="67"/>
  <c r="X109" i="67"/>
  <c r="V110" i="67" l="1"/>
  <c r="Y110" i="67" s="1"/>
  <c r="W110" i="67"/>
  <c r="X110" i="67"/>
  <c r="R111" i="67"/>
  <c r="T111" i="67"/>
  <c r="P111" i="67"/>
  <c r="Q111" i="67"/>
  <c r="U111" i="67"/>
  <c r="O111" i="67"/>
  <c r="S111" i="67"/>
  <c r="M112" i="67"/>
  <c r="V111" i="67" l="1"/>
  <c r="Y111" i="67" s="1"/>
  <c r="X111" i="67"/>
  <c r="W111" i="67"/>
  <c r="T112" i="67"/>
  <c r="S112" i="67"/>
  <c r="O112" i="67"/>
  <c r="R112" i="67"/>
  <c r="P112" i="67"/>
  <c r="U112" i="67"/>
  <c r="Q112" i="67"/>
  <c r="M113" i="67"/>
  <c r="V112" i="67" l="1"/>
  <c r="Y112" i="67" s="1"/>
  <c r="O113" i="67"/>
  <c r="R113" i="67"/>
  <c r="T113" i="67"/>
  <c r="P113" i="67"/>
  <c r="S113" i="67"/>
  <c r="U113" i="67"/>
  <c r="Q113" i="67"/>
  <c r="M114" i="67"/>
  <c r="X112" i="67"/>
  <c r="W112" i="67"/>
  <c r="V113" i="67" l="1"/>
  <c r="Y113" i="67" s="1"/>
  <c r="S114" i="67"/>
  <c r="O114" i="67"/>
  <c r="U114" i="67"/>
  <c r="T114" i="67"/>
  <c r="Q114" i="67"/>
  <c r="P114" i="67"/>
  <c r="R114" i="67"/>
  <c r="M115" i="67"/>
  <c r="W113" i="67"/>
  <c r="X113" i="67"/>
  <c r="V114" i="67" l="1"/>
  <c r="Y114" i="67" s="1"/>
  <c r="S115" i="67"/>
  <c r="T115" i="67"/>
  <c r="R115" i="67"/>
  <c r="O115" i="67"/>
  <c r="U115" i="67"/>
  <c r="Q115" i="67"/>
  <c r="P115" i="67"/>
  <c r="M116" i="67"/>
  <c r="W114" i="67"/>
  <c r="X114" i="67"/>
  <c r="V115" i="67" l="1"/>
  <c r="Y115" i="67" s="1"/>
  <c r="S116" i="67"/>
  <c r="P116" i="67"/>
  <c r="T116" i="67"/>
  <c r="U116" i="67"/>
  <c r="R116" i="67"/>
  <c r="O116" i="67"/>
  <c r="Q116" i="67"/>
  <c r="M117" i="67"/>
  <c r="W115" i="67"/>
  <c r="X115" i="67"/>
  <c r="V116" i="67" l="1"/>
  <c r="Y116" i="67" s="1"/>
  <c r="W116" i="67"/>
  <c r="X116" i="67"/>
  <c r="P117" i="67"/>
  <c r="U117" i="67"/>
  <c r="T117" i="67"/>
  <c r="S117" i="67"/>
  <c r="O117" i="67"/>
  <c r="Q117" i="67"/>
  <c r="R117" i="67"/>
  <c r="M118" i="67"/>
  <c r="V117" i="67" l="1"/>
  <c r="Y117" i="67" s="1"/>
  <c r="W117" i="67"/>
  <c r="X117" i="67"/>
  <c r="S118" i="67"/>
  <c r="O118" i="67"/>
  <c r="P118" i="67"/>
  <c r="R118" i="67"/>
  <c r="T118" i="67"/>
  <c r="Q118" i="67"/>
  <c r="U118" i="67"/>
  <c r="M119" i="67"/>
  <c r="V118" i="67" l="1"/>
  <c r="Y118" i="67" s="1"/>
  <c r="P119" i="67"/>
  <c r="O119" i="67"/>
  <c r="R119" i="67"/>
  <c r="T119" i="67"/>
  <c r="S119" i="67"/>
  <c r="U119" i="67"/>
  <c r="Q119" i="67"/>
  <c r="M120" i="67"/>
  <c r="W118" i="67"/>
  <c r="X118" i="67"/>
  <c r="V119" i="67" l="1"/>
  <c r="Y119" i="67" s="1"/>
  <c r="P120" i="67"/>
  <c r="T120" i="67"/>
  <c r="O120" i="67"/>
  <c r="R120" i="67"/>
  <c r="U120" i="67"/>
  <c r="S120" i="67"/>
  <c r="Q120" i="67"/>
  <c r="M121" i="67"/>
  <c r="W119" i="67"/>
  <c r="X119" i="67"/>
  <c r="V120" i="67" l="1"/>
  <c r="Y120" i="67" s="1"/>
  <c r="R121" i="67"/>
  <c r="T121" i="67"/>
  <c r="P121" i="67"/>
  <c r="S121" i="67"/>
  <c r="O121" i="67"/>
  <c r="Q121" i="67"/>
  <c r="U121" i="67"/>
  <c r="M122" i="67"/>
  <c r="X120" i="67"/>
  <c r="W120" i="67"/>
  <c r="V121" i="67" l="1"/>
  <c r="Y121" i="67" s="1"/>
  <c r="S122" i="67"/>
  <c r="O122" i="67"/>
  <c r="T122" i="67"/>
  <c r="U122" i="67"/>
  <c r="P122" i="67"/>
  <c r="R122" i="67"/>
  <c r="Q122" i="67"/>
  <c r="M123" i="67"/>
  <c r="W121" i="67"/>
  <c r="X121" i="67"/>
  <c r="V122" i="67" l="1"/>
  <c r="Y122" i="67" s="1"/>
  <c r="X122" i="67"/>
  <c r="W122" i="67"/>
  <c r="R123" i="67"/>
  <c r="T123" i="67"/>
  <c r="O123" i="67"/>
  <c r="P123" i="67"/>
  <c r="S123" i="67"/>
  <c r="U123" i="67"/>
  <c r="Q123" i="67"/>
  <c r="M124" i="67"/>
  <c r="V123" i="67" l="1"/>
  <c r="Y123" i="67" s="1"/>
  <c r="R124" i="67"/>
  <c r="S124" i="67"/>
  <c r="T124" i="67"/>
  <c r="U124" i="67"/>
  <c r="P124" i="67"/>
  <c r="O124" i="67"/>
  <c r="Q124" i="67"/>
  <c r="M125" i="67"/>
  <c r="X123" i="67"/>
  <c r="W123" i="67"/>
  <c r="V124" i="67" l="1"/>
  <c r="Y124" i="67" s="1"/>
  <c r="W124" i="67"/>
  <c r="X124" i="67"/>
  <c r="T125" i="67"/>
  <c r="O125" i="67"/>
  <c r="P125" i="67"/>
  <c r="U125" i="67"/>
  <c r="R125" i="67"/>
  <c r="S125" i="67"/>
  <c r="M126" i="67"/>
  <c r="Q125" i="67"/>
  <c r="V125" i="67" l="1"/>
  <c r="Y125" i="67" s="1"/>
  <c r="X125" i="67"/>
  <c r="W125" i="67"/>
  <c r="O126" i="67"/>
  <c r="R126" i="67"/>
  <c r="T126" i="67"/>
  <c r="Q126" i="67"/>
  <c r="P126" i="67"/>
  <c r="U126" i="67"/>
  <c r="S126" i="67"/>
  <c r="M127" i="67"/>
  <c r="V126" i="67" l="1"/>
  <c r="Y126" i="67" s="1"/>
  <c r="P127" i="67"/>
  <c r="S127" i="67"/>
  <c r="R127" i="67"/>
  <c r="O127" i="67"/>
  <c r="T127" i="67"/>
  <c r="U127" i="67"/>
  <c r="Q127" i="67"/>
  <c r="M128" i="67"/>
  <c r="W126" i="67"/>
  <c r="X126" i="67"/>
  <c r="V127" i="67" l="1"/>
  <c r="Y127" i="67" s="1"/>
  <c r="X127" i="67"/>
  <c r="W127" i="67"/>
  <c r="O128" i="67"/>
  <c r="R128" i="67"/>
  <c r="S128" i="67"/>
  <c r="T128" i="67"/>
  <c r="P128" i="67"/>
  <c r="U128" i="67"/>
  <c r="Q128" i="67"/>
  <c r="M129" i="67"/>
  <c r="V128" i="67" l="1"/>
  <c r="Y128" i="67" s="1"/>
  <c r="O129" i="67"/>
  <c r="P129" i="67"/>
  <c r="Q129" i="67"/>
  <c r="S129" i="67"/>
  <c r="R129" i="67"/>
  <c r="T129" i="67"/>
  <c r="U129" i="67"/>
  <c r="M130" i="67"/>
  <c r="X128" i="67"/>
  <c r="W128" i="67"/>
  <c r="V129" i="67" l="1"/>
  <c r="Y129" i="67" s="1"/>
  <c r="O130" i="67"/>
  <c r="T130" i="67"/>
  <c r="U130" i="67"/>
  <c r="P130" i="67"/>
  <c r="Q130" i="67"/>
  <c r="R130" i="67"/>
  <c r="S130" i="67"/>
  <c r="M131" i="67"/>
  <c r="W129" i="67"/>
  <c r="X129" i="67"/>
  <c r="V130" i="67" l="1"/>
  <c r="Y130" i="67" s="1"/>
  <c r="W130" i="67"/>
  <c r="X130" i="67"/>
  <c r="R131" i="67"/>
  <c r="T131" i="67"/>
  <c r="P131" i="67"/>
  <c r="S131" i="67"/>
  <c r="O131" i="67"/>
  <c r="Q131" i="67"/>
  <c r="U131" i="67"/>
  <c r="M132" i="67"/>
  <c r="V131" i="67" l="1"/>
  <c r="Y131" i="67" s="1"/>
  <c r="X131" i="67"/>
  <c r="W131" i="67"/>
  <c r="R132" i="67"/>
  <c r="O132" i="67"/>
  <c r="T132" i="67"/>
  <c r="Q132" i="67"/>
  <c r="S132" i="67"/>
  <c r="P132" i="67"/>
  <c r="M133" i="67"/>
  <c r="U132" i="67"/>
  <c r="V132" i="67" l="1"/>
  <c r="Y132" i="67" s="1"/>
  <c r="T133" i="67"/>
  <c r="P133" i="67"/>
  <c r="R133" i="67"/>
  <c r="S133" i="67"/>
  <c r="O133" i="67"/>
  <c r="Q133" i="67"/>
  <c r="U133" i="67"/>
  <c r="M134" i="67"/>
  <c r="X132" i="67"/>
  <c r="W132" i="67"/>
  <c r="V133" i="67" l="1"/>
  <c r="Y133" i="67" s="1"/>
  <c r="Q134" i="67"/>
  <c r="O134" i="67"/>
  <c r="T134" i="67"/>
  <c r="P134" i="67"/>
  <c r="R134" i="67"/>
  <c r="S134" i="67"/>
  <c r="U134" i="67"/>
  <c r="M135" i="67"/>
  <c r="X133" i="67"/>
  <c r="W133" i="67"/>
  <c r="V134" i="67" l="1"/>
  <c r="Y134" i="67" s="1"/>
  <c r="S135" i="67"/>
  <c r="T135" i="67"/>
  <c r="P135" i="67"/>
  <c r="U135" i="67"/>
  <c r="O135" i="67"/>
  <c r="R135" i="67"/>
  <c r="Q135" i="67"/>
  <c r="M136" i="67"/>
  <c r="W134" i="67"/>
  <c r="X134" i="67"/>
  <c r="V135" i="67" l="1"/>
  <c r="Y135" i="67" s="1"/>
  <c r="T136" i="67"/>
  <c r="S136" i="67"/>
  <c r="R136" i="67"/>
  <c r="U136" i="67"/>
  <c r="O136" i="67"/>
  <c r="P136" i="67"/>
  <c r="Q136" i="67"/>
  <c r="M137" i="67"/>
  <c r="X135" i="67"/>
  <c r="W135" i="67"/>
  <c r="V136" i="67" l="1"/>
  <c r="Y136" i="67" s="1"/>
  <c r="O137" i="67"/>
  <c r="T137" i="67"/>
  <c r="R137" i="67"/>
  <c r="P137" i="67"/>
  <c r="U137" i="67"/>
  <c r="S137" i="67"/>
  <c r="M138" i="67"/>
  <c r="Q137" i="67"/>
  <c r="W136" i="67"/>
  <c r="X136" i="67"/>
  <c r="V137" i="67" l="1"/>
  <c r="Y137" i="67" s="1"/>
  <c r="P138" i="67"/>
  <c r="R138" i="67"/>
  <c r="T138" i="67"/>
  <c r="S138" i="67"/>
  <c r="Q138" i="67"/>
  <c r="U138" i="67"/>
  <c r="O138" i="67"/>
  <c r="M139" i="67"/>
  <c r="X137" i="67"/>
  <c r="W137" i="67"/>
  <c r="V138" i="67" l="1"/>
  <c r="Y138" i="67" s="1"/>
  <c r="P139" i="67"/>
  <c r="T139" i="67"/>
  <c r="S139" i="67"/>
  <c r="O139" i="67"/>
  <c r="U139" i="67"/>
  <c r="R139" i="67"/>
  <c r="Q139" i="67"/>
  <c r="M140" i="67"/>
  <c r="W138" i="67"/>
  <c r="X138" i="67"/>
  <c r="V139" i="67" l="1"/>
  <c r="Y139" i="67" s="1"/>
  <c r="S140" i="67"/>
  <c r="P140" i="67"/>
  <c r="O140" i="67"/>
  <c r="T140" i="67"/>
  <c r="R140" i="67"/>
  <c r="U140" i="67"/>
  <c r="Q140" i="67"/>
  <c r="M141" i="67"/>
  <c r="W139" i="67"/>
  <c r="X139" i="67"/>
  <c r="V140" i="67" l="1"/>
  <c r="Y140" i="67" s="1"/>
  <c r="S141" i="67"/>
  <c r="T141" i="67"/>
  <c r="P141" i="67"/>
  <c r="R141" i="67"/>
  <c r="O141" i="67"/>
  <c r="U141" i="67"/>
  <c r="M142" i="67"/>
  <c r="Q141" i="67"/>
  <c r="X140" i="67"/>
  <c r="W140" i="67"/>
  <c r="V141" i="67" l="1"/>
  <c r="Y141" i="67" s="1"/>
  <c r="W141" i="67"/>
  <c r="X141" i="67"/>
  <c r="O142" i="67"/>
  <c r="T142" i="67"/>
  <c r="U142" i="67"/>
  <c r="R142" i="67"/>
  <c r="S142" i="67"/>
  <c r="P142" i="67"/>
  <c r="Q142" i="67"/>
  <c r="M143" i="67"/>
  <c r="V142" i="67" l="1"/>
  <c r="Y142" i="67" s="1"/>
  <c r="R143" i="67"/>
  <c r="S143" i="67"/>
  <c r="O143" i="67"/>
  <c r="T143" i="67"/>
  <c r="U143" i="67"/>
  <c r="P143" i="67"/>
  <c r="M144" i="67"/>
  <c r="Q143" i="67"/>
  <c r="X142" i="67"/>
  <c r="W142" i="67"/>
  <c r="V143" i="67" l="1"/>
  <c r="Y143" i="67" s="1"/>
  <c r="W143" i="67"/>
  <c r="X143" i="67"/>
  <c r="O144" i="67"/>
  <c r="S144" i="67"/>
  <c r="T144" i="67"/>
  <c r="R144" i="67"/>
  <c r="P144" i="67"/>
  <c r="U144" i="67"/>
  <c r="Q144" i="67"/>
  <c r="M145" i="67"/>
  <c r="V144" i="67" l="1"/>
  <c r="Y144" i="67" s="1"/>
  <c r="P145" i="67"/>
  <c r="O145" i="67"/>
  <c r="Q145" i="67"/>
  <c r="R145" i="67"/>
  <c r="S145" i="67"/>
  <c r="T145" i="67"/>
  <c r="U145" i="67"/>
  <c r="M146" i="67"/>
  <c r="W144" i="67"/>
  <c r="X144" i="67"/>
  <c r="V145" i="67" l="1"/>
  <c r="Y145" i="67" s="1"/>
  <c r="P146" i="67"/>
  <c r="Q146" i="67"/>
  <c r="S146" i="67"/>
  <c r="R146" i="67"/>
  <c r="T146" i="67"/>
  <c r="U146" i="67"/>
  <c r="O146" i="67"/>
  <c r="M147" i="67"/>
  <c r="X145" i="67"/>
  <c r="W145" i="67"/>
  <c r="V146" i="67" l="1"/>
  <c r="Y146" i="67" s="1"/>
  <c r="X146" i="67"/>
  <c r="W146" i="67"/>
  <c r="T147" i="67"/>
  <c r="U147" i="67"/>
  <c r="O147" i="67"/>
  <c r="R147" i="67"/>
  <c r="S147" i="67"/>
  <c r="P147" i="67"/>
  <c r="Q147" i="67"/>
  <c r="M148" i="67"/>
  <c r="V147" i="67" l="1"/>
  <c r="Y147" i="67" s="1"/>
  <c r="X147" i="67"/>
  <c r="W147" i="67"/>
  <c r="U148" i="67"/>
  <c r="T148" i="67"/>
  <c r="R148" i="67"/>
  <c r="O148" i="67"/>
  <c r="S148" i="67"/>
  <c r="P148" i="67"/>
  <c r="M149" i="67"/>
  <c r="Q148" i="67"/>
  <c r="V148" i="67" l="1"/>
  <c r="Y148" i="67" s="1"/>
  <c r="X148" i="67"/>
  <c r="W148" i="67"/>
  <c r="T149" i="67"/>
  <c r="S149" i="67"/>
  <c r="O149" i="67"/>
  <c r="U149" i="67"/>
  <c r="Q149" i="67"/>
  <c r="M150" i="67"/>
  <c r="P149" i="67"/>
  <c r="R149" i="67"/>
  <c r="V149" i="67" l="1"/>
  <c r="Y149" i="67" s="1"/>
  <c r="X149" i="67"/>
  <c r="W149" i="67"/>
  <c r="R150" i="67"/>
  <c r="U150" i="67"/>
  <c r="P150" i="67"/>
  <c r="O150" i="67"/>
  <c r="S150" i="67"/>
  <c r="T150" i="67"/>
  <c r="Q150" i="67"/>
  <c r="M151" i="67"/>
  <c r="V150" i="67" l="1"/>
  <c r="Y150" i="67" s="1"/>
  <c r="X150" i="67"/>
  <c r="W150" i="67"/>
  <c r="P151" i="67"/>
  <c r="S151" i="67"/>
  <c r="U151" i="67"/>
  <c r="O151" i="67"/>
  <c r="Q151" i="67"/>
  <c r="R151" i="67"/>
  <c r="T151" i="67"/>
  <c r="M152" i="67"/>
  <c r="V151" i="67" l="1"/>
  <c r="Y151" i="67" s="1"/>
  <c r="O152" i="67"/>
  <c r="P152" i="67"/>
  <c r="Q152" i="67"/>
  <c r="U152" i="67"/>
  <c r="S152" i="67"/>
  <c r="R152" i="67"/>
  <c r="T152" i="67"/>
  <c r="M153" i="67"/>
  <c r="W151" i="67"/>
  <c r="X151" i="67"/>
  <c r="V152" i="67" l="1"/>
  <c r="Y152" i="67" s="1"/>
  <c r="O153" i="67"/>
  <c r="S153" i="67"/>
  <c r="Q153" i="67"/>
  <c r="T153" i="67"/>
  <c r="P153" i="67"/>
  <c r="U153" i="67"/>
  <c r="R153" i="67"/>
  <c r="M154" i="67"/>
  <c r="W152" i="67"/>
  <c r="X152" i="67"/>
  <c r="V153" i="67" l="1"/>
  <c r="Y153" i="67" s="1"/>
  <c r="X153" i="67"/>
  <c r="W153" i="67"/>
  <c r="O154" i="67"/>
  <c r="S154" i="67"/>
  <c r="R154" i="67"/>
  <c r="T154" i="67"/>
  <c r="P154" i="67"/>
  <c r="Q154" i="67"/>
  <c r="U154" i="67"/>
  <c r="M155" i="67"/>
  <c r="V154" i="67" l="1"/>
  <c r="Y154" i="67" s="1"/>
  <c r="T155" i="67"/>
  <c r="P155" i="67"/>
  <c r="S155" i="67"/>
  <c r="R155" i="67"/>
  <c r="O155" i="67"/>
  <c r="U155" i="67"/>
  <c r="Q155" i="67"/>
  <c r="M156" i="67"/>
  <c r="X154" i="67"/>
  <c r="W154" i="67"/>
  <c r="V155" i="67" l="1"/>
  <c r="Y155" i="67" s="1"/>
  <c r="S156" i="67"/>
  <c r="T156" i="67"/>
  <c r="R156" i="67"/>
  <c r="O156" i="67"/>
  <c r="P156" i="67"/>
  <c r="Q156" i="67"/>
  <c r="U156" i="67"/>
  <c r="M157" i="67"/>
  <c r="X155" i="67"/>
  <c r="W155" i="67"/>
  <c r="V156" i="67" l="1"/>
  <c r="Y156" i="67" s="1"/>
  <c r="S157" i="67"/>
  <c r="O157" i="67"/>
  <c r="R157" i="67"/>
  <c r="P157" i="67"/>
  <c r="Q157" i="67"/>
  <c r="U157" i="67"/>
  <c r="T157" i="67"/>
  <c r="M158" i="67"/>
  <c r="X156" i="67"/>
  <c r="W156" i="67"/>
  <c r="V157" i="67" l="1"/>
  <c r="Y157" i="67" s="1"/>
  <c r="U158" i="67"/>
  <c r="T158" i="67"/>
  <c r="O158" i="67"/>
  <c r="S158" i="67"/>
  <c r="R158" i="67"/>
  <c r="P158" i="67"/>
  <c r="M159" i="67"/>
  <c r="Q158" i="67"/>
  <c r="X157" i="67"/>
  <c r="W157" i="67"/>
  <c r="V158" i="67" l="1"/>
  <c r="Y158" i="67" s="1"/>
  <c r="S159" i="67"/>
  <c r="U159" i="67"/>
  <c r="T159" i="67"/>
  <c r="P159" i="67"/>
  <c r="R159" i="67"/>
  <c r="O159" i="67"/>
  <c r="Q159" i="67"/>
  <c r="M160" i="67"/>
  <c r="W158" i="67"/>
  <c r="X158" i="67"/>
  <c r="V159" i="67" l="1"/>
  <c r="Y159" i="67" s="1"/>
  <c r="P160" i="67"/>
  <c r="R160" i="67"/>
  <c r="T160" i="67"/>
  <c r="S160" i="67"/>
  <c r="Q160" i="67"/>
  <c r="O160" i="67"/>
  <c r="U160" i="67"/>
  <c r="M161" i="67"/>
  <c r="W159" i="67"/>
  <c r="X159" i="67"/>
  <c r="V160" i="67" l="1"/>
  <c r="Y160" i="67" s="1"/>
  <c r="R161" i="67"/>
  <c r="Q161" i="67"/>
  <c r="O161" i="67"/>
  <c r="U161" i="67"/>
  <c r="T161" i="67"/>
  <c r="P161" i="67"/>
  <c r="S161" i="67"/>
  <c r="M162" i="67"/>
  <c r="W160" i="67"/>
  <c r="X160" i="67"/>
  <c r="V161" i="67" l="1"/>
  <c r="Y161" i="67" s="1"/>
  <c r="T162" i="67"/>
  <c r="P162" i="67"/>
  <c r="U162" i="67"/>
  <c r="S162" i="67"/>
  <c r="R162" i="67"/>
  <c r="O162" i="67"/>
  <c r="Q162" i="67"/>
  <c r="M163" i="67"/>
  <c r="W161" i="67"/>
  <c r="X161" i="67"/>
  <c r="V162" i="67" l="1"/>
  <c r="Y162" i="67" s="1"/>
  <c r="O163" i="67"/>
  <c r="R163" i="67"/>
  <c r="P163" i="67"/>
  <c r="T163" i="67"/>
  <c r="U163" i="67"/>
  <c r="S163" i="67"/>
  <c r="Q163" i="67"/>
  <c r="M164" i="67"/>
  <c r="X162" i="67"/>
  <c r="W162" i="67"/>
  <c r="V163" i="67" l="1"/>
  <c r="Y163" i="67" s="1"/>
  <c r="O164" i="67"/>
  <c r="R164" i="67"/>
  <c r="T164" i="67"/>
  <c r="S164" i="67"/>
  <c r="U164" i="67"/>
  <c r="Q164" i="67"/>
  <c r="P164" i="67"/>
  <c r="M165" i="67"/>
  <c r="W163" i="67"/>
  <c r="X163" i="67"/>
  <c r="V164" i="67" l="1"/>
  <c r="Y164" i="67" s="1"/>
  <c r="P165" i="67"/>
  <c r="S165" i="67"/>
  <c r="O165" i="67"/>
  <c r="R165" i="67"/>
  <c r="U165" i="67"/>
  <c r="T165" i="67"/>
  <c r="Q165" i="67"/>
  <c r="M166" i="67"/>
  <c r="X164" i="67"/>
  <c r="W164" i="67"/>
  <c r="V165" i="67" l="1"/>
  <c r="Y165" i="67" s="1"/>
  <c r="S166" i="67"/>
  <c r="R166" i="67"/>
  <c r="O166" i="67"/>
  <c r="P166" i="67"/>
  <c r="U166" i="67"/>
  <c r="T166" i="67"/>
  <c r="Q166" i="67"/>
  <c r="M167" i="67"/>
  <c r="X165" i="67"/>
  <c r="W165" i="67"/>
  <c r="V166" i="67" l="1"/>
  <c r="Y166" i="67" s="1"/>
  <c r="P167" i="67"/>
  <c r="O167" i="67"/>
  <c r="S167" i="67"/>
  <c r="R167" i="67"/>
  <c r="T167" i="67"/>
  <c r="U167" i="67"/>
  <c r="Q167" i="67"/>
  <c r="M168" i="67"/>
  <c r="X166" i="67"/>
  <c r="W166" i="67"/>
  <c r="V167" i="67" l="1"/>
  <c r="Y167" i="67" s="1"/>
  <c r="P168" i="67"/>
  <c r="O168" i="67"/>
  <c r="R168" i="67"/>
  <c r="U168" i="67"/>
  <c r="S168" i="67"/>
  <c r="Q168" i="67"/>
  <c r="T168" i="67"/>
  <c r="M169" i="67"/>
  <c r="W167" i="67"/>
  <c r="X167" i="67"/>
  <c r="V168" i="67" l="1"/>
  <c r="Y168" i="67" s="1"/>
  <c r="P169" i="67"/>
  <c r="S169" i="67"/>
  <c r="O169" i="67"/>
  <c r="Q169" i="67"/>
  <c r="T169" i="67"/>
  <c r="U169" i="67"/>
  <c r="R169" i="67"/>
  <c r="M170" i="67"/>
  <c r="X168" i="67"/>
  <c r="W168" i="67"/>
  <c r="V169" i="67" l="1"/>
  <c r="Y169" i="67" s="1"/>
  <c r="O170" i="67"/>
  <c r="T170" i="67"/>
  <c r="R170" i="67"/>
  <c r="Q170" i="67"/>
  <c r="S170" i="67"/>
  <c r="P170" i="67"/>
  <c r="U170" i="67"/>
  <c r="M171" i="67"/>
  <c r="X169" i="67"/>
  <c r="W169" i="67"/>
  <c r="V170" i="67" l="1"/>
  <c r="Y170" i="67" s="1"/>
  <c r="T171" i="67"/>
  <c r="R171" i="67"/>
  <c r="P171" i="67"/>
  <c r="U171" i="67"/>
  <c r="O171" i="67"/>
  <c r="S171" i="67"/>
  <c r="Q171" i="67"/>
  <c r="M172" i="67"/>
  <c r="X170" i="67"/>
  <c r="W170" i="67"/>
  <c r="V171" i="67" l="1"/>
  <c r="Y171" i="67" s="1"/>
  <c r="O172" i="67"/>
  <c r="P172" i="67"/>
  <c r="R172" i="67"/>
  <c r="T172" i="67"/>
  <c r="U172" i="67"/>
  <c r="S172" i="67"/>
  <c r="M173" i="67"/>
  <c r="Q172" i="67"/>
  <c r="W171" i="67"/>
  <c r="X171" i="67"/>
  <c r="V172" i="67" l="1"/>
  <c r="Y172" i="67" s="1"/>
  <c r="O173" i="67"/>
  <c r="P173" i="67"/>
  <c r="T173" i="67"/>
  <c r="S173" i="67"/>
  <c r="R173" i="67"/>
  <c r="U173" i="67"/>
  <c r="Q173" i="67"/>
  <c r="M174" i="67"/>
  <c r="X172" i="67"/>
  <c r="W172" i="67"/>
  <c r="V173" i="67" l="1"/>
  <c r="Y173" i="67" s="1"/>
  <c r="P174" i="67"/>
  <c r="O174" i="67"/>
  <c r="S174" i="67"/>
  <c r="Q174" i="67"/>
  <c r="R174" i="67"/>
  <c r="U174" i="67"/>
  <c r="T174" i="67"/>
  <c r="M175" i="67"/>
  <c r="W173" i="67"/>
  <c r="X173" i="67"/>
  <c r="V174" i="67" l="1"/>
  <c r="Y174" i="67" s="1"/>
  <c r="U175" i="67"/>
  <c r="T175" i="67"/>
  <c r="P175" i="67"/>
  <c r="S175" i="67"/>
  <c r="O175" i="67"/>
  <c r="Q175" i="67"/>
  <c r="R175" i="67"/>
  <c r="M176" i="67"/>
  <c r="X174" i="67"/>
  <c r="W174" i="67"/>
  <c r="V175" i="67" l="1"/>
  <c r="Y175" i="67" s="1"/>
  <c r="S176" i="67"/>
  <c r="U176" i="67"/>
  <c r="P176" i="67"/>
  <c r="R176" i="67"/>
  <c r="O176" i="67"/>
  <c r="T176" i="67"/>
  <c r="Q176" i="67"/>
  <c r="M177" i="67"/>
  <c r="X175" i="67"/>
  <c r="W175" i="67"/>
  <c r="V176" i="67" l="1"/>
  <c r="Y176" i="67" s="1"/>
  <c r="S177" i="67"/>
  <c r="O177" i="67"/>
  <c r="U177" i="67"/>
  <c r="T177" i="67"/>
  <c r="P177" i="67"/>
  <c r="Q177" i="67"/>
  <c r="R177" i="67"/>
  <c r="M178" i="67"/>
  <c r="X176" i="67"/>
  <c r="W176" i="67"/>
  <c r="V177" i="67" l="1"/>
  <c r="Y177" i="67" s="1"/>
  <c r="P178" i="67"/>
  <c r="T178" i="67"/>
  <c r="R178" i="67"/>
  <c r="U178" i="67"/>
  <c r="S178" i="67"/>
  <c r="Q178" i="67"/>
  <c r="O178" i="67"/>
  <c r="M179" i="67"/>
  <c r="W177" i="67"/>
  <c r="X177" i="67"/>
  <c r="V178" i="67" l="1"/>
  <c r="Y178" i="67" s="1"/>
  <c r="S179" i="67"/>
  <c r="R179" i="67"/>
  <c r="Q179" i="67"/>
  <c r="U179" i="67"/>
  <c r="P179" i="67"/>
  <c r="O179" i="67"/>
  <c r="T179" i="67"/>
  <c r="M180" i="67"/>
  <c r="W178" i="67"/>
  <c r="X178" i="67"/>
  <c r="V179" i="67" l="1"/>
  <c r="Y179" i="67" s="1"/>
  <c r="O180" i="67"/>
  <c r="R180" i="67"/>
  <c r="P180" i="67"/>
  <c r="U180" i="67"/>
  <c r="T180" i="67"/>
  <c r="S180" i="67"/>
  <c r="Q180" i="67"/>
  <c r="M181" i="67"/>
  <c r="X179" i="67"/>
  <c r="W179" i="67"/>
  <c r="V180" i="67" l="1"/>
  <c r="Y180" i="67" s="1"/>
  <c r="S181" i="67"/>
  <c r="U181" i="67"/>
  <c r="T181" i="67"/>
  <c r="O181" i="67"/>
  <c r="P181" i="67"/>
  <c r="R181" i="67"/>
  <c r="Q181" i="67"/>
  <c r="M182" i="67"/>
  <c r="W180" i="67"/>
  <c r="X180" i="67"/>
  <c r="V181" i="67" l="1"/>
  <c r="Y181" i="67" s="1"/>
  <c r="O182" i="67"/>
  <c r="P182" i="67"/>
  <c r="U182" i="67"/>
  <c r="T182" i="67"/>
  <c r="Q182" i="67"/>
  <c r="R182" i="67"/>
  <c r="S182" i="67"/>
  <c r="M183" i="67"/>
  <c r="X181" i="67"/>
  <c r="W181" i="67"/>
  <c r="V182" i="67" l="1"/>
  <c r="Y182" i="67" s="1"/>
  <c r="R183" i="67"/>
  <c r="O183" i="67"/>
  <c r="U183" i="67"/>
  <c r="T183" i="67"/>
  <c r="P183" i="67"/>
  <c r="Q183" i="67"/>
  <c r="S183" i="67"/>
  <c r="M184" i="67"/>
  <c r="X182" i="67"/>
  <c r="W182" i="67"/>
  <c r="V183" i="67" l="1"/>
  <c r="Y183" i="67" s="1"/>
  <c r="T184" i="67"/>
  <c r="P184" i="67"/>
  <c r="R184" i="67"/>
  <c r="S184" i="67"/>
  <c r="O184" i="67"/>
  <c r="U184" i="67"/>
  <c r="Q184" i="67"/>
  <c r="M185" i="67"/>
  <c r="X183" i="67"/>
  <c r="W183" i="67"/>
  <c r="V184" i="67" l="1"/>
  <c r="Y184" i="67" s="1"/>
  <c r="T185" i="67"/>
  <c r="P185" i="67"/>
  <c r="S185" i="67"/>
  <c r="Q185" i="67"/>
  <c r="O185" i="67"/>
  <c r="R185" i="67"/>
  <c r="U185" i="67"/>
  <c r="M186" i="67"/>
  <c r="X184" i="67"/>
  <c r="W184" i="67"/>
  <c r="V185" i="67" l="1"/>
  <c r="Y185" i="67" s="1"/>
  <c r="R186" i="67"/>
  <c r="T186" i="67"/>
  <c r="S186" i="67"/>
  <c r="P186" i="67"/>
  <c r="U186" i="67"/>
  <c r="Q186" i="67"/>
  <c r="O186" i="67"/>
  <c r="M187" i="67"/>
  <c r="X185" i="67"/>
  <c r="W185" i="67"/>
  <c r="V186" i="67" l="1"/>
  <c r="Y186" i="67" s="1"/>
  <c r="P187" i="67"/>
  <c r="R187" i="67"/>
  <c r="O187" i="67"/>
  <c r="S187" i="67"/>
  <c r="U187" i="67"/>
  <c r="T187" i="67"/>
  <c r="Q187" i="67"/>
  <c r="M188" i="67"/>
  <c r="W186" i="67"/>
  <c r="X186" i="67"/>
  <c r="V187" i="67" l="1"/>
  <c r="Y187" i="67" s="1"/>
  <c r="X187" i="67"/>
  <c r="W187" i="67"/>
  <c r="O188" i="67"/>
  <c r="S188" i="67"/>
  <c r="R188" i="67"/>
  <c r="T188" i="67"/>
  <c r="P188" i="67"/>
  <c r="U188" i="67"/>
  <c r="Q188" i="67"/>
  <c r="M189" i="67"/>
  <c r="V188" i="67" l="1"/>
  <c r="Y188" i="67" s="1"/>
  <c r="X188" i="67"/>
  <c r="W188" i="67"/>
  <c r="S189" i="67"/>
  <c r="U189" i="67"/>
  <c r="O189" i="67"/>
  <c r="R189" i="67"/>
  <c r="Q189" i="67"/>
  <c r="P189" i="67"/>
  <c r="T189" i="67"/>
  <c r="M190" i="67"/>
  <c r="V189" i="67" l="1"/>
  <c r="Y189" i="67" s="1"/>
  <c r="X189" i="67"/>
  <c r="W189" i="67"/>
  <c r="Q190" i="67"/>
  <c r="T190" i="67"/>
  <c r="O190" i="67"/>
  <c r="R190" i="67"/>
  <c r="S190" i="67"/>
  <c r="P190" i="67"/>
  <c r="U190" i="67"/>
  <c r="M191" i="67"/>
  <c r="V190" i="67" l="1"/>
  <c r="Y190" i="67" s="1"/>
  <c r="P191" i="67"/>
  <c r="R191" i="67"/>
  <c r="S191" i="67"/>
  <c r="U191" i="67"/>
  <c r="O191" i="67"/>
  <c r="T191" i="67"/>
  <c r="Q191" i="67"/>
  <c r="M192" i="67"/>
  <c r="X190" i="67"/>
  <c r="W190" i="67"/>
  <c r="V191" i="67" l="1"/>
  <c r="Y191" i="67" s="1"/>
  <c r="W191" i="67"/>
  <c r="X191" i="67"/>
  <c r="O192" i="67"/>
  <c r="S192" i="67"/>
  <c r="U192" i="67"/>
  <c r="R192" i="67"/>
  <c r="T192" i="67"/>
  <c r="P192" i="67"/>
  <c r="M193" i="67"/>
  <c r="Q192" i="67"/>
  <c r="V192" i="67" l="1"/>
  <c r="Y192" i="67" s="1"/>
  <c r="S193" i="67"/>
  <c r="O193" i="67"/>
  <c r="U193" i="67"/>
  <c r="Q193" i="67"/>
  <c r="P193" i="67"/>
  <c r="M194" i="67"/>
  <c r="T193" i="67"/>
  <c r="R193" i="67"/>
  <c r="X192" i="67"/>
  <c r="W192" i="67"/>
  <c r="V193" i="67" l="1"/>
  <c r="Y193" i="67" s="1"/>
  <c r="W193" i="67"/>
  <c r="X193" i="67"/>
  <c r="S194" i="67"/>
  <c r="U194" i="67"/>
  <c r="T194" i="67"/>
  <c r="Q194" i="67"/>
  <c r="R194" i="67"/>
  <c r="P194" i="67"/>
  <c r="O194" i="67"/>
  <c r="M195" i="67"/>
  <c r="V194" i="67" l="1"/>
  <c r="Y194" i="67" s="1"/>
  <c r="X194" i="67"/>
  <c r="W194" i="67"/>
  <c r="O195" i="67"/>
  <c r="R195" i="67"/>
  <c r="T195" i="67"/>
  <c r="U195" i="67"/>
  <c r="S195" i="67"/>
  <c r="P195" i="67"/>
  <c r="Q195" i="67"/>
  <c r="M196" i="67"/>
  <c r="V195" i="67" l="1"/>
  <c r="Y195" i="67" s="1"/>
  <c r="T196" i="67"/>
  <c r="P196" i="67"/>
  <c r="S196" i="67"/>
  <c r="U196" i="67"/>
  <c r="O196" i="67"/>
  <c r="Q196" i="67"/>
  <c r="R196" i="67"/>
  <c r="M197" i="67"/>
  <c r="X195" i="67"/>
  <c r="W195" i="67"/>
  <c r="V196" i="67" l="1"/>
  <c r="Y196" i="67" s="1"/>
  <c r="W196" i="67"/>
  <c r="X196" i="67"/>
  <c r="S197" i="67"/>
  <c r="R197" i="67"/>
  <c r="O197" i="67"/>
  <c r="T197" i="67"/>
  <c r="P197" i="67"/>
  <c r="Q197" i="67"/>
  <c r="U197" i="67"/>
  <c r="M198" i="67"/>
  <c r="V197" i="67" l="1"/>
  <c r="Y197" i="67" s="1"/>
  <c r="R198" i="67"/>
  <c r="P198" i="67"/>
  <c r="T198" i="67"/>
  <c r="O198" i="67"/>
  <c r="S198" i="67"/>
  <c r="U198" i="67"/>
  <c r="Q198" i="67"/>
  <c r="M199" i="67"/>
  <c r="X197" i="67"/>
  <c r="W197" i="67"/>
  <c r="V198" i="67" l="1"/>
  <c r="Y198" i="67" s="1"/>
  <c r="R199" i="67"/>
  <c r="S199" i="67"/>
  <c r="O199" i="67"/>
  <c r="U199" i="67"/>
  <c r="P199" i="67"/>
  <c r="T199" i="67"/>
  <c r="Q199" i="67"/>
  <c r="M200" i="67"/>
  <c r="W198" i="67"/>
  <c r="X198" i="67"/>
  <c r="V199" i="67" l="1"/>
  <c r="Y199" i="67" s="1"/>
  <c r="P200" i="67"/>
  <c r="R200" i="67"/>
  <c r="O200" i="67"/>
  <c r="T200" i="67"/>
  <c r="U200" i="67"/>
  <c r="S200" i="67"/>
  <c r="Q200" i="67"/>
  <c r="M201" i="67"/>
  <c r="W199" i="67"/>
  <c r="X199" i="67"/>
  <c r="V200" i="67" l="1"/>
  <c r="Y200" i="67" s="1"/>
  <c r="W200" i="67"/>
  <c r="X200" i="67"/>
  <c r="O201" i="67"/>
  <c r="R201" i="67"/>
  <c r="S201" i="67"/>
  <c r="Q201" i="67"/>
  <c r="T201" i="67"/>
  <c r="P201" i="67"/>
  <c r="U201" i="67"/>
  <c r="M202" i="67"/>
  <c r="V201" i="67" l="1"/>
  <c r="Y201" i="67" s="1"/>
  <c r="W201" i="67"/>
  <c r="X201" i="67"/>
  <c r="P202" i="67"/>
  <c r="O202" i="67"/>
  <c r="T202" i="67"/>
  <c r="Q202" i="67"/>
  <c r="R202" i="67"/>
  <c r="S202" i="67"/>
  <c r="U202" i="67"/>
  <c r="M203" i="67"/>
  <c r="V202" i="67" l="1"/>
  <c r="Y202" i="67" s="1"/>
  <c r="P203" i="67"/>
  <c r="O203" i="67"/>
  <c r="S203" i="67"/>
  <c r="T203" i="67"/>
  <c r="U203" i="67"/>
  <c r="Q203" i="67"/>
  <c r="R203" i="67"/>
  <c r="M204" i="67"/>
  <c r="X202" i="67"/>
  <c r="W202" i="67"/>
  <c r="V203" i="67" l="1"/>
  <c r="Y203" i="67" s="1"/>
  <c r="W203" i="67"/>
  <c r="X203" i="67"/>
  <c r="T204" i="67"/>
  <c r="P204" i="67"/>
  <c r="R204" i="67"/>
  <c r="S204" i="67"/>
  <c r="O204" i="67"/>
  <c r="U204" i="67"/>
  <c r="Q204" i="67"/>
  <c r="M205" i="67"/>
  <c r="V204" i="67" l="1"/>
  <c r="Y204" i="67" s="1"/>
  <c r="O205" i="67"/>
  <c r="P205" i="67"/>
  <c r="S205" i="67"/>
  <c r="Q205" i="67"/>
  <c r="R205" i="67"/>
  <c r="U205" i="67"/>
  <c r="T205" i="67"/>
  <c r="M206" i="67"/>
  <c r="X204" i="67"/>
  <c r="W204" i="67"/>
  <c r="V205" i="67" l="1"/>
  <c r="Y205" i="67" s="1"/>
  <c r="P206" i="67"/>
  <c r="T206" i="67"/>
  <c r="S206" i="67"/>
  <c r="R206" i="67"/>
  <c r="O206" i="67"/>
  <c r="Q206" i="67"/>
  <c r="M207" i="67"/>
  <c r="U206" i="67"/>
  <c r="W205" i="67"/>
  <c r="X205" i="67"/>
  <c r="V206" i="67" l="1"/>
  <c r="Y206" i="67" s="1"/>
  <c r="R207" i="67"/>
  <c r="S207" i="67"/>
  <c r="U207" i="67"/>
  <c r="O207" i="67"/>
  <c r="P207" i="67"/>
  <c r="Q207" i="67"/>
  <c r="T207" i="67"/>
  <c r="M208" i="67"/>
  <c r="X206" i="67"/>
  <c r="W206" i="67"/>
  <c r="V207" i="67" l="1"/>
  <c r="Y207" i="67" s="1"/>
  <c r="R208" i="67"/>
  <c r="P208" i="67"/>
  <c r="U208" i="67"/>
  <c r="S208" i="67"/>
  <c r="T208" i="67"/>
  <c r="O208" i="67"/>
  <c r="Q208" i="67"/>
  <c r="M209" i="67"/>
  <c r="X207" i="67"/>
  <c r="W207" i="67"/>
  <c r="V208" i="67" l="1"/>
  <c r="Y208" i="67" s="1"/>
  <c r="X208" i="67"/>
  <c r="W208" i="67"/>
  <c r="Q209" i="67"/>
  <c r="O209" i="67"/>
  <c r="U209" i="67"/>
  <c r="S209" i="67"/>
  <c r="R209" i="67"/>
  <c r="P209" i="67"/>
  <c r="T209" i="67"/>
  <c r="M210" i="67"/>
  <c r="V209" i="67" l="1"/>
  <c r="Y209" i="67" s="1"/>
  <c r="W209" i="67"/>
  <c r="X209" i="67"/>
  <c r="T210" i="67"/>
  <c r="U210" i="67"/>
  <c r="O210" i="67"/>
  <c r="R210" i="67"/>
  <c r="Q210" i="67"/>
  <c r="S210" i="67"/>
  <c r="P210" i="67"/>
  <c r="M211" i="67"/>
  <c r="V210" i="67" l="1"/>
  <c r="Y210" i="67" s="1"/>
  <c r="W210" i="67"/>
  <c r="X210" i="67"/>
  <c r="U211" i="67"/>
  <c r="R211" i="67"/>
  <c r="O211" i="67"/>
  <c r="P211" i="67"/>
  <c r="T211" i="67"/>
  <c r="Q211" i="67"/>
  <c r="S211" i="67"/>
  <c r="M212" i="67"/>
  <c r="V211" i="67" l="1"/>
  <c r="Y211" i="67" s="1"/>
  <c r="X211" i="67"/>
  <c r="W211" i="67"/>
  <c r="T212" i="67"/>
  <c r="R212" i="67"/>
  <c r="P212" i="67"/>
  <c r="S212" i="67"/>
  <c r="O212" i="67"/>
  <c r="U212" i="67"/>
  <c r="M213" i="67"/>
  <c r="Q212" i="67"/>
  <c r="V212" i="67" l="1"/>
  <c r="Y212" i="67" s="1"/>
  <c r="X212" i="67"/>
  <c r="W212" i="67"/>
  <c r="T213" i="67"/>
  <c r="U213" i="67"/>
  <c r="S213" i="67"/>
  <c r="P213" i="67"/>
  <c r="O213" i="67"/>
  <c r="Q213" i="67"/>
  <c r="R213" i="67"/>
  <c r="M214" i="67"/>
  <c r="V213" i="67" l="1"/>
  <c r="Y213" i="67" s="1"/>
  <c r="W213" i="67"/>
  <c r="X213" i="67"/>
  <c r="S214" i="67"/>
  <c r="T214" i="67"/>
  <c r="Q214" i="67"/>
  <c r="U214" i="67"/>
  <c r="O214" i="67"/>
  <c r="P214" i="67"/>
  <c r="M215" i="67"/>
  <c r="R214" i="67"/>
  <c r="V214" i="67" l="1"/>
  <c r="Y214" i="67" s="1"/>
  <c r="X214" i="67"/>
  <c r="W214" i="67"/>
  <c r="R215" i="67"/>
  <c r="T215" i="67"/>
  <c r="O215" i="67"/>
  <c r="S215" i="67"/>
  <c r="U215" i="67"/>
  <c r="Q215" i="67"/>
  <c r="P215" i="67"/>
  <c r="M216" i="67"/>
  <c r="V215" i="67" l="1"/>
  <c r="Y215" i="67" s="1"/>
  <c r="T216" i="67"/>
  <c r="S216" i="67"/>
  <c r="U216" i="67"/>
  <c r="R216" i="67"/>
  <c r="O216" i="67"/>
  <c r="P216" i="67"/>
  <c r="Q216" i="67"/>
  <c r="M217" i="67"/>
  <c r="W215" i="67"/>
  <c r="X215" i="67"/>
  <c r="V216" i="67" l="1"/>
  <c r="Y216" i="67" s="1"/>
  <c r="T217" i="67"/>
  <c r="R217" i="67"/>
  <c r="P217" i="67"/>
  <c r="Q217" i="67"/>
  <c r="U217" i="67"/>
  <c r="S217" i="67"/>
  <c r="O217" i="67"/>
  <c r="M218" i="67"/>
  <c r="X216" i="67"/>
  <c r="W216" i="67"/>
  <c r="V217" i="67" l="1"/>
  <c r="Y217" i="67" s="1"/>
  <c r="O218" i="67"/>
  <c r="U218" i="67"/>
  <c r="R218" i="67"/>
  <c r="P218" i="67"/>
  <c r="S218" i="67"/>
  <c r="T218" i="67"/>
  <c r="Q218" i="67"/>
  <c r="M219" i="67"/>
  <c r="W217" i="67"/>
  <c r="X217" i="67"/>
  <c r="V218" i="67" l="1"/>
  <c r="Y218" i="67" s="1"/>
  <c r="W218" i="67"/>
  <c r="X218" i="67"/>
  <c r="P219" i="67"/>
  <c r="Q219" i="67"/>
  <c r="O219" i="67"/>
  <c r="S219" i="67"/>
  <c r="T219" i="67"/>
  <c r="R219" i="67"/>
  <c r="U219" i="67"/>
  <c r="M220" i="67"/>
  <c r="V219" i="67" l="1"/>
  <c r="Y219" i="67" s="1"/>
  <c r="T220" i="67"/>
  <c r="R220" i="67"/>
  <c r="U220" i="67"/>
  <c r="P220" i="67"/>
  <c r="O220" i="67"/>
  <c r="S220" i="67"/>
  <c r="Q220" i="67"/>
  <c r="M221" i="67"/>
  <c r="X219" i="67"/>
  <c r="W219" i="67"/>
  <c r="V220" i="67" l="1"/>
  <c r="Y220" i="67" s="1"/>
  <c r="S221" i="67"/>
  <c r="R221" i="67"/>
  <c r="T221" i="67"/>
  <c r="P221" i="67"/>
  <c r="U221" i="67"/>
  <c r="O221" i="67"/>
  <c r="Q221" i="67"/>
  <c r="M222" i="67"/>
  <c r="W220" i="67"/>
  <c r="X220" i="67"/>
  <c r="V221" i="67" l="1"/>
  <c r="Y221" i="67" s="1"/>
  <c r="W221" i="67"/>
  <c r="X221" i="67"/>
  <c r="R222" i="67"/>
  <c r="P222" i="67"/>
  <c r="O222" i="67"/>
  <c r="T222" i="67"/>
  <c r="S222" i="67"/>
  <c r="Q222" i="67"/>
  <c r="M223" i="67"/>
  <c r="U222" i="67"/>
  <c r="V222" i="67" l="1"/>
  <c r="Y222" i="67" s="1"/>
  <c r="W222" i="67"/>
  <c r="X222" i="67"/>
  <c r="T223" i="67"/>
  <c r="U223" i="67"/>
  <c r="R223" i="67"/>
  <c r="S223" i="67"/>
  <c r="P223" i="67"/>
  <c r="O223" i="67"/>
  <c r="Q223" i="67"/>
  <c r="M224" i="67"/>
  <c r="V223" i="67" l="1"/>
  <c r="Y223" i="67" s="1"/>
  <c r="W223" i="67"/>
  <c r="X223" i="67"/>
  <c r="S224" i="67"/>
  <c r="T224" i="67"/>
  <c r="P224" i="67"/>
  <c r="U224" i="67"/>
  <c r="Q224" i="67"/>
  <c r="R224" i="67"/>
  <c r="O224" i="67"/>
  <c r="M225" i="67"/>
  <c r="V224" i="67" l="1"/>
  <c r="Y224" i="67" s="1"/>
  <c r="W224" i="67"/>
  <c r="X224" i="67"/>
  <c r="P225" i="67"/>
  <c r="O225" i="67"/>
  <c r="S225" i="67"/>
  <c r="U225" i="67"/>
  <c r="R225" i="67"/>
  <c r="T225" i="67"/>
  <c r="Q225" i="67"/>
  <c r="M226" i="67"/>
  <c r="V225" i="67" l="1"/>
  <c r="Y225" i="67" s="1"/>
  <c r="X225" i="67"/>
  <c r="W225" i="67"/>
  <c r="T226" i="67"/>
  <c r="S226" i="67"/>
  <c r="P226" i="67"/>
  <c r="R226" i="67"/>
  <c r="O226" i="67"/>
  <c r="Q226" i="67"/>
  <c r="U226" i="67"/>
  <c r="M227" i="67"/>
  <c r="V226" i="67" l="1"/>
  <c r="Y226" i="67" s="1"/>
  <c r="O227" i="67"/>
  <c r="P227" i="67"/>
  <c r="T227" i="67"/>
  <c r="R227" i="67"/>
  <c r="U227" i="67"/>
  <c r="Q227" i="67"/>
  <c r="S227" i="67"/>
  <c r="M228" i="67"/>
  <c r="X226" i="67"/>
  <c r="W226" i="67"/>
  <c r="V227" i="67" l="1"/>
  <c r="Y227" i="67" s="1"/>
  <c r="P228" i="67"/>
  <c r="S228" i="67"/>
  <c r="Q228" i="67"/>
  <c r="T228" i="67"/>
  <c r="R228" i="67"/>
  <c r="U228" i="67"/>
  <c r="O228" i="67"/>
  <c r="M229" i="67"/>
  <c r="W227" i="67"/>
  <c r="X227" i="67"/>
  <c r="V228" i="67" l="1"/>
  <c r="Y228" i="67" s="1"/>
  <c r="R229" i="67"/>
  <c r="U229" i="67"/>
  <c r="T229" i="67"/>
  <c r="P229" i="67"/>
  <c r="O229" i="67"/>
  <c r="Q229" i="67"/>
  <c r="M230" i="67"/>
  <c r="S229" i="67"/>
  <c r="W228" i="67"/>
  <c r="X228" i="67"/>
  <c r="V229" i="67" l="1"/>
  <c r="Y229" i="67" s="1"/>
  <c r="R230" i="67"/>
  <c r="T230" i="67"/>
  <c r="S230" i="67"/>
  <c r="P230" i="67"/>
  <c r="U230" i="67"/>
  <c r="O230" i="67"/>
  <c r="M231" i="67"/>
  <c r="Q230" i="67"/>
  <c r="X229" i="67"/>
  <c r="W229" i="67"/>
  <c r="V230" i="67" l="1"/>
  <c r="Y230" i="67" s="1"/>
  <c r="T231" i="67"/>
  <c r="P231" i="67"/>
  <c r="S231" i="67"/>
  <c r="U231" i="67"/>
  <c r="R231" i="67"/>
  <c r="O231" i="67"/>
  <c r="M232" i="67"/>
  <c r="Q231" i="67"/>
  <c r="X230" i="67"/>
  <c r="W230" i="67"/>
  <c r="V231" i="67" l="1"/>
  <c r="Y231" i="67" s="1"/>
  <c r="W231" i="67"/>
  <c r="X231" i="67"/>
  <c r="R232" i="67"/>
  <c r="P232" i="67"/>
  <c r="O232" i="67"/>
  <c r="T232" i="67"/>
  <c r="S232" i="67"/>
  <c r="U232" i="67"/>
  <c r="Q232" i="67"/>
  <c r="M233" i="67"/>
  <c r="V232" i="67" l="1"/>
  <c r="Y232" i="67" s="1"/>
  <c r="O233" i="67"/>
  <c r="R233" i="67"/>
  <c r="S233" i="67"/>
  <c r="P233" i="67"/>
  <c r="Q233" i="67"/>
  <c r="T233" i="67"/>
  <c r="U233" i="67"/>
  <c r="M234" i="67"/>
  <c r="X232" i="67"/>
  <c r="W232" i="67"/>
  <c r="V233" i="67" l="1"/>
  <c r="Y233" i="67" s="1"/>
  <c r="X233" i="67"/>
  <c r="W233" i="67"/>
  <c r="P234" i="67"/>
  <c r="Q234" i="67"/>
  <c r="S234" i="67"/>
  <c r="T234" i="67"/>
  <c r="R234" i="67"/>
  <c r="U234" i="67"/>
  <c r="O234" i="67"/>
  <c r="M235" i="67"/>
  <c r="V234" i="67" l="1"/>
  <c r="Y234" i="67" s="1"/>
  <c r="O235" i="67"/>
  <c r="S235" i="67"/>
  <c r="P235" i="67"/>
  <c r="T235" i="67"/>
  <c r="Q235" i="67"/>
  <c r="U235" i="67"/>
  <c r="R235" i="67"/>
  <c r="M236" i="67"/>
  <c r="X234" i="67"/>
  <c r="W234" i="67"/>
  <c r="V235" i="67" l="1"/>
  <c r="Y235" i="67" s="1"/>
  <c r="W235" i="67"/>
  <c r="X235" i="67"/>
  <c r="R236" i="67"/>
  <c r="U236" i="67"/>
  <c r="S236" i="67"/>
  <c r="P236" i="67"/>
  <c r="O236" i="67"/>
  <c r="T236" i="67"/>
  <c r="M237" i="67"/>
  <c r="Q236" i="67"/>
  <c r="V236" i="67" l="1"/>
  <c r="Y236" i="67" s="1"/>
  <c r="X236" i="67"/>
  <c r="W236" i="67"/>
  <c r="S237" i="67"/>
  <c r="O237" i="67"/>
  <c r="U237" i="67"/>
  <c r="P237" i="67"/>
  <c r="T237" i="67"/>
  <c r="R237" i="67"/>
  <c r="Q237" i="67"/>
  <c r="M238" i="67"/>
  <c r="V237" i="67" l="1"/>
  <c r="Y237" i="67" s="1"/>
  <c r="P238" i="67"/>
  <c r="T238" i="67"/>
  <c r="R238" i="67"/>
  <c r="U238" i="67"/>
  <c r="S238" i="67"/>
  <c r="O238" i="67"/>
  <c r="M239" i="67"/>
  <c r="Q238" i="67"/>
  <c r="W237" i="67"/>
  <c r="X237" i="67"/>
  <c r="V238" i="67" l="1"/>
  <c r="Y238" i="67" s="1"/>
  <c r="T239" i="67"/>
  <c r="S239" i="67"/>
  <c r="U239" i="67"/>
  <c r="Q239" i="67"/>
  <c r="O239" i="67"/>
  <c r="P239" i="67"/>
  <c r="M240" i="67"/>
  <c r="R239" i="67"/>
  <c r="X238" i="67"/>
  <c r="W238" i="67"/>
  <c r="V239" i="67" l="1"/>
  <c r="Y239" i="67" s="1"/>
  <c r="X239" i="67"/>
  <c r="W239" i="67"/>
  <c r="O240" i="67"/>
  <c r="P240" i="67"/>
  <c r="R240" i="67"/>
  <c r="U240" i="67"/>
  <c r="S240" i="67"/>
  <c r="T240" i="67"/>
  <c r="Q240" i="67"/>
  <c r="M241" i="67"/>
  <c r="V240" i="67" l="1"/>
  <c r="Y240" i="67" s="1"/>
  <c r="P241" i="67"/>
  <c r="T241" i="67"/>
  <c r="O241" i="67"/>
  <c r="R241" i="67"/>
  <c r="S241" i="67"/>
  <c r="Q241" i="67"/>
  <c r="U241" i="67"/>
  <c r="M242" i="67"/>
  <c r="W240" i="67"/>
  <c r="X240" i="67"/>
  <c r="V241" i="67" l="1"/>
  <c r="Y241" i="67" s="1"/>
  <c r="T242" i="67"/>
  <c r="P242" i="67"/>
  <c r="S242" i="67"/>
  <c r="R242" i="67"/>
  <c r="O242" i="67"/>
  <c r="Q242" i="67"/>
  <c r="M243" i="67"/>
  <c r="U242" i="67"/>
  <c r="X241" i="67"/>
  <c r="W241" i="67"/>
  <c r="V242" i="67" l="1"/>
  <c r="Y242" i="67" s="1"/>
  <c r="P243" i="67"/>
  <c r="R243" i="67"/>
  <c r="S243" i="67"/>
  <c r="U243" i="67"/>
  <c r="Q243" i="67"/>
  <c r="T243" i="67"/>
  <c r="O243" i="67"/>
  <c r="M244" i="67"/>
  <c r="X242" i="67"/>
  <c r="W242" i="67"/>
  <c r="V243" i="67" l="1"/>
  <c r="Y243" i="67" s="1"/>
  <c r="S244" i="67"/>
  <c r="P244" i="67"/>
  <c r="O244" i="67"/>
  <c r="T244" i="67"/>
  <c r="Q244" i="67"/>
  <c r="U244" i="67"/>
  <c r="R244" i="67"/>
  <c r="M245" i="67"/>
  <c r="W243" i="67"/>
  <c r="X243" i="67"/>
  <c r="V244" i="67" l="1"/>
  <c r="Y244" i="67" s="1"/>
  <c r="W244" i="67"/>
  <c r="X244" i="67"/>
  <c r="U245" i="67"/>
  <c r="S245" i="67"/>
  <c r="T245" i="67"/>
  <c r="O245" i="67"/>
  <c r="R245" i="67"/>
  <c r="Q245" i="67"/>
  <c r="P245" i="67"/>
  <c r="M246" i="67"/>
  <c r="V245" i="67" l="1"/>
  <c r="Y245" i="67" s="1"/>
  <c r="W245" i="67"/>
  <c r="X245" i="67"/>
  <c r="O246" i="67"/>
  <c r="S246" i="67"/>
  <c r="R246" i="67"/>
  <c r="U246" i="67"/>
  <c r="T246" i="67"/>
  <c r="P246" i="67"/>
  <c r="Q246" i="67"/>
  <c r="M247" i="67"/>
  <c r="V246" i="67" l="1"/>
  <c r="Y246" i="67" s="1"/>
  <c r="X246" i="67"/>
  <c r="W246" i="67"/>
  <c r="S247" i="67"/>
  <c r="P247" i="67"/>
  <c r="U247" i="67"/>
  <c r="O247" i="67"/>
  <c r="R247" i="67"/>
  <c r="Q247" i="67"/>
  <c r="T247" i="67"/>
  <c r="M248" i="67"/>
  <c r="V247" i="67" l="1"/>
  <c r="Y247" i="67" s="1"/>
  <c r="W247" i="67"/>
  <c r="X247" i="67"/>
  <c r="S248" i="67"/>
  <c r="R248" i="67"/>
  <c r="T248" i="67"/>
  <c r="O248" i="67"/>
  <c r="U248" i="67"/>
  <c r="Q248" i="67"/>
  <c r="P248" i="67"/>
  <c r="M249" i="67"/>
  <c r="V248" i="67" l="1"/>
  <c r="Y248" i="67" s="1"/>
  <c r="X248" i="67"/>
  <c r="W248" i="67"/>
  <c r="P249" i="67"/>
  <c r="O249" i="67"/>
  <c r="S249" i="67"/>
  <c r="T249" i="67"/>
  <c r="U249" i="67"/>
  <c r="R249" i="67"/>
  <c r="Q249" i="67"/>
  <c r="M250" i="67"/>
  <c r="V249" i="67" l="1"/>
  <c r="Y249" i="67" s="1"/>
  <c r="W249" i="67"/>
  <c r="X249" i="67"/>
  <c r="R250" i="67"/>
  <c r="Q250" i="67"/>
  <c r="O250" i="67"/>
  <c r="P250" i="67"/>
  <c r="U250" i="67"/>
  <c r="T250" i="67"/>
  <c r="S250" i="67"/>
  <c r="M251" i="67"/>
  <c r="V250" i="67" l="1"/>
  <c r="Y250" i="67" s="1"/>
  <c r="W250" i="67"/>
  <c r="X250" i="67"/>
  <c r="R251" i="67"/>
  <c r="O251" i="67"/>
  <c r="Q251" i="67"/>
  <c r="U251" i="67"/>
  <c r="P251" i="67"/>
  <c r="T251" i="67"/>
  <c r="S251" i="67"/>
  <c r="M252" i="67"/>
  <c r="V251" i="67" l="1"/>
  <c r="Y251" i="67" s="1"/>
  <c r="X251" i="67"/>
  <c r="W251" i="67"/>
  <c r="T252" i="67"/>
  <c r="R252" i="67"/>
  <c r="O252" i="67"/>
  <c r="U252" i="67"/>
  <c r="M253" i="67"/>
  <c r="Q252" i="67"/>
  <c r="P252" i="67"/>
  <c r="S252" i="67"/>
  <c r="V252" i="67" l="1"/>
  <c r="Y252" i="67" s="1"/>
  <c r="S253" i="67"/>
  <c r="T253" i="67"/>
  <c r="P253" i="67"/>
  <c r="R253" i="67"/>
  <c r="O253" i="67"/>
  <c r="Q253" i="67"/>
  <c r="M254" i="67"/>
  <c r="U253" i="67"/>
  <c r="W252" i="67"/>
  <c r="X252" i="67"/>
  <c r="V253" i="67" l="1"/>
  <c r="Y253" i="67" s="1"/>
  <c r="W253" i="67"/>
  <c r="X253" i="67"/>
  <c r="O254" i="67"/>
  <c r="R254" i="67"/>
  <c r="T254" i="67"/>
  <c r="P254" i="67"/>
  <c r="S254" i="67"/>
  <c r="Q254" i="67"/>
  <c r="M255" i="67"/>
  <c r="U254" i="67"/>
  <c r="V254" i="67" l="1"/>
  <c r="Y254" i="67" s="1"/>
  <c r="X254" i="67"/>
  <c r="W254" i="67"/>
  <c r="O255" i="67"/>
  <c r="T255" i="67"/>
  <c r="R255" i="67"/>
  <c r="P255" i="67"/>
  <c r="S255" i="67"/>
  <c r="Q255" i="67"/>
  <c r="M256" i="67"/>
  <c r="U255" i="67"/>
  <c r="V255" i="67" l="1"/>
  <c r="Y255" i="67" s="1"/>
  <c r="X255" i="67"/>
  <c r="W255" i="67"/>
  <c r="R256" i="67"/>
  <c r="S256" i="67"/>
  <c r="U256" i="67"/>
  <c r="Q256" i="67"/>
  <c r="P256" i="67"/>
  <c r="T256" i="67"/>
  <c r="M257" i="67"/>
  <c r="O256" i="67"/>
  <c r="V256" i="67" l="1"/>
  <c r="Y256" i="67" s="1"/>
  <c r="X256" i="67"/>
  <c r="W256" i="67"/>
  <c r="S257" i="67"/>
  <c r="P257" i="67"/>
  <c r="T257" i="67"/>
  <c r="O257" i="67"/>
  <c r="R257" i="67"/>
  <c r="Q257" i="67"/>
  <c r="U257" i="67"/>
  <c r="M258" i="67"/>
  <c r="V257" i="67" l="1"/>
  <c r="Y257" i="67" s="1"/>
  <c r="R258" i="67"/>
  <c r="U258" i="67"/>
  <c r="Q258" i="67"/>
  <c r="S258" i="67"/>
  <c r="T258" i="67"/>
  <c r="P258" i="67"/>
  <c r="O258" i="67"/>
  <c r="M259" i="67"/>
  <c r="W257" i="67"/>
  <c r="X257" i="67"/>
  <c r="V258" i="67" l="1"/>
  <c r="Y258" i="67" s="1"/>
  <c r="S259" i="67"/>
  <c r="P259" i="67"/>
  <c r="T259" i="67"/>
  <c r="U259" i="67"/>
  <c r="O259" i="67"/>
  <c r="R259" i="67"/>
  <c r="Q259" i="67"/>
  <c r="M260" i="67"/>
  <c r="W258" i="67"/>
  <c r="X258" i="67"/>
  <c r="V259" i="67" l="1"/>
  <c r="Y259" i="67" s="1"/>
  <c r="X259" i="67"/>
  <c r="W259" i="67"/>
  <c r="U260" i="67"/>
  <c r="T260" i="67"/>
  <c r="O260" i="67"/>
  <c r="S260" i="67"/>
  <c r="P260" i="67"/>
  <c r="Q260" i="67"/>
  <c r="M261" i="67"/>
  <c r="R260" i="67"/>
  <c r="V260" i="67" l="1"/>
  <c r="Y260" i="67" s="1"/>
  <c r="O261" i="67"/>
  <c r="P261" i="67"/>
  <c r="S261" i="67"/>
  <c r="R261" i="67"/>
  <c r="T261" i="67"/>
  <c r="U261" i="67"/>
  <c r="M262" i="67"/>
  <c r="Q261" i="67"/>
  <c r="W260" i="67"/>
  <c r="X260" i="67"/>
  <c r="V261" i="67" l="1"/>
  <c r="Y261" i="67" s="1"/>
  <c r="Q262" i="67"/>
  <c r="P262" i="67"/>
  <c r="U262" i="67"/>
  <c r="R262" i="67"/>
  <c r="T262" i="67"/>
  <c r="O262" i="67"/>
  <c r="M263" i="67"/>
  <c r="S262" i="67"/>
  <c r="W261" i="67"/>
  <c r="X261" i="67"/>
  <c r="V262" i="67" l="1"/>
  <c r="Y262" i="67" s="1"/>
  <c r="S263" i="67"/>
  <c r="Q263" i="67"/>
  <c r="T263" i="67"/>
  <c r="P263" i="67"/>
  <c r="U263" i="67"/>
  <c r="R263" i="67"/>
  <c r="O263" i="67"/>
  <c r="M264" i="67"/>
  <c r="X262" i="67"/>
  <c r="W262" i="67"/>
  <c r="V263" i="67" l="1"/>
  <c r="Y263" i="67" s="1"/>
  <c r="X263" i="67"/>
  <c r="W263" i="67"/>
  <c r="S264" i="67"/>
  <c r="R264" i="67"/>
  <c r="P264" i="67"/>
  <c r="T264" i="67"/>
  <c r="U264" i="67"/>
  <c r="O264" i="67"/>
  <c r="Q264" i="67"/>
  <c r="M265" i="67"/>
  <c r="V264" i="67" l="1"/>
  <c r="Y264" i="67" s="1"/>
  <c r="S265" i="67"/>
  <c r="T265" i="67"/>
  <c r="O265" i="67"/>
  <c r="P265" i="67"/>
  <c r="R265" i="67"/>
  <c r="Q265" i="67"/>
  <c r="U265" i="67"/>
  <c r="M266" i="67"/>
  <c r="X264" i="67"/>
  <c r="W264" i="67"/>
  <c r="V265" i="67" l="1"/>
  <c r="Y265" i="67" s="1"/>
  <c r="U266" i="67"/>
  <c r="T266" i="67"/>
  <c r="R266" i="67"/>
  <c r="P266" i="67"/>
  <c r="Q266" i="67"/>
  <c r="O266" i="67"/>
  <c r="S266" i="67"/>
  <c r="M267" i="67"/>
  <c r="X265" i="67"/>
  <c r="W265" i="67"/>
  <c r="V266" i="67" l="1"/>
  <c r="Y266" i="67" s="1"/>
  <c r="S267" i="67"/>
  <c r="R267" i="67"/>
  <c r="O267" i="67"/>
  <c r="P267" i="67"/>
  <c r="U267" i="67"/>
  <c r="Q267" i="67"/>
  <c r="T267" i="67"/>
  <c r="M268" i="67"/>
  <c r="X266" i="67"/>
  <c r="W266" i="67"/>
  <c r="V267" i="67" l="1"/>
  <c r="Y267" i="67" s="1"/>
  <c r="O268" i="67"/>
  <c r="R268" i="67"/>
  <c r="T268" i="67"/>
  <c r="U268" i="67"/>
  <c r="S268" i="67"/>
  <c r="P268" i="67"/>
  <c r="M269" i="67"/>
  <c r="Q268" i="67"/>
  <c r="W267" i="67"/>
  <c r="X267" i="67"/>
  <c r="V268" i="67" l="1"/>
  <c r="Y268" i="67" s="1"/>
  <c r="T269" i="67"/>
  <c r="S269" i="67"/>
  <c r="O269" i="67"/>
  <c r="R269" i="67"/>
  <c r="Q269" i="67"/>
  <c r="U269" i="67"/>
  <c r="M270" i="67"/>
  <c r="P269" i="67"/>
  <c r="X268" i="67"/>
  <c r="W268" i="67"/>
  <c r="V269" i="67" l="1"/>
  <c r="Y269" i="67" s="1"/>
  <c r="W269" i="67"/>
  <c r="X269" i="67"/>
  <c r="T270" i="67"/>
  <c r="S270" i="67"/>
  <c r="U270" i="67"/>
  <c r="R270" i="67"/>
  <c r="P270" i="67"/>
  <c r="O270" i="67"/>
  <c r="M271" i="67"/>
  <c r="Q270" i="67"/>
  <c r="V270" i="67" l="1"/>
  <c r="Y270" i="67" s="1"/>
  <c r="W270" i="67"/>
  <c r="X270" i="67"/>
  <c r="O271" i="67"/>
  <c r="Q271" i="67"/>
  <c r="P271" i="67"/>
  <c r="T271" i="67"/>
  <c r="U271" i="67"/>
  <c r="R271" i="67"/>
  <c r="M272" i="67"/>
  <c r="S271" i="67"/>
  <c r="V271" i="67" l="1"/>
  <c r="Y271" i="67" s="1"/>
  <c r="X271" i="67"/>
  <c r="W271" i="67"/>
  <c r="P272" i="67"/>
  <c r="T272" i="67"/>
  <c r="Q272" i="67"/>
  <c r="S272" i="67"/>
  <c r="U272" i="67"/>
  <c r="R272" i="67"/>
  <c r="M273" i="67"/>
  <c r="O272" i="67"/>
  <c r="V272" i="67" l="1"/>
  <c r="Y272" i="67" s="1"/>
  <c r="X272" i="67"/>
  <c r="W272" i="67"/>
  <c r="O273" i="67"/>
  <c r="P273" i="67"/>
  <c r="T273" i="67"/>
  <c r="Q273" i="67"/>
  <c r="R273" i="67"/>
  <c r="U273" i="67"/>
  <c r="S273" i="67"/>
  <c r="M274" i="67"/>
  <c r="V273" i="67" l="1"/>
  <c r="Y273" i="67" s="1"/>
  <c r="R274" i="67"/>
  <c r="S274" i="67"/>
  <c r="T274" i="67"/>
  <c r="U274" i="67"/>
  <c r="O274" i="67"/>
  <c r="P274" i="67"/>
  <c r="Q274" i="67"/>
  <c r="M275" i="67"/>
  <c r="W273" i="67"/>
  <c r="X273" i="67"/>
  <c r="V274" i="67" l="1"/>
  <c r="Y274" i="67" s="1"/>
  <c r="S275" i="67"/>
  <c r="P275" i="67"/>
  <c r="O275" i="67"/>
  <c r="R275" i="67"/>
  <c r="T275" i="67"/>
  <c r="U275" i="67"/>
  <c r="Q275" i="67"/>
  <c r="M276" i="67"/>
  <c r="W274" i="67"/>
  <c r="X274" i="67"/>
  <c r="V275" i="67" l="1"/>
  <c r="Y275" i="67" s="1"/>
  <c r="X275" i="67"/>
  <c r="W275" i="67"/>
  <c r="T276" i="67"/>
  <c r="S276" i="67"/>
  <c r="P276" i="67"/>
  <c r="U276" i="67"/>
  <c r="O276" i="67"/>
  <c r="M277" i="67"/>
  <c r="Q276" i="67"/>
  <c r="R276" i="67"/>
  <c r="V276" i="67" l="1"/>
  <c r="Y276" i="67" s="1"/>
  <c r="X276" i="67"/>
  <c r="W276" i="67"/>
  <c r="S277" i="67"/>
  <c r="R277" i="67"/>
  <c r="P277" i="67"/>
  <c r="O277" i="67"/>
  <c r="T277" i="67"/>
  <c r="Q277" i="67"/>
  <c r="M278" i="67"/>
  <c r="U277" i="67"/>
  <c r="V277" i="67" l="1"/>
  <c r="Y277" i="67" s="1"/>
  <c r="X277" i="67"/>
  <c r="W277" i="67"/>
  <c r="R278" i="67"/>
  <c r="P278" i="67"/>
  <c r="Q278" i="67"/>
  <c r="T278" i="67"/>
  <c r="S278" i="67"/>
  <c r="O278" i="67"/>
  <c r="M279" i="67"/>
  <c r="U278" i="67"/>
  <c r="V278" i="67" l="1"/>
  <c r="Y278" i="67" s="1"/>
  <c r="X278" i="67"/>
  <c r="W278" i="67"/>
  <c r="P279" i="67"/>
  <c r="T279" i="67"/>
  <c r="S279" i="67"/>
  <c r="R279" i="67"/>
  <c r="U279" i="67"/>
  <c r="Q279" i="67"/>
  <c r="O279" i="67"/>
  <c r="M280" i="67"/>
  <c r="V279" i="67" l="1"/>
  <c r="Y279" i="67" s="1"/>
  <c r="W279" i="67"/>
  <c r="X279" i="67"/>
  <c r="R280" i="67"/>
  <c r="T280" i="67"/>
  <c r="S280" i="67"/>
  <c r="P280" i="67"/>
  <c r="O280" i="67"/>
  <c r="M281" i="67"/>
  <c r="U280" i="67"/>
  <c r="Q280" i="67"/>
  <c r="V280" i="67" l="1"/>
  <c r="Y280" i="67" s="1"/>
  <c r="X280" i="67"/>
  <c r="W280" i="67"/>
  <c r="U281" i="67"/>
  <c r="O281" i="67"/>
  <c r="R281" i="67"/>
  <c r="P281" i="67"/>
  <c r="S281" i="67"/>
  <c r="T281" i="67"/>
  <c r="Q281" i="67"/>
  <c r="M282" i="67"/>
  <c r="V281" i="67" l="1"/>
  <c r="Y281" i="67" s="1"/>
  <c r="O282" i="67"/>
  <c r="U282" i="67"/>
  <c r="T282" i="67"/>
  <c r="S282" i="67"/>
  <c r="Q282" i="67"/>
  <c r="R282" i="67"/>
  <c r="P282" i="67"/>
  <c r="M283" i="67"/>
  <c r="X281" i="67"/>
  <c r="W281" i="67"/>
  <c r="V282" i="67" l="1"/>
  <c r="Y282" i="67" s="1"/>
  <c r="R283" i="67"/>
  <c r="T283" i="67"/>
  <c r="O283" i="67"/>
  <c r="S283" i="67"/>
  <c r="Q283" i="67"/>
  <c r="U283" i="67"/>
  <c r="P283" i="67"/>
  <c r="M284" i="67"/>
  <c r="W282" i="67"/>
  <c r="X282" i="67"/>
  <c r="V283" i="67" l="1"/>
  <c r="Y283" i="67" s="1"/>
  <c r="O284" i="67"/>
  <c r="S284" i="67"/>
  <c r="Q284" i="67"/>
  <c r="U284" i="67"/>
  <c r="M285" i="67"/>
  <c r="R284" i="67"/>
  <c r="T284" i="67"/>
  <c r="P284" i="67"/>
  <c r="W283" i="67"/>
  <c r="X283" i="67"/>
  <c r="V284" i="67" l="1"/>
  <c r="Y284" i="67" s="1"/>
  <c r="P285" i="67"/>
  <c r="U285" i="67"/>
  <c r="S285" i="67"/>
  <c r="R285" i="67"/>
  <c r="T285" i="67"/>
  <c r="Q285" i="67"/>
  <c r="O285" i="67"/>
  <c r="M286" i="67"/>
  <c r="W284" i="67"/>
  <c r="X284" i="67"/>
  <c r="V285" i="67" l="1"/>
  <c r="Y285" i="67" s="1"/>
  <c r="O286" i="67"/>
  <c r="T286" i="67"/>
  <c r="P286" i="67"/>
  <c r="Q286" i="67"/>
  <c r="U286" i="67"/>
  <c r="S286" i="67"/>
  <c r="R286" i="67"/>
  <c r="M287" i="67"/>
  <c r="W285" i="67"/>
  <c r="X285" i="67"/>
  <c r="V286" i="67" l="1"/>
  <c r="Y286" i="67" s="1"/>
  <c r="X286" i="67"/>
  <c r="W286" i="67"/>
  <c r="O287" i="67"/>
  <c r="S287" i="67"/>
  <c r="Q287" i="67"/>
  <c r="T287" i="67"/>
  <c r="R287" i="67"/>
  <c r="U287" i="67"/>
  <c r="P287" i="67"/>
  <c r="M288" i="67"/>
  <c r="V287" i="67" l="1"/>
  <c r="Y287" i="67" s="1"/>
  <c r="T288" i="67"/>
  <c r="P288" i="67"/>
  <c r="O288" i="67"/>
  <c r="R288" i="67"/>
  <c r="S288" i="67"/>
  <c r="U288" i="67"/>
  <c r="Q288" i="67"/>
  <c r="M289" i="67"/>
  <c r="X287" i="67"/>
  <c r="W287" i="67"/>
  <c r="V288" i="67" l="1"/>
  <c r="Y288" i="67" s="1"/>
  <c r="W288" i="67"/>
  <c r="X288" i="67"/>
  <c r="O289" i="67"/>
  <c r="U289" i="67"/>
  <c r="T289" i="67"/>
  <c r="R289" i="67"/>
  <c r="P289" i="67"/>
  <c r="S289" i="67"/>
  <c r="Q289" i="67"/>
  <c r="M290" i="67"/>
  <c r="V289" i="67" l="1"/>
  <c r="Y289" i="67" s="1"/>
  <c r="O290" i="67"/>
  <c r="S290" i="67"/>
  <c r="P290" i="67"/>
  <c r="T290" i="67"/>
  <c r="R290" i="67"/>
  <c r="Q290" i="67"/>
  <c r="U290" i="67"/>
  <c r="M291" i="67"/>
  <c r="W289" i="67"/>
  <c r="X289" i="67"/>
  <c r="V290" i="67" l="1"/>
  <c r="Y290" i="67" s="1"/>
  <c r="X290" i="67"/>
  <c r="W290" i="67"/>
  <c r="P291" i="67"/>
  <c r="T291" i="67"/>
  <c r="R291" i="67"/>
  <c r="O291" i="67"/>
  <c r="S291" i="67"/>
  <c r="U291" i="67"/>
  <c r="Q291" i="67"/>
  <c r="M292" i="67"/>
  <c r="V291" i="67" l="1"/>
  <c r="Y291" i="67" s="1"/>
  <c r="P292" i="67"/>
  <c r="Q292" i="67"/>
  <c r="O292" i="67"/>
  <c r="T292" i="67"/>
  <c r="U292" i="67"/>
  <c r="R292" i="67"/>
  <c r="M293" i="67"/>
  <c r="S292" i="67"/>
  <c r="X291" i="67"/>
  <c r="W291" i="67"/>
  <c r="V292" i="67" l="1"/>
  <c r="Y292" i="67" s="1"/>
  <c r="O293" i="67"/>
  <c r="R293" i="67"/>
  <c r="Q293" i="67"/>
  <c r="S293" i="67"/>
  <c r="U293" i="67"/>
  <c r="P293" i="67"/>
  <c r="T293" i="67"/>
  <c r="M294" i="67"/>
  <c r="X292" i="67"/>
  <c r="W292" i="67"/>
  <c r="V293" i="67" l="1"/>
  <c r="Y293" i="67" s="1"/>
  <c r="T294" i="67"/>
  <c r="S294" i="67"/>
  <c r="R294" i="67"/>
  <c r="P294" i="67"/>
  <c r="O294" i="67"/>
  <c r="U294" i="67"/>
  <c r="M295" i="67"/>
  <c r="Q294" i="67"/>
  <c r="W293" i="67"/>
  <c r="X293" i="67"/>
  <c r="V294" i="67" l="1"/>
  <c r="Y294" i="67" s="1"/>
  <c r="W294" i="67"/>
  <c r="X294" i="67"/>
  <c r="Q295" i="67"/>
  <c r="S295" i="67"/>
  <c r="U295" i="67"/>
  <c r="T295" i="67"/>
  <c r="P295" i="67"/>
  <c r="O295" i="67"/>
  <c r="R295" i="67"/>
  <c r="M296" i="67"/>
  <c r="V295" i="67" l="1"/>
  <c r="Y295" i="67" s="1"/>
  <c r="X295" i="67"/>
  <c r="W295" i="67"/>
  <c r="T296" i="67"/>
  <c r="R296" i="67"/>
  <c r="S296" i="67"/>
  <c r="U296" i="67"/>
  <c r="Q296" i="67"/>
  <c r="O296" i="67"/>
  <c r="P296" i="67"/>
  <c r="M297" i="67"/>
  <c r="V296" i="67" l="1"/>
  <c r="Y296" i="67" s="1"/>
  <c r="X296" i="67"/>
  <c r="W296" i="67"/>
  <c r="T297" i="67"/>
  <c r="R297" i="67"/>
  <c r="U297" i="67"/>
  <c r="S297" i="67"/>
  <c r="P297" i="67"/>
  <c r="O297" i="67"/>
  <c r="Q297" i="67"/>
  <c r="M298" i="67"/>
  <c r="V297" i="67" l="1"/>
  <c r="Y297" i="67" s="1"/>
  <c r="W297" i="67"/>
  <c r="X297" i="67"/>
  <c r="O298" i="67"/>
  <c r="Q298" i="67"/>
  <c r="P298" i="67"/>
  <c r="U298" i="67"/>
  <c r="S298" i="67"/>
  <c r="R298" i="67"/>
  <c r="T298" i="67"/>
  <c r="M299" i="67"/>
  <c r="V298" i="67" l="1"/>
  <c r="Y298" i="67" s="1"/>
  <c r="X298" i="67"/>
  <c r="W298" i="67"/>
  <c r="R299" i="67"/>
  <c r="P299" i="67"/>
  <c r="S299" i="67"/>
  <c r="U299" i="67"/>
  <c r="O299" i="67"/>
  <c r="T299" i="67"/>
  <c r="Q299" i="67"/>
  <c r="M300" i="67"/>
  <c r="V299" i="67" l="1"/>
  <c r="Y299" i="67" s="1"/>
  <c r="W299" i="67"/>
  <c r="X299" i="67"/>
  <c r="T300" i="67"/>
  <c r="R300" i="67"/>
  <c r="Q300" i="67"/>
  <c r="S300" i="67"/>
  <c r="U300" i="67"/>
  <c r="P300" i="67"/>
  <c r="O300" i="67"/>
  <c r="M301" i="67"/>
  <c r="V300" i="67" l="1"/>
  <c r="Y300" i="67" s="1"/>
  <c r="S301" i="67"/>
  <c r="O301" i="67"/>
  <c r="T301" i="67"/>
  <c r="P301" i="67"/>
  <c r="U301" i="67"/>
  <c r="Q301" i="67"/>
  <c r="R301" i="67"/>
  <c r="M302" i="67"/>
  <c r="W300" i="67"/>
  <c r="X300" i="67"/>
  <c r="V301" i="67" l="1"/>
  <c r="Y301" i="67" s="1"/>
  <c r="X301" i="67"/>
  <c r="W301" i="67"/>
  <c r="P302" i="67"/>
  <c r="S302" i="67"/>
  <c r="T302" i="67"/>
  <c r="O302" i="67"/>
  <c r="U302" i="67"/>
  <c r="R302" i="67"/>
  <c r="Q302" i="67"/>
  <c r="M303" i="67"/>
  <c r="V302" i="67" l="1"/>
  <c r="Y302" i="67" s="1"/>
  <c r="X302" i="67"/>
  <c r="W302" i="67"/>
  <c r="R303" i="67"/>
  <c r="O303" i="67"/>
  <c r="P303" i="67"/>
  <c r="T303" i="67"/>
  <c r="Q303" i="67"/>
  <c r="S303" i="67"/>
  <c r="U303" i="67"/>
  <c r="M304" i="67"/>
  <c r="V303" i="67" l="1"/>
  <c r="Y303" i="67" s="1"/>
  <c r="S304" i="67"/>
  <c r="O304" i="67"/>
  <c r="T304" i="67"/>
  <c r="U304" i="67"/>
  <c r="R304" i="67"/>
  <c r="P304" i="67"/>
  <c r="Q304" i="67"/>
  <c r="M305" i="67"/>
  <c r="X303" i="67"/>
  <c r="W303" i="67"/>
  <c r="V304" i="67" l="1"/>
  <c r="Y304" i="67" s="1"/>
  <c r="W304" i="67"/>
  <c r="X304" i="67"/>
  <c r="S305" i="67"/>
  <c r="O305" i="67"/>
  <c r="P305" i="67"/>
  <c r="T305" i="67"/>
  <c r="U305" i="67"/>
  <c r="Q305" i="67"/>
  <c r="R305" i="67"/>
  <c r="M306" i="67"/>
  <c r="V305" i="67" l="1"/>
  <c r="Y305" i="67" s="1"/>
  <c r="W305" i="67"/>
  <c r="X305" i="67"/>
  <c r="S306" i="67"/>
  <c r="O306" i="67"/>
  <c r="U306" i="67"/>
  <c r="P306" i="67"/>
  <c r="Q306" i="67"/>
  <c r="R306" i="67"/>
  <c r="M307" i="67"/>
  <c r="T306" i="67"/>
  <c r="V306" i="67" l="1"/>
  <c r="Y306" i="67" s="1"/>
  <c r="W306" i="67"/>
  <c r="X306" i="67"/>
  <c r="S307" i="67"/>
  <c r="T307" i="67"/>
  <c r="P307" i="67"/>
  <c r="Q307" i="67"/>
  <c r="R307" i="67"/>
  <c r="U307" i="67"/>
  <c r="O307" i="67"/>
  <c r="M308" i="67"/>
  <c r="V307" i="67" l="1"/>
  <c r="Y307" i="67" s="1"/>
  <c r="S308" i="67"/>
  <c r="U308" i="67"/>
  <c r="P308" i="67"/>
  <c r="O308" i="67"/>
  <c r="T308" i="67"/>
  <c r="Q308" i="67"/>
  <c r="R308" i="67"/>
  <c r="M309" i="67"/>
  <c r="W307" i="67"/>
  <c r="X307" i="67"/>
  <c r="V308" i="67" l="1"/>
  <c r="Y308" i="67" s="1"/>
  <c r="X308" i="67"/>
  <c r="W308" i="67"/>
  <c r="O309" i="67"/>
  <c r="U309" i="67"/>
  <c r="P309" i="67"/>
  <c r="R309" i="67"/>
  <c r="T309" i="67"/>
  <c r="S309" i="67"/>
  <c r="Q309" i="67"/>
  <c r="M310" i="67"/>
  <c r="V309" i="67" l="1"/>
  <c r="Y309" i="67" s="1"/>
  <c r="X309" i="67"/>
  <c r="W309" i="67"/>
  <c r="O310" i="67"/>
  <c r="P310" i="67"/>
  <c r="R310" i="67"/>
  <c r="S310" i="67"/>
  <c r="M311" i="67"/>
  <c r="T310" i="67"/>
  <c r="Q310" i="67"/>
  <c r="U310" i="67"/>
  <c r="V310" i="67" l="1"/>
  <c r="Y310" i="67" s="1"/>
  <c r="W310" i="67"/>
  <c r="X310" i="67"/>
  <c r="P311" i="67"/>
  <c r="O311" i="67"/>
  <c r="Q311" i="67"/>
  <c r="R311" i="67"/>
  <c r="S311" i="67"/>
  <c r="U311" i="67"/>
  <c r="T311" i="67"/>
  <c r="M312" i="67"/>
  <c r="V311" i="67" l="1"/>
  <c r="Y311" i="67" s="1"/>
  <c r="T312" i="67"/>
  <c r="U312" i="67"/>
  <c r="R312" i="67"/>
  <c r="Q312" i="67"/>
  <c r="P312" i="67"/>
  <c r="S312" i="67"/>
  <c r="O312" i="67"/>
  <c r="M313" i="67"/>
  <c r="W311" i="67"/>
  <c r="X311" i="67"/>
  <c r="V312" i="67" l="1"/>
  <c r="Y312" i="67" s="1"/>
  <c r="P313" i="67"/>
  <c r="T313" i="67"/>
  <c r="S313" i="67"/>
  <c r="R313" i="67"/>
  <c r="Q313" i="67"/>
  <c r="O313" i="67"/>
  <c r="U313" i="67"/>
  <c r="M314" i="67"/>
  <c r="W312" i="67"/>
  <c r="X312" i="67"/>
  <c r="V313" i="67" l="1"/>
  <c r="Y313" i="67" s="1"/>
  <c r="X313" i="67"/>
  <c r="W313" i="67"/>
  <c r="U314" i="67"/>
  <c r="P314" i="67"/>
  <c r="Q314" i="67"/>
  <c r="T314" i="67"/>
  <c r="R314" i="67"/>
  <c r="O314" i="67"/>
  <c r="S314" i="67"/>
  <c r="M315" i="67"/>
  <c r="V314" i="67" l="1"/>
  <c r="Y314" i="67" s="1"/>
  <c r="X314" i="67"/>
  <c r="W314" i="67"/>
  <c r="O315" i="67"/>
  <c r="P315" i="67"/>
  <c r="S315" i="67"/>
  <c r="T315" i="67"/>
  <c r="R315" i="67"/>
  <c r="Q315" i="67"/>
  <c r="U315" i="67"/>
  <c r="M316" i="67"/>
  <c r="V315" i="67" l="1"/>
  <c r="Y315" i="67" s="1"/>
  <c r="O316" i="67"/>
  <c r="U316" i="67"/>
  <c r="Q316" i="67"/>
  <c r="P316" i="67"/>
  <c r="T316" i="67"/>
  <c r="S316" i="67"/>
  <c r="M317" i="67"/>
  <c r="R316" i="67"/>
  <c r="X315" i="67"/>
  <c r="W315" i="67"/>
  <c r="V316" i="67" l="1"/>
  <c r="Y316" i="67" s="1"/>
  <c r="R317" i="67"/>
  <c r="T317" i="67"/>
  <c r="S317" i="67"/>
  <c r="O317" i="67"/>
  <c r="U317" i="67"/>
  <c r="Q317" i="67"/>
  <c r="P317" i="67"/>
  <c r="M318" i="67"/>
  <c r="X316" i="67"/>
  <c r="W316" i="67"/>
  <c r="V317" i="67" l="1"/>
  <c r="Y317" i="67" s="1"/>
  <c r="S318" i="67"/>
  <c r="T318" i="67"/>
  <c r="R318" i="67"/>
  <c r="O318" i="67"/>
  <c r="P318" i="67"/>
  <c r="U318" i="67"/>
  <c r="Q318" i="67"/>
  <c r="M319" i="67"/>
  <c r="W317" i="67"/>
  <c r="X317" i="67"/>
  <c r="V318" i="67" l="1"/>
  <c r="Y318" i="67" s="1"/>
  <c r="O319" i="67"/>
  <c r="U319" i="67"/>
  <c r="Q319" i="67"/>
  <c r="R319" i="67"/>
  <c r="T319" i="67"/>
  <c r="P319" i="67"/>
  <c r="S319" i="67"/>
  <c r="M320" i="67"/>
  <c r="X318" i="67"/>
  <c r="W318" i="67"/>
  <c r="V319" i="67" l="1"/>
  <c r="Y319" i="67" s="1"/>
  <c r="S320" i="67"/>
  <c r="R320" i="67"/>
  <c r="P320" i="67"/>
  <c r="U320" i="67"/>
  <c r="T320" i="67"/>
  <c r="M321" i="67"/>
  <c r="Q320" i="67"/>
  <c r="O320" i="67"/>
  <c r="W319" i="67"/>
  <c r="X319" i="67"/>
  <c r="V320" i="67" l="1"/>
  <c r="Y320" i="67" s="1"/>
  <c r="X320" i="67"/>
  <c r="W320" i="67"/>
  <c r="S321" i="67"/>
  <c r="P321" i="67"/>
  <c r="R321" i="67"/>
  <c r="T321" i="67"/>
  <c r="U321" i="67"/>
  <c r="Q321" i="67"/>
  <c r="O321" i="67"/>
  <c r="M322" i="67"/>
  <c r="V321" i="67" l="1"/>
  <c r="Y321" i="67" s="1"/>
  <c r="P322" i="67"/>
  <c r="R322" i="67"/>
  <c r="T322" i="67"/>
  <c r="S322" i="67"/>
  <c r="U322" i="67"/>
  <c r="O322" i="67"/>
  <c r="M323" i="67"/>
  <c r="Q322" i="67"/>
  <c r="W321" i="67"/>
  <c r="X321" i="67"/>
  <c r="V322" i="67" l="1"/>
  <c r="Y322" i="67" s="1"/>
  <c r="X322" i="67"/>
  <c r="W322" i="67"/>
  <c r="O323" i="67"/>
  <c r="U323" i="67"/>
  <c r="R323" i="67"/>
  <c r="S323" i="67"/>
  <c r="T323" i="67"/>
  <c r="Q323" i="67"/>
  <c r="P323" i="67"/>
  <c r="M324" i="67"/>
  <c r="V323" i="67" l="1"/>
  <c r="Y323" i="67" s="1"/>
  <c r="W323" i="67"/>
  <c r="X323" i="67"/>
  <c r="S324" i="67"/>
  <c r="T324" i="67"/>
  <c r="P324" i="67"/>
  <c r="R324" i="67"/>
  <c r="O324" i="67"/>
  <c r="Q324" i="67"/>
  <c r="M325" i="67"/>
  <c r="U324" i="67"/>
  <c r="V324" i="67" l="1"/>
  <c r="Y324" i="67" s="1"/>
  <c r="X324" i="67"/>
  <c r="W324" i="67"/>
  <c r="T325" i="67"/>
  <c r="P325" i="67"/>
  <c r="U325" i="67"/>
  <c r="S325" i="67"/>
  <c r="O325" i="67"/>
  <c r="R325" i="67"/>
  <c r="M326" i="67"/>
  <c r="Q325" i="67"/>
  <c r="V325" i="67" l="1"/>
  <c r="Y325" i="67" s="1"/>
  <c r="W325" i="67"/>
  <c r="X325" i="67"/>
  <c r="T326" i="67"/>
  <c r="P326" i="67"/>
  <c r="R326" i="67"/>
  <c r="Q326" i="67"/>
  <c r="S326" i="67"/>
  <c r="M327" i="67"/>
  <c r="O326" i="67"/>
  <c r="U326" i="67"/>
  <c r="V326" i="67" l="1"/>
  <c r="Y326" i="67" s="1"/>
  <c r="Q327" i="67"/>
  <c r="O327" i="67"/>
  <c r="S327" i="67"/>
  <c r="R327" i="67"/>
  <c r="T327" i="67"/>
  <c r="P327" i="67"/>
  <c r="U327" i="67"/>
  <c r="M328" i="67"/>
  <c r="W326" i="67"/>
  <c r="X326" i="67"/>
  <c r="V327" i="67" l="1"/>
  <c r="Y327" i="67" s="1"/>
  <c r="S328" i="67"/>
  <c r="T328" i="67"/>
  <c r="U328" i="67"/>
  <c r="R328" i="67"/>
  <c r="P328" i="67"/>
  <c r="O328" i="67"/>
  <c r="Q328" i="67"/>
  <c r="M329" i="67"/>
  <c r="W327" i="67"/>
  <c r="X327" i="67"/>
  <c r="V328" i="67" l="1"/>
  <c r="Y328" i="67" s="1"/>
  <c r="X328" i="67"/>
  <c r="W328" i="67"/>
  <c r="P329" i="67"/>
  <c r="S329" i="67"/>
  <c r="T329" i="67"/>
  <c r="O329" i="67"/>
  <c r="R329" i="67"/>
  <c r="Q329" i="67"/>
  <c r="U329" i="67"/>
  <c r="M330" i="67"/>
  <c r="V329" i="67" l="1"/>
  <c r="Y329" i="67" s="1"/>
  <c r="P330" i="67"/>
  <c r="R330" i="67"/>
  <c r="T330" i="67"/>
  <c r="S330" i="67"/>
  <c r="O330" i="67"/>
  <c r="U330" i="67"/>
  <c r="Q330" i="67"/>
  <c r="M331" i="67"/>
  <c r="X329" i="67"/>
  <c r="W329" i="67"/>
  <c r="V330" i="67" l="1"/>
  <c r="Y330" i="67" s="1"/>
  <c r="X330" i="67"/>
  <c r="W330" i="67"/>
  <c r="P331" i="67"/>
  <c r="S331" i="67"/>
  <c r="R331" i="67"/>
  <c r="T331" i="67"/>
  <c r="U331" i="67"/>
  <c r="O331" i="67"/>
  <c r="Q331" i="67"/>
  <c r="M332" i="67"/>
  <c r="V331" i="67" l="1"/>
  <c r="Y331" i="67" s="1"/>
  <c r="W331" i="67"/>
  <c r="X331" i="67"/>
  <c r="S332" i="67"/>
  <c r="U332" i="67"/>
  <c r="O332" i="67"/>
  <c r="R332" i="67"/>
  <c r="Q332" i="67"/>
  <c r="M333" i="67"/>
  <c r="P332" i="67"/>
  <c r="T332" i="67"/>
  <c r="V332" i="67" l="1"/>
  <c r="Y332" i="67" s="1"/>
  <c r="W332" i="67"/>
  <c r="X332" i="67"/>
  <c r="P333" i="67"/>
  <c r="O333" i="67"/>
  <c r="R333" i="67"/>
  <c r="U333" i="67"/>
  <c r="Q333" i="67"/>
  <c r="T333" i="67"/>
  <c r="S333" i="67"/>
  <c r="M334" i="67"/>
  <c r="V333" i="67" l="1"/>
  <c r="Y333" i="67" s="1"/>
  <c r="W333" i="67"/>
  <c r="X333" i="67"/>
  <c r="U334" i="67"/>
  <c r="O334" i="67"/>
  <c r="R334" i="67"/>
  <c r="S334" i="67"/>
  <c r="Q334" i="67"/>
  <c r="P334" i="67"/>
  <c r="T334" i="67"/>
  <c r="M335" i="67"/>
  <c r="V334" i="67" l="1"/>
  <c r="Y334" i="67" s="1"/>
  <c r="X334" i="67"/>
  <c r="W334" i="67"/>
  <c r="S335" i="67"/>
  <c r="R335" i="67"/>
  <c r="O335" i="67"/>
  <c r="T335" i="67"/>
  <c r="U335" i="67"/>
  <c r="P335" i="67"/>
  <c r="Q335" i="67"/>
  <c r="M336" i="67"/>
  <c r="V335" i="67" l="1"/>
  <c r="Y335" i="67" s="1"/>
  <c r="T336" i="67"/>
  <c r="U336" i="67"/>
  <c r="S336" i="67"/>
  <c r="P336" i="67"/>
  <c r="O336" i="67"/>
  <c r="R336" i="67"/>
  <c r="M337" i="67"/>
  <c r="Q336" i="67"/>
  <c r="X335" i="67"/>
  <c r="W335" i="67"/>
  <c r="V336" i="67" l="1"/>
  <c r="Y336" i="67" s="1"/>
  <c r="O337" i="67"/>
  <c r="P337" i="67"/>
  <c r="U337" i="67"/>
  <c r="S337" i="67"/>
  <c r="R337" i="67"/>
  <c r="Q337" i="67"/>
  <c r="T337" i="67"/>
  <c r="M338" i="67"/>
  <c r="W336" i="67"/>
  <c r="X336" i="67"/>
  <c r="V337" i="67" l="1"/>
  <c r="Y337" i="67" s="1"/>
  <c r="W337" i="67"/>
  <c r="X337" i="67"/>
  <c r="S338" i="67"/>
  <c r="R338" i="67"/>
  <c r="T338" i="67"/>
  <c r="P338" i="67"/>
  <c r="Q338" i="67"/>
  <c r="U338" i="67"/>
  <c r="O338" i="67"/>
  <c r="M339" i="67"/>
  <c r="V338" i="67" l="1"/>
  <c r="Y338" i="67" s="1"/>
  <c r="W338" i="67"/>
  <c r="X338" i="67"/>
  <c r="R339" i="67"/>
  <c r="Q339" i="67"/>
  <c r="P339" i="67"/>
  <c r="S339" i="67"/>
  <c r="O339" i="67"/>
  <c r="U339" i="67"/>
  <c r="T339" i="67"/>
  <c r="M340" i="67"/>
  <c r="V339" i="67" l="1"/>
  <c r="Y339" i="67" s="1"/>
  <c r="O340" i="67"/>
  <c r="S340" i="67"/>
  <c r="U340" i="67"/>
  <c r="Q340" i="67"/>
  <c r="P340" i="67"/>
  <c r="T340" i="67"/>
  <c r="R340" i="67"/>
  <c r="M341" i="67"/>
  <c r="W339" i="67"/>
  <c r="X339" i="67"/>
  <c r="V340" i="67" l="1"/>
  <c r="Y340" i="67" s="1"/>
  <c r="P341" i="67"/>
  <c r="S341" i="67"/>
  <c r="R341" i="67"/>
  <c r="O341" i="67"/>
  <c r="T341" i="67"/>
  <c r="Q341" i="67"/>
  <c r="M342" i="67"/>
  <c r="U341" i="67"/>
  <c r="W340" i="67"/>
  <c r="X340" i="67"/>
  <c r="V341" i="67" l="1"/>
  <c r="Y341" i="67" s="1"/>
  <c r="X341" i="67"/>
  <c r="W341" i="67"/>
  <c r="O342" i="67"/>
  <c r="S342" i="67"/>
  <c r="Q342" i="67"/>
  <c r="P342" i="67"/>
  <c r="R342" i="67"/>
  <c r="U342" i="67"/>
  <c r="T342" i="67"/>
  <c r="M343" i="67"/>
  <c r="V342" i="67" l="1"/>
  <c r="Y342" i="67" s="1"/>
  <c r="R343" i="67"/>
  <c r="O343" i="67"/>
  <c r="Q343" i="67"/>
  <c r="S343" i="67"/>
  <c r="T343" i="67"/>
  <c r="P343" i="67"/>
  <c r="M344" i="67"/>
  <c r="U343" i="67"/>
  <c r="W342" i="67"/>
  <c r="X342" i="67"/>
  <c r="V343" i="67" l="1"/>
  <c r="Y343" i="67" s="1"/>
  <c r="R344" i="67"/>
  <c r="T344" i="67"/>
  <c r="S344" i="67"/>
  <c r="O344" i="67"/>
  <c r="P344" i="67"/>
  <c r="U344" i="67"/>
  <c r="M345" i="67"/>
  <c r="Q344" i="67"/>
  <c r="W343" i="67"/>
  <c r="X343" i="67"/>
  <c r="V344" i="67" l="1"/>
  <c r="Y344" i="67" s="1"/>
  <c r="T345" i="67"/>
  <c r="S345" i="67"/>
  <c r="P345" i="67"/>
  <c r="O345" i="67"/>
  <c r="R345" i="67"/>
  <c r="M346" i="67"/>
  <c r="Q345" i="67"/>
  <c r="U345" i="67"/>
  <c r="W344" i="67"/>
  <c r="X344" i="67"/>
  <c r="V345" i="67" l="1"/>
  <c r="Y345" i="67" s="1"/>
  <c r="W345" i="67"/>
  <c r="X345" i="67"/>
  <c r="T346" i="67"/>
  <c r="O346" i="67"/>
  <c r="R346" i="67"/>
  <c r="U346" i="67"/>
  <c r="P346" i="67"/>
  <c r="Q346" i="67"/>
  <c r="S346" i="67"/>
  <c r="M347" i="67"/>
  <c r="V346" i="67" l="1"/>
  <c r="Y346" i="67" s="1"/>
  <c r="W346" i="67"/>
  <c r="X346" i="67"/>
  <c r="R347" i="67"/>
  <c r="O347" i="67"/>
  <c r="P347" i="67"/>
  <c r="S347" i="67"/>
  <c r="U347" i="67"/>
  <c r="T347" i="67"/>
  <c r="Q347" i="67"/>
  <c r="M348" i="67"/>
  <c r="V347" i="67" l="1"/>
  <c r="Y347" i="67" s="1"/>
  <c r="W347" i="67"/>
  <c r="X347" i="67"/>
  <c r="R348" i="67"/>
  <c r="U348" i="67"/>
  <c r="T348" i="67"/>
  <c r="P348" i="67"/>
  <c r="S348" i="67"/>
  <c r="O348" i="67"/>
  <c r="Q348" i="67"/>
  <c r="M349" i="67"/>
  <c r="V348" i="67" l="1"/>
  <c r="Y348" i="67" s="1"/>
  <c r="X348" i="67"/>
  <c r="W348" i="67"/>
  <c r="T349" i="67"/>
  <c r="S349" i="67"/>
  <c r="O349" i="67"/>
  <c r="P349" i="67"/>
  <c r="U349" i="67"/>
  <c r="Q349" i="67"/>
  <c r="M350" i="67"/>
  <c r="R349" i="67"/>
  <c r="V349" i="67" l="1"/>
  <c r="Y349" i="67" s="1"/>
  <c r="W349" i="67"/>
  <c r="X349" i="67"/>
  <c r="S350" i="67"/>
  <c r="O350" i="67"/>
  <c r="T350" i="67"/>
  <c r="R350" i="67"/>
  <c r="P350" i="67"/>
  <c r="Q350" i="67"/>
  <c r="M351" i="67"/>
  <c r="U350" i="67"/>
  <c r="V350" i="67" l="1"/>
  <c r="Y350" i="67" s="1"/>
  <c r="W350" i="67"/>
  <c r="X350" i="67"/>
  <c r="O351" i="67"/>
  <c r="P351" i="67"/>
  <c r="U351" i="67"/>
  <c r="R351" i="67"/>
  <c r="S351" i="67"/>
  <c r="Q351" i="67"/>
  <c r="M352" i="67"/>
  <c r="T351" i="67"/>
  <c r="V351" i="67" l="1"/>
  <c r="Y351" i="67" s="1"/>
  <c r="X351" i="67"/>
  <c r="W351" i="67"/>
  <c r="O352" i="67"/>
  <c r="R352" i="67"/>
  <c r="S352" i="67"/>
  <c r="P352" i="67"/>
  <c r="T352" i="67"/>
  <c r="U352" i="67"/>
  <c r="Q352" i="67"/>
  <c r="M353" i="67"/>
  <c r="V352" i="67" l="1"/>
  <c r="Y352" i="67" s="1"/>
  <c r="S353" i="67"/>
  <c r="P353" i="67"/>
  <c r="R353" i="67"/>
  <c r="O353" i="67"/>
  <c r="U353" i="67"/>
  <c r="T353" i="67"/>
  <c r="M354" i="67"/>
  <c r="Q353" i="67"/>
  <c r="X352" i="67"/>
  <c r="W352" i="67"/>
  <c r="V353" i="67" l="1"/>
  <c r="Y353" i="67" s="1"/>
  <c r="W353" i="67"/>
  <c r="X353" i="67"/>
  <c r="R354" i="67"/>
  <c r="Q354" i="67"/>
  <c r="P354" i="67"/>
  <c r="T354" i="67"/>
  <c r="O354" i="67"/>
  <c r="U354" i="67"/>
  <c r="M355" i="67"/>
  <c r="S354" i="67"/>
  <c r="V354" i="67" l="1"/>
  <c r="Y354" i="67" s="1"/>
  <c r="T355" i="67"/>
  <c r="P355" i="67"/>
  <c r="S355" i="67"/>
  <c r="O355" i="67"/>
  <c r="R355" i="67"/>
  <c r="U355" i="67"/>
  <c r="Q355" i="67"/>
  <c r="M356" i="67"/>
  <c r="W354" i="67"/>
  <c r="X354" i="67"/>
  <c r="V355" i="67" l="1"/>
  <c r="Y355" i="67" s="1"/>
  <c r="O356" i="67"/>
  <c r="T356" i="67"/>
  <c r="P356" i="67"/>
  <c r="U356" i="67"/>
  <c r="Q356" i="67"/>
  <c r="R356" i="67"/>
  <c r="M357" i="67"/>
  <c r="S356" i="67"/>
  <c r="X355" i="67"/>
  <c r="W355" i="67"/>
  <c r="V356" i="67" l="1"/>
  <c r="Y356" i="67" s="1"/>
  <c r="W356" i="67"/>
  <c r="X356" i="67"/>
  <c r="S357" i="67"/>
  <c r="P357" i="67"/>
  <c r="T357" i="67"/>
  <c r="R357" i="67"/>
  <c r="U357" i="67"/>
  <c r="M358" i="67"/>
  <c r="O357" i="67"/>
  <c r="Q357" i="67"/>
  <c r="V357" i="67" l="1"/>
  <c r="Y357" i="67" s="1"/>
  <c r="X357" i="67"/>
  <c r="W357" i="67"/>
  <c r="O358" i="67"/>
  <c r="P358" i="67"/>
  <c r="T358" i="67"/>
  <c r="U358" i="67"/>
  <c r="R358" i="67"/>
  <c r="M359" i="67"/>
  <c r="S358" i="67"/>
  <c r="Q358" i="67"/>
  <c r="V358" i="67" l="1"/>
  <c r="Y358" i="67" s="1"/>
  <c r="X358" i="67"/>
  <c r="W358" i="67"/>
  <c r="T359" i="67"/>
  <c r="Q359" i="67"/>
  <c r="S359" i="67"/>
  <c r="P359" i="67"/>
  <c r="R359" i="67"/>
  <c r="O359" i="67"/>
  <c r="U359" i="67"/>
  <c r="M360" i="67"/>
  <c r="V359" i="67" l="1"/>
  <c r="Y359" i="67" s="1"/>
  <c r="T360" i="67"/>
  <c r="S360" i="67"/>
  <c r="P360" i="67"/>
  <c r="R360" i="67"/>
  <c r="U360" i="67"/>
  <c r="O360" i="67"/>
  <c r="Q360" i="67"/>
  <c r="M361" i="67"/>
  <c r="X359" i="67"/>
  <c r="W359" i="67"/>
  <c r="V360" i="67" l="1"/>
  <c r="Y360" i="67" s="1"/>
  <c r="Q361" i="67"/>
  <c r="R361" i="67"/>
  <c r="P361" i="67"/>
  <c r="U361" i="67"/>
  <c r="S361" i="67"/>
  <c r="O361" i="67"/>
  <c r="T361" i="67"/>
  <c r="M362" i="67"/>
  <c r="W360" i="67"/>
  <c r="X360" i="67"/>
  <c r="V361" i="67" l="1"/>
  <c r="Y361" i="67" s="1"/>
  <c r="P362" i="67"/>
  <c r="Q362" i="67"/>
  <c r="O362" i="67"/>
  <c r="S362" i="67"/>
  <c r="R362" i="67"/>
  <c r="T362" i="67"/>
  <c r="U362" i="67"/>
  <c r="M363" i="67"/>
  <c r="X361" i="67"/>
  <c r="W361" i="67"/>
  <c r="V362" i="67" l="1"/>
  <c r="Y362" i="67" s="1"/>
  <c r="P363" i="67"/>
  <c r="U363" i="67"/>
  <c r="T363" i="67"/>
  <c r="R363" i="67"/>
  <c r="O363" i="67"/>
  <c r="S363" i="67"/>
  <c r="Q363" i="67"/>
  <c r="M364" i="67"/>
  <c r="X362" i="67"/>
  <c r="W362" i="67"/>
  <c r="V363" i="67" l="1"/>
  <c r="Y363" i="67" s="1"/>
  <c r="S364" i="67"/>
  <c r="Q364" i="67"/>
  <c r="O364" i="67"/>
  <c r="T364" i="67"/>
  <c r="U364" i="67"/>
  <c r="P364" i="67"/>
  <c r="R364" i="67"/>
  <c r="M365" i="67"/>
  <c r="W363" i="67"/>
  <c r="X363" i="67"/>
  <c r="V364" i="67" l="1"/>
  <c r="Y364" i="67" s="1"/>
  <c r="O365" i="67"/>
  <c r="R365" i="67"/>
  <c r="T365" i="67"/>
  <c r="M366" i="67"/>
  <c r="Q365" i="67"/>
  <c r="S365" i="67"/>
  <c r="U365" i="67"/>
  <c r="P365" i="67"/>
  <c r="W364" i="67"/>
  <c r="X364" i="67"/>
  <c r="V365" i="67" l="1"/>
  <c r="Y365" i="67" s="1"/>
  <c r="X365" i="67"/>
  <c r="W365" i="67"/>
  <c r="R366" i="67"/>
  <c r="P366" i="67"/>
  <c r="T366" i="67"/>
  <c r="S366" i="67"/>
  <c r="Q366" i="67"/>
  <c r="O366" i="67"/>
  <c r="M367" i="67"/>
  <c r="U366" i="67"/>
  <c r="V366" i="67" l="1"/>
  <c r="Y366" i="67" s="1"/>
  <c r="W366" i="67"/>
  <c r="X366" i="67"/>
  <c r="P367" i="67"/>
  <c r="T367" i="67"/>
  <c r="U367" i="67"/>
  <c r="R367" i="67"/>
  <c r="S367" i="67"/>
  <c r="O367" i="67"/>
  <c r="M368" i="67"/>
  <c r="Q367" i="67"/>
  <c r="V367" i="67" l="1"/>
  <c r="Y367" i="67" s="1"/>
  <c r="W367" i="67"/>
  <c r="X367" i="67"/>
  <c r="R368" i="67"/>
  <c r="U368" i="67"/>
  <c r="P368" i="67"/>
  <c r="Q368" i="67"/>
  <c r="T368" i="67"/>
  <c r="M369" i="67"/>
  <c r="O368" i="67"/>
  <c r="S368" i="67"/>
  <c r="V368" i="67" l="1"/>
  <c r="Y368" i="67" s="1"/>
  <c r="X368" i="67"/>
  <c r="W368" i="67"/>
  <c r="T369" i="67"/>
  <c r="S369" i="67"/>
  <c r="R369" i="67"/>
  <c r="P369" i="67"/>
  <c r="O369" i="67"/>
  <c r="U369" i="67"/>
  <c r="Q369" i="67"/>
  <c r="M370" i="67"/>
  <c r="V369" i="67" l="1"/>
  <c r="Y369" i="67" s="1"/>
  <c r="R370" i="67"/>
  <c r="S370" i="67"/>
  <c r="P370" i="67"/>
  <c r="T370" i="67"/>
  <c r="O370" i="67"/>
  <c r="Q370" i="67"/>
  <c r="U370" i="67"/>
  <c r="M371" i="67"/>
  <c r="X369" i="67"/>
  <c r="W369" i="67"/>
  <c r="V370" i="67" l="1"/>
  <c r="Y370" i="67" s="1"/>
  <c r="R371" i="67"/>
  <c r="P371" i="67"/>
  <c r="U371" i="67"/>
  <c r="O371" i="67"/>
  <c r="Q371" i="67"/>
  <c r="T371" i="67"/>
  <c r="M372" i="67"/>
  <c r="S371" i="67"/>
  <c r="X370" i="67"/>
  <c r="W370" i="67"/>
  <c r="V371" i="67" l="1"/>
  <c r="Y371" i="67" s="1"/>
  <c r="W371" i="67"/>
  <c r="X371" i="67"/>
  <c r="Q372" i="67"/>
  <c r="P372" i="67"/>
  <c r="O372" i="67"/>
  <c r="T372" i="67"/>
  <c r="U372" i="67"/>
  <c r="M373" i="67"/>
  <c r="R372" i="67"/>
  <c r="S372" i="67"/>
  <c r="V372" i="67" l="1"/>
  <c r="Y372" i="67" s="1"/>
  <c r="W372" i="67"/>
  <c r="X372" i="67"/>
  <c r="U373" i="67"/>
  <c r="S373" i="67"/>
  <c r="O373" i="67"/>
  <c r="R373" i="67"/>
  <c r="M374" i="67"/>
  <c r="T373" i="67"/>
  <c r="Q373" i="67"/>
  <c r="P373" i="67"/>
  <c r="V373" i="67" l="1"/>
  <c r="Y373" i="67" s="1"/>
  <c r="R374" i="67"/>
  <c r="P374" i="67"/>
  <c r="T374" i="67"/>
  <c r="O374" i="67"/>
  <c r="S374" i="67"/>
  <c r="U374" i="67"/>
  <c r="M375" i="67"/>
  <c r="Q374" i="67"/>
  <c r="W373" i="67"/>
  <c r="X373" i="67"/>
  <c r="V374" i="67" l="1"/>
  <c r="Y374" i="67" s="1"/>
  <c r="T375" i="67"/>
  <c r="S375" i="67"/>
  <c r="O375" i="67"/>
  <c r="U375" i="67"/>
  <c r="Q375" i="67"/>
  <c r="P375" i="67"/>
  <c r="R375" i="67"/>
  <c r="M376" i="67"/>
  <c r="X374" i="67"/>
  <c r="W374" i="67"/>
  <c r="V375" i="67" l="1"/>
  <c r="Y375" i="67" s="1"/>
  <c r="T376" i="67"/>
  <c r="S376" i="67"/>
  <c r="U376" i="67"/>
  <c r="P376" i="67"/>
  <c r="O376" i="67"/>
  <c r="Q376" i="67"/>
  <c r="R376" i="67"/>
  <c r="M377" i="67"/>
  <c r="W375" i="67"/>
  <c r="X375" i="67"/>
  <c r="V376" i="67" l="1"/>
  <c r="Y376" i="67" s="1"/>
  <c r="O377" i="67"/>
  <c r="R377" i="67"/>
  <c r="S377" i="67"/>
  <c r="U377" i="67"/>
  <c r="P377" i="67"/>
  <c r="T377" i="67"/>
  <c r="Q377" i="67"/>
  <c r="M378" i="67"/>
  <c r="X376" i="67"/>
  <c r="W376" i="67"/>
  <c r="V377" i="67" l="1"/>
  <c r="Y377" i="67" s="1"/>
  <c r="R378" i="67"/>
  <c r="O378" i="67"/>
  <c r="T378" i="67"/>
  <c r="U378" i="67"/>
  <c r="S378" i="67"/>
  <c r="Q378" i="67"/>
  <c r="P378" i="67"/>
  <c r="M379" i="67"/>
  <c r="W377" i="67"/>
  <c r="X377" i="67"/>
  <c r="V378" i="67" l="1"/>
  <c r="Y378" i="67" s="1"/>
  <c r="R379" i="67"/>
  <c r="P379" i="67"/>
  <c r="S379" i="67"/>
  <c r="T379" i="67"/>
  <c r="Q379" i="67"/>
  <c r="U379" i="67"/>
  <c r="M380" i="67"/>
  <c r="O379" i="67"/>
  <c r="W378" i="67"/>
  <c r="X378" i="67"/>
  <c r="V379" i="67" l="1"/>
  <c r="Y379" i="67" s="1"/>
  <c r="U380" i="67"/>
  <c r="R380" i="67"/>
  <c r="T380" i="67"/>
  <c r="M381" i="67"/>
  <c r="P380" i="67"/>
  <c r="O380" i="67"/>
  <c r="Q380" i="67"/>
  <c r="S380" i="67"/>
  <c r="W379" i="67"/>
  <c r="X379" i="67"/>
  <c r="V380" i="67" l="1"/>
  <c r="Y380" i="67" s="1"/>
  <c r="W380" i="67"/>
  <c r="X380" i="67"/>
  <c r="S381" i="67"/>
  <c r="Q381" i="67"/>
  <c r="O381" i="67"/>
  <c r="T381" i="67"/>
  <c r="U381" i="67"/>
  <c r="M382" i="67"/>
  <c r="R381" i="67"/>
  <c r="P381" i="67"/>
  <c r="V381" i="67" l="1"/>
  <c r="Y381" i="67" s="1"/>
  <c r="R382" i="67"/>
  <c r="Q382" i="67"/>
  <c r="M383" i="67"/>
  <c r="P382" i="67"/>
  <c r="O382" i="67"/>
  <c r="S382" i="67"/>
  <c r="T382" i="67"/>
  <c r="U382" i="67"/>
  <c r="X381" i="67"/>
  <c r="W381" i="67"/>
  <c r="V382" i="67" l="1"/>
  <c r="Y382" i="67" s="1"/>
  <c r="W382" i="67"/>
  <c r="X382" i="67"/>
  <c r="S383" i="67"/>
  <c r="R383" i="67"/>
  <c r="T383" i="67"/>
  <c r="O383" i="67"/>
  <c r="P383" i="67"/>
  <c r="Q383" i="67"/>
  <c r="U383" i="67"/>
  <c r="M384" i="67"/>
  <c r="V383" i="67" l="1"/>
  <c r="Y383" i="67" s="1"/>
  <c r="W383" i="67"/>
  <c r="X383" i="67"/>
  <c r="P384" i="67"/>
  <c r="O384" i="67"/>
  <c r="R384" i="67"/>
  <c r="S384" i="67"/>
  <c r="T384" i="67"/>
  <c r="Q384" i="67"/>
  <c r="U384" i="67"/>
  <c r="M385" i="67"/>
  <c r="V384" i="67" l="1"/>
  <c r="Y384" i="67" s="1"/>
  <c r="O385" i="67"/>
  <c r="P385" i="67"/>
  <c r="S385" i="67"/>
  <c r="R385" i="67"/>
  <c r="Q385" i="67"/>
  <c r="U385" i="67"/>
  <c r="T385" i="67"/>
  <c r="M386" i="67"/>
  <c r="W384" i="67"/>
  <c r="X384" i="67"/>
  <c r="V385" i="67" l="1"/>
  <c r="Y385" i="67" s="1"/>
  <c r="W385" i="67"/>
  <c r="X385" i="67"/>
  <c r="O386" i="67"/>
  <c r="R386" i="67"/>
  <c r="U386" i="67"/>
  <c r="T386" i="67"/>
  <c r="P386" i="67"/>
  <c r="S386" i="67"/>
  <c r="Q386" i="67"/>
  <c r="M387" i="67"/>
  <c r="V386" i="67" l="1"/>
  <c r="Y386" i="67" s="1"/>
  <c r="R387" i="67"/>
  <c r="O387" i="67"/>
  <c r="U387" i="67"/>
  <c r="S387" i="67"/>
  <c r="P387" i="67"/>
  <c r="T387" i="67"/>
  <c r="Q387" i="67"/>
  <c r="M388" i="67"/>
  <c r="W386" i="67"/>
  <c r="X386" i="67"/>
  <c r="V387" i="67" l="1"/>
  <c r="Y387" i="67" s="1"/>
  <c r="X387" i="67"/>
  <c r="W387" i="67"/>
  <c r="P388" i="67"/>
  <c r="S388" i="67"/>
  <c r="T388" i="67"/>
  <c r="U388" i="67"/>
  <c r="M389" i="67"/>
  <c r="R388" i="67"/>
  <c r="Q388" i="67"/>
  <c r="O388" i="67"/>
  <c r="V388" i="67" l="1"/>
  <c r="Y388" i="67" s="1"/>
  <c r="P389" i="67"/>
  <c r="T389" i="67"/>
  <c r="S389" i="67"/>
  <c r="R389" i="67"/>
  <c r="O389" i="67"/>
  <c r="M390" i="67"/>
  <c r="Q389" i="67"/>
  <c r="U389" i="67"/>
  <c r="X388" i="67"/>
  <c r="W388" i="67"/>
  <c r="V389" i="67" l="1"/>
  <c r="Y389" i="67" s="1"/>
  <c r="W389" i="67"/>
  <c r="X389" i="67"/>
  <c r="R390" i="67"/>
  <c r="Q390" i="67"/>
  <c r="T390" i="67"/>
  <c r="S390" i="67"/>
  <c r="P390" i="67"/>
  <c r="U390" i="67"/>
  <c r="O390" i="67"/>
  <c r="M391" i="67"/>
  <c r="V390" i="67" l="1"/>
  <c r="Y390" i="67" s="1"/>
  <c r="S391" i="67"/>
  <c r="P391" i="67"/>
  <c r="R391" i="67"/>
  <c r="O391" i="67"/>
  <c r="U391" i="67"/>
  <c r="T391" i="67"/>
  <c r="Q391" i="67"/>
  <c r="M392" i="67"/>
  <c r="X390" i="67"/>
  <c r="W390" i="67"/>
  <c r="V391" i="67" l="1"/>
  <c r="Y391" i="67" s="1"/>
  <c r="R392" i="67"/>
  <c r="S392" i="67"/>
  <c r="O392" i="67"/>
  <c r="U392" i="67"/>
  <c r="T392" i="67"/>
  <c r="M393" i="67"/>
  <c r="Q392" i="67"/>
  <c r="P392" i="67"/>
  <c r="X391" i="67"/>
  <c r="W391" i="67"/>
  <c r="V392" i="67" l="1"/>
  <c r="Y392" i="67" s="1"/>
  <c r="W392" i="67"/>
  <c r="X392" i="67"/>
  <c r="T393" i="67"/>
  <c r="S393" i="67"/>
  <c r="P393" i="67"/>
  <c r="U393" i="67"/>
  <c r="R393" i="67"/>
  <c r="Q393" i="67"/>
  <c r="O393" i="67"/>
  <c r="M394" i="67"/>
  <c r="V393" i="67" l="1"/>
  <c r="Y393" i="67" s="1"/>
  <c r="S394" i="67"/>
  <c r="O394" i="67"/>
  <c r="T394" i="67"/>
  <c r="Q394" i="67"/>
  <c r="P394" i="67"/>
  <c r="R394" i="67"/>
  <c r="M395" i="67"/>
  <c r="U394" i="67"/>
  <c r="W393" i="67"/>
  <c r="X393" i="67"/>
  <c r="V394" i="67" l="1"/>
  <c r="Y394" i="67" s="1"/>
  <c r="W394" i="67"/>
  <c r="X394" i="67"/>
  <c r="S395" i="67"/>
  <c r="T395" i="67"/>
  <c r="O395" i="67"/>
  <c r="P395" i="67"/>
  <c r="U395" i="67"/>
  <c r="R395" i="67"/>
  <c r="Q395" i="67"/>
  <c r="M396" i="67"/>
  <c r="V395" i="67" l="1"/>
  <c r="Y395" i="67" s="1"/>
  <c r="W395" i="67"/>
  <c r="X395" i="67"/>
  <c r="S396" i="67"/>
  <c r="R396" i="67"/>
  <c r="P396" i="67"/>
  <c r="Q396" i="67"/>
  <c r="M397" i="67"/>
  <c r="T396" i="67"/>
  <c r="U396" i="67"/>
  <c r="O396" i="67"/>
  <c r="V396" i="67" l="1"/>
  <c r="Y396" i="67" s="1"/>
  <c r="R397" i="67"/>
  <c r="O397" i="67"/>
  <c r="U397" i="67"/>
  <c r="Q397" i="67"/>
  <c r="M398" i="67"/>
  <c r="P397" i="67"/>
  <c r="S397" i="67"/>
  <c r="T397" i="67"/>
  <c r="W396" i="67"/>
  <c r="X396" i="67"/>
  <c r="V397" i="67" l="1"/>
  <c r="Y397" i="67" s="1"/>
  <c r="S398" i="67"/>
  <c r="O398" i="67"/>
  <c r="R398" i="67"/>
  <c r="T398" i="67"/>
  <c r="P398" i="67"/>
  <c r="U398" i="67"/>
  <c r="M399" i="67"/>
  <c r="Q398" i="67"/>
  <c r="W397" i="67"/>
  <c r="X397" i="67"/>
  <c r="V398" i="67" l="1"/>
  <c r="Y398" i="67" s="1"/>
  <c r="R399" i="67"/>
  <c r="Q399" i="67"/>
  <c r="T399" i="67"/>
  <c r="S399" i="67"/>
  <c r="M400" i="67"/>
  <c r="U399" i="67"/>
  <c r="O399" i="67"/>
  <c r="P399" i="67"/>
  <c r="W398" i="67"/>
  <c r="X398" i="67"/>
  <c r="V399" i="67" l="1"/>
  <c r="Y399" i="67" s="1"/>
  <c r="U400" i="67"/>
  <c r="R400" i="67"/>
  <c r="O400" i="67"/>
  <c r="S400" i="67"/>
  <c r="P400" i="67"/>
  <c r="T400" i="67"/>
  <c r="M401" i="67"/>
  <c r="Q400" i="67"/>
  <c r="W399" i="67"/>
  <c r="X399" i="67"/>
  <c r="V400" i="67" l="1"/>
  <c r="Y400" i="67" s="1"/>
  <c r="R401" i="67"/>
  <c r="P401" i="67"/>
  <c r="U401" i="67"/>
  <c r="Q401" i="67"/>
  <c r="O401" i="67"/>
  <c r="T401" i="67"/>
  <c r="S401" i="67"/>
  <c r="M402" i="67"/>
  <c r="W400" i="67"/>
  <c r="X400" i="67"/>
  <c r="V401" i="67" l="1"/>
  <c r="Y401" i="67" s="1"/>
  <c r="X401" i="67"/>
  <c r="W401" i="67"/>
  <c r="T402" i="67"/>
  <c r="P402" i="67"/>
  <c r="O402" i="67"/>
  <c r="S402" i="67"/>
  <c r="R402" i="67"/>
  <c r="U402" i="67"/>
  <c r="Q402" i="67"/>
  <c r="M403" i="67"/>
  <c r="V402" i="67" l="1"/>
  <c r="Y402" i="67" s="1"/>
  <c r="O403" i="67"/>
  <c r="U403" i="67"/>
  <c r="P403" i="67"/>
  <c r="R403" i="67"/>
  <c r="T403" i="67"/>
  <c r="Q403" i="67"/>
  <c r="S403" i="67"/>
  <c r="M404" i="67"/>
  <c r="X402" i="67"/>
  <c r="W402" i="67"/>
  <c r="V403" i="67" l="1"/>
  <c r="Y403" i="67" s="1"/>
  <c r="O404" i="67"/>
  <c r="U404" i="67"/>
  <c r="Q404" i="67"/>
  <c r="M405" i="67"/>
  <c r="T404" i="67"/>
  <c r="R404" i="67"/>
  <c r="S404" i="67"/>
  <c r="P404" i="67"/>
  <c r="W403" i="67"/>
  <c r="X403" i="67"/>
  <c r="V404" i="67" l="1"/>
  <c r="Y404" i="67" s="1"/>
  <c r="O405" i="67"/>
  <c r="P405" i="67"/>
  <c r="R405" i="67"/>
  <c r="M406" i="67"/>
  <c r="T405" i="67"/>
  <c r="S405" i="67"/>
  <c r="Q405" i="67"/>
  <c r="U405" i="67"/>
  <c r="X404" i="67"/>
  <c r="W404" i="67"/>
  <c r="V405" i="67" l="1"/>
  <c r="Y405" i="67" s="1"/>
  <c r="X405" i="67"/>
  <c r="W405" i="67"/>
  <c r="T406" i="67"/>
  <c r="S406" i="67"/>
  <c r="U406" i="67"/>
  <c r="O406" i="67"/>
  <c r="P406" i="67"/>
  <c r="R406" i="67"/>
  <c r="M407" i="67"/>
  <c r="Q406" i="67"/>
  <c r="V406" i="67" l="1"/>
  <c r="Y406" i="67" s="1"/>
  <c r="W406" i="67"/>
  <c r="X406" i="67"/>
  <c r="S407" i="67"/>
  <c r="R407" i="67"/>
  <c r="O407" i="67"/>
  <c r="P407" i="67"/>
  <c r="M408" i="67"/>
  <c r="U407" i="67"/>
  <c r="T407" i="67"/>
  <c r="Q407" i="67"/>
  <c r="V407" i="67" l="1"/>
  <c r="Y407" i="67" s="1"/>
  <c r="O408" i="67"/>
  <c r="S408" i="67"/>
  <c r="T408" i="67"/>
  <c r="R408" i="67"/>
  <c r="U408" i="67"/>
  <c r="Q408" i="67"/>
  <c r="P408" i="67"/>
  <c r="M409" i="67"/>
  <c r="W407" i="67"/>
  <c r="X407" i="67"/>
  <c r="V408" i="67" l="1"/>
  <c r="Y408" i="67" s="1"/>
  <c r="P409" i="67"/>
  <c r="O409" i="67"/>
  <c r="T409" i="67"/>
  <c r="S409" i="67"/>
  <c r="R409" i="67"/>
  <c r="U409" i="67"/>
  <c r="M410" i="67"/>
  <c r="Q409" i="67"/>
  <c r="W408" i="67"/>
  <c r="X408" i="67"/>
  <c r="V409" i="67" l="1"/>
  <c r="Y409" i="67" s="1"/>
  <c r="R410" i="67"/>
  <c r="O410" i="67"/>
  <c r="U410" i="67"/>
  <c r="P410" i="67"/>
  <c r="S410" i="67"/>
  <c r="Q410" i="67"/>
  <c r="T410" i="67"/>
  <c r="M411" i="67"/>
  <c r="W409" i="67"/>
  <c r="X409" i="67"/>
  <c r="V410" i="67" l="1"/>
  <c r="Y410" i="67" s="1"/>
  <c r="P411" i="67"/>
  <c r="T411" i="67"/>
  <c r="U411" i="67"/>
  <c r="R411" i="67"/>
  <c r="O411" i="67"/>
  <c r="Q411" i="67"/>
  <c r="S411" i="67"/>
  <c r="M412" i="67"/>
  <c r="X410" i="67"/>
  <c r="W410" i="67"/>
  <c r="V411" i="67" l="1"/>
  <c r="Y411" i="67" s="1"/>
  <c r="U412" i="67"/>
  <c r="R412" i="67"/>
  <c r="T412" i="67"/>
  <c r="S412" i="67"/>
  <c r="Q412" i="67"/>
  <c r="M413" i="67"/>
  <c r="P412" i="67"/>
  <c r="O412" i="67"/>
  <c r="X411" i="67"/>
  <c r="W411" i="67"/>
  <c r="V412" i="67" l="1"/>
  <c r="Y412" i="67" s="1"/>
  <c r="X412" i="67"/>
  <c r="W412" i="67"/>
  <c r="O413" i="67"/>
  <c r="U413" i="67"/>
  <c r="P413" i="67"/>
  <c r="R413" i="67"/>
  <c r="S413" i="67"/>
  <c r="M414" i="67"/>
  <c r="T413" i="67"/>
  <c r="Q413" i="67"/>
  <c r="V413" i="67" l="1"/>
  <c r="Y413" i="67" s="1"/>
  <c r="X413" i="67"/>
  <c r="W413" i="67"/>
  <c r="S414" i="67"/>
  <c r="P414" i="67"/>
  <c r="O414" i="67"/>
  <c r="R414" i="67"/>
  <c r="M415" i="67"/>
  <c r="T414" i="67"/>
  <c r="U414" i="67"/>
  <c r="Q414" i="67"/>
  <c r="V414" i="67" l="1"/>
  <c r="Y414" i="67" s="1"/>
  <c r="R415" i="67"/>
  <c r="P415" i="67"/>
  <c r="T415" i="67"/>
  <c r="O415" i="67"/>
  <c r="U415" i="67"/>
  <c r="S415" i="67"/>
  <c r="M416" i="67"/>
  <c r="Q415" i="67"/>
  <c r="X414" i="67"/>
  <c r="W414" i="67"/>
  <c r="V415" i="67" l="1"/>
  <c r="Y415" i="67" s="1"/>
  <c r="O416" i="67"/>
  <c r="S416" i="67"/>
  <c r="Q416" i="67"/>
  <c r="T416" i="67"/>
  <c r="P416" i="67"/>
  <c r="M417" i="67"/>
  <c r="U416" i="67"/>
  <c r="R416" i="67"/>
  <c r="W415" i="67"/>
  <c r="X415" i="67"/>
  <c r="V416" i="67" l="1"/>
  <c r="Y416" i="67" s="1"/>
  <c r="W416" i="67"/>
  <c r="X416" i="67"/>
  <c r="O417" i="67"/>
  <c r="S417" i="67"/>
  <c r="P417" i="67"/>
  <c r="R417" i="67"/>
  <c r="Q417" i="67"/>
  <c r="U417" i="67"/>
  <c r="T417" i="67"/>
  <c r="M418" i="67"/>
  <c r="V417" i="67" l="1"/>
  <c r="Y417" i="67" s="1"/>
  <c r="U418" i="67"/>
  <c r="O418" i="67"/>
  <c r="T418" i="67"/>
  <c r="P418" i="67"/>
  <c r="Q418" i="67"/>
  <c r="R418" i="67"/>
  <c r="M419" i="67"/>
  <c r="S418" i="67"/>
  <c r="W417" i="67"/>
  <c r="X417" i="67"/>
  <c r="V418" i="67" l="1"/>
  <c r="Y418" i="67" s="1"/>
  <c r="X418" i="67"/>
  <c r="W418" i="67"/>
  <c r="R419" i="67"/>
  <c r="U419" i="67"/>
  <c r="O419" i="67"/>
  <c r="T419" i="67"/>
  <c r="P419" i="67"/>
  <c r="S419" i="67"/>
  <c r="Q419" i="67"/>
  <c r="M420" i="67"/>
  <c r="V419" i="67" l="1"/>
  <c r="Y419" i="67" s="1"/>
  <c r="W419" i="67"/>
  <c r="X419" i="67"/>
  <c r="P420" i="67"/>
  <c r="O420" i="67"/>
  <c r="S420" i="67"/>
  <c r="R420" i="67"/>
  <c r="U420" i="67"/>
  <c r="M421" i="67"/>
  <c r="T420" i="67"/>
  <c r="Q420" i="67"/>
  <c r="V420" i="67" l="1"/>
  <c r="Y420" i="67" s="1"/>
  <c r="W420" i="67"/>
  <c r="X420" i="67"/>
  <c r="P421" i="67"/>
  <c r="R421" i="67"/>
  <c r="O421" i="67"/>
  <c r="T421" i="67"/>
  <c r="M422" i="67"/>
  <c r="S421" i="67"/>
  <c r="U421" i="67"/>
  <c r="Q421" i="67"/>
  <c r="V421" i="67" l="1"/>
  <c r="Y421" i="67" s="1"/>
  <c r="S422" i="67"/>
  <c r="T422" i="67"/>
  <c r="Q422" i="67"/>
  <c r="M423" i="67"/>
  <c r="R422" i="67"/>
  <c r="P422" i="67"/>
  <c r="U422" i="67"/>
  <c r="O422" i="67"/>
  <c r="W421" i="67"/>
  <c r="X421" i="67"/>
  <c r="V422" i="67" l="1"/>
  <c r="Y422" i="67" s="1"/>
  <c r="X422" i="67"/>
  <c r="W422" i="67"/>
  <c r="O423" i="67"/>
  <c r="P423" i="67"/>
  <c r="S423" i="67"/>
  <c r="T423" i="67"/>
  <c r="R423" i="67"/>
  <c r="Q423" i="67"/>
  <c r="U423" i="67"/>
  <c r="M424" i="67"/>
  <c r="V423" i="67" l="1"/>
  <c r="Y423" i="67" s="1"/>
  <c r="P424" i="67"/>
  <c r="T424" i="67"/>
  <c r="R424" i="67"/>
  <c r="Q424" i="67"/>
  <c r="S424" i="67"/>
  <c r="M425" i="67"/>
  <c r="O424" i="67"/>
  <c r="U424" i="67"/>
  <c r="W423" i="67"/>
  <c r="X423" i="67"/>
  <c r="V424" i="67" l="1"/>
  <c r="Y424" i="67" s="1"/>
  <c r="P425" i="67"/>
  <c r="S425" i="67"/>
  <c r="R425" i="67"/>
  <c r="T425" i="67"/>
  <c r="O425" i="67"/>
  <c r="Q425" i="67"/>
  <c r="U425" i="67"/>
  <c r="M426" i="67"/>
  <c r="X424" i="67"/>
  <c r="W424" i="67"/>
  <c r="V425" i="67" l="1"/>
  <c r="Y425" i="67" s="1"/>
  <c r="T426" i="67"/>
  <c r="P426" i="67"/>
  <c r="R426" i="67"/>
  <c r="O426" i="67"/>
  <c r="U426" i="67"/>
  <c r="Q426" i="67"/>
  <c r="S426" i="67"/>
  <c r="M427" i="67"/>
  <c r="X425" i="67"/>
  <c r="W425" i="67"/>
  <c r="V426" i="67" l="1"/>
  <c r="Y426" i="67" s="1"/>
  <c r="O427" i="67"/>
  <c r="T427" i="67"/>
  <c r="S427" i="67"/>
  <c r="Q427" i="67"/>
  <c r="P427" i="67"/>
  <c r="R427" i="67"/>
  <c r="U427" i="67"/>
  <c r="M428" i="67"/>
  <c r="X426" i="67"/>
  <c r="W426" i="67"/>
  <c r="V427" i="67" l="1"/>
  <c r="Y427" i="67" s="1"/>
  <c r="P428" i="67"/>
  <c r="R428" i="67"/>
  <c r="U428" i="67"/>
  <c r="S428" i="67"/>
  <c r="M429" i="67"/>
  <c r="Q428" i="67"/>
  <c r="O428" i="67"/>
  <c r="T428" i="67"/>
  <c r="X427" i="67"/>
  <c r="W427" i="67"/>
  <c r="V428" i="67" l="1"/>
  <c r="Y428" i="67" s="1"/>
  <c r="P429" i="67"/>
  <c r="R429" i="67"/>
  <c r="O429" i="67"/>
  <c r="T429" i="67"/>
  <c r="M430" i="67"/>
  <c r="S429" i="67"/>
  <c r="Q429" i="67"/>
  <c r="U429" i="67"/>
  <c r="X428" i="67"/>
  <c r="W428" i="67"/>
  <c r="V429" i="67" l="1"/>
  <c r="Y429" i="67" s="1"/>
  <c r="W429" i="67"/>
  <c r="X429" i="67"/>
  <c r="T430" i="67"/>
  <c r="O430" i="67"/>
  <c r="P430" i="67"/>
  <c r="U430" i="67"/>
  <c r="R430" i="67"/>
  <c r="S430" i="67"/>
  <c r="M431" i="67"/>
  <c r="Q430" i="67"/>
  <c r="V430" i="67" l="1"/>
  <c r="Y430" i="67" s="1"/>
  <c r="X430" i="67"/>
  <c r="W430" i="67"/>
  <c r="U431" i="67"/>
  <c r="S431" i="67"/>
  <c r="O431" i="67"/>
  <c r="P431" i="67"/>
  <c r="R431" i="67"/>
  <c r="M432" i="67"/>
  <c r="T431" i="67"/>
  <c r="Q431" i="67"/>
  <c r="V431" i="67" l="1"/>
  <c r="Y431" i="67" s="1"/>
  <c r="X431" i="67"/>
  <c r="W431" i="67"/>
  <c r="U432" i="67"/>
  <c r="S432" i="67"/>
  <c r="P432" i="67"/>
  <c r="R432" i="67"/>
  <c r="T432" i="67"/>
  <c r="Q432" i="67"/>
  <c r="O432" i="67"/>
  <c r="M433" i="67"/>
  <c r="V432" i="67" l="1"/>
  <c r="Y432" i="67" s="1"/>
  <c r="O433" i="67"/>
  <c r="P433" i="67"/>
  <c r="T433" i="67"/>
  <c r="R433" i="67"/>
  <c r="S433" i="67"/>
  <c r="U433" i="67"/>
  <c r="M434" i="67"/>
  <c r="Q433" i="67"/>
  <c r="X432" i="67"/>
  <c r="W432" i="67"/>
  <c r="V433" i="67" l="1"/>
  <c r="Y433" i="67" s="1"/>
  <c r="U434" i="67"/>
  <c r="O434" i="67"/>
  <c r="T434" i="67"/>
  <c r="P434" i="67"/>
  <c r="R434" i="67"/>
  <c r="Q434" i="67"/>
  <c r="M435" i="67"/>
  <c r="S434" i="67"/>
  <c r="X433" i="67"/>
  <c r="W433" i="67"/>
  <c r="V434" i="67" l="1"/>
  <c r="Y434" i="67" s="1"/>
  <c r="R435" i="67"/>
  <c r="O435" i="67"/>
  <c r="S435" i="67"/>
  <c r="P435" i="67"/>
  <c r="Q435" i="67"/>
  <c r="T435" i="67"/>
  <c r="U435" i="67"/>
  <c r="M436" i="67"/>
  <c r="W434" i="67"/>
  <c r="X434" i="67"/>
  <c r="V435" i="67" l="1"/>
  <c r="Y435" i="67" s="1"/>
  <c r="S436" i="67"/>
  <c r="O436" i="67"/>
  <c r="U436" i="67"/>
  <c r="T436" i="67"/>
  <c r="P436" i="67"/>
  <c r="Q436" i="67"/>
  <c r="M437" i="67"/>
  <c r="R436" i="67"/>
  <c r="W435" i="67"/>
  <c r="X435" i="67"/>
  <c r="V436" i="67" l="1"/>
  <c r="Y436" i="67" s="1"/>
  <c r="T437" i="67"/>
  <c r="U437" i="67"/>
  <c r="S437" i="67"/>
  <c r="O437" i="67"/>
  <c r="P437" i="67"/>
  <c r="M438" i="67"/>
  <c r="Q437" i="67"/>
  <c r="R437" i="67"/>
  <c r="W436" i="67"/>
  <c r="X436" i="67"/>
  <c r="V437" i="67" l="1"/>
  <c r="Y437" i="67" s="1"/>
  <c r="P438" i="67"/>
  <c r="T438" i="67"/>
  <c r="Q438" i="67"/>
  <c r="R438" i="67"/>
  <c r="S438" i="67"/>
  <c r="O438" i="67"/>
  <c r="M439" i="67"/>
  <c r="U438" i="67"/>
  <c r="X437" i="67"/>
  <c r="W437" i="67"/>
  <c r="V438" i="67" l="1"/>
  <c r="Y438" i="67" s="1"/>
  <c r="X438" i="67"/>
  <c r="W438" i="67"/>
  <c r="O439" i="67"/>
  <c r="T439" i="67"/>
  <c r="P439" i="67"/>
  <c r="R439" i="67"/>
  <c r="S439" i="67"/>
  <c r="U439" i="67"/>
  <c r="Q439" i="67"/>
  <c r="M440" i="67"/>
  <c r="V439" i="67" l="1"/>
  <c r="Y439" i="67" s="1"/>
  <c r="O440" i="67"/>
  <c r="R440" i="67"/>
  <c r="T440" i="67"/>
  <c r="S440" i="67"/>
  <c r="P440" i="67"/>
  <c r="U440" i="67"/>
  <c r="M441" i="67"/>
  <c r="Q440" i="67"/>
  <c r="W439" i="67"/>
  <c r="X439" i="67"/>
  <c r="V440" i="67" l="1"/>
  <c r="Y440" i="67" s="1"/>
  <c r="O441" i="67"/>
  <c r="T441" i="67"/>
  <c r="P441" i="67"/>
  <c r="S441" i="67"/>
  <c r="R441" i="67"/>
  <c r="U441" i="67"/>
  <c r="Q441" i="67"/>
  <c r="M442" i="67"/>
  <c r="W440" i="67"/>
  <c r="X440" i="67"/>
  <c r="V441" i="67" l="1"/>
  <c r="Y441" i="67" s="1"/>
  <c r="O442" i="67"/>
  <c r="P442" i="67"/>
  <c r="Q442" i="67"/>
  <c r="S442" i="67"/>
  <c r="U442" i="67"/>
  <c r="T442" i="67"/>
  <c r="M443" i="67"/>
  <c r="R442" i="67"/>
  <c r="W441" i="67"/>
  <c r="X441" i="67"/>
  <c r="V442" i="67" l="1"/>
  <c r="Y442" i="67" s="1"/>
  <c r="O443" i="67"/>
  <c r="T443" i="67"/>
  <c r="P443" i="67"/>
  <c r="S443" i="67"/>
  <c r="U443" i="67"/>
  <c r="R443" i="67"/>
  <c r="Q443" i="67"/>
  <c r="M444" i="67"/>
  <c r="X442" i="67"/>
  <c r="W442" i="67"/>
  <c r="V443" i="67" l="1"/>
  <c r="Y443" i="67" s="1"/>
  <c r="R444" i="67"/>
  <c r="U444" i="67"/>
  <c r="T444" i="67"/>
  <c r="S444" i="67"/>
  <c r="M445" i="67"/>
  <c r="O444" i="67"/>
  <c r="P444" i="67"/>
  <c r="Q444" i="67"/>
  <c r="W443" i="67"/>
  <c r="X443" i="67"/>
  <c r="V444" i="67" l="1"/>
  <c r="Y444" i="67" s="1"/>
  <c r="W444" i="67"/>
  <c r="X444" i="67"/>
  <c r="R445" i="67"/>
  <c r="T445" i="67"/>
  <c r="P445" i="67"/>
  <c r="O445" i="67"/>
  <c r="M446" i="67"/>
  <c r="S445" i="67"/>
  <c r="Q445" i="67"/>
  <c r="U445" i="67"/>
  <c r="V445" i="67" l="1"/>
  <c r="Y445" i="67" s="1"/>
  <c r="W445" i="67"/>
  <c r="X445" i="67"/>
  <c r="R446" i="67"/>
  <c r="T446" i="67"/>
  <c r="P446" i="67"/>
  <c r="O446" i="67"/>
  <c r="S446" i="67"/>
  <c r="Q446" i="67"/>
  <c r="M447" i="67"/>
  <c r="U446" i="67"/>
  <c r="V446" i="67" l="1"/>
  <c r="Y446" i="67" s="1"/>
  <c r="W446" i="67"/>
  <c r="X446" i="67"/>
  <c r="R447" i="67"/>
  <c r="O447" i="67"/>
  <c r="S447" i="67"/>
  <c r="P447" i="67"/>
  <c r="Q447" i="67"/>
  <c r="T447" i="67"/>
  <c r="U447" i="67"/>
  <c r="M448" i="67"/>
  <c r="V447" i="67" l="1"/>
  <c r="Y447" i="67" s="1"/>
  <c r="R448" i="67"/>
  <c r="S448" i="67"/>
  <c r="O448" i="67"/>
  <c r="P448" i="67"/>
  <c r="U448" i="67"/>
  <c r="T448" i="67"/>
  <c r="Q448" i="67"/>
  <c r="M449" i="67"/>
  <c r="X447" i="67"/>
  <c r="W447" i="67"/>
  <c r="V448" i="67" l="1"/>
  <c r="Y448" i="67" s="1"/>
  <c r="P449" i="67"/>
  <c r="S449" i="67"/>
  <c r="T449" i="67"/>
  <c r="Q449" i="67"/>
  <c r="U449" i="67"/>
  <c r="O449" i="67"/>
  <c r="M450" i="67"/>
  <c r="R449" i="67"/>
  <c r="X448" i="67"/>
  <c r="W448" i="67"/>
  <c r="V449" i="67" l="1"/>
  <c r="Y449" i="67" s="1"/>
  <c r="X449" i="67"/>
  <c r="W449" i="67"/>
  <c r="O450" i="67"/>
  <c r="S450" i="67"/>
  <c r="U450" i="67"/>
  <c r="Q450" i="67"/>
  <c r="P450" i="67"/>
  <c r="T450" i="67"/>
  <c r="R450" i="67"/>
  <c r="M451" i="67"/>
  <c r="V450" i="67" l="1"/>
  <c r="Y450" i="67" s="1"/>
  <c r="P451" i="67"/>
  <c r="S451" i="67"/>
  <c r="O451" i="67"/>
  <c r="T451" i="67"/>
  <c r="R451" i="67"/>
  <c r="U451" i="67"/>
  <c r="Q451" i="67"/>
  <c r="M452" i="67"/>
  <c r="X450" i="67"/>
  <c r="W450" i="67"/>
  <c r="V451" i="67" l="1"/>
  <c r="Y451" i="67" s="1"/>
  <c r="O452" i="67"/>
  <c r="M453" i="67"/>
  <c r="R452" i="67"/>
  <c r="T452" i="67"/>
  <c r="P452" i="67"/>
  <c r="S452" i="67"/>
  <c r="U452" i="67"/>
  <c r="Q452" i="67"/>
  <c r="X451" i="67"/>
  <c r="W451" i="67"/>
  <c r="V452" i="67" l="1"/>
  <c r="Y452" i="67" s="1"/>
  <c r="X452" i="67"/>
  <c r="W452" i="67"/>
  <c r="T453" i="67"/>
  <c r="O453" i="67"/>
  <c r="R453" i="67"/>
  <c r="S453" i="67"/>
  <c r="P453" i="67"/>
  <c r="M454" i="67"/>
  <c r="Q453" i="67"/>
  <c r="U453" i="67"/>
  <c r="V453" i="67" l="1"/>
  <c r="Y453" i="67" s="1"/>
  <c r="X453" i="67"/>
  <c r="W453" i="67"/>
  <c r="U454" i="67"/>
  <c r="R454" i="67"/>
  <c r="Q454" i="67"/>
  <c r="P454" i="67"/>
  <c r="M455" i="67"/>
  <c r="S454" i="67"/>
  <c r="O454" i="67"/>
  <c r="T454" i="67"/>
  <c r="V454" i="67" l="1"/>
  <c r="Y454" i="67" s="1"/>
  <c r="T455" i="67"/>
  <c r="S455" i="67"/>
  <c r="P455" i="67"/>
  <c r="U455" i="67"/>
  <c r="R455" i="67"/>
  <c r="O455" i="67"/>
  <c r="Q455" i="67"/>
  <c r="M456" i="67"/>
  <c r="X454" i="67"/>
  <c r="W454" i="67"/>
  <c r="V455" i="67" l="1"/>
  <c r="Y455" i="67" s="1"/>
  <c r="T456" i="67"/>
  <c r="O456" i="67"/>
  <c r="Q456" i="67"/>
  <c r="P456" i="67"/>
  <c r="S456" i="67"/>
  <c r="M457" i="67"/>
  <c r="R456" i="67"/>
  <c r="U456" i="67"/>
  <c r="W455" i="67"/>
  <c r="X455" i="67"/>
  <c r="V456" i="67" l="1"/>
  <c r="Y456" i="67" s="1"/>
  <c r="S457" i="67"/>
  <c r="T457" i="67"/>
  <c r="P457" i="67"/>
  <c r="O457" i="67"/>
  <c r="Q457" i="67"/>
  <c r="U457" i="67"/>
  <c r="R457" i="67"/>
  <c r="M458" i="67"/>
  <c r="X456" i="67"/>
  <c r="W456" i="67"/>
  <c r="V457" i="67" l="1"/>
  <c r="Y457" i="67" s="1"/>
  <c r="S458" i="67"/>
  <c r="U458" i="67"/>
  <c r="O458" i="67"/>
  <c r="T458" i="67"/>
  <c r="P458" i="67"/>
  <c r="R458" i="67"/>
  <c r="M459" i="67"/>
  <c r="Q458" i="67"/>
  <c r="W457" i="67"/>
  <c r="X457" i="67"/>
  <c r="V458" i="67" l="1"/>
  <c r="Y458" i="67" s="1"/>
  <c r="W458" i="67"/>
  <c r="X458" i="67"/>
  <c r="O459" i="67"/>
  <c r="P459" i="67"/>
  <c r="Q459" i="67"/>
  <c r="T459" i="67"/>
  <c r="R459" i="67"/>
  <c r="U459" i="67"/>
  <c r="M460" i="67"/>
  <c r="S459" i="67"/>
  <c r="V459" i="67" l="1"/>
  <c r="Y459" i="67" s="1"/>
  <c r="P460" i="67"/>
  <c r="O460" i="67"/>
  <c r="S460" i="67"/>
  <c r="U460" i="67"/>
  <c r="Q460" i="67"/>
  <c r="T460" i="67"/>
  <c r="R460" i="67"/>
  <c r="M461" i="67"/>
  <c r="W459" i="67"/>
  <c r="X459" i="67"/>
  <c r="V460" i="67" l="1"/>
  <c r="Y460" i="67" s="1"/>
  <c r="W460" i="67"/>
  <c r="X460" i="67"/>
  <c r="T461" i="67"/>
  <c r="S461" i="67"/>
  <c r="R461" i="67"/>
  <c r="O461" i="67"/>
  <c r="M462" i="67"/>
  <c r="P461" i="67"/>
  <c r="Q461" i="67"/>
  <c r="U461" i="67"/>
  <c r="V461" i="67" l="1"/>
  <c r="Y461" i="67" s="1"/>
  <c r="X461" i="67"/>
  <c r="W461" i="67"/>
  <c r="O462" i="67"/>
  <c r="Q462" i="67"/>
  <c r="P462" i="67"/>
  <c r="S462" i="67"/>
  <c r="M463" i="67"/>
  <c r="T462" i="67"/>
  <c r="R462" i="67"/>
  <c r="U462" i="67"/>
  <c r="V462" i="67" l="1"/>
  <c r="Y462" i="67" s="1"/>
  <c r="S463" i="67"/>
  <c r="T463" i="67"/>
  <c r="O463" i="67"/>
  <c r="U463" i="67"/>
  <c r="Q463" i="67"/>
  <c r="M464" i="67"/>
  <c r="P463" i="67"/>
  <c r="R463" i="67"/>
  <c r="W462" i="67"/>
  <c r="X462" i="67"/>
  <c r="V463" i="67" l="1"/>
  <c r="Y463" i="67" s="1"/>
  <c r="W463" i="67"/>
  <c r="X463" i="67"/>
  <c r="T464" i="67"/>
  <c r="P464" i="67"/>
  <c r="S464" i="67"/>
  <c r="O464" i="67"/>
  <c r="Q464" i="67"/>
  <c r="R464" i="67"/>
  <c r="U464" i="67"/>
  <c r="M465" i="67"/>
  <c r="V464" i="67" l="1"/>
  <c r="Y464" i="67" s="1"/>
  <c r="S465" i="67"/>
  <c r="O465" i="67"/>
  <c r="P465" i="67"/>
  <c r="U465" i="67"/>
  <c r="R465" i="67"/>
  <c r="T465" i="67"/>
  <c r="Q465" i="67"/>
  <c r="M466" i="67"/>
  <c r="X464" i="67"/>
  <c r="W464" i="67"/>
  <c r="V465" i="67" l="1"/>
  <c r="Y465" i="67" s="1"/>
  <c r="T466" i="67"/>
  <c r="Q466" i="67"/>
  <c r="U466" i="67"/>
  <c r="R466" i="67"/>
  <c r="P466" i="67"/>
  <c r="M467" i="67"/>
  <c r="S466" i="67"/>
  <c r="O466" i="67"/>
  <c r="X465" i="67"/>
  <c r="W465" i="67"/>
  <c r="V466" i="67" l="1"/>
  <c r="Y466" i="67" s="1"/>
  <c r="W466" i="67"/>
  <c r="X466" i="67"/>
  <c r="R467" i="67"/>
  <c r="U467" i="67"/>
  <c r="S467" i="67"/>
  <c r="O467" i="67"/>
  <c r="M468" i="67"/>
  <c r="T467" i="67"/>
  <c r="P467" i="67"/>
  <c r="Q467" i="67"/>
  <c r="V467" i="67" l="1"/>
  <c r="Y467" i="67" s="1"/>
  <c r="R468" i="67"/>
  <c r="O468" i="67"/>
  <c r="Q468" i="67"/>
  <c r="S468" i="67"/>
  <c r="P468" i="67"/>
  <c r="T468" i="67"/>
  <c r="M469" i="67"/>
  <c r="U468" i="67"/>
  <c r="W467" i="67"/>
  <c r="X467" i="67"/>
  <c r="V468" i="67" l="1"/>
  <c r="Y468" i="67" s="1"/>
  <c r="T469" i="67"/>
  <c r="O469" i="67"/>
  <c r="S469" i="67"/>
  <c r="R469" i="67"/>
  <c r="U469" i="67"/>
  <c r="M470" i="67"/>
  <c r="Q469" i="67"/>
  <c r="P469" i="67"/>
  <c r="W468" i="67"/>
  <c r="X468" i="67"/>
  <c r="V469" i="67" l="1"/>
  <c r="Y469" i="67" s="1"/>
  <c r="S470" i="67"/>
  <c r="Q470" i="67"/>
  <c r="M471" i="67"/>
  <c r="U470" i="67"/>
  <c r="P470" i="67"/>
  <c r="R470" i="67"/>
  <c r="O470" i="67"/>
  <c r="T470" i="67"/>
  <c r="W469" i="67"/>
  <c r="X469" i="67"/>
  <c r="V470" i="67" l="1"/>
  <c r="Y470" i="67" s="1"/>
  <c r="T471" i="67"/>
  <c r="S471" i="67"/>
  <c r="R471" i="67"/>
  <c r="P471" i="67"/>
  <c r="U471" i="67"/>
  <c r="O471" i="67"/>
  <c r="Q471" i="67"/>
  <c r="M472" i="67"/>
  <c r="W470" i="67"/>
  <c r="X470" i="67"/>
  <c r="V471" i="67" l="1"/>
  <c r="Y471" i="67" s="1"/>
  <c r="S472" i="67"/>
  <c r="O472" i="67"/>
  <c r="U472" i="67"/>
  <c r="P472" i="67"/>
  <c r="R472" i="67"/>
  <c r="Q472" i="67"/>
  <c r="M473" i="67"/>
  <c r="T472" i="67"/>
  <c r="X471" i="67"/>
  <c r="W471" i="67"/>
  <c r="V472" i="67" l="1"/>
  <c r="Y472" i="67" s="1"/>
  <c r="X472" i="67"/>
  <c r="W472" i="67"/>
  <c r="O473" i="67"/>
  <c r="Q473" i="67"/>
  <c r="T473" i="67"/>
  <c r="P473" i="67"/>
  <c r="U473" i="67"/>
  <c r="S473" i="67"/>
  <c r="R473" i="67"/>
  <c r="M474" i="67"/>
  <c r="V473" i="67" l="1"/>
  <c r="Y473" i="67" s="1"/>
  <c r="X473" i="67"/>
  <c r="W473" i="67"/>
  <c r="R474" i="67"/>
  <c r="O474" i="67"/>
  <c r="T474" i="67"/>
  <c r="U474" i="67"/>
  <c r="Q474" i="67"/>
  <c r="P474" i="67"/>
  <c r="S474" i="67"/>
  <c r="M475" i="67"/>
  <c r="V474" i="67" l="1"/>
  <c r="Y474" i="67" s="1"/>
  <c r="S475" i="67"/>
  <c r="R475" i="67"/>
  <c r="P475" i="67"/>
  <c r="T475" i="67"/>
  <c r="O475" i="67"/>
  <c r="Q475" i="67"/>
  <c r="U475" i="67"/>
  <c r="M476" i="67"/>
  <c r="X474" i="67"/>
  <c r="W474" i="67"/>
  <c r="V475" i="67" l="1"/>
  <c r="Y475" i="67" s="1"/>
  <c r="P476" i="67"/>
  <c r="U476" i="67"/>
  <c r="R476" i="67"/>
  <c r="O476" i="67"/>
  <c r="T476" i="67"/>
  <c r="Q476" i="67"/>
  <c r="M477" i="67"/>
  <c r="S476" i="67"/>
  <c r="X475" i="67"/>
  <c r="W475" i="67"/>
  <c r="V476" i="67" l="1"/>
  <c r="Y476" i="67" s="1"/>
  <c r="R477" i="67"/>
  <c r="U477" i="67"/>
  <c r="M478" i="67"/>
  <c r="Q477" i="67"/>
  <c r="O477" i="67"/>
  <c r="P477" i="67"/>
  <c r="S477" i="67"/>
  <c r="T477" i="67"/>
  <c r="X476" i="67"/>
  <c r="W476" i="67"/>
  <c r="V477" i="67" l="1"/>
  <c r="Y477" i="67" s="1"/>
  <c r="T478" i="67"/>
  <c r="S478" i="67"/>
  <c r="P478" i="67"/>
  <c r="O478" i="67"/>
  <c r="R478" i="67"/>
  <c r="U478" i="67"/>
  <c r="M479" i="67"/>
  <c r="Q478" i="67"/>
  <c r="W477" i="67"/>
  <c r="X477" i="67"/>
  <c r="V478" i="67" l="1"/>
  <c r="Y478" i="67" s="1"/>
  <c r="W478" i="67"/>
  <c r="X478" i="67"/>
  <c r="U479" i="67"/>
  <c r="R479" i="67"/>
  <c r="P479" i="67"/>
  <c r="Q479" i="67"/>
  <c r="O479" i="67"/>
  <c r="M480" i="67"/>
  <c r="T479" i="67"/>
  <c r="S479" i="67"/>
  <c r="V479" i="67" l="1"/>
  <c r="Y479" i="67" s="1"/>
  <c r="W479" i="67"/>
  <c r="X479" i="67"/>
  <c r="P480" i="67"/>
  <c r="R480" i="67"/>
  <c r="S480" i="67"/>
  <c r="T480" i="67"/>
  <c r="Q480" i="67"/>
  <c r="U480" i="67"/>
  <c r="M481" i="67"/>
  <c r="O480" i="67"/>
  <c r="V480" i="67" l="1"/>
  <c r="Y480" i="67" s="1"/>
  <c r="O481" i="67"/>
  <c r="Q481" i="67"/>
  <c r="T481" i="67"/>
  <c r="U481" i="67"/>
  <c r="P481" i="67"/>
  <c r="M482" i="67"/>
  <c r="R481" i="67"/>
  <c r="S481" i="67"/>
  <c r="W480" i="67"/>
  <c r="X480" i="67"/>
  <c r="V481" i="67" l="1"/>
  <c r="Y481" i="67" s="1"/>
  <c r="P482" i="67"/>
  <c r="R482" i="67"/>
  <c r="O482" i="67"/>
  <c r="Q482" i="67"/>
  <c r="T482" i="67"/>
  <c r="S482" i="67"/>
  <c r="U482" i="67"/>
  <c r="M483" i="67"/>
  <c r="X481" i="67"/>
  <c r="W481" i="67"/>
  <c r="V482" i="67" l="1"/>
  <c r="Y482" i="67" s="1"/>
  <c r="S483" i="67"/>
  <c r="T483" i="67"/>
  <c r="U483" i="67"/>
  <c r="Q483" i="67"/>
  <c r="P483" i="67"/>
  <c r="O483" i="67"/>
  <c r="M484" i="67"/>
  <c r="R483" i="67"/>
  <c r="X482" i="67"/>
  <c r="W482" i="67"/>
  <c r="V483" i="67" l="1"/>
  <c r="Y483" i="67" s="1"/>
  <c r="W483" i="67"/>
  <c r="X483" i="67"/>
  <c r="T484" i="67"/>
  <c r="S484" i="67"/>
  <c r="O484" i="67"/>
  <c r="R484" i="67"/>
  <c r="Q484" i="67"/>
  <c r="U484" i="67"/>
  <c r="P484" i="67"/>
  <c r="M485" i="67"/>
  <c r="V484" i="67" l="1"/>
  <c r="Y484" i="67" s="1"/>
  <c r="S485" i="67"/>
  <c r="U485" i="67"/>
  <c r="T485" i="67"/>
  <c r="M486" i="67"/>
  <c r="Q485" i="67"/>
  <c r="P485" i="67"/>
  <c r="O485" i="67"/>
  <c r="R485" i="67"/>
  <c r="X484" i="67"/>
  <c r="W484" i="67"/>
  <c r="V485" i="67" l="1"/>
  <c r="Y485" i="67" s="1"/>
  <c r="X485" i="67"/>
  <c r="W485" i="67"/>
  <c r="S486" i="67"/>
  <c r="R486" i="67"/>
  <c r="O486" i="67"/>
  <c r="M487" i="67"/>
  <c r="U486" i="67"/>
  <c r="T486" i="67"/>
  <c r="Q486" i="67"/>
  <c r="P486" i="67"/>
  <c r="V486" i="67" l="1"/>
  <c r="Y486" i="67" s="1"/>
  <c r="W486" i="67"/>
  <c r="X486" i="67"/>
  <c r="P487" i="67"/>
  <c r="U487" i="67"/>
  <c r="O487" i="67"/>
  <c r="S487" i="67"/>
  <c r="Q487" i="67"/>
  <c r="R487" i="67"/>
  <c r="T487" i="67"/>
  <c r="M488" i="67"/>
  <c r="V487" i="67" l="1"/>
  <c r="Y487" i="67" s="1"/>
  <c r="W487" i="67"/>
  <c r="X487" i="67"/>
  <c r="T488" i="67"/>
  <c r="U488" i="67"/>
  <c r="P488" i="67"/>
  <c r="R488" i="67"/>
  <c r="M489" i="67"/>
  <c r="S488" i="67"/>
  <c r="Q488" i="67"/>
  <c r="O488" i="67"/>
  <c r="V488" i="67" l="1"/>
  <c r="Y488" i="67" s="1"/>
  <c r="R489" i="67"/>
  <c r="U489" i="67"/>
  <c r="Q489" i="67"/>
  <c r="T489" i="67"/>
  <c r="P489" i="67"/>
  <c r="S489" i="67"/>
  <c r="M490" i="67"/>
  <c r="O489" i="67"/>
  <c r="W488" i="67"/>
  <c r="X488" i="67"/>
  <c r="V489" i="67" l="1"/>
  <c r="Y489" i="67" s="1"/>
  <c r="T490" i="67"/>
  <c r="U490" i="67"/>
  <c r="S490" i="67"/>
  <c r="P490" i="67"/>
  <c r="O490" i="67"/>
  <c r="Q490" i="67"/>
  <c r="M491" i="67"/>
  <c r="R490" i="67"/>
  <c r="W489" i="67"/>
  <c r="X489" i="67"/>
  <c r="V490" i="67" l="1"/>
  <c r="Y490" i="67" s="1"/>
  <c r="X490" i="67"/>
  <c r="W490" i="67"/>
  <c r="O491" i="67"/>
  <c r="P491" i="67"/>
  <c r="S491" i="67"/>
  <c r="U491" i="67"/>
  <c r="Q491" i="67"/>
  <c r="T491" i="67"/>
  <c r="R491" i="67"/>
  <c r="M492" i="67"/>
  <c r="V491" i="67" l="1"/>
  <c r="Y491" i="67" s="1"/>
  <c r="P492" i="67"/>
  <c r="R492" i="67"/>
  <c r="U492" i="67"/>
  <c r="M493" i="67"/>
  <c r="S492" i="67"/>
  <c r="Q492" i="67"/>
  <c r="O492" i="67"/>
  <c r="T492" i="67"/>
  <c r="X491" i="67"/>
  <c r="W491" i="67"/>
  <c r="V492" i="67" l="1"/>
  <c r="Y492" i="67" s="1"/>
  <c r="W492" i="67"/>
  <c r="X492" i="67"/>
  <c r="P493" i="67"/>
  <c r="S493" i="67"/>
  <c r="T493" i="67"/>
  <c r="M494" i="67"/>
  <c r="R493" i="67"/>
  <c r="O493" i="67"/>
  <c r="Q493" i="67"/>
  <c r="U493" i="67"/>
  <c r="V493" i="67" l="1"/>
  <c r="Y493" i="67" s="1"/>
  <c r="X493" i="67"/>
  <c r="W493" i="67"/>
  <c r="P494" i="67"/>
  <c r="S494" i="67"/>
  <c r="T494" i="67"/>
  <c r="Q494" i="67"/>
  <c r="M495" i="67"/>
  <c r="R494" i="67"/>
  <c r="O494" i="67"/>
  <c r="U494" i="67"/>
  <c r="V494" i="67" l="1"/>
  <c r="Y494" i="67" s="1"/>
  <c r="R495" i="67"/>
  <c r="P495" i="67"/>
  <c r="Q495" i="67"/>
  <c r="U495" i="67"/>
  <c r="O495" i="67"/>
  <c r="S495" i="67"/>
  <c r="T495" i="67"/>
  <c r="M496" i="67"/>
  <c r="X494" i="67"/>
  <c r="W494" i="67"/>
  <c r="V495" i="67" l="1"/>
  <c r="Y495" i="67" s="1"/>
  <c r="X495" i="67"/>
  <c r="W495" i="67"/>
  <c r="P496" i="67"/>
  <c r="U496" i="67"/>
  <c r="O496" i="67"/>
  <c r="R496" i="67"/>
  <c r="S496" i="67"/>
  <c r="Q496" i="67"/>
  <c r="T496" i="67"/>
  <c r="M497" i="67"/>
  <c r="V496" i="67" l="1"/>
  <c r="Y496" i="67" s="1"/>
  <c r="X496" i="67"/>
  <c r="W496" i="67"/>
  <c r="T497" i="67"/>
  <c r="U497" i="67"/>
  <c r="Q497" i="67"/>
  <c r="S497" i="67"/>
  <c r="R497" i="67"/>
  <c r="O497" i="67"/>
  <c r="P497" i="67"/>
  <c r="M498" i="67"/>
  <c r="V497" i="67" l="1"/>
  <c r="Y497" i="67" s="1"/>
  <c r="S498" i="67"/>
  <c r="T498" i="67"/>
  <c r="U498" i="67"/>
  <c r="R498" i="67"/>
  <c r="M499" i="67"/>
  <c r="Q498" i="67"/>
  <c r="O498" i="67"/>
  <c r="P498" i="67"/>
  <c r="X497" i="67"/>
  <c r="W497" i="67"/>
  <c r="V498" i="67" l="1"/>
  <c r="Y498" i="67" s="1"/>
  <c r="P499" i="67"/>
  <c r="S499" i="67"/>
  <c r="Q499" i="67"/>
  <c r="O499" i="67"/>
  <c r="R499" i="67"/>
  <c r="U499" i="67"/>
  <c r="M500" i="67"/>
  <c r="T499" i="67"/>
  <c r="W498" i="67"/>
  <c r="X498" i="67"/>
  <c r="V499" i="67" l="1"/>
  <c r="Y499" i="67" s="1"/>
  <c r="W499" i="67"/>
  <c r="X499" i="67"/>
  <c r="O500" i="67"/>
  <c r="S500" i="67"/>
  <c r="Q500" i="67"/>
  <c r="P500" i="67"/>
  <c r="T500" i="67"/>
  <c r="M501" i="67"/>
  <c r="R500" i="67"/>
  <c r="U500" i="67"/>
  <c r="V500" i="67" l="1"/>
  <c r="Y500" i="67" s="1"/>
  <c r="X500" i="67"/>
  <c r="W500" i="67"/>
  <c r="Q501" i="67"/>
  <c r="R501" i="67"/>
  <c r="S501" i="67"/>
  <c r="O501" i="67"/>
  <c r="M502" i="67"/>
  <c r="P501" i="67"/>
  <c r="T501" i="67"/>
  <c r="U501" i="67"/>
  <c r="V501" i="67" l="1"/>
  <c r="Y501" i="67" s="1"/>
  <c r="T502" i="67"/>
  <c r="P502" i="67"/>
  <c r="R502" i="67"/>
  <c r="O502" i="67"/>
  <c r="M503" i="67"/>
  <c r="S502" i="67"/>
  <c r="U502" i="67"/>
  <c r="Q502" i="67"/>
  <c r="X501" i="67"/>
  <c r="W501" i="67"/>
  <c r="V502" i="67" l="1"/>
  <c r="Y502" i="67" s="1"/>
  <c r="X502" i="67"/>
  <c r="W502" i="67"/>
  <c r="R503" i="67"/>
  <c r="T503" i="67"/>
  <c r="U503" i="67"/>
  <c r="O503" i="67"/>
  <c r="Q503" i="67"/>
  <c r="S503" i="67"/>
  <c r="P503" i="67"/>
  <c r="M504" i="67"/>
  <c r="V503" i="67" l="1"/>
  <c r="Y503" i="67" s="1"/>
  <c r="X503" i="67"/>
  <c r="W503" i="67"/>
  <c r="S504" i="67"/>
  <c r="O504" i="67"/>
  <c r="R504" i="67"/>
  <c r="P504" i="67"/>
  <c r="U504" i="67"/>
  <c r="M505" i="67"/>
  <c r="Q504" i="67"/>
  <c r="T504" i="67"/>
  <c r="V504" i="67" l="1"/>
  <c r="Y504" i="67" s="1"/>
  <c r="W504" i="67"/>
  <c r="X504" i="67"/>
  <c r="T505" i="67"/>
  <c r="U505" i="67"/>
  <c r="R505" i="67"/>
  <c r="O505" i="67"/>
  <c r="S505" i="67"/>
  <c r="M506" i="67"/>
  <c r="P505" i="67"/>
  <c r="Q505" i="67"/>
  <c r="V505" i="67" l="1"/>
  <c r="Y505" i="67" s="1"/>
  <c r="W505" i="67"/>
  <c r="X505" i="67"/>
  <c r="R506" i="67"/>
  <c r="U506" i="67"/>
  <c r="O506" i="67"/>
  <c r="P506" i="67"/>
  <c r="T506" i="67"/>
  <c r="S506" i="67"/>
  <c r="Q506" i="67"/>
  <c r="M507" i="67"/>
  <c r="V506" i="67" l="1"/>
  <c r="Y506" i="67" s="1"/>
  <c r="W506" i="67"/>
  <c r="X506" i="67"/>
  <c r="R507" i="67"/>
  <c r="O507" i="67"/>
  <c r="P507" i="67"/>
  <c r="S507" i="67"/>
  <c r="T507" i="67"/>
  <c r="U507" i="67"/>
  <c r="Q507" i="67"/>
  <c r="M508" i="67"/>
  <c r="V507" i="67" l="1"/>
  <c r="Y507" i="67" s="1"/>
  <c r="R508" i="67"/>
  <c r="P508" i="67"/>
  <c r="S508" i="67"/>
  <c r="T508" i="67"/>
  <c r="Q508" i="67"/>
  <c r="M509" i="67"/>
  <c r="O508" i="67"/>
  <c r="U508" i="67"/>
  <c r="W507" i="67"/>
  <c r="X507" i="67"/>
  <c r="V508" i="67" l="1"/>
  <c r="Y508" i="67" s="1"/>
  <c r="T509" i="67"/>
  <c r="S509" i="67"/>
  <c r="R509" i="67"/>
  <c r="M510" i="67"/>
  <c r="P509" i="67"/>
  <c r="Q509" i="67"/>
  <c r="O509" i="67"/>
  <c r="U509" i="67"/>
  <c r="W508" i="67"/>
  <c r="X508" i="67"/>
  <c r="V509" i="67" l="1"/>
  <c r="Y509" i="67" s="1"/>
  <c r="W509" i="67"/>
  <c r="X509" i="67"/>
  <c r="S510" i="67"/>
  <c r="O510" i="67"/>
  <c r="P510" i="67"/>
  <c r="R510" i="67"/>
  <c r="T510" i="67"/>
  <c r="Q510" i="67"/>
  <c r="M511" i="67"/>
  <c r="U510" i="67"/>
  <c r="V510" i="67" l="1"/>
  <c r="Y510" i="67" s="1"/>
  <c r="X510" i="67"/>
  <c r="W510" i="67"/>
  <c r="P511" i="67"/>
  <c r="U511" i="67"/>
  <c r="Q511" i="67"/>
  <c r="T511" i="67"/>
  <c r="R511" i="67"/>
  <c r="S511" i="67"/>
  <c r="O511" i="67"/>
  <c r="M512" i="67"/>
  <c r="V511" i="67" l="1"/>
  <c r="Y511" i="67" s="1"/>
  <c r="W511" i="67"/>
  <c r="X511" i="67"/>
  <c r="O512" i="67"/>
  <c r="P512" i="67"/>
  <c r="R512" i="67"/>
  <c r="U512" i="67"/>
  <c r="Q512" i="67"/>
  <c r="S512" i="67"/>
  <c r="T512" i="67"/>
  <c r="M513" i="67"/>
  <c r="V512" i="67" l="1"/>
  <c r="Y512" i="67" s="1"/>
  <c r="W512" i="67"/>
  <c r="X512" i="67"/>
  <c r="R513" i="67"/>
  <c r="S513" i="67"/>
  <c r="Q513" i="67"/>
  <c r="O513" i="67"/>
  <c r="U513" i="67"/>
  <c r="T513" i="67"/>
  <c r="M514" i="67"/>
  <c r="P513" i="67"/>
  <c r="V513" i="67" l="1"/>
  <c r="Y513" i="67" s="1"/>
  <c r="W513" i="67"/>
  <c r="X513" i="67"/>
  <c r="T514" i="67"/>
  <c r="P514" i="67"/>
  <c r="O514" i="67"/>
  <c r="Q514" i="67"/>
  <c r="M515" i="67"/>
  <c r="S514" i="67"/>
  <c r="U514" i="67"/>
  <c r="R514" i="67"/>
  <c r="V514" i="67" l="1"/>
  <c r="Y514" i="67" s="1"/>
  <c r="S515" i="67"/>
  <c r="Q515" i="67"/>
  <c r="P515" i="67"/>
  <c r="R515" i="67"/>
  <c r="M516" i="67"/>
  <c r="T515" i="67"/>
  <c r="U515" i="67"/>
  <c r="O515" i="67"/>
  <c r="W514" i="67"/>
  <c r="X514" i="67"/>
  <c r="V515" i="67" l="1"/>
  <c r="Y515" i="67" s="1"/>
  <c r="Q516" i="67"/>
  <c r="S516" i="67"/>
  <c r="T516" i="67"/>
  <c r="O516" i="67"/>
  <c r="R516" i="67"/>
  <c r="U516" i="67"/>
  <c r="P516" i="67"/>
  <c r="M517" i="67"/>
  <c r="W515" i="67"/>
  <c r="X515" i="67"/>
  <c r="V516" i="67" l="1"/>
  <c r="Y516" i="67" s="1"/>
  <c r="S517" i="67"/>
  <c r="P517" i="67"/>
  <c r="Q517" i="67"/>
  <c r="T517" i="67"/>
  <c r="M518" i="67"/>
  <c r="R517" i="67"/>
  <c r="O517" i="67"/>
  <c r="U517" i="67"/>
  <c r="W516" i="67"/>
  <c r="X516" i="67"/>
  <c r="V517" i="67" l="1"/>
  <c r="Y517" i="67" s="1"/>
  <c r="X517" i="67"/>
  <c r="W517" i="67"/>
  <c r="U518" i="67"/>
  <c r="T518" i="67"/>
  <c r="R518" i="67"/>
  <c r="Q518" i="67"/>
  <c r="M519" i="67"/>
  <c r="S518" i="67"/>
  <c r="P518" i="67"/>
  <c r="O518" i="67"/>
  <c r="V518" i="67" l="1"/>
  <c r="Y518" i="67" s="1"/>
  <c r="W518" i="67"/>
  <c r="X518" i="67"/>
  <c r="T519" i="67"/>
  <c r="O519" i="67"/>
  <c r="S519" i="67"/>
  <c r="U519" i="67"/>
  <c r="P519" i="67"/>
  <c r="R519" i="67"/>
  <c r="Q519" i="67"/>
  <c r="M520" i="67"/>
  <c r="V519" i="67" l="1"/>
  <c r="Y519" i="67" s="1"/>
  <c r="U520" i="67"/>
  <c r="T520" i="67"/>
  <c r="O520" i="67"/>
  <c r="M521" i="67"/>
  <c r="Q520" i="67"/>
  <c r="S520" i="67"/>
  <c r="P520" i="67"/>
  <c r="R520" i="67"/>
  <c r="W519" i="67"/>
  <c r="X519" i="67"/>
  <c r="V520" i="67" l="1"/>
  <c r="Y520" i="67" s="1"/>
  <c r="S521" i="67"/>
  <c r="P521" i="67"/>
  <c r="R521" i="67"/>
  <c r="U521" i="67"/>
  <c r="O521" i="67"/>
  <c r="M522" i="67"/>
  <c r="Q521" i="67"/>
  <c r="T521" i="67"/>
  <c r="W520" i="67"/>
  <c r="X520" i="67"/>
  <c r="V521" i="67" l="1"/>
  <c r="Y521" i="67" s="1"/>
  <c r="T522" i="67"/>
  <c r="R522" i="67"/>
  <c r="P522" i="67"/>
  <c r="O522" i="67"/>
  <c r="S522" i="67"/>
  <c r="Q522" i="67"/>
  <c r="M523" i="67"/>
  <c r="U522" i="67"/>
  <c r="W521" i="67"/>
  <c r="X521" i="67"/>
  <c r="V522" i="67" l="1"/>
  <c r="Y522" i="67" s="1"/>
  <c r="T523" i="67"/>
  <c r="Q523" i="67"/>
  <c r="P523" i="67"/>
  <c r="S523" i="67"/>
  <c r="U523" i="67"/>
  <c r="R523" i="67"/>
  <c r="M524" i="67"/>
  <c r="O523" i="67"/>
  <c r="W522" i="67"/>
  <c r="X522" i="67"/>
  <c r="V523" i="67" l="1"/>
  <c r="Y523" i="67" s="1"/>
  <c r="X523" i="67"/>
  <c r="W523" i="67"/>
  <c r="R524" i="67"/>
  <c r="S524" i="67"/>
  <c r="P524" i="67"/>
  <c r="T524" i="67"/>
  <c r="O524" i="67"/>
  <c r="U524" i="67"/>
  <c r="M525" i="67"/>
  <c r="Q524" i="67"/>
  <c r="V524" i="67" l="1"/>
  <c r="Y524" i="67" s="1"/>
  <c r="T525" i="67"/>
  <c r="P525" i="67"/>
  <c r="U525" i="67"/>
  <c r="M526" i="67"/>
  <c r="S525" i="67"/>
  <c r="Q525" i="67"/>
  <c r="O525" i="67"/>
  <c r="R525" i="67"/>
  <c r="X524" i="67"/>
  <c r="W524" i="67"/>
  <c r="V525" i="67" l="1"/>
  <c r="Y525" i="67" s="1"/>
  <c r="O526" i="67"/>
  <c r="Q526" i="67"/>
  <c r="P526" i="67"/>
  <c r="S526" i="67"/>
  <c r="M527" i="67"/>
  <c r="T526" i="67"/>
  <c r="R526" i="67"/>
  <c r="U526" i="67"/>
  <c r="W525" i="67"/>
  <c r="X525" i="67"/>
  <c r="V526" i="67" l="1"/>
  <c r="Y526" i="67" s="1"/>
  <c r="X526" i="67"/>
  <c r="W526" i="67"/>
  <c r="Q527" i="67"/>
  <c r="O527" i="67"/>
  <c r="R527" i="67"/>
  <c r="U527" i="67"/>
  <c r="T527" i="67"/>
  <c r="M528" i="67"/>
  <c r="P527" i="67"/>
  <c r="S527" i="67"/>
  <c r="V527" i="67" l="1"/>
  <c r="Y527" i="67" s="1"/>
  <c r="X527" i="67"/>
  <c r="W527" i="67"/>
  <c r="R528" i="67"/>
  <c r="T528" i="67"/>
  <c r="S528" i="67"/>
  <c r="O528" i="67"/>
  <c r="Q528" i="67"/>
  <c r="M529" i="67"/>
  <c r="U528" i="67"/>
  <c r="P528" i="67"/>
  <c r="V528" i="67" l="1"/>
  <c r="Y528" i="67" s="1"/>
  <c r="W528" i="67"/>
  <c r="X528" i="67"/>
  <c r="O529" i="67"/>
  <c r="T529" i="67"/>
  <c r="R529" i="67"/>
  <c r="U529" i="67"/>
  <c r="S529" i="67"/>
  <c r="Q529" i="67"/>
  <c r="P529" i="67"/>
  <c r="M530" i="67"/>
  <c r="V529" i="67" l="1"/>
  <c r="Y529" i="67" s="1"/>
  <c r="X529" i="67"/>
  <c r="W529" i="67"/>
  <c r="R530" i="67"/>
  <c r="P530" i="67"/>
  <c r="T530" i="67"/>
  <c r="M531" i="67"/>
  <c r="Q530" i="67"/>
  <c r="U530" i="67"/>
  <c r="O530" i="67"/>
  <c r="S530" i="67"/>
  <c r="V530" i="67" l="1"/>
  <c r="Y530" i="67" s="1"/>
  <c r="P531" i="67"/>
  <c r="S531" i="67"/>
  <c r="O531" i="67"/>
  <c r="M532" i="67"/>
  <c r="Q531" i="67"/>
  <c r="T531" i="67"/>
  <c r="U531" i="67"/>
  <c r="R531" i="67"/>
  <c r="X530" i="67"/>
  <c r="W530" i="67"/>
  <c r="V531" i="67" l="1"/>
  <c r="Y531" i="67" s="1"/>
  <c r="S532" i="67"/>
  <c r="R532" i="67"/>
  <c r="T532" i="67"/>
  <c r="P532" i="67"/>
  <c r="O532" i="67"/>
  <c r="U532" i="67"/>
  <c r="Q532" i="67"/>
  <c r="M533" i="67"/>
  <c r="X531" i="67"/>
  <c r="W531" i="67"/>
  <c r="V532" i="67" l="1"/>
  <c r="Y532" i="67" s="1"/>
  <c r="P533" i="67"/>
  <c r="T533" i="67"/>
  <c r="R533" i="67"/>
  <c r="M534" i="67"/>
  <c r="Q533" i="67"/>
  <c r="U533" i="67"/>
  <c r="O533" i="67"/>
  <c r="S533" i="67"/>
  <c r="X532" i="67"/>
  <c r="W532" i="67"/>
  <c r="V533" i="67" l="1"/>
  <c r="Y533" i="67" s="1"/>
  <c r="X533" i="67"/>
  <c r="W533" i="67"/>
  <c r="T534" i="67"/>
  <c r="S534" i="67"/>
  <c r="R534" i="67"/>
  <c r="M535" i="67"/>
  <c r="U534" i="67"/>
  <c r="P534" i="67"/>
  <c r="O534" i="67"/>
  <c r="Q534" i="67"/>
  <c r="V534" i="67" l="1"/>
  <c r="Y534" i="67" s="1"/>
  <c r="X534" i="67"/>
  <c r="W534" i="67"/>
  <c r="P535" i="67"/>
  <c r="S535" i="67"/>
  <c r="U535" i="67"/>
  <c r="R535" i="67"/>
  <c r="O535" i="67"/>
  <c r="Q535" i="67"/>
  <c r="T535" i="67"/>
  <c r="M536" i="67"/>
  <c r="V535" i="67" l="1"/>
  <c r="Y535" i="67" s="1"/>
  <c r="X535" i="67"/>
  <c r="W535" i="67"/>
  <c r="S536" i="67"/>
  <c r="T536" i="67"/>
  <c r="P536" i="67"/>
  <c r="U536" i="67"/>
  <c r="M537" i="67"/>
  <c r="Q536" i="67"/>
  <c r="R536" i="67"/>
  <c r="O536" i="67"/>
  <c r="V536" i="67" l="1"/>
  <c r="Y536" i="67" s="1"/>
  <c r="T537" i="67"/>
  <c r="R537" i="67"/>
  <c r="Q537" i="67"/>
  <c r="O537" i="67"/>
  <c r="P537" i="67"/>
  <c r="M538" i="67"/>
  <c r="S537" i="67"/>
  <c r="U537" i="67"/>
  <c r="W536" i="67"/>
  <c r="X536" i="67"/>
  <c r="V537" i="67" l="1"/>
  <c r="Y537" i="67" s="1"/>
  <c r="P538" i="67"/>
  <c r="R538" i="67"/>
  <c r="Q538" i="67"/>
  <c r="S538" i="67"/>
  <c r="O538" i="67"/>
  <c r="U538" i="67"/>
  <c r="T538" i="67"/>
  <c r="M539" i="67"/>
  <c r="X537" i="67"/>
  <c r="W537" i="67"/>
  <c r="V538" i="67" l="1"/>
  <c r="Y538" i="67" s="1"/>
  <c r="S539" i="67"/>
  <c r="Q539" i="67"/>
  <c r="P539" i="67"/>
  <c r="O539" i="67"/>
  <c r="R539" i="67"/>
  <c r="T539" i="67"/>
  <c r="M540" i="67"/>
  <c r="U539" i="67"/>
  <c r="X538" i="67"/>
  <c r="W538" i="67"/>
  <c r="V539" i="67" l="1"/>
  <c r="Y539" i="67" s="1"/>
  <c r="X539" i="67"/>
  <c r="W539" i="67"/>
  <c r="P540" i="67"/>
  <c r="R540" i="67"/>
  <c r="Q540" i="67"/>
  <c r="S540" i="67"/>
  <c r="O540" i="67"/>
  <c r="M541" i="67"/>
  <c r="T540" i="67"/>
  <c r="U540" i="67"/>
  <c r="V540" i="67" l="1"/>
  <c r="Y540" i="67" s="1"/>
  <c r="W540" i="67"/>
  <c r="X540" i="67"/>
  <c r="T541" i="67"/>
  <c r="P541" i="67"/>
  <c r="S541" i="67"/>
  <c r="M542" i="67"/>
  <c r="R541" i="67"/>
  <c r="U541" i="67"/>
  <c r="O541" i="67"/>
  <c r="Q541" i="67"/>
  <c r="V541" i="67" l="1"/>
  <c r="Y541" i="67" s="1"/>
  <c r="R542" i="67"/>
  <c r="T542" i="67"/>
  <c r="O542" i="67"/>
  <c r="P542" i="67"/>
  <c r="M543" i="67"/>
  <c r="Q542" i="67"/>
  <c r="U542" i="67"/>
  <c r="S542" i="67"/>
  <c r="X541" i="67"/>
  <c r="W541" i="67"/>
  <c r="V542" i="67" l="1"/>
  <c r="Y542" i="67" s="1"/>
  <c r="X542" i="67"/>
  <c r="W542" i="67"/>
  <c r="P543" i="67"/>
  <c r="O543" i="67"/>
  <c r="R543" i="67"/>
  <c r="T543" i="67"/>
  <c r="M544" i="67"/>
  <c r="U543" i="67"/>
  <c r="Q543" i="67"/>
  <c r="S543" i="67"/>
  <c r="V543" i="67" l="1"/>
  <c r="Y543" i="67" s="1"/>
  <c r="O544" i="67"/>
  <c r="Q544" i="67"/>
  <c r="R544" i="67"/>
  <c r="S544" i="67"/>
  <c r="T544" i="67"/>
  <c r="M545" i="67"/>
  <c r="P544" i="67"/>
  <c r="U544" i="67"/>
  <c r="X543" i="67"/>
  <c r="W543" i="67"/>
  <c r="V544" i="67" l="1"/>
  <c r="Y544" i="67" s="1"/>
  <c r="W544" i="67"/>
  <c r="X544" i="67"/>
  <c r="T545" i="67"/>
  <c r="U545" i="67"/>
  <c r="O545" i="67"/>
  <c r="R545" i="67"/>
  <c r="P545" i="67"/>
  <c r="S545" i="67"/>
  <c r="M546" i="67"/>
  <c r="Q545" i="67"/>
  <c r="V545" i="67" l="1"/>
  <c r="Y545" i="67" s="1"/>
  <c r="X545" i="67"/>
  <c r="W545" i="67"/>
  <c r="T546" i="67"/>
  <c r="P546" i="67"/>
  <c r="O546" i="67"/>
  <c r="S546" i="67"/>
  <c r="U546" i="67"/>
  <c r="Q546" i="67"/>
  <c r="R546" i="67"/>
  <c r="M547" i="67"/>
  <c r="V546" i="67" l="1"/>
  <c r="Y546" i="67" s="1"/>
  <c r="W546" i="67"/>
  <c r="X546" i="67"/>
  <c r="T547" i="67"/>
  <c r="R547" i="67"/>
  <c r="S547" i="67"/>
  <c r="Q547" i="67"/>
  <c r="P547" i="67"/>
  <c r="M548" i="67"/>
  <c r="U547" i="67"/>
  <c r="O547" i="67"/>
  <c r="V547" i="67" l="1"/>
  <c r="Y547" i="67" s="1"/>
  <c r="W547" i="67"/>
  <c r="X547" i="67"/>
  <c r="O548" i="67"/>
  <c r="P548" i="67"/>
  <c r="S548" i="67"/>
  <c r="U548" i="67"/>
  <c r="R548" i="67"/>
  <c r="Q548" i="67"/>
  <c r="T548" i="67"/>
  <c r="M549" i="67"/>
  <c r="V548" i="67" l="1"/>
  <c r="Y548" i="67" s="1"/>
  <c r="X548" i="67"/>
  <c r="W548" i="67"/>
  <c r="R549" i="67"/>
  <c r="Q549" i="67"/>
  <c r="M550" i="67"/>
  <c r="P549" i="67"/>
  <c r="U549" i="67"/>
  <c r="S549" i="67"/>
  <c r="O549" i="67"/>
  <c r="T549" i="67"/>
  <c r="V549" i="67" l="1"/>
  <c r="Y549" i="67" s="1"/>
  <c r="W549" i="67"/>
  <c r="X549" i="67"/>
  <c r="S550" i="67"/>
  <c r="U550" i="67"/>
  <c r="P550" i="67"/>
  <c r="M551" i="67"/>
  <c r="R550" i="67"/>
  <c r="Q550" i="67"/>
  <c r="O550" i="67"/>
  <c r="T550" i="67"/>
  <c r="V550" i="67" l="1"/>
  <c r="Y550" i="67" s="1"/>
  <c r="R551" i="67"/>
  <c r="P551" i="67"/>
  <c r="S551" i="67"/>
  <c r="T551" i="67"/>
  <c r="Q551" i="67"/>
  <c r="O551" i="67"/>
  <c r="U551" i="67"/>
  <c r="M552" i="67"/>
  <c r="W550" i="67"/>
  <c r="X550" i="67"/>
  <c r="V551" i="67" l="1"/>
  <c r="Y551" i="67" s="1"/>
  <c r="X551" i="67"/>
  <c r="W551" i="67"/>
  <c r="P552" i="67"/>
  <c r="R552" i="67"/>
  <c r="S552" i="67"/>
  <c r="M553" i="67"/>
  <c r="U552" i="67"/>
  <c r="T552" i="67"/>
  <c r="O552" i="67"/>
  <c r="Q552" i="67"/>
  <c r="V552" i="67" l="1"/>
  <c r="Y552" i="67" s="1"/>
  <c r="W552" i="67"/>
  <c r="X552" i="67"/>
  <c r="O553" i="67"/>
  <c r="P553" i="67"/>
  <c r="T553" i="67"/>
  <c r="S553" i="67"/>
  <c r="M554" i="67"/>
  <c r="R553" i="67"/>
  <c r="U553" i="67"/>
  <c r="Q553" i="67"/>
  <c r="V553" i="67" l="1"/>
  <c r="Y553" i="67" s="1"/>
  <c r="U554" i="67"/>
  <c r="O554" i="67"/>
  <c r="T554" i="67"/>
  <c r="R554" i="67"/>
  <c r="P554" i="67"/>
  <c r="M555" i="67"/>
  <c r="Q554" i="67"/>
  <c r="S554" i="67"/>
  <c r="X553" i="67"/>
  <c r="W553" i="67"/>
  <c r="V554" i="67" l="1"/>
  <c r="Y554" i="67" s="1"/>
  <c r="U555" i="67"/>
  <c r="P555" i="67"/>
  <c r="O555" i="67"/>
  <c r="R555" i="67"/>
  <c r="M556" i="67"/>
  <c r="Q555" i="67"/>
  <c r="S555" i="67"/>
  <c r="T555" i="67"/>
  <c r="X554" i="67"/>
  <c r="W554" i="67"/>
  <c r="V555" i="67" l="1"/>
  <c r="Y555" i="67" s="1"/>
  <c r="S556" i="67"/>
  <c r="P556" i="67"/>
  <c r="T556" i="67"/>
  <c r="U556" i="67"/>
  <c r="M557" i="67"/>
  <c r="R556" i="67"/>
  <c r="O556" i="67"/>
  <c r="Q556" i="67"/>
  <c r="X555" i="67"/>
  <c r="W555" i="67"/>
  <c r="V556" i="67" l="1"/>
  <c r="Y556" i="67" s="1"/>
  <c r="W556" i="67"/>
  <c r="X556" i="67"/>
  <c r="U557" i="67"/>
  <c r="S557" i="67"/>
  <c r="O557" i="67"/>
  <c r="P557" i="67"/>
  <c r="Q557" i="67"/>
  <c r="M558" i="67"/>
  <c r="R557" i="67"/>
  <c r="T557" i="67"/>
  <c r="V557" i="67" l="1"/>
  <c r="Y557" i="67" s="1"/>
  <c r="X557" i="67"/>
  <c r="W557" i="67"/>
  <c r="R558" i="67"/>
  <c r="S558" i="67"/>
  <c r="T558" i="67"/>
  <c r="O558" i="67"/>
  <c r="Q558" i="67"/>
  <c r="P558" i="67"/>
  <c r="M559" i="67"/>
  <c r="U558" i="67"/>
  <c r="V558" i="67" l="1"/>
  <c r="Y558" i="67" s="1"/>
  <c r="X558" i="67"/>
  <c r="W558" i="67"/>
  <c r="U559" i="67"/>
  <c r="R559" i="67"/>
  <c r="M560" i="67"/>
  <c r="P559" i="67"/>
  <c r="T559" i="67"/>
  <c r="O559" i="67"/>
  <c r="Q559" i="67"/>
  <c r="S559" i="67"/>
  <c r="V559" i="67" l="1"/>
  <c r="Y559" i="67" s="1"/>
  <c r="P560" i="67"/>
  <c r="M561" i="67"/>
  <c r="Q560" i="67"/>
  <c r="S560" i="67"/>
  <c r="R560" i="67"/>
  <c r="O560" i="67"/>
  <c r="T560" i="67"/>
  <c r="U560" i="67"/>
  <c r="X559" i="67"/>
  <c r="W559" i="67"/>
  <c r="V560" i="67" l="1"/>
  <c r="Y560" i="67" s="1"/>
  <c r="X560" i="67"/>
  <c r="W560" i="67"/>
  <c r="S561" i="67"/>
  <c r="T561" i="67"/>
  <c r="O561" i="67"/>
  <c r="M562" i="67"/>
  <c r="Q561" i="67"/>
  <c r="U561" i="67"/>
  <c r="R561" i="67"/>
  <c r="P561" i="67"/>
  <c r="V561" i="67" l="1"/>
  <c r="Y561" i="67" s="1"/>
  <c r="S562" i="67"/>
  <c r="P562" i="67"/>
  <c r="M563" i="67"/>
  <c r="Q562" i="67"/>
  <c r="U562" i="67"/>
  <c r="T562" i="67"/>
  <c r="O562" i="67"/>
  <c r="R562" i="67"/>
  <c r="W561" i="67"/>
  <c r="X561" i="67"/>
  <c r="V562" i="67" l="1"/>
  <c r="Y562" i="67" s="1"/>
  <c r="P563" i="67"/>
  <c r="O563" i="67"/>
  <c r="Q563" i="67"/>
  <c r="T563" i="67"/>
  <c r="U563" i="67"/>
  <c r="R563" i="67"/>
  <c r="S563" i="67"/>
  <c r="M564" i="67"/>
  <c r="W562" i="67"/>
  <c r="X562" i="67"/>
  <c r="V563" i="67" l="1"/>
  <c r="Y563" i="67" s="1"/>
  <c r="P564" i="67"/>
  <c r="T564" i="67"/>
  <c r="Q564" i="67"/>
  <c r="U564" i="67"/>
  <c r="R564" i="67"/>
  <c r="S564" i="67"/>
  <c r="O564" i="67"/>
  <c r="M565" i="67"/>
  <c r="W563" i="67"/>
  <c r="X563" i="67"/>
  <c r="V564" i="67" l="1"/>
  <c r="Y564" i="67" s="1"/>
  <c r="T565" i="67"/>
  <c r="P565" i="67"/>
  <c r="O565" i="67"/>
  <c r="R565" i="67"/>
  <c r="U565" i="67"/>
  <c r="S565" i="67"/>
  <c r="Q565" i="67"/>
  <c r="M566" i="67"/>
  <c r="W564" i="67"/>
  <c r="X564" i="67"/>
  <c r="V565" i="67" l="1"/>
  <c r="Y565" i="67" s="1"/>
  <c r="T566" i="67"/>
  <c r="Q566" i="67"/>
  <c r="U566" i="67"/>
  <c r="R566" i="67"/>
  <c r="M567" i="67"/>
  <c r="P566" i="67"/>
  <c r="O566" i="67"/>
  <c r="S566" i="67"/>
  <c r="X565" i="67"/>
  <c r="W565" i="67"/>
  <c r="V566" i="67" l="1"/>
  <c r="Y566" i="67" s="1"/>
  <c r="S567" i="67"/>
  <c r="Q567" i="67"/>
  <c r="R567" i="67"/>
  <c r="T567" i="67"/>
  <c r="M568" i="67"/>
  <c r="U567" i="67"/>
  <c r="P567" i="67"/>
  <c r="O567" i="67"/>
  <c r="W566" i="67"/>
  <c r="X566" i="67"/>
  <c r="V567" i="67" l="1"/>
  <c r="Y567" i="67" s="1"/>
  <c r="P568" i="67"/>
  <c r="M569" i="67"/>
  <c r="S568" i="67"/>
  <c r="T568" i="67"/>
  <c r="R568" i="67"/>
  <c r="U568" i="67"/>
  <c r="O568" i="67"/>
  <c r="Q568" i="67"/>
  <c r="X567" i="67"/>
  <c r="W567" i="67"/>
  <c r="V568" i="67" l="1"/>
  <c r="Y568" i="67" s="1"/>
  <c r="O569" i="67"/>
  <c r="T569" i="67"/>
  <c r="Q569" i="67"/>
  <c r="M570" i="67"/>
  <c r="U569" i="67"/>
  <c r="R569" i="67"/>
  <c r="S569" i="67"/>
  <c r="P569" i="67"/>
  <c r="W568" i="67"/>
  <c r="X568" i="67"/>
  <c r="V569" i="67" l="1"/>
  <c r="Y569" i="67" s="1"/>
  <c r="P570" i="67"/>
  <c r="U570" i="67"/>
  <c r="Q570" i="67"/>
  <c r="R570" i="67"/>
  <c r="O570" i="67"/>
  <c r="M571" i="67"/>
  <c r="S570" i="67"/>
  <c r="T570" i="67"/>
  <c r="W569" i="67"/>
  <c r="X569" i="67"/>
  <c r="V570" i="67" l="1"/>
  <c r="Y570" i="67" s="1"/>
  <c r="P571" i="67"/>
  <c r="Q571" i="67"/>
  <c r="R571" i="67"/>
  <c r="T571" i="67"/>
  <c r="M572" i="67"/>
  <c r="O571" i="67"/>
  <c r="S571" i="67"/>
  <c r="U571" i="67"/>
  <c r="X570" i="67"/>
  <c r="W570" i="67"/>
  <c r="V571" i="67" l="1"/>
  <c r="Y571" i="67" s="1"/>
  <c r="W571" i="67"/>
  <c r="X571" i="67"/>
  <c r="U572" i="67"/>
  <c r="O572" i="67"/>
  <c r="M573" i="67"/>
  <c r="P572" i="67"/>
  <c r="R572" i="67"/>
  <c r="Q572" i="67"/>
  <c r="S572" i="67"/>
  <c r="T572" i="67"/>
  <c r="V572" i="67" l="1"/>
  <c r="Y572" i="67" s="1"/>
  <c r="Q573" i="67"/>
  <c r="P573" i="67"/>
  <c r="R573" i="67"/>
  <c r="U573" i="67"/>
  <c r="T573" i="67"/>
  <c r="S573" i="67"/>
  <c r="M574" i="67"/>
  <c r="O573" i="67"/>
  <c r="X572" i="67"/>
  <c r="W572" i="67"/>
  <c r="V573" i="67" l="1"/>
  <c r="Y573" i="67" s="1"/>
  <c r="R574" i="67"/>
  <c r="U574" i="67"/>
  <c r="O574" i="67"/>
  <c r="S574" i="67"/>
  <c r="Q574" i="67"/>
  <c r="P574" i="67"/>
  <c r="T574" i="67"/>
  <c r="M575" i="67"/>
  <c r="W573" i="67"/>
  <c r="X573" i="67"/>
  <c r="V574" i="67" l="1"/>
  <c r="Y574" i="67" s="1"/>
  <c r="P575" i="67"/>
  <c r="Q575" i="67"/>
  <c r="O575" i="67"/>
  <c r="R575" i="67"/>
  <c r="U575" i="67"/>
  <c r="M576" i="67"/>
  <c r="T575" i="67"/>
  <c r="S575" i="67"/>
  <c r="W574" i="67"/>
  <c r="X574" i="67"/>
  <c r="V575" i="67" l="1"/>
  <c r="Y575" i="67" s="1"/>
  <c r="U576" i="67"/>
  <c r="T576" i="67"/>
  <c r="M577" i="67"/>
  <c r="P576" i="67"/>
  <c r="S576" i="67"/>
  <c r="O576" i="67"/>
  <c r="R576" i="67"/>
  <c r="Q576" i="67"/>
  <c r="X575" i="67"/>
  <c r="W575" i="67"/>
  <c r="V576" i="67" l="1"/>
  <c r="Y576" i="67" s="1"/>
  <c r="P577" i="67"/>
  <c r="S577" i="67"/>
  <c r="M578" i="67"/>
  <c r="Q577" i="67"/>
  <c r="R577" i="67"/>
  <c r="T577" i="67"/>
  <c r="O577" i="67"/>
  <c r="U577" i="67"/>
  <c r="X576" i="67"/>
  <c r="W576" i="67"/>
  <c r="V577" i="67" l="1"/>
  <c r="Y577" i="67" s="1"/>
  <c r="P578" i="67"/>
  <c r="Q578" i="67"/>
  <c r="O578" i="67"/>
  <c r="S578" i="67"/>
  <c r="M579" i="67"/>
  <c r="U578" i="67"/>
  <c r="R578" i="67"/>
  <c r="T578" i="67"/>
  <c r="X577" i="67"/>
  <c r="W577" i="67"/>
  <c r="V578" i="67" l="1"/>
  <c r="Y578" i="67" s="1"/>
  <c r="S579" i="67"/>
  <c r="T579" i="67"/>
  <c r="P579" i="67"/>
  <c r="U579" i="67"/>
  <c r="O579" i="67"/>
  <c r="R579" i="67"/>
  <c r="Q579" i="67"/>
  <c r="M580" i="67"/>
  <c r="X578" i="67"/>
  <c r="W578" i="67"/>
  <c r="V579" i="67" l="1"/>
  <c r="Y579" i="67" s="1"/>
  <c r="P580" i="67"/>
  <c r="U580" i="67"/>
  <c r="Q580" i="67"/>
  <c r="M581" i="67"/>
  <c r="S580" i="67"/>
  <c r="R580" i="67"/>
  <c r="O580" i="67"/>
  <c r="T580" i="67"/>
  <c r="W579" i="67"/>
  <c r="X579" i="67"/>
  <c r="V580" i="67" l="1"/>
  <c r="Y580" i="67" s="1"/>
  <c r="O581" i="67"/>
  <c r="U581" i="67"/>
  <c r="S581" i="67"/>
  <c r="P581" i="67"/>
  <c r="M582" i="67"/>
  <c r="R581" i="67"/>
  <c r="Q581" i="67"/>
  <c r="T581" i="67"/>
  <c r="W580" i="67"/>
  <c r="X580" i="67"/>
  <c r="V581" i="67" l="1"/>
  <c r="Y581" i="67" s="1"/>
  <c r="M583" i="67"/>
  <c r="O582" i="67"/>
  <c r="S582" i="67"/>
  <c r="U582" i="67"/>
  <c r="T582" i="67"/>
  <c r="R582" i="67"/>
  <c r="P582" i="67"/>
  <c r="T18" i="67" s="1"/>
  <c r="AF27" i="37" s="1"/>
  <c r="O33" i="37" s="1"/>
  <c r="Q582" i="67"/>
  <c r="X581" i="67"/>
  <c r="W581" i="67"/>
  <c r="V582" i="67" l="1"/>
  <c r="T9" i="67" s="1"/>
  <c r="V13" i="67"/>
  <c r="V12" i="67"/>
  <c r="V20" i="67"/>
  <c r="V17" i="67"/>
  <c r="V22" i="67"/>
  <c r="V21" i="67"/>
  <c r="V16" i="67"/>
  <c r="V26" i="67"/>
  <c r="V24" i="67"/>
  <c r="V14" i="67"/>
  <c r="V23" i="67"/>
  <c r="V11" i="67"/>
  <c r="V15" i="67"/>
  <c r="V27" i="67"/>
  <c r="V19" i="67"/>
  <c r="V9" i="67"/>
  <c r="V25" i="67"/>
  <c r="V18" i="67"/>
  <c r="V7" i="67"/>
  <c r="V10" i="67"/>
  <c r="V8" i="67"/>
  <c r="X582" i="67"/>
  <c r="W582" i="67"/>
  <c r="S583" i="67"/>
  <c r="U583" i="67"/>
  <c r="T583" i="67"/>
  <c r="Q583" i="67"/>
  <c r="R583" i="67"/>
  <c r="P583" i="67"/>
  <c r="O583" i="67"/>
  <c r="Y582" i="67" l="1"/>
  <c r="T11" i="67" s="1"/>
  <c r="T7" i="67"/>
  <c r="AF16" i="37" s="1"/>
  <c r="K31" i="37" s="1"/>
  <c r="T13" i="67"/>
  <c r="Q13" i="67" s="1"/>
  <c r="T15" i="67"/>
  <c r="Q15" i="67" s="1"/>
  <c r="T12" i="67"/>
  <c r="AF21" i="37" s="1"/>
  <c r="S32" i="37" s="1"/>
  <c r="V583" i="67"/>
  <c r="Y583" i="67" s="1"/>
  <c r="T23" i="67"/>
  <c r="AF32" i="37" s="1"/>
  <c r="O31" i="37" s="1"/>
  <c r="T17" i="67"/>
  <c r="T16" i="67"/>
  <c r="T10" i="67"/>
  <c r="T20" i="67"/>
  <c r="AF29" i="37" s="1"/>
  <c r="L33" i="37" s="1"/>
  <c r="T22" i="67"/>
  <c r="AF31" i="37" s="1"/>
  <c r="S31" i="37" s="1"/>
  <c r="T21" i="67"/>
  <c r="AF30" i="37" s="1"/>
  <c r="Q31" i="37" s="1"/>
  <c r="T19" i="67"/>
  <c r="AF28" i="37" s="1"/>
  <c r="J33" i="37" s="1"/>
  <c r="W583" i="67"/>
  <c r="X583" i="67"/>
  <c r="AF18" i="37"/>
  <c r="Q9" i="67"/>
  <c r="T14" i="67" l="1"/>
  <c r="Q14" i="67" s="1"/>
  <c r="T8" i="67"/>
  <c r="Q8" i="67" s="1"/>
  <c r="AF22" i="37"/>
  <c r="G33" i="37" s="1"/>
  <c r="Q7" i="67"/>
  <c r="Q12" i="67"/>
  <c r="AF24" i="37"/>
  <c r="I32" i="37" s="1"/>
  <c r="I31" i="37"/>
  <c r="AW31" i="37"/>
  <c r="Q10" i="67"/>
  <c r="AF19" i="37"/>
  <c r="AF25" i="37"/>
  <c r="K32" i="37" s="1"/>
  <c r="Q16" i="67"/>
  <c r="AF26" i="37"/>
  <c r="N32" i="37" s="1"/>
  <c r="Q17" i="67"/>
  <c r="Q11" i="67"/>
  <c r="AF20" i="37"/>
  <c r="P32" i="37" s="1"/>
  <c r="AF17" i="37" l="1"/>
  <c r="G31" i="37" s="1"/>
  <c r="AF23" i="37"/>
  <c r="G32" i="37" s="1"/>
  <c r="M31" i="37"/>
  <c r="AY31" i="37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mdengusi</author>
  </authors>
  <commentList>
    <comment ref="B1" authorId="0" shapeId="0" xr:uid="{00000000-0006-0000-0B00-000001000000}">
      <text>
        <r>
          <rPr>
            <b/>
            <sz val="9"/>
            <color indexed="81"/>
            <rFont val="Tahoma"/>
            <family val="2"/>
          </rPr>
          <t>mdengusi:</t>
        </r>
        <r>
          <rPr>
            <sz val="9"/>
            <color indexed="81"/>
            <rFont val="Tahoma"/>
            <family val="2"/>
          </rPr>
          <t xml:space="preserve">
at HDD heating design day
</t>
        </r>
      </text>
    </comment>
    <comment ref="C1" authorId="0" shapeId="0" xr:uid="{00000000-0006-0000-0B00-000002000000}">
      <text>
        <r>
          <rPr>
            <b/>
            <sz val="9"/>
            <color indexed="81"/>
            <rFont val="Tahoma"/>
            <family val="2"/>
          </rPr>
          <t>mdengusi:</t>
        </r>
        <r>
          <rPr>
            <sz val="9"/>
            <color indexed="81"/>
            <rFont val="Tahoma"/>
            <family val="2"/>
          </rPr>
          <t xml:space="preserve">
at CDD Cooling Desing Day</t>
        </r>
      </text>
    </comment>
  </commentList>
</comments>
</file>

<file path=xl/sharedStrings.xml><?xml version="1.0" encoding="utf-8"?>
<sst xmlns="http://schemas.openxmlformats.org/spreadsheetml/2006/main" count="5007" uniqueCount="870">
  <si>
    <t>Example code to create PDF or create/mail a PDF with Outlook</t>
  </si>
  <si>
    <t>You can find the latest information and code on this webpage</t>
  </si>
  <si>
    <t>http://www.rondebruin.nl/pdf.htm</t>
  </si>
  <si>
    <t>Below you can test the code from the webpage above</t>
  </si>
  <si>
    <r>
      <t xml:space="preserve">Look good at the code in the VBA editor in the </t>
    </r>
    <r>
      <rPr>
        <b/>
        <sz val="11"/>
        <color theme="1"/>
        <rFont val="Calibri"/>
        <family val="2"/>
        <scheme val="minor"/>
      </rPr>
      <t>"CreatePDF"</t>
    </r>
    <r>
      <rPr>
        <sz val="11"/>
        <color theme="1"/>
        <rFont val="Calibri"/>
        <family val="2"/>
        <scheme val="minor"/>
      </rPr>
      <t xml:space="preserve"> module</t>
    </r>
  </si>
  <si>
    <t>Create PDF examples</t>
  </si>
  <si>
    <r>
      <rPr>
        <b/>
        <sz val="11"/>
        <color theme="1"/>
        <rFont val="Calibri"/>
        <family val="2"/>
        <scheme val="minor"/>
      </rPr>
      <t>1:</t>
    </r>
    <r>
      <rPr>
        <sz val="11"/>
        <color theme="1"/>
        <rFont val="Calibri"/>
        <family val="2"/>
        <scheme val="minor"/>
      </rPr>
      <t xml:space="preserve"> Create a PDF of the whole workbook</t>
    </r>
  </si>
  <si>
    <r>
      <rPr>
        <b/>
        <sz val="11"/>
        <color theme="1"/>
        <rFont val="Calibri"/>
        <family val="2"/>
        <scheme val="minor"/>
      </rPr>
      <t xml:space="preserve">2: </t>
    </r>
    <r>
      <rPr>
        <sz val="11"/>
        <color theme="1"/>
        <rFont val="Calibri"/>
        <family val="2"/>
        <scheme val="minor"/>
      </rPr>
      <t>Create a PDF of the ActiveSheet or selected sheets (You can also use a fixed sheet, see code how)</t>
    </r>
  </si>
  <si>
    <r>
      <rPr>
        <b/>
        <sz val="11"/>
        <color theme="1"/>
        <rFont val="Calibri"/>
        <family val="2"/>
        <scheme val="minor"/>
      </rPr>
      <t xml:space="preserve">3: </t>
    </r>
    <r>
      <rPr>
        <sz val="11"/>
        <color theme="1"/>
        <rFont val="Calibri"/>
        <family val="2"/>
        <scheme val="minor"/>
      </rPr>
      <t>Create a PDF of the selection or range (I use the range A10:I15 in this example)</t>
    </r>
  </si>
  <si>
    <r>
      <rPr>
        <b/>
        <sz val="11"/>
        <color theme="1"/>
        <rFont val="Calibri"/>
        <family val="2"/>
        <scheme val="minor"/>
      </rPr>
      <t xml:space="preserve">4: </t>
    </r>
    <r>
      <rPr>
        <sz val="11"/>
        <color theme="1"/>
        <rFont val="Calibri"/>
        <family val="2"/>
        <scheme val="minor"/>
      </rPr>
      <t>Create a PDF with every sheet with a specific sheet level name (Sheet2 and sheet4 in this example)</t>
    </r>
  </si>
  <si>
    <t>Information</t>
  </si>
  <si>
    <r>
      <t xml:space="preserve">The first three macros calls a function named </t>
    </r>
    <r>
      <rPr>
        <b/>
        <sz val="11"/>
        <color theme="1"/>
        <rFont val="Calibri"/>
        <family val="2"/>
        <scheme val="minor"/>
      </rPr>
      <t>RDB_Create_PDF</t>
    </r>
  </si>
  <si>
    <r>
      <t xml:space="preserve">Macro four calls a function named </t>
    </r>
    <r>
      <rPr>
        <b/>
        <sz val="11"/>
        <color theme="1"/>
        <rFont val="Calibri"/>
        <family val="2"/>
        <scheme val="minor"/>
      </rPr>
      <t>Create_PDF_Sheet_Level_Names</t>
    </r>
  </si>
  <si>
    <r>
      <t xml:space="preserve">You can find this two functions in the module named </t>
    </r>
    <r>
      <rPr>
        <b/>
        <sz val="11"/>
        <color theme="1"/>
        <rFont val="Calibri"/>
        <family val="2"/>
        <scheme val="minor"/>
      </rPr>
      <t>"FunctionsModule"</t>
    </r>
  </si>
  <si>
    <r>
      <t xml:space="preserve">You see there are </t>
    </r>
    <r>
      <rPr>
        <b/>
        <sz val="11"/>
        <color theme="1"/>
        <rFont val="Calibri"/>
        <family val="2"/>
        <scheme val="minor"/>
      </rPr>
      <t>four</t>
    </r>
    <r>
      <rPr>
        <sz val="11"/>
        <color theme="1"/>
        <rFont val="Calibri"/>
        <family val="2"/>
        <scheme val="minor"/>
      </rPr>
      <t xml:space="preserve"> arguments in the function call.</t>
    </r>
  </si>
  <si>
    <r>
      <rPr>
        <b/>
        <sz val="11"/>
        <color theme="1"/>
        <rFont val="Calibri"/>
        <family val="2"/>
        <scheme val="minor"/>
      </rPr>
      <t>1:</t>
    </r>
    <r>
      <rPr>
        <sz val="11"/>
        <color theme="1"/>
        <rFont val="Calibri"/>
        <family val="2"/>
        <scheme val="minor"/>
      </rPr>
      <t xml:space="preserve"> What do we want to publish  (in macro four this is the sheet level name)</t>
    </r>
  </si>
  <si>
    <r>
      <rPr>
        <b/>
        <sz val="11"/>
        <color theme="1"/>
        <rFont val="Calibri"/>
        <family val="2"/>
        <scheme val="minor"/>
      </rPr>
      <t xml:space="preserve">2: </t>
    </r>
    <r>
      <rPr>
        <sz val="11"/>
        <color theme="1"/>
        <rFont val="Calibri"/>
        <family val="2"/>
        <scheme val="minor"/>
      </rPr>
      <t xml:space="preserve">Path/File name of the pdf file, if you use </t>
    </r>
    <r>
      <rPr>
        <b/>
        <sz val="11"/>
        <color theme="1"/>
        <rFont val="Calibri"/>
        <family val="2"/>
        <scheme val="minor"/>
      </rPr>
      <t>""</t>
    </r>
    <r>
      <rPr>
        <sz val="11"/>
        <color theme="1"/>
        <rFont val="Calibri"/>
        <family val="2"/>
        <scheme val="minor"/>
      </rPr>
      <t xml:space="preserve"> it will ask you for a file name.</t>
    </r>
  </si>
  <si>
    <r>
      <rPr>
        <b/>
        <sz val="11"/>
        <color theme="1"/>
        <rFont val="Calibri"/>
        <family val="2"/>
        <scheme val="minor"/>
      </rPr>
      <t>3:</t>
    </r>
    <r>
      <rPr>
        <sz val="11"/>
        <color theme="1"/>
        <rFont val="Calibri"/>
        <family val="2"/>
        <scheme val="minor"/>
      </rPr>
      <t xml:space="preserve"> Overwrite the file you choose in the GetSaveAsFilename dialog if it already exist :True or False</t>
    </r>
  </si>
  <si>
    <r>
      <rPr>
        <b/>
        <sz val="11"/>
        <color theme="1"/>
        <rFont val="Calibri"/>
        <family val="2"/>
        <scheme val="minor"/>
      </rPr>
      <t xml:space="preserve">4: </t>
    </r>
    <r>
      <rPr>
        <sz val="11"/>
        <color theme="1"/>
        <rFont val="Calibri"/>
        <family val="2"/>
        <scheme val="minor"/>
      </rPr>
      <t>OpenAfterPublish : True or False</t>
    </r>
  </si>
  <si>
    <t>This will create a PDF of the ActiveWorkbook and overwrite the file if it exist and open the PDF.</t>
  </si>
  <si>
    <t>RDB_Create_PDF(ActiveWorkbook, "", True, True)</t>
  </si>
  <si>
    <r>
      <rPr>
        <b/>
        <sz val="11"/>
        <color theme="1"/>
        <rFont val="Calibri"/>
        <family val="2"/>
        <scheme val="minor"/>
      </rPr>
      <t xml:space="preserve">Note: </t>
    </r>
    <r>
      <rPr>
        <sz val="11"/>
        <color theme="1"/>
        <rFont val="Calibri"/>
        <family val="2"/>
        <scheme val="minor"/>
      </rPr>
      <t>For a fixed file name and overwrite it each time you run the macro use this</t>
    </r>
  </si>
  <si>
    <t>RDB_Create_PDF(ActiveWorkbook, "C:\Users\Ron\Test\YourPdfFile.pdf", True, True)</t>
  </si>
  <si>
    <r>
      <t xml:space="preserve">This will create a PDF of all the sheets with a sheet level named range </t>
    </r>
    <r>
      <rPr>
        <b/>
        <sz val="11"/>
        <color theme="1"/>
        <rFont val="Calibri"/>
        <family val="2"/>
        <scheme val="minor"/>
      </rPr>
      <t>"addtopdf"</t>
    </r>
    <r>
      <rPr>
        <sz val="11"/>
        <color theme="1"/>
        <rFont val="Calibri"/>
        <family val="2"/>
        <scheme val="minor"/>
      </rPr>
      <t xml:space="preserve"> and</t>
    </r>
  </si>
  <si>
    <t>overwrite the file if it exist and open the PDF. In this file Sheet2 and Sheet4 have this name.</t>
  </si>
  <si>
    <t>FileName = Create_PDF_Sheet_Level_Names("addtopdf", "", True, True)</t>
  </si>
  <si>
    <r>
      <rPr>
        <b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For a fixed file name and overwrite it each time you run the macro use this</t>
    </r>
  </si>
  <si>
    <t>Create_PDF_Sheet_Level_Names("addtopdf", "C:\Users\Ron\Test\YourPdfFile.pdf", True, True)</t>
  </si>
  <si>
    <t>How do I add sheet level names to the sheets I want ?</t>
  </si>
  <si>
    <r>
      <rPr>
        <b/>
        <sz val="11"/>
        <color theme="1"/>
        <rFont val="Calibri"/>
        <family val="2"/>
        <scheme val="minor"/>
      </rPr>
      <t xml:space="preserve">1:  </t>
    </r>
    <r>
      <rPr>
        <sz val="11"/>
        <color theme="1"/>
        <rFont val="Calibri"/>
        <family val="2"/>
        <scheme val="minor"/>
      </rPr>
      <t>Ctrl-F3 to open the Name manager</t>
    </r>
  </si>
  <si>
    <r>
      <rPr>
        <b/>
        <sz val="11"/>
        <color theme="1"/>
        <rFont val="Calibri"/>
        <family val="2"/>
        <scheme val="minor"/>
      </rPr>
      <t>2:</t>
    </r>
    <r>
      <rPr>
        <sz val="11"/>
        <color theme="1"/>
        <rFont val="Calibri"/>
        <family val="2"/>
        <scheme val="minor"/>
      </rPr>
      <t xml:space="preserve">  Click on New</t>
    </r>
  </si>
  <si>
    <r>
      <rPr>
        <b/>
        <sz val="11"/>
        <color theme="1"/>
        <rFont val="Calibri"/>
        <family val="2"/>
        <scheme val="minor"/>
      </rPr>
      <t xml:space="preserve">3: </t>
    </r>
    <r>
      <rPr>
        <sz val="11"/>
        <color theme="1"/>
        <rFont val="Calibri"/>
        <family val="2"/>
        <scheme val="minor"/>
      </rPr>
      <t xml:space="preserve"> Enter addtopdf as name</t>
    </r>
  </si>
  <si>
    <r>
      <rPr>
        <b/>
        <sz val="11"/>
        <color theme="1"/>
        <rFont val="Calibri"/>
        <family val="2"/>
        <scheme val="minor"/>
      </rPr>
      <t>4:</t>
    </r>
    <r>
      <rPr>
        <sz val="11"/>
        <color theme="1"/>
        <rFont val="Calibri"/>
        <family val="2"/>
        <scheme val="minor"/>
      </rPr>
      <t xml:space="preserve">  Change scope to the sheet you want</t>
    </r>
  </si>
  <si>
    <r>
      <rPr>
        <b/>
        <sz val="11"/>
        <color theme="1"/>
        <rFont val="Calibri"/>
        <family val="2"/>
        <scheme val="minor"/>
      </rPr>
      <t>5:</t>
    </r>
    <r>
      <rPr>
        <sz val="11"/>
        <color theme="1"/>
        <rFont val="Calibri"/>
        <family val="2"/>
        <scheme val="minor"/>
      </rPr>
      <t xml:space="preserve">  Refers to is not important because we only use the name</t>
    </r>
  </si>
  <si>
    <r>
      <rPr>
        <b/>
        <sz val="11"/>
        <color theme="1"/>
        <rFont val="Calibri"/>
        <family val="2"/>
        <scheme val="minor"/>
      </rPr>
      <t xml:space="preserve">6: </t>
    </r>
    <r>
      <rPr>
        <sz val="11"/>
        <color theme="1"/>
        <rFont val="Calibri"/>
        <family val="2"/>
        <scheme val="minor"/>
      </rPr>
      <t xml:space="preserve"> OK</t>
    </r>
  </si>
  <si>
    <r>
      <rPr>
        <b/>
        <sz val="11"/>
        <color theme="1"/>
        <rFont val="Calibri"/>
        <family val="2"/>
        <scheme val="minor"/>
      </rPr>
      <t xml:space="preserve">7: </t>
    </r>
    <r>
      <rPr>
        <sz val="11"/>
        <color theme="1"/>
        <rFont val="Calibri"/>
        <family val="2"/>
        <scheme val="minor"/>
      </rPr>
      <t xml:space="preserve"> Repeat the steps above for every sheet you want in the PDF.</t>
    </r>
  </si>
  <si>
    <t>Create and Mail the PDF</t>
  </si>
  <si>
    <t>Below you can test the code to create the PDF and also create a mail with the PDF attached</t>
  </si>
  <si>
    <r>
      <t xml:space="preserve">Look good at the code in the VBA editor in the </t>
    </r>
    <r>
      <rPr>
        <b/>
        <sz val="11"/>
        <color theme="1"/>
        <rFont val="Calibri"/>
        <family val="2"/>
        <scheme val="minor"/>
      </rPr>
      <t>"CreatePDFMail"</t>
    </r>
    <r>
      <rPr>
        <sz val="11"/>
        <color theme="1"/>
        <rFont val="Calibri"/>
        <family val="2"/>
        <scheme val="minor"/>
      </rPr>
      <t xml:space="preserve"> module</t>
    </r>
  </si>
  <si>
    <r>
      <rPr>
        <b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The code is only working if you use Outlook</t>
    </r>
  </si>
  <si>
    <r>
      <rPr>
        <b/>
        <sz val="11"/>
        <color theme="1"/>
        <rFont val="Calibri"/>
        <family val="2"/>
        <scheme val="minor"/>
      </rPr>
      <t>1:</t>
    </r>
    <r>
      <rPr>
        <sz val="11"/>
        <color theme="1"/>
        <rFont val="Calibri"/>
        <family val="2"/>
        <scheme val="minor"/>
      </rPr>
      <t xml:space="preserve"> Create a PDF and mail of the whole workbook</t>
    </r>
  </si>
  <si>
    <r>
      <rPr>
        <b/>
        <sz val="11"/>
        <color theme="1"/>
        <rFont val="Calibri"/>
        <family val="2"/>
        <scheme val="minor"/>
      </rPr>
      <t xml:space="preserve">2: </t>
    </r>
    <r>
      <rPr>
        <sz val="11"/>
        <color theme="1"/>
        <rFont val="Calibri"/>
        <family val="2"/>
        <scheme val="minor"/>
      </rPr>
      <t>Create a PDF and mail of the ActiveSheet or selected sheets (You can also use a fixed sheet)</t>
    </r>
  </si>
  <si>
    <r>
      <rPr>
        <b/>
        <sz val="11"/>
        <color theme="1"/>
        <rFont val="Calibri"/>
        <family val="2"/>
        <scheme val="minor"/>
      </rPr>
      <t xml:space="preserve">3: </t>
    </r>
    <r>
      <rPr>
        <sz val="11"/>
        <color theme="1"/>
        <rFont val="Calibri"/>
        <family val="2"/>
        <scheme val="minor"/>
      </rPr>
      <t>Create a PDF and mail of the selection or range (I use the range A10:I15 in this example)</t>
    </r>
  </si>
  <si>
    <r>
      <rPr>
        <b/>
        <sz val="11"/>
        <color theme="1"/>
        <rFont val="Calibri"/>
        <family val="2"/>
        <scheme val="minor"/>
      </rPr>
      <t xml:space="preserve">4: </t>
    </r>
    <r>
      <rPr>
        <sz val="11"/>
        <color theme="1"/>
        <rFont val="Calibri"/>
        <family val="2"/>
        <scheme val="minor"/>
      </rPr>
      <t>Create a PDF and mail with every sheet with a specific sheet level name (Sheet2 and sheet4)</t>
    </r>
  </si>
  <si>
    <r>
      <rPr>
        <b/>
        <sz val="11"/>
        <color theme="1"/>
        <rFont val="Calibri"/>
        <family val="2"/>
        <scheme val="minor"/>
      </rPr>
      <t xml:space="preserve">5: </t>
    </r>
    <r>
      <rPr>
        <sz val="11"/>
        <color theme="1"/>
        <rFont val="Calibri"/>
        <family val="2"/>
        <scheme val="minor"/>
      </rPr>
      <t>Create a PDF and mail of every sheet with a mail address in cell A1 (Sheet5 and sheet6)</t>
    </r>
  </si>
  <si>
    <t>You see that the code create two mails, one with sheet5 and one with sheet6 and send it to the address in A1 of that sheet.</t>
  </si>
  <si>
    <t>I replaced this two comments lines in the code from the create PDF code above</t>
  </si>
  <si>
    <t xml:space="preserve">            'Ok, you find the PDF where you saved it</t>
  </si>
  <si>
    <t xml:space="preserve">            'You can call the mail macro here if you want</t>
  </si>
  <si>
    <t>With this:</t>
  </si>
  <si>
    <t>RDB_Mail_PDF_Outlook Filename, "ron@debruin.nl", "This is the subject", _</t>
  </si>
  <si>
    <t xml:space="preserve">        "See the attached PDF file with the last figures" _</t>
  </si>
  <si>
    <t xml:space="preserve">            &amp; vbNewLine &amp; vbNewLine &amp; "Regards Ron de bruin", False</t>
  </si>
  <si>
    <r>
      <rPr>
        <b/>
        <sz val="11"/>
        <color theme="1"/>
        <rFont val="Calibri"/>
        <family val="2"/>
        <scheme val="minor"/>
      </rPr>
      <t>Tip:</t>
    </r>
    <r>
      <rPr>
        <sz val="11"/>
        <color theme="1"/>
        <rFont val="Calibri"/>
        <family val="2"/>
        <scheme val="minor"/>
      </rPr>
      <t xml:space="preserve"> If you want to delete the PDF file from your system you can add this code line:</t>
    </r>
  </si>
  <si>
    <t xml:space="preserve">    Kill FileName</t>
  </si>
  <si>
    <t>You see there are five arguments in this macro.</t>
  </si>
  <si>
    <r>
      <rPr>
        <b/>
        <sz val="11"/>
        <color theme="1"/>
        <rFont val="Calibri"/>
        <family val="2"/>
        <scheme val="minor"/>
      </rPr>
      <t>1:</t>
    </r>
    <r>
      <rPr>
        <sz val="11"/>
        <color theme="1"/>
        <rFont val="Calibri"/>
        <family val="2"/>
        <scheme val="minor"/>
      </rPr>
      <t xml:space="preserve"> FileName (do not change this)</t>
    </r>
  </si>
  <si>
    <r>
      <rPr>
        <b/>
        <sz val="11"/>
        <color theme="1"/>
        <rFont val="Calibri"/>
        <family val="2"/>
        <scheme val="minor"/>
      </rPr>
      <t xml:space="preserve">2: </t>
    </r>
    <r>
      <rPr>
        <sz val="11"/>
        <color theme="1"/>
        <rFont val="Calibri"/>
        <family val="2"/>
        <scheme val="minor"/>
      </rPr>
      <t>To who do we want to send the mail ?</t>
    </r>
  </si>
  <si>
    <r>
      <rPr>
        <b/>
        <sz val="11"/>
        <color theme="1"/>
        <rFont val="Calibri"/>
        <family val="2"/>
        <scheme val="minor"/>
      </rPr>
      <t>3:</t>
    </r>
    <r>
      <rPr>
        <sz val="11"/>
        <color theme="1"/>
        <rFont val="Calibri"/>
        <family val="2"/>
        <scheme val="minor"/>
      </rPr>
      <t xml:space="preserve"> What is the subject ?</t>
    </r>
  </si>
  <si>
    <r>
      <rPr>
        <b/>
        <sz val="11"/>
        <color theme="1"/>
        <rFont val="Calibri"/>
        <family val="2"/>
        <scheme val="minor"/>
      </rPr>
      <t>4:</t>
    </r>
    <r>
      <rPr>
        <sz val="11"/>
        <color theme="1"/>
        <rFont val="Calibri"/>
        <family val="2"/>
        <scheme val="minor"/>
      </rPr>
      <t xml:space="preserve"> What do we want in the body of the mail ?</t>
    </r>
  </si>
  <si>
    <r>
      <rPr>
        <b/>
        <sz val="11"/>
        <color theme="1"/>
        <rFont val="Calibri"/>
        <family val="2"/>
        <scheme val="minor"/>
      </rPr>
      <t>5:</t>
    </r>
    <r>
      <rPr>
        <sz val="11"/>
        <color theme="1"/>
        <rFont val="Calibri"/>
        <family val="2"/>
        <scheme val="minor"/>
      </rPr>
      <t xml:space="preserve"> Do we want to Display (False) the mail or send it directly(True)</t>
    </r>
  </si>
  <si>
    <r>
      <rPr>
        <b/>
        <sz val="11"/>
        <color theme="1"/>
        <rFont val="Calibri"/>
        <family val="2"/>
        <scheme val="minor"/>
      </rPr>
      <t>Note:</t>
    </r>
    <r>
      <rPr>
        <sz val="11"/>
        <color theme="1"/>
        <rFont val="Calibri"/>
        <family val="2"/>
        <scheme val="minor"/>
      </rPr>
      <t xml:space="preserve"> I also set the last argument to False of the code line that create the PDF so it</t>
    </r>
  </si>
  <si>
    <r>
      <rPr>
        <sz val="11"/>
        <color theme="1"/>
        <rFont val="Calibri"/>
        <family val="2"/>
        <scheme val="minor"/>
      </rPr>
      <t xml:space="preserve">not open the PDF.   </t>
    </r>
    <r>
      <rPr>
        <b/>
        <sz val="11"/>
        <color theme="1"/>
        <rFont val="Calibri"/>
        <family val="2"/>
        <scheme val="minor"/>
      </rPr>
      <t xml:space="preserve"> RDB_Create_PDF(ActiveWorkbook, "", True, False)</t>
    </r>
  </si>
  <si>
    <t>For much more mail code examples visit my mail page</t>
  </si>
  <si>
    <t>http://www.rondebruin.nl/sendmail.htm</t>
  </si>
  <si>
    <t>Miscellaneous</t>
  </si>
  <si>
    <t xml:space="preserve"> </t>
  </si>
  <si>
    <t>ZONE LOADS</t>
  </si>
  <si>
    <t>Details</t>
  </si>
  <si>
    <t>Sensible</t>
  </si>
  <si>
    <t>Latent</t>
  </si>
  <si>
    <t>Solar Gain (W)</t>
  </si>
  <si>
    <t>Lighting Gain (W)</t>
  </si>
  <si>
    <t>Inf/Vent Gain (W)</t>
  </si>
  <si>
    <t>Equipment Sensible Gain (W)</t>
  </si>
  <si>
    <t>Equipment Latent Gain (W)</t>
  </si>
  <si>
    <t>DESIGN COOLING</t>
  </si>
  <si>
    <t>DESIGN HEATING</t>
  </si>
  <si>
    <t xml:space="preserve">HEATING DATA AT DES HTG </t>
  </si>
  <si>
    <t xml:space="preserve"> Zone Design Load Summary</t>
  </si>
  <si>
    <t>-</t>
  </si>
  <si>
    <t>index start</t>
  </si>
  <si>
    <t>index end</t>
  </si>
  <si>
    <t xml:space="preserve">Prepared by: Buro Happold </t>
  </si>
  <si>
    <t>(W)</t>
  </si>
  <si>
    <t>showing current zone that is displayed in AC1</t>
  </si>
  <si>
    <t>By clicking example 2 you will print index start to index end</t>
  </si>
  <si>
    <t xml:space="preserve">  COOLING OA DB / RH   45.0 °C / 5% </t>
  </si>
  <si>
    <t>Air Movement Gain (W)</t>
  </si>
  <si>
    <t>Building Heat Transfer (W)</t>
  </si>
  <si>
    <t>External Conduction Opaque (W)</t>
  </si>
  <si>
    <t>External Conduction Glazing (W)</t>
  </si>
  <si>
    <t>People (W)</t>
  </si>
  <si>
    <t>Safety factor (%)</t>
  </si>
  <si>
    <t>Total Zone Loads</t>
  </si>
  <si>
    <t>A1: Name</t>
  </si>
  <si>
    <t>B1: Dept</t>
  </si>
  <si>
    <t>C1: Age</t>
  </si>
  <si>
    <t>A2: Henry</t>
  </si>
  <si>
    <t>B2: 501</t>
  </si>
  <si>
    <t>C2: 28</t>
  </si>
  <si>
    <t>A3: Stan</t>
  </si>
  <si>
    <t>B3: 201</t>
  </si>
  <si>
    <t>C3: 19</t>
  </si>
  <si>
    <t>A4: Mary</t>
  </si>
  <si>
    <t>B4: 101</t>
  </si>
  <si>
    <t>C4: 22</t>
  </si>
  <si>
    <t>A5: Larry</t>
  </si>
  <si>
    <t>B5: 301</t>
  </si>
  <si>
    <t>C5: 29</t>
  </si>
  <si>
    <t>OFFSET FUNCTION</t>
  </si>
  <si>
    <t>HLOOKUP FUNCTION</t>
  </si>
  <si>
    <t>Order ID</t>
  </si>
  <si>
    <t>Unit price</t>
  </si>
  <si>
    <t>Quantity</t>
  </si>
  <si>
    <r>
      <rPr>
        <sz val="11"/>
        <color theme="1"/>
        <rFont val="Calibri"/>
        <family val="2"/>
      </rPr>
      <t>€</t>
    </r>
    <r>
      <rPr>
        <sz val="11"/>
        <color theme="1"/>
        <rFont val="Calibri"/>
        <family val="2"/>
        <scheme val="minor"/>
      </rPr>
      <t>14.00</t>
    </r>
  </si>
  <si>
    <r>
      <rPr>
        <sz val="11"/>
        <color theme="1"/>
        <rFont val="Calibri"/>
        <family val="2"/>
      </rPr>
      <t>€</t>
    </r>
    <r>
      <rPr>
        <sz val="11"/>
        <color theme="1"/>
        <rFont val="Calibri"/>
        <family val="2"/>
        <scheme val="minor"/>
      </rPr>
      <t>18.60</t>
    </r>
  </si>
  <si>
    <r>
      <rPr>
        <sz val="11"/>
        <color theme="1"/>
        <rFont val="Calibri"/>
        <family val="2"/>
      </rPr>
      <t>€</t>
    </r>
    <r>
      <rPr>
        <sz val="11"/>
        <color theme="1"/>
        <rFont val="Calibri"/>
        <family val="2"/>
        <scheme val="minor"/>
      </rPr>
      <t>7.70</t>
    </r>
  </si>
  <si>
    <t>€16.80</t>
  </si>
  <si>
    <r>
      <rPr>
        <sz val="11"/>
        <color theme="1"/>
        <rFont val="Calibri"/>
        <family val="2"/>
      </rPr>
      <t>€</t>
    </r>
    <r>
      <rPr>
        <sz val="11"/>
        <color theme="1"/>
        <rFont val="Calibri"/>
        <family val="2"/>
        <scheme val="minor"/>
      </rPr>
      <t>16.80</t>
    </r>
  </si>
  <si>
    <r>
      <rPr>
        <sz val="11"/>
        <color theme="1"/>
        <rFont val="Calibri"/>
        <family val="2"/>
      </rPr>
      <t>€</t>
    </r>
    <r>
      <rPr>
        <sz val="11"/>
        <color theme="1"/>
        <rFont val="Calibri"/>
        <family val="2"/>
        <scheme val="minor"/>
      </rPr>
      <t>64.80</t>
    </r>
  </si>
  <si>
    <t>HLOOKUP( value, table_array, row_index_number, [not_exact_match] )</t>
  </si>
  <si>
    <t>(VLOOKUP FUNCTION if you want to look for in columns, not rows)</t>
  </si>
  <si>
    <t>FLOOR FUNCTION</t>
  </si>
  <si>
    <t>it rounds down the value</t>
  </si>
  <si>
    <t>FLOOR( number, significance )</t>
  </si>
  <si>
    <t>OFFSET(starting cell; number of rows down(+), up (-); number of columns right (+), left (-); rest is optional- use in case i.e. matrix is supposed to be a result)</t>
  </si>
  <si>
    <t>Page</t>
  </si>
  <si>
    <t>Room Name</t>
  </si>
  <si>
    <t>Zone Number</t>
  </si>
  <si>
    <t>Internal Condition Type</t>
  </si>
  <si>
    <t>Height (m)</t>
  </si>
  <si>
    <t>Floor Area</t>
  </si>
  <si>
    <t>m²</t>
  </si>
  <si>
    <t>Volume</t>
  </si>
  <si>
    <t>m³</t>
  </si>
  <si>
    <t>(W/m2)</t>
  </si>
  <si>
    <t xml:space="preserve">HEATING OA DB / RH   4.0 °C  / 0% </t>
  </si>
  <si>
    <t>Occupancy Latent  [W/m²]</t>
  </si>
  <si>
    <t>Equipment Latent  [W/m²]</t>
  </si>
  <si>
    <t>Heating set back [deg C]</t>
  </si>
  <si>
    <t>Humidity [%]</t>
  </si>
  <si>
    <t>Humidity set back [%]</t>
  </si>
  <si>
    <t xml:space="preserve"> Cooling Load Sens (W/m2)</t>
  </si>
  <si>
    <t>Daylight Factor (%)</t>
  </si>
  <si>
    <t>Terminal Unit:</t>
  </si>
  <si>
    <t>Airflow (l/s)</t>
  </si>
  <si>
    <t>OSA =</t>
  </si>
  <si>
    <t>Inf ac/h:</t>
  </si>
  <si>
    <t>values that are used in print tab</t>
  </si>
  <si>
    <t>&gt;&gt; Total Zone Loads with safety factor</t>
  </si>
  <si>
    <t>File Path:</t>
  </si>
  <si>
    <t>Zones</t>
  </si>
  <si>
    <t>P:\029386 KAFD D26&amp;D29 Community Centre &amp; Aviary Attractor\Admin\F5-MEP-Building_Services\04 Calculations\D29 Butterfly House\TAS\Live\20131021_HVACLoads_revg55g.xlsm</t>
  </si>
  <si>
    <t>Areas:</t>
  </si>
  <si>
    <t>Internal Floor</t>
  </si>
  <si>
    <t>Internal Wall</t>
  </si>
  <si>
    <t>Internal Ceiling</t>
  </si>
  <si>
    <t>Internal -&gt;</t>
  </si>
  <si>
    <t>External-&gt;</t>
  </si>
  <si>
    <t>iFloor</t>
  </si>
  <si>
    <t>iWall</t>
  </si>
  <si>
    <t>iCeiling</t>
  </si>
  <si>
    <t>iWindow</t>
  </si>
  <si>
    <t>iFrame</t>
  </si>
  <si>
    <t>Below Grade Wall</t>
  </si>
  <si>
    <t>Ground Floor</t>
  </si>
  <si>
    <t>eWall</t>
  </si>
  <si>
    <t>Roof</t>
  </si>
  <si>
    <t>eWindow</t>
  </si>
  <si>
    <t>eFrame</t>
  </si>
  <si>
    <t>TAS ID Number</t>
  </si>
  <si>
    <t>Name</t>
  </si>
  <si>
    <t>Construction Name</t>
  </si>
  <si>
    <t>Surface Area m2</t>
  </si>
  <si>
    <t>Type</t>
  </si>
  <si>
    <t>Inclination</t>
  </si>
  <si>
    <t>Building Element</t>
  </si>
  <si>
    <t>File path:</t>
  </si>
  <si>
    <t>Max</t>
  </si>
  <si>
    <t>vlookup</t>
  </si>
  <si>
    <t>C2</t>
  </si>
  <si>
    <t>G554</t>
  </si>
  <si>
    <t>Slab on Grade</t>
  </si>
  <si>
    <t>Exposed Floor</t>
  </si>
  <si>
    <t>External Wall</t>
  </si>
  <si>
    <t>Air</t>
  </si>
  <si>
    <t>P:\029386 KAFD D26&amp;D29 Community Centre &amp; Aviary Attractor\Admin\F5-MEP-Building_Services\04 Calculations\D29 Butterfly House\TAS\Live\d29_h6.tsd</t>
  </si>
  <si>
    <t>UU</t>
  </si>
  <si>
    <t>FCU</t>
  </si>
  <si>
    <t>Floor</t>
  </si>
  <si>
    <t>IF(Q30=0,0,IF(R30=0,IF(S30&lt;45,"Roof",P30),IF(R30=3,IF(S30&lt;45,"Internal Ceiling",P30))))</t>
  </si>
  <si>
    <t>Project Name:  029386 KAFD Community Centre D26</t>
  </si>
  <si>
    <t>Construction</t>
  </si>
  <si>
    <t>FanCoils</t>
  </si>
  <si>
    <t>List</t>
  </si>
  <si>
    <t>TAS_ID</t>
  </si>
  <si>
    <t>Terminal_Serving_Zone</t>
  </si>
  <si>
    <t>AJ18&amp;"  "&amp;AI19</t>
  </si>
  <si>
    <r>
      <rPr>
        <sz val="11"/>
        <color rgb="FFFF0000"/>
        <rFont val="Calibri"/>
        <family val="2"/>
        <scheme val="minor"/>
      </rPr>
      <t xml:space="preserve">tbdGround 0: </t>
    </r>
    <r>
      <rPr>
        <sz val="11"/>
        <color rgb="FF1F497D"/>
        <rFont val="Calibri"/>
        <family val="2"/>
        <scheme val="minor"/>
      </rPr>
      <t>This would apply to ground floors, basement walls. Any Element that has the ground on its external surface.</t>
    </r>
  </si>
  <si>
    <r>
      <rPr>
        <sz val="11"/>
        <color rgb="FFFF0000"/>
        <rFont val="Calibri"/>
        <family val="2"/>
        <scheme val="minor"/>
      </rPr>
      <t>tbdExposed 1:</t>
    </r>
    <r>
      <rPr>
        <sz val="11"/>
        <color rgb="FF1F497D"/>
        <rFont val="Calibri"/>
        <family val="2"/>
        <scheme val="minor"/>
      </rPr>
      <t xml:space="preserve"> This to any element that has outside air on its external surface. For example External Wall, Roof, Exposed Floor</t>
    </r>
  </si>
  <si>
    <r>
      <rPr>
        <sz val="11"/>
        <color rgb="FFFF0000"/>
        <rFont val="Calibri"/>
        <family val="2"/>
        <scheme val="minor"/>
      </rPr>
      <t>tbdInternal 2:</t>
    </r>
    <r>
      <rPr>
        <sz val="11"/>
        <color rgb="FF1F497D"/>
        <rFont val="Calibri"/>
        <family val="2"/>
        <scheme val="minor"/>
      </rPr>
      <t xml:space="preserve"> This is a surface that is entirely internal to the zone. If I have rectangular zone and draw a wall from the middle of one wall to the wall on the opposite side. This new wall will have the internal type.</t>
    </r>
  </si>
  <si>
    <r>
      <rPr>
        <sz val="11"/>
        <color rgb="FFFF0000"/>
        <rFont val="Calibri"/>
        <family val="2"/>
        <scheme val="minor"/>
      </rPr>
      <t>tbdLink 3:</t>
    </r>
    <r>
      <rPr>
        <sz val="11"/>
        <color rgb="FF1F497D"/>
        <rFont val="Calibri"/>
        <family val="2"/>
        <scheme val="minor"/>
      </rPr>
      <t xml:space="preserve"> This Surface has a Zone on its external surface different to the zone on its internal surface. Therefore it is said to link between two zones.</t>
    </r>
  </si>
  <si>
    <r>
      <rPr>
        <sz val="11"/>
        <color rgb="FFFF0000"/>
        <rFont val="Calibri"/>
        <family val="2"/>
        <scheme val="minor"/>
      </rPr>
      <t>tbdNullLink 4</t>
    </r>
    <r>
      <rPr>
        <sz val="11"/>
        <color rgb="FF1F497D"/>
        <rFont val="Calibri"/>
        <family val="2"/>
        <scheme val="minor"/>
      </rPr>
      <t>: This Surface has and Unzoned space on its external surface.</t>
    </r>
  </si>
  <si>
    <t>roof</t>
  </si>
  <si>
    <t>wall</t>
  </si>
  <si>
    <t>floor</t>
  </si>
  <si>
    <t>SUMMARY LOADS</t>
  </si>
  <si>
    <t>Zone Name</t>
  </si>
  <si>
    <t>Heating Duty [W]</t>
  </si>
  <si>
    <t>Design Flow Rate [l/s]</t>
  </si>
  <si>
    <t>Full Name</t>
  </si>
  <si>
    <t>Cooling Sensible Peak [W]</t>
  </si>
  <si>
    <r>
      <rPr>
        <sz val="11"/>
        <color theme="1"/>
        <rFont val="Calibri"/>
        <family val="2"/>
        <scheme val="minor"/>
      </rPr>
      <t xml:space="preserve">Cooling </t>
    </r>
    <r>
      <rPr>
        <b/>
        <sz val="11"/>
        <color theme="1"/>
        <rFont val="Calibri"/>
        <family val="2"/>
        <scheme val="minor"/>
      </rPr>
      <t>Latent Peak [W]</t>
    </r>
  </si>
  <si>
    <t>Total Cooling Duty [W]</t>
  </si>
  <si>
    <t>Latent at Cooling Duty Peak [W]</t>
  </si>
  <si>
    <t>TAS System</t>
  </si>
  <si>
    <t>Is FCU there?</t>
  </si>
  <si>
    <t>Cooling Latent Peak [W]</t>
  </si>
  <si>
    <t>avaliable units:</t>
  </si>
  <si>
    <t>Zones Numbers</t>
  </si>
  <si>
    <t>5.8.2 tropical hall</t>
  </si>
  <si>
    <t>Butterfly</t>
  </si>
  <si>
    <t>AHU-01</t>
  </si>
  <si>
    <t>UU 6 L2.75 Special Closed</t>
  </si>
  <si>
    <t>3.0.0 breeding station</t>
  </si>
  <si>
    <t>AHU-02</t>
  </si>
  <si>
    <t>3.0.1 storage breeding</t>
  </si>
  <si>
    <t>4.0.0 shop</t>
  </si>
  <si>
    <t>4.0.1 storage shop</t>
  </si>
  <si>
    <t>5.0.0 multimedia room</t>
  </si>
  <si>
    <t>5.1.0 preparation room</t>
  </si>
  <si>
    <t>5.2.0 circulation</t>
  </si>
  <si>
    <t>5.8.0 tropic showroom</t>
  </si>
  <si>
    <t>6.0.0 first aid room</t>
  </si>
  <si>
    <t>7.0.0 lockers</t>
  </si>
  <si>
    <t>7.0.1 sanitary f</t>
  </si>
  <si>
    <t>7.0.2 sanitary d</t>
  </si>
  <si>
    <t>7.0.3 sanitary m</t>
  </si>
  <si>
    <t>7.0.4 storage mm-equipment</t>
  </si>
  <si>
    <t>7.1.0 storage</t>
  </si>
  <si>
    <t>7.-1.0 storage</t>
  </si>
  <si>
    <t>7.-1.1 sanitary staff f</t>
  </si>
  <si>
    <t>7.-1.2 sanitary staff m</t>
  </si>
  <si>
    <t>7.-1.4 miscellaneous</t>
  </si>
  <si>
    <t>7.3.0 storage 1/AWCS</t>
  </si>
  <si>
    <t>8.-1.0 AHU room</t>
  </si>
  <si>
    <t>8.-1.1 essential LV switch room</t>
  </si>
  <si>
    <t>8.-1.10 elevator</t>
  </si>
  <si>
    <t>8.-1.2 LV electrical switch room</t>
  </si>
  <si>
    <t>8.-1.3 LV room</t>
  </si>
  <si>
    <t>8.-1.4 FTR room</t>
  </si>
  <si>
    <t>8.-1.5 CCTV/ICT room</t>
  </si>
  <si>
    <t>8.-1.6 technical area</t>
  </si>
  <si>
    <t>8.-1.7 technical area</t>
  </si>
  <si>
    <t>8.-1.8 AHU room</t>
  </si>
  <si>
    <t>8.-1.9 pump room</t>
  </si>
  <si>
    <t>9.0.0 arrival + meeting area</t>
  </si>
  <si>
    <t>9.0.1 circulation</t>
  </si>
  <si>
    <t>9.0.2 air lock</t>
  </si>
  <si>
    <t>9.0.3 circulation</t>
  </si>
  <si>
    <t>9.0.4 circulation</t>
  </si>
  <si>
    <t>9.0.5 circulation</t>
  </si>
  <si>
    <t>9.0.6 em. stairs</t>
  </si>
  <si>
    <t>9.1.0 circulation</t>
  </si>
  <si>
    <t>9.-1.0 corridor 1</t>
  </si>
  <si>
    <t>9.-1.2 staff circulation</t>
  </si>
  <si>
    <t>9.2.0 circulation</t>
  </si>
  <si>
    <t>9.2.1 circulation</t>
  </si>
  <si>
    <t>9.2.2 em. stairs</t>
  </si>
  <si>
    <t>8.-2.9 fire-water storage</t>
  </si>
  <si>
    <t>EOC</t>
  </si>
  <si>
    <t>8.-2.8 water</t>
  </si>
  <si>
    <t>8.-2.7 energy transfer station</t>
  </si>
  <si>
    <t>8.-2.6 ETS control</t>
  </si>
  <si>
    <t>8.-2.5 generator room</t>
  </si>
  <si>
    <t>8.-2.5a oil room</t>
  </si>
  <si>
    <t>8.-2.4 MTR room</t>
  </si>
  <si>
    <t>8.-2.3 electrical room</t>
  </si>
  <si>
    <t>8.-2.2 transformer room</t>
  </si>
  <si>
    <t>8.-2.1 RMU room</t>
  </si>
  <si>
    <t>8.-2.0 utilities</t>
  </si>
  <si>
    <t>9.-2.1 sand trap</t>
  </si>
  <si>
    <t>9.-2.0 circulation</t>
  </si>
  <si>
    <t>FC-B-10</t>
  </si>
  <si>
    <t>FC-B-9</t>
  </si>
  <si>
    <t>FC-B-11</t>
  </si>
  <si>
    <t>FC-B-13</t>
  </si>
  <si>
    <t>FC-B-8</t>
  </si>
  <si>
    <t>FC-B-1</t>
  </si>
  <si>
    <t>FC-B-4</t>
  </si>
  <si>
    <t>FC-B-6</t>
  </si>
  <si>
    <t>FC-W-5</t>
  </si>
  <si>
    <t>FC-W-6</t>
  </si>
  <si>
    <t>FC-RP-9</t>
  </si>
  <si>
    <t>FC-RP-8</t>
  </si>
  <si>
    <t>FC-RP-7</t>
  </si>
  <si>
    <t>FC-RP-6</t>
  </si>
  <si>
    <t>FC-RP-5</t>
  </si>
  <si>
    <t>FC-RP-4</t>
  </si>
  <si>
    <t>FC-RP-3</t>
  </si>
  <si>
    <t>FC-RP-2</t>
  </si>
  <si>
    <t>FC-RP-1</t>
  </si>
  <si>
    <t>FC-W-8</t>
  </si>
  <si>
    <t>FC-W-4</t>
  </si>
  <si>
    <t>FC-B-7</t>
  </si>
  <si>
    <t>FC-W-2, FC-W-3</t>
  </si>
  <si>
    <t>FC-W-7</t>
  </si>
  <si>
    <t>FC-W-1</t>
  </si>
  <si>
    <t>FC-T-2</t>
  </si>
  <si>
    <t>FC-T-1</t>
  </si>
  <si>
    <t>FC-B-2</t>
  </si>
  <si>
    <t>FC-B-3</t>
  </si>
  <si>
    <t>FC-B-5</t>
  </si>
  <si>
    <t>FC-B-12</t>
  </si>
  <si>
    <t>AHU-2 :: S_AHU-02 :: [1] 3.0.0 breeding station :: FanCoilUnit</t>
  </si>
  <si>
    <t>AHU-2 :: S_AHU-02 :: [2] 3.0.1 storage breeding :: FanCoilUnit</t>
  </si>
  <si>
    <t>AHU-2 :: S_AHU-02 :: [3] 4.0.0 shop :: FanCoilUnit</t>
  </si>
  <si>
    <t>AHU-2 :: S_AHU-02 :: [4] 4.0.1 storage shop :: FanCoilUnit</t>
  </si>
  <si>
    <t>AHU-2 :: S_AHU-02 :: [5] 5.0.0 multimedia room :: FanCoilUnit</t>
  </si>
  <si>
    <t>AHU-2 :: S_AHU-02 :: [6] 5.1.0 preparation room :: FanCoilUnit</t>
  </si>
  <si>
    <t>AHU-2 :: S_AHU-02 :: [7] 6.0.0 first aid room :: FanCoilUnit</t>
  </si>
  <si>
    <t>AHU-2 :: S_AHU-02 :: [8] 7.0.0 lockers :: FanCoilUnit</t>
  </si>
  <si>
    <t>AHU-2 :: S_AHU-02 :: [9] 7.0.1 sanitary f :: FanCoilUnit</t>
  </si>
  <si>
    <t>OSA</t>
  </si>
  <si>
    <t>7.-1.3 storage/AWCS</t>
  </si>
  <si>
    <t>9.0.1 arrival + meeting area</t>
  </si>
  <si>
    <t>9.0.2 circulation</t>
  </si>
  <si>
    <t>9.0.5 air lock</t>
  </si>
  <si>
    <t>9.0.6 circulation</t>
  </si>
  <si>
    <t>8.-2.6 oil room</t>
  </si>
  <si>
    <t>8.-2.11 fire-water storage</t>
  </si>
  <si>
    <t>8.-2.10 water</t>
  </si>
  <si>
    <t>8.-2.9 energy transfer station</t>
  </si>
  <si>
    <t>8.-2.8 ETS control</t>
  </si>
  <si>
    <t>8.-2.5 electrical room</t>
  </si>
  <si>
    <t>9.0.7 em. stairs</t>
  </si>
  <si>
    <t>8.-2.7 generator room</t>
  </si>
  <si>
    <t>Underpools South</t>
  </si>
  <si>
    <t>Underpools North</t>
  </si>
  <si>
    <t>2. ?</t>
  </si>
  <si>
    <t>3. Go to TSD and create group All - to make sure you got all zones</t>
  </si>
  <si>
    <t>5. TSD Export to Excel.. This will be csv file so use export setting as on image below</t>
  </si>
  <si>
    <r>
      <t xml:space="preserve">6. Open CSV file and Save as </t>
    </r>
    <r>
      <rPr>
        <b/>
        <sz val="11"/>
        <color theme="1"/>
        <rFont val="Calibri"/>
        <family val="2"/>
        <scheme val="minor"/>
      </rPr>
      <t>DesignCooling.xlsx</t>
    </r>
    <r>
      <rPr>
        <sz val="11"/>
        <color theme="1"/>
        <rFont val="Calibri"/>
        <family val="2"/>
        <scheme val="minor"/>
      </rPr>
      <t xml:space="preserve">, make sure that sheet name is </t>
    </r>
    <r>
      <rPr>
        <b/>
        <sz val="11"/>
        <color theme="1"/>
        <rFont val="Calibri"/>
        <family val="2"/>
        <scheme val="minor"/>
      </rPr>
      <t>ExportData3</t>
    </r>
  </si>
  <si>
    <r>
      <t xml:space="preserve">4. in TSD create new ouptpus selection </t>
    </r>
    <r>
      <rPr>
        <b/>
        <sz val="11"/>
        <color theme="1"/>
        <rFont val="Calibri"/>
        <family val="2"/>
        <scheme val="minor"/>
      </rPr>
      <t>Special_Extra</t>
    </r>
    <r>
      <rPr>
        <sz val="11"/>
        <color theme="1"/>
        <rFont val="Calibri"/>
        <family val="2"/>
        <scheme val="minor"/>
      </rPr>
      <t xml:space="preserve"> as shown below with all Building and zone filter as on image</t>
    </r>
  </si>
  <si>
    <r>
      <t>8. make sure that those file are saved in</t>
    </r>
    <r>
      <rPr>
        <b/>
        <sz val="11"/>
        <color theme="1"/>
        <rFont val="Calibri"/>
        <family val="2"/>
        <scheme val="minor"/>
      </rPr>
      <t xml:space="preserve"> Special TAS</t>
    </r>
    <r>
      <rPr>
        <sz val="11"/>
        <color theme="1"/>
        <rFont val="Calibri"/>
        <family val="2"/>
        <scheme val="minor"/>
      </rPr>
      <t xml:space="preserve"> folder</t>
    </r>
  </si>
  <si>
    <r>
      <t xml:space="preserve">7. remove in this file </t>
    </r>
    <r>
      <rPr>
        <b/>
        <sz val="11"/>
        <color theme="1"/>
        <rFont val="Calibri"/>
        <family val="2"/>
        <scheme val="minor"/>
      </rPr>
      <t xml:space="preserve">New Cooling Design Day, </t>
    </r>
  </si>
  <si>
    <r>
      <t xml:space="preserve">8. Open CSV file and Save as </t>
    </r>
    <r>
      <rPr>
        <b/>
        <sz val="11"/>
        <color theme="1"/>
        <rFont val="Calibri"/>
        <family val="2"/>
        <scheme val="minor"/>
      </rPr>
      <t>DesignHeating.xlsx</t>
    </r>
    <r>
      <rPr>
        <sz val="11"/>
        <color theme="1"/>
        <rFont val="Calibri"/>
        <family val="2"/>
        <scheme val="minor"/>
      </rPr>
      <t xml:space="preserve">, make sure that sheet name is </t>
    </r>
    <r>
      <rPr>
        <b/>
        <sz val="11"/>
        <color theme="1"/>
        <rFont val="Calibri"/>
        <family val="2"/>
        <scheme val="minor"/>
      </rPr>
      <t>ExportData2</t>
    </r>
  </si>
  <si>
    <r>
      <t xml:space="preserve">9. remove in this file </t>
    </r>
    <r>
      <rPr>
        <b/>
        <sz val="11"/>
        <color theme="1"/>
        <rFont val="Calibri"/>
        <family val="2"/>
        <scheme val="minor"/>
      </rPr>
      <t xml:space="preserve">New Heating Design Day, </t>
    </r>
  </si>
  <si>
    <t>1. create zone list in Zone Tab, copy from MEP Bridge</t>
  </si>
  <si>
    <t>9. in Print Legend TAB make sure you have zone names listed up to date</t>
  </si>
  <si>
    <t>10. in TAB Construction change link and run</t>
  </si>
  <si>
    <t>11. you need to have open  files DesignCooling.xlsx,DesignHeating.xlsx for everything to work</t>
  </si>
  <si>
    <t>12 print index start to index end</t>
  </si>
  <si>
    <t>13 in macro specify export PRINT destination folder</t>
  </si>
  <si>
    <t>FC-B-14</t>
  </si>
  <si>
    <t>GE</t>
  </si>
  <si>
    <t>AHU-2 :: S_AHU-02 :: [10] 7.0.3 sanitary m :: FanCoilUnit</t>
  </si>
  <si>
    <t>AHU-2 :: S_AHU-02 :: [11] 7.0.4 storage mm-equipment :: FanCoilUnit</t>
  </si>
  <si>
    <t>AHU-2 :: S_AHU-02 :: [12] 7.1.0 storage :: FanCoilUnit</t>
  </si>
  <si>
    <t>AHU-2 :: S_AHU-02 :: [13] 7.-1.1 sanitary staff f :: FanCoilUnit</t>
  </si>
  <si>
    <t>AHU-2 :: S_AHU-02 :: [14] 7.-1.2 sanitary staff m :: FanCoilUnit</t>
  </si>
  <si>
    <t>AHU-2 :: S_AHU-02 :: [15] 8.-1.0 AHU room :: FanCoilUnit</t>
  </si>
  <si>
    <t>AHU-2 :: S_AHU-02 :: [16] 8.-1.8 AHU room :: FanCoilUnit</t>
  </si>
  <si>
    <t>AHU-2 :: S_AHU-02 :: [17] 9.0.1 arrival + meeting area :: FanCoilUnit</t>
  </si>
  <si>
    <t>AHU-2 :: S_AHU-02 :: [18] 9.0.2 circulation :: FanCoilUnit</t>
  </si>
  <si>
    <t>AHU-2 :: S_AHU-02 :: [19] 9.0.5 air lock :: FanCoilUnit</t>
  </si>
  <si>
    <t>AHU-2 :: S_AHU-02 :: [20] 9.0.3 circulation :: FanCoilUnit</t>
  </si>
  <si>
    <t>AHU-2 :: S_AHU-02 :: [21] 9.0.4 circulation :: FanCoilUnit</t>
  </si>
  <si>
    <t>AHU-2 :: S_AHU-02 :: [22] 9.1.0 circulation :: FanCoilUnit</t>
  </si>
  <si>
    <t>AHU-2 :: S_AHU-02 :: [23] 9.-1.0 corridor 1 :: FanCoilUnit</t>
  </si>
  <si>
    <t>AHU-2 :: S_AHU-02 :: [24] 9.-1.2 staff circulation :: FanCoilUnit</t>
  </si>
  <si>
    <t>AHU-2 :: S_AHU-02 :: [25] 7.0.2 sanitary d :: FanCoilUnit</t>
  </si>
  <si>
    <t>FCU :: S_FCU :: [1] 7.-1.0 storage :: FanCoilUnit</t>
  </si>
  <si>
    <t>FCU :: S_FCU :: [2] 7.-1.4 miscellaneous :: FanCoilUnit</t>
  </si>
  <si>
    <t>FCU :: S_FCU :: [3] 7.-1.3 storage/AWCS :: FanCoilUnit</t>
  </si>
  <si>
    <t>FCU :: S_FCU :: [4] 8.-1.1 essential LV switch room :: FanCoilUnit</t>
  </si>
  <si>
    <t>FCU :: S_FCU :: [5] 8.-1.2 LV electrical switch room :: FanCoilUnit</t>
  </si>
  <si>
    <t>FCU :: S_FCU :: [6] 8.-1.3 LV room :: FanCoilUnit</t>
  </si>
  <si>
    <t>FCU :: S_FCU :: [7] 8.-1.4 FTR room :: FanCoilUnit</t>
  </si>
  <si>
    <t>FCU :: S_FCU :: [8] 8.-1.5 CCTV/ICT room :: FanCoilUnit</t>
  </si>
  <si>
    <t>FCU :: S_FCU :: [9] 8.-2.6 oil room :: FanCoilUnit</t>
  </si>
  <si>
    <t>FCU :: S_FCU :: [10] 8.-1.7 technical area :: FanCoilUnit</t>
  </si>
  <si>
    <t>FCU :: S_FCU :: [11] 8.-1.9 pump room :: FanCoilUnit</t>
  </si>
  <si>
    <t>FCU :: S_FCU :: [12] 8.-2.11 fire-water storage :: FanCoilUnit</t>
  </si>
  <si>
    <t>FCU :: S_FCU :: [13] 8.-2.10 water :: FanCoilUnit</t>
  </si>
  <si>
    <t>FCU :: S_FCU :: [14] 8.-2.9 energy transfer station :: FanCoilUnit</t>
  </si>
  <si>
    <t>FCU :: S_FCU :: [15] 8.-2.8 ETS control :: FanCoilUnit</t>
  </si>
  <si>
    <t>FCU :: S_FCU :: [16] 8.-2.5 electrical room :: FanCoilUnit</t>
  </si>
  <si>
    <t>FCU :: S_FCU :: [17] 8.-2.4 MTR room :: FanCoilUnit</t>
  </si>
  <si>
    <t>FCU :: S_FCU :: [18] 8.-2.3 electrical room :: FanCoilUnit</t>
  </si>
  <si>
    <t>FCU :: S_FCU :: [19] 8.-2.2 transformer room :: FanCoilUnit</t>
  </si>
  <si>
    <t>FCU :: S_FCU :: [20] 8.-2.1 RMU room :: FanCoilUnit</t>
  </si>
  <si>
    <t xml:space="preserve"> 9.0.6 circulation</t>
  </si>
  <si>
    <t xml:space="preserve"> 8.-1.3 LV room</t>
  </si>
  <si>
    <t xml:space="preserve"> 8.-1.4 FTR room</t>
  </si>
  <si>
    <t xml:space="preserve"> 8.-1.5 CCTV/ICT room</t>
  </si>
  <si>
    <t xml:space="preserve"> 8.-2.6 oil room</t>
  </si>
  <si>
    <t xml:space="preserve"> 8.-2.1 RMU room</t>
  </si>
  <si>
    <t xml:space="preserve"> 8.-2.2 transformer room</t>
  </si>
  <si>
    <t xml:space="preserve"> 8.-2.3 electrical room</t>
  </si>
  <si>
    <t xml:space="preserve"> 8.-2.4 MTR room</t>
  </si>
  <si>
    <t xml:space="preserve"> 8.-2.5 electrical room</t>
  </si>
  <si>
    <t xml:space="preserve"> 8.-2.8 ETS control</t>
  </si>
  <si>
    <t xml:space="preserve"> 8.-2.9 energy transfer station</t>
  </si>
  <si>
    <t xml:space="preserve"> 8.-2.10 water</t>
  </si>
  <si>
    <t xml:space="preserve"> 8.-2.11 fire-water storage</t>
  </si>
  <si>
    <t xml:space="preserve"> 8.-1.1 essential LV switch room</t>
  </si>
  <si>
    <t xml:space="preserve"> 8.-1.2 LV electrical switch room</t>
  </si>
  <si>
    <t xml:space="preserve"> 8.-1.9 pump room</t>
  </si>
  <si>
    <t xml:space="preserve"> 7.-1.4 miscellaneous</t>
  </si>
  <si>
    <t xml:space="preserve"> 8.-1.7 technical area</t>
  </si>
  <si>
    <t xml:space="preserve"> 7.-1.3 storage/AWCS</t>
  </si>
  <si>
    <t xml:space="preserve"> 7.-1.0 storage</t>
  </si>
  <si>
    <t xml:space="preserve"> 3.0.0 breeding station</t>
  </si>
  <si>
    <t xml:space="preserve"> 3.0.1 storage breeding</t>
  </si>
  <si>
    <t xml:space="preserve"> 4.0.0 shop</t>
  </si>
  <si>
    <t xml:space="preserve"> 4.0.1 storage shop</t>
  </si>
  <si>
    <t xml:space="preserve"> 5.0.0 multimedia room</t>
  </si>
  <si>
    <t xml:space="preserve"> 5.1.0 preparation room</t>
  </si>
  <si>
    <t xml:space="preserve"> 6.0.0 first aid room</t>
  </si>
  <si>
    <t xml:space="preserve"> 7.0.0 lockers</t>
  </si>
  <si>
    <t xml:space="preserve"> 7.0.1 sanitary f</t>
  </si>
  <si>
    <t xml:space="preserve"> 7.0.3 sanitary m</t>
  </si>
  <si>
    <t xml:space="preserve"> 7.1.0 storage</t>
  </si>
  <si>
    <t xml:space="preserve"> 7.-1.1 sanitary staff f</t>
  </si>
  <si>
    <t xml:space="preserve"> 7.-1.2 sanitary staff m</t>
  </si>
  <si>
    <t xml:space="preserve"> 8.-1.0 AHU room</t>
  </si>
  <si>
    <t xml:space="preserve"> 8.-1.8 AHU room</t>
  </si>
  <si>
    <t xml:space="preserve"> 9.0.1 arrival + meeting area</t>
  </si>
  <si>
    <t xml:space="preserve"> 9.0.2 circulation</t>
  </si>
  <si>
    <t xml:space="preserve"> 9.0.5 air lock</t>
  </si>
  <si>
    <t xml:space="preserve"> 9.0.3 circulation</t>
  </si>
  <si>
    <t xml:space="preserve"> 9.0.4 circulation</t>
  </si>
  <si>
    <t xml:space="preserve"> 9.1.0 circulation</t>
  </si>
  <si>
    <t xml:space="preserve"> 9.-1.0 corridor 1</t>
  </si>
  <si>
    <t xml:space="preserve"> 9.-1.2 staff circulation</t>
  </si>
  <si>
    <t xml:space="preserve"> 7.0.2 sanitary d</t>
  </si>
  <si>
    <t xml:space="preserve"> 7.0.4 storage mm-equipment</t>
  </si>
  <si>
    <t xml:space="preserve"> UU 6 L2.75 Special Closed</t>
  </si>
  <si>
    <t xml:space="preserve"> 8.-1.10 elevator</t>
  </si>
  <si>
    <t xml:space="preserve"> 9.0.7 em. stairs</t>
  </si>
  <si>
    <t xml:space="preserve"> 9.2.2 em. stairs</t>
  </si>
  <si>
    <t xml:space="preserve"> 8.-2.0 utilities</t>
  </si>
  <si>
    <t xml:space="preserve"> 9.-2.0 circulation</t>
  </si>
  <si>
    <t xml:space="preserve"> 9.-2.1 sand trap</t>
  </si>
  <si>
    <t xml:space="preserve"> Underpools South</t>
  </si>
  <si>
    <t xml:space="preserve"> Underpools North</t>
  </si>
  <si>
    <t xml:space="preserve"> 8.-2.7 generator room</t>
  </si>
  <si>
    <t>14 in AHU_Zones next to AHU name list link to rows that fit into paper</t>
  </si>
  <si>
    <t>row 4</t>
  </si>
  <si>
    <t>row8</t>
  </si>
  <si>
    <t>row 12</t>
  </si>
  <si>
    <t>AHUTemp</t>
  </si>
  <si>
    <t xml:space="preserve"> etc here we reference rows with name that fit on paper</t>
  </si>
  <si>
    <t>macro reads value next to system name..</t>
  </si>
  <si>
    <t>[Level]</t>
  </si>
  <si>
    <t>[Number]</t>
  </si>
  <si>
    <t>[Name]</t>
  </si>
  <si>
    <t>[TSD_HeatingLoad(W)]</t>
  </si>
  <si>
    <t>[TSD_SolarGain(W)]</t>
  </si>
  <si>
    <t>[TSD_LightingGain(W)]</t>
  </si>
  <si>
    <t>[TSD_InfVentGain(W)]</t>
  </si>
  <si>
    <t>[TSD_AirMovementGain(W)]</t>
  </si>
  <si>
    <t>[TSD_BuildingHeatTransfer(W)]</t>
  </si>
  <si>
    <t>[TSD_ExternalConductionGlazing(W)]</t>
  </si>
  <si>
    <t>[TSD_ExternalConductionOpaque(W)]</t>
  </si>
  <si>
    <t>[TSD_OccupancySensibleGain(W)]</t>
  </si>
  <si>
    <t>[TSD_EquipmentSensibleGain(W)]</t>
  </si>
  <si>
    <t>[TSD_EquipmentLatentGain(W)]</t>
  </si>
  <si>
    <t>[TSD_OccupancyLatentGain(W)]</t>
  </si>
  <si>
    <t>[Design Heating Load]</t>
  </si>
  <si>
    <t>[TAS_specificSmallPower]</t>
  </si>
  <si>
    <t>[TAS_specificOccupancy]</t>
  </si>
  <si>
    <t>[TAS_specificLighting]</t>
  </si>
  <si>
    <t>[TAS_specificExternal]</t>
  </si>
  <si>
    <t>[SC_beheizt]</t>
  </si>
  <si>
    <t>[SC_InfiltrationACH]</t>
  </si>
  <si>
    <t>[Design Cooling Load]</t>
  </si>
  <si>
    <t>[TSD_CoolingLoad(W)]</t>
  </si>
  <si>
    <t>[SC_Room_ID]</t>
  </si>
  <si>
    <t>[SC_Infiltration_Luftwechsel_12831]</t>
  </si>
  <si>
    <t>[SC_Mindest_Luftwechsel_12831]</t>
  </si>
  <si>
    <t>[SC_Room_Temperature]</t>
  </si>
  <si>
    <t>[Summer Design Temperature]</t>
  </si>
  <si>
    <t>n50=</t>
  </si>
  <si>
    <t>[SC_Room_specificHeatload]</t>
  </si>
  <si>
    <t>(W/m²)</t>
  </si>
  <si>
    <t>Index</t>
  </si>
  <si>
    <t>Walls</t>
  </si>
  <si>
    <t>Win</t>
  </si>
  <si>
    <t>pane</t>
  </si>
  <si>
    <t>frame</t>
  </si>
  <si>
    <t>Doors</t>
  </si>
  <si>
    <t>eDoor</t>
  </si>
  <si>
    <t>eFrameDoor</t>
  </si>
  <si>
    <t>iDoor</t>
  </si>
  <si>
    <t>iFrameDoor</t>
  </si>
  <si>
    <t>IFrameDoor</t>
  </si>
  <si>
    <t>OFFSET(#REF!$A$2,AC8-1,0,1,1)</t>
  </si>
  <si>
    <t>OFFSET(#REF!$B$2,AC8-1,0,1,1)</t>
  </si>
  <si>
    <t>IF(AC18="FCU",1,0)</t>
  </si>
  <si>
    <t>OFFSET(Data!$A$2,$AC$8,AB15,1,1)</t>
  </si>
  <si>
    <t>English</t>
  </si>
  <si>
    <t>1. Run  Dynamo= Revit_To_RoomDataSheetTASver0aEIB</t>
  </si>
  <si>
    <t>2.In Print run macro Set</t>
  </si>
  <si>
    <t>3. In construction link to TBD file and  run 1 and then 2</t>
  </si>
  <si>
    <t>2a. Update macro length manually!</t>
  </si>
  <si>
    <t>OLD</t>
  </si>
  <si>
    <t>*make sure that L column in Construction is etended to the end of K column</t>
  </si>
  <si>
    <t>Door</t>
  </si>
  <si>
    <t>Glazing</t>
  </si>
  <si>
    <t>Curtain Wall</t>
  </si>
  <si>
    <t>Ceiling</t>
  </si>
  <si>
    <t>Frame Element</t>
  </si>
  <si>
    <t>Intrnal Floor</t>
  </si>
  <si>
    <t>No Be Type</t>
  </si>
  <si>
    <t>Null Element</t>
  </si>
  <si>
    <t>Raised Floor</t>
  </si>
  <si>
    <t>Roof Element</t>
  </si>
  <si>
    <t>Rooflight</t>
  </si>
  <si>
    <t>Shade</t>
  </si>
  <si>
    <t>Slab On Grade</t>
  </si>
  <si>
    <t>Solar Panel</t>
  </si>
  <si>
    <t>Underground Ceiling</t>
  </si>
  <si>
    <t>Underground Slab</t>
  </si>
  <si>
    <t>Undeground Wall</t>
  </si>
  <si>
    <t>Vehicle Door</t>
  </si>
  <si>
    <t>Building Element Type</t>
  </si>
  <si>
    <t>Number</t>
  </si>
  <si>
    <t>Orinetation/BEType</t>
  </si>
  <si>
    <t>[SAM_NoPeople]</t>
  </si>
  <si>
    <t>[SAM_RefSupplyUnit]</t>
  </si>
  <si>
    <t>[SAM_RefExhaustUnit]</t>
  </si>
  <si>
    <t>[SAM_IC_ThermalTemplate]</t>
  </si>
  <si>
    <t>[SAM_VentType]</t>
  </si>
  <si>
    <t>[SAM_HeatingTypePrimary]</t>
  </si>
  <si>
    <t>[SAM_CoolingTypePrimary]</t>
  </si>
  <si>
    <t>[SAM_ReferenceRiserCooling]</t>
  </si>
  <si>
    <t>[SAM_ReferenceRiserHeating]</t>
  </si>
  <si>
    <t>[SAM_ReferenceRiserVentilation]</t>
  </si>
  <si>
    <t>[SAM_SpaceDryBulbTemperature]</t>
  </si>
  <si>
    <t>[SAM_SpaceResultantTemperature]</t>
  </si>
  <si>
    <t>[SAM_SpecSmallPowerSens]</t>
  </si>
  <si>
    <t>[SAM_SpecOccupancySens]</t>
  </si>
  <si>
    <t>[SAM_SpecGenLighting]</t>
  </si>
  <si>
    <t>[SAM_DesSpecSensHeatLoad]</t>
  </si>
  <si>
    <t>[SAM_DesignLuxLevel]</t>
  </si>
  <si>
    <t>[SAM_Area]</t>
  </si>
  <si>
    <t>[SAM_PeakTime]</t>
  </si>
  <si>
    <t>[SAM_Volume]</t>
  </si>
  <si>
    <t>[SAM_SpaceDescription]</t>
  </si>
  <si>
    <t>[SAM_OccupacyProfile]</t>
  </si>
  <si>
    <t>[SAM_ResultsImportTime]</t>
  </si>
  <si>
    <t>[SAM_SpaceRelativeHumidity]</t>
  </si>
  <si>
    <t>[SAM_CLGInfiltrationACH]</t>
  </si>
  <si>
    <t>[SAM_WinterDesignTemperature]</t>
  </si>
  <si>
    <t>[SAM_SolarGain]</t>
  </si>
  <si>
    <t>[SAM_LightingGain]</t>
  </si>
  <si>
    <t>[SAM_InfVentGain]</t>
  </si>
  <si>
    <t>[SAM_AirMovementGain]</t>
  </si>
  <si>
    <t>[SAM_BuildingHeatTransfer]</t>
  </si>
  <si>
    <t>[SAM_ExternalConductionGlazing]</t>
  </si>
  <si>
    <t>[SAM_ExternalConductionOpaque]</t>
  </si>
  <si>
    <t>[SAM_OccupancySensibleGain]</t>
  </si>
  <si>
    <t>[SAM_EquipmentSensibleGain]</t>
  </si>
  <si>
    <t>[SAM_EquipmentLatentGain]</t>
  </si>
  <si>
    <t>[SAM_OccupancyLatentGain]</t>
  </si>
  <si>
    <t>[SAM_HeatingLoad]</t>
  </si>
  <si>
    <t>[SAM_CoolingLoad]</t>
  </si>
  <si>
    <t>[SAM_PeakDate]</t>
  </si>
  <si>
    <t>[SAM_SpaceHumidityRatio]</t>
  </si>
  <si>
    <t>[SAM_SizingMethod]</t>
  </si>
  <si>
    <t>[SAM_CIBSEZoneOutsideSupplyAirFlow]</t>
  </si>
  <si>
    <t>[SAM_TerminalReference]</t>
  </si>
  <si>
    <t>[SAM_AHUReference]</t>
  </si>
  <si>
    <t>[SAM_SummerDesignTemperature]</t>
  </si>
  <si>
    <t>[SAM_SpecBuildingHeatTransferGain]</t>
  </si>
  <si>
    <t>[Specified Supply Airflow]</t>
  </si>
  <si>
    <t>[Specified Exhaust Airflow]</t>
  </si>
  <si>
    <t>[SAM_ComfNoHoursAbv25Perc]</t>
  </si>
  <si>
    <t>[SAM_ComfNoHoursAbv28Perc]</t>
  </si>
  <si>
    <t>[SAM_PPDCumFreqMax10]</t>
  </si>
  <si>
    <t>[SAM_PPDCumFreqMax20]</t>
  </si>
  <si>
    <t>[SAM_PMVCumFreqMax0_5]</t>
  </si>
  <si>
    <t>[SAM_PMVCumFreqMax1_0]</t>
  </si>
  <si>
    <t xml:space="preserve">Comfort: </t>
  </si>
  <si>
    <t>%Hours&gt;25°C=</t>
  </si>
  <si>
    <t>%Hours&gt;28°C=</t>
  </si>
  <si>
    <t>PPD&lt;10%=</t>
  </si>
  <si>
    <t>PPD&lt;20%=</t>
  </si>
  <si>
    <t>[SAM_OccupancyNoHoursYearly]</t>
  </si>
  <si>
    <t>[SAM_SpaceID]</t>
  </si>
  <si>
    <t>[SAM_SpaceGUID]</t>
  </si>
  <si>
    <t>[SAM_HDD_InfVentGain]</t>
  </si>
  <si>
    <t>[SAM_HDD_AirMovementGain]</t>
  </si>
  <si>
    <t>[SAM_HDD_BuildingHeatTransfer]</t>
  </si>
  <si>
    <t>[SAM_HDD_ExternalConductionGlazing]</t>
  </si>
  <si>
    <t>[SAM_HDD_ExternalConductionOpaque]</t>
  </si>
  <si>
    <t>[SAM_HDD_SizingMethod]</t>
  </si>
  <si>
    <t>[SAM_HDD_SpaceDryBulbTemperature]</t>
  </si>
  <si>
    <t>[SAM_HDD_SpaceResultantTemperature]</t>
  </si>
  <si>
    <t>[SAM_HDD_PeakTime]</t>
  </si>
  <si>
    <t>[SAM_HDD_PeakDate]</t>
  </si>
  <si>
    <t>[SAM_SpaceDryBulbTemperature_Max]</t>
  </si>
  <si>
    <t>[SAM_SpaceDryBulbTemperature_Min]</t>
  </si>
  <si>
    <t>[SAM_Date_SpaceDryBulbTemperature_Max]</t>
  </si>
  <si>
    <t>[SAM_Date_SpaceDryBulbTemperature_Min]</t>
  </si>
  <si>
    <t>DesignDay</t>
  </si>
  <si>
    <t>CDD RH</t>
  </si>
  <si>
    <t>HDD Temp</t>
  </si>
  <si>
    <t>HDD RH</t>
  </si>
  <si>
    <t>CDD Temp</t>
  </si>
  <si>
    <t>Prepared by: Michal Dengusiak</t>
  </si>
  <si>
    <t>000111 Michal</t>
  </si>
  <si>
    <t>Heating Design Day</t>
  </si>
  <si>
    <t>19.08.2015@14:00</t>
  </si>
  <si>
    <t>19.08.2015@17:00</t>
  </si>
  <si>
    <t>19.08.2015@15:00</t>
  </si>
  <si>
    <t>02.03.2015@06:00</t>
  </si>
  <si>
    <t>XX Dirty Utility</t>
  </si>
  <si>
    <t>Level 01</t>
  </si>
  <si>
    <t>19.08.2015@16:00</t>
  </si>
  <si>
    <t>02.03.2015@07:00</t>
  </si>
  <si>
    <t>XX 4 Bed Bay</t>
  </si>
  <si>
    <t>Level 02</t>
  </si>
  <si>
    <t>XX Office</t>
  </si>
  <si>
    <t>XX Clean Linen Bay</t>
  </si>
  <si>
    <t>XX Reception / Ward Clerk</t>
  </si>
  <si>
    <t>XX WC Accessible</t>
  </si>
  <si>
    <t>XX WC</t>
  </si>
  <si>
    <t>19.08.2015@20:00</t>
  </si>
  <si>
    <t>02.03.2015@09:00</t>
  </si>
  <si>
    <t>XX Cleaner</t>
  </si>
  <si>
    <t>XX Quiet / Interview Room</t>
  </si>
  <si>
    <t>Level 00</t>
  </si>
  <si>
    <t>XX Medicine Prep / IV Fluid</t>
  </si>
  <si>
    <t>XX Milk Kitchen</t>
  </si>
  <si>
    <t>XX Staff Room</t>
  </si>
  <si>
    <t>XX Assisted Bathroom</t>
  </si>
  <si>
    <t>XX WC Accessible, Staff</t>
  </si>
  <si>
    <t>XX Infant Resus Area</t>
  </si>
  <si>
    <t>XX Ensuite</t>
  </si>
  <si>
    <t>XX Nurse &amp; Staff Base</t>
  </si>
  <si>
    <t>XX Nurse Base</t>
  </si>
  <si>
    <t>XX Relatives Subwait</t>
  </si>
  <si>
    <t>XX SCBU (6 cot)</t>
  </si>
  <si>
    <t>XX Stat Lab</t>
  </si>
  <si>
    <t>XX Staff Change / WC inc Lockers</t>
  </si>
  <si>
    <t>XX Store (Incubator)</t>
  </si>
  <si>
    <t>XX Single Cot Room</t>
  </si>
  <si>
    <t>XX Single Cot Lobby</t>
  </si>
  <si>
    <t>XX HDU (4 cot)</t>
  </si>
  <si>
    <t>XX ICU (4 cot)</t>
  </si>
  <si>
    <t>XX Parent and Baby Bedroom</t>
  </si>
  <si>
    <t>XX Single Bedroom</t>
  </si>
  <si>
    <t>XX Counselling room</t>
  </si>
  <si>
    <t>XX Circulation</t>
  </si>
  <si>
    <t>XX Nurse base</t>
  </si>
  <si>
    <t>XX Emergency Equip / Resus Trolley Bay</t>
  </si>
  <si>
    <t>XX Stair</t>
  </si>
  <si>
    <t>XX Ensuite (Parent and Baby Bedroom)</t>
  </si>
  <si>
    <t>XX Electrical Cupboard - Obstetric Inp</t>
  </si>
  <si>
    <t>XX Ensuite Shower Room - Assisted Bariatric</t>
  </si>
  <si>
    <t>XX Treatment Room (EPU)</t>
  </si>
  <si>
    <t>XX Treatment Room (EGU)</t>
  </si>
  <si>
    <t>XX Treatment Room</t>
  </si>
  <si>
    <t>XX Disposal Hold</t>
  </si>
  <si>
    <t>XX Satellite Sterile Consumables Store</t>
  </si>
  <si>
    <t>XX Multi Functional Team Room (MFTR)</t>
  </si>
  <si>
    <t>XX WC Staff</t>
  </si>
  <si>
    <t>XX Ensuite assisted shower &amp; wash</t>
  </si>
  <si>
    <t>XX Ensuite assisted WC/Wash</t>
  </si>
  <si>
    <t>XX Consulting Room</t>
  </si>
  <si>
    <t>XX Waiting</t>
  </si>
  <si>
    <t>XX Office Open Access (Hot desk 8pax)</t>
  </si>
  <si>
    <t>XX Pharmacy</t>
  </si>
  <si>
    <t>XX Pharmacy Over Labelling</t>
  </si>
  <si>
    <t>20.08.2015@21:00</t>
  </si>
  <si>
    <t>02.03.2015@10:00</t>
  </si>
  <si>
    <t>XX Staff Rest</t>
  </si>
  <si>
    <t>XX Beverage Bay</t>
  </si>
  <si>
    <t>XX EPU/ EGU Sub-wait</t>
  </si>
  <si>
    <t>XX Store (Equipment)</t>
  </si>
  <si>
    <t>XX Pantry</t>
  </si>
  <si>
    <t>XX De-centralised Nursing Station</t>
  </si>
  <si>
    <t>XX Staff Change / WC</t>
  </si>
  <si>
    <t>XX Single Bedroom Isolation</t>
  </si>
  <si>
    <t>XX Lobby (gowning)</t>
  </si>
  <si>
    <t>XX Pneumatic Tube Bay</t>
  </si>
  <si>
    <t>XX Store</t>
  </si>
  <si>
    <t>XX Store Controlled Drugs</t>
  </si>
  <si>
    <t>XX Emergency Equip/ Resus Trolley Bay</t>
  </si>
  <si>
    <t>XX Single Bedroom Isolation  / Bariatric</t>
  </si>
  <si>
    <t>Level 03</t>
  </si>
  <si>
    <t>XX Ensuite to 4 bed bay</t>
  </si>
  <si>
    <t>XX 4 bed bay - HDU</t>
  </si>
  <si>
    <t>XX Patient / Parent Kitchen</t>
  </si>
  <si>
    <t>XX Manager / Ward Dr Office</t>
  </si>
  <si>
    <t>XX Isolation Lobby</t>
  </si>
  <si>
    <t>XX Open Plan Hot Desk</t>
  </si>
  <si>
    <t>XX Consult Exam Room</t>
  </si>
  <si>
    <t>XX Triage/Assessment Room</t>
  </si>
  <si>
    <t>XX Quiet/Interview Room</t>
  </si>
  <si>
    <t>XX Reception / Staff Base</t>
  </si>
  <si>
    <t>XX Early Labour Lounge</t>
  </si>
  <si>
    <t>XX Pantry - partner</t>
  </si>
  <si>
    <t>XX Clean Utility</t>
  </si>
  <si>
    <t>XX Staff rest room &amp; dining area with beverage facilities</t>
  </si>
  <si>
    <t>19.08.2015@18:00</t>
  </si>
  <si>
    <t>02.03.2015@08:00</t>
  </si>
  <si>
    <t>XX WC Shower / change</t>
  </si>
  <si>
    <t>XX Birthing Room with Pool</t>
  </si>
  <si>
    <t>XX Store to birthing room</t>
  </si>
  <si>
    <t>XX WC, Staff</t>
  </si>
  <si>
    <t>XX Treatment room: double-sided couch access</t>
  </si>
  <si>
    <t>XX Staff Change</t>
  </si>
  <si>
    <t>XX Sisters Office</t>
  </si>
  <si>
    <t>XX Milk Room (milk kitchen)</t>
  </si>
  <si>
    <t>XX Baby Care (Breast Feeding &amp; Expressing) and change</t>
  </si>
  <si>
    <t>XX Riser-Med/Gas-E</t>
  </si>
  <si>
    <t>XX Linen Bay</t>
  </si>
  <si>
    <t>XX Day room / Discharge Lounge</t>
  </si>
  <si>
    <t>XX Reception / Staff base</t>
  </si>
  <si>
    <t>XX Lift Lobby</t>
  </si>
  <si>
    <t>XX Parent Lockers</t>
  </si>
  <si>
    <t>XX Baby Care (Breast Expressing / Feeding)</t>
  </si>
  <si>
    <t>XX Class Room / Study Area</t>
  </si>
  <si>
    <t>XX Ensuite WC (Accessible)</t>
  </si>
  <si>
    <t>XX Play Room</t>
  </si>
  <si>
    <t>XX Baby / Infant Feeding / Breast Pump Room</t>
  </si>
  <si>
    <t>XX Adolescent Lounge</t>
  </si>
  <si>
    <t>XX Oncology Outreach Nurses</t>
  </si>
  <si>
    <t>XX Office - General Manager</t>
  </si>
  <si>
    <t>XX Waiting with Child play</t>
  </si>
  <si>
    <t>XX Vending Bay</t>
  </si>
  <si>
    <t>XX Equipment Bay</t>
  </si>
  <si>
    <t>XX Emergency Lighting Battery Store</t>
  </si>
  <si>
    <t>XX Single Cot Isolation Room</t>
  </si>
  <si>
    <t>XX Storage Bay (transport incubator)</t>
  </si>
  <si>
    <t>XX Pharmacy Office (12 person) (medicine Information and support)</t>
  </si>
  <si>
    <t>XX Procurement Office (8 person and Store)</t>
  </si>
  <si>
    <t>XX Office Mgr</t>
  </si>
  <si>
    <t>XX Pharmacy Director</t>
  </si>
  <si>
    <t>XX Receipt / Unpack / Check Admin</t>
  </si>
  <si>
    <t>XX Loading Bay</t>
  </si>
  <si>
    <t>XX Packing Area</t>
  </si>
  <si>
    <t>XX Communication</t>
  </si>
  <si>
    <t>XX Cold Room - Drug Store</t>
  </si>
  <si>
    <t>XX Courier Drop off</t>
  </si>
  <si>
    <t>XX Digital Medicines (6 person)</t>
  </si>
  <si>
    <t>XX Pharmacy (2 person)</t>
  </si>
  <si>
    <t>XX Cancer Education and training room (6 person)</t>
  </si>
  <si>
    <t>XX Staff Emergency Shower</t>
  </si>
  <si>
    <t>XX Out of hours store</t>
  </si>
  <si>
    <t>XX WC - Staff</t>
  </si>
  <si>
    <t>XX Hospital Street - W3</t>
  </si>
  <si>
    <t>XX Staff  Locker Bay</t>
  </si>
  <si>
    <t>XX WC Visitor</t>
  </si>
  <si>
    <t>XX EPU/ EGU Reception / Staff Base</t>
  </si>
  <si>
    <t>XX Seminar Room</t>
  </si>
  <si>
    <t>XX WC Accessible (Sample WC)</t>
  </si>
  <si>
    <t>XX Staff Handbag Locker Bay</t>
  </si>
  <si>
    <t>XX Hoist Bay</t>
  </si>
  <si>
    <t>XX Staff Base</t>
  </si>
  <si>
    <t>XX Reception</t>
  </si>
  <si>
    <t>XX Calming Room</t>
  </si>
  <si>
    <t>XX Baby Change Room</t>
  </si>
  <si>
    <t>XX Infant Feeding Room</t>
  </si>
  <si>
    <t>XX Relatives subwait</t>
  </si>
  <si>
    <t>XX Wet Riser-Core-E</t>
  </si>
  <si>
    <t>XX Heating and Cooling Plantroom</t>
  </si>
  <si>
    <t>Level 04</t>
  </si>
  <si>
    <t>XX Riser</t>
  </si>
  <si>
    <t>19.08.2015@22:00</t>
  </si>
  <si>
    <t>XX Plant Room</t>
  </si>
  <si>
    <t>XX Lobby</t>
  </si>
  <si>
    <t>XX Lift 2-West Core-33 Person</t>
  </si>
  <si>
    <t>XX Wet Riser-Core W</t>
  </si>
  <si>
    <t>XX Jn Doctors Office</t>
  </si>
  <si>
    <t>XX Manifold Room</t>
  </si>
  <si>
    <t>XX Main Equipment Room</t>
  </si>
  <si>
    <t>XX Intake Room</t>
  </si>
  <si>
    <t>XX Gas Suppression Bottle Store</t>
  </si>
  <si>
    <t>20.08.2015@20:00</t>
  </si>
  <si>
    <t>XX Lift Lobby-West Core-Level 0</t>
  </si>
  <si>
    <t>XX Anaesthetic Gas Scavenging</t>
  </si>
  <si>
    <t>XX Domestic Hot Water Generation</t>
  </si>
  <si>
    <t>XX External Chiller Compound</t>
  </si>
  <si>
    <t>XX Medical Gas Plantroom</t>
  </si>
  <si>
    <t>XX Lift Lobby-West Core-Level 1</t>
  </si>
  <si>
    <t>XX Lift Lobby-West Core-Level 3</t>
  </si>
  <si>
    <t>XX Lift 5-East Core-33 Person</t>
  </si>
  <si>
    <t>XX Lift 6-East Core-13 Person FM Lift</t>
  </si>
  <si>
    <t>XX East Core-Lift Lobby</t>
  </si>
  <si>
    <t>XX Electrical Cupboard - Pharmacy</t>
  </si>
  <si>
    <t>XX LV Switchroom - East - A</t>
  </si>
  <si>
    <t>XX Electrical Cupboard -  Admin &amp; Edu</t>
  </si>
  <si>
    <t>XX Electrical Cupboard - Gyny IP</t>
  </si>
  <si>
    <t>XX Electrical Cupboard - Birthing Ctr</t>
  </si>
  <si>
    <t>XX Oxygen Intake Room</t>
  </si>
  <si>
    <t>XX UPS Room - Birthing Ctr</t>
  </si>
  <si>
    <t>XX Electrical Cupboard -  Transitional Care</t>
  </si>
  <si>
    <t>XX Electrical Cupboard -  Neonatal</t>
  </si>
  <si>
    <t>XX Hospital Street - W1</t>
  </si>
  <si>
    <t>XX Hospital Street - W2</t>
  </si>
  <si>
    <t>XX Hospital Street - C1</t>
  </si>
  <si>
    <t>XX Hospital Street - E2</t>
  </si>
  <si>
    <t>XX Hospital Street - E1</t>
  </si>
  <si>
    <t>XX Electrical Cupboard - Paediatric Inpatient</t>
  </si>
  <si>
    <t>XX UPS Cupboard - Paediatric Inpatient</t>
  </si>
  <si>
    <t>Cell 5.1</t>
  </si>
  <si>
    <t>AHU1S</t>
  </si>
  <si>
    <t>AHU1E</t>
  </si>
  <si>
    <t>S37_OfficeCell</t>
  </si>
  <si>
    <t>VAV</t>
  </si>
  <si>
    <t>UFH</t>
  </si>
  <si>
    <t>8to19</t>
  </si>
  <si>
    <t>RC1</t>
  </si>
  <si>
    <t>RH1</t>
  </si>
  <si>
    <t>RV1</t>
  </si>
  <si>
    <t>Simulation</t>
  </si>
  <si>
    <t>26.06.2015@19:00</t>
  </si>
  <si>
    <t>26.02.2015@06:00</t>
  </si>
  <si>
    <t>Cell 5.2</t>
  </si>
  <si>
    <t>Cell 5.3</t>
  </si>
  <si>
    <t>Cell 5.4</t>
  </si>
  <si>
    <t>Cell 5.5</t>
  </si>
  <si>
    <t>Cell 4.1</t>
  </si>
  <si>
    <t>Level 9</t>
  </si>
  <si>
    <t>Cell 4.2</t>
  </si>
  <si>
    <t>Cell 4.3</t>
  </si>
  <si>
    <t>Cell 4.4</t>
  </si>
  <si>
    <t>Cell 4.5</t>
  </si>
  <si>
    <t>Cell 3.1</t>
  </si>
  <si>
    <t>Level 6</t>
  </si>
  <si>
    <t>Cell 3.2</t>
  </si>
  <si>
    <t>Cell 3.3</t>
  </si>
  <si>
    <t>Cell 3.4</t>
  </si>
  <si>
    <t>07.07.2015@06:00</t>
  </si>
  <si>
    <t>Cell 3.5</t>
  </si>
  <si>
    <t>Cell 2.1</t>
  </si>
  <si>
    <t>Level 3</t>
  </si>
  <si>
    <t>Cell 2.2</t>
  </si>
  <si>
    <t>Cell 2.3</t>
  </si>
  <si>
    <t>Cell 2.4</t>
  </si>
  <si>
    <t>Cell 2.5</t>
  </si>
  <si>
    <t>Cell 1.1</t>
  </si>
  <si>
    <t>Level 0</t>
  </si>
  <si>
    <t>Cell 1.2</t>
  </si>
  <si>
    <t>Cell 1.3</t>
  </si>
  <si>
    <t>Cell 1.4</t>
  </si>
  <si>
    <t>Cell 1.5</t>
  </si>
  <si>
    <t>Level -3</t>
  </si>
  <si>
    <t>Level 13</t>
  </si>
  <si>
    <t>Cell 6.4</t>
  </si>
  <si>
    <t>Cell 6.5</t>
  </si>
  <si>
    <t>29.07.2015@08:00</t>
  </si>
  <si>
    <t>Cell 3</t>
  </si>
  <si>
    <t>0_001 Cell 1.1</t>
  </si>
  <si>
    <t>Cooling Design Day</t>
  </si>
  <si>
    <t>01.01.2018@17:00</t>
  </si>
  <si>
    <t>02.01.2018@00:00</t>
  </si>
  <si>
    <t>0_002 Cell 1.2</t>
  </si>
  <si>
    <t>C:\Users\DengusiakM\Desktop\SAM\2022-05-07_Warsaw\testDelete.tbd</t>
  </si>
  <si>
    <t>SIM_INT_SLD_Partition</t>
  </si>
  <si>
    <t>SIM_EXT_SLD</t>
  </si>
  <si>
    <t>SIM_EXT_GLZ -pane</t>
  </si>
  <si>
    <t>SIM_EXT_GRD_FLR FLR01</t>
  </si>
  <si>
    <t>SIM_EXT_SLD_Roof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</si>
</sst>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4">
    <numFmt numFmtId="164" formatCode="0.0"/>
    <numFmt numFmtId="165" formatCode="0;\-0;;@"/>
    <numFmt numFmtId="166" formatCode="0.00;\-0.00;;@"/>
    <numFmt numFmtId="167" formatCode="0.0;\-0.0;;@"/>
  </numFmts>
  <fonts count="105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u/>
      <sz val="11"/>
      <color theme="10"/>
      <name val="Calibri"/>
      <family val="2"/>
    </font>
    <font>
      <b/>
      <sz val="16"/>
      <color theme="1"/>
      <name val="Calibri"/>
      <family val="2"/>
      <scheme val="minor"/>
    </font>
    <font>
      <sz val="9"/>
      <color theme="1"/>
      <name val="Calibri"/>
      <family val="2"/>
      <scheme val="minor"/>
    </font>
    <font>
      <b/>
      <sz val="9"/>
      <color theme="1"/>
      <name val="Calibri"/>
      <family val="2"/>
      <scheme val="minor"/>
    </font>
    <font>
      <sz val="9"/>
      <color rgb="FF000000"/>
      <name val="Calibri"/>
      <family val="2"/>
      <scheme val="minor"/>
    </font>
    <font>
      <b/>
      <sz val="9"/>
      <name val="Calibri"/>
      <family val="2"/>
      <scheme val="minor"/>
    </font>
    <font>
      <b/>
      <sz val="9"/>
      <color theme="0"/>
      <name val="Calibri"/>
      <family val="2"/>
      <scheme val="minor"/>
    </font>
    <font>
      <sz val="9"/>
      <color theme="0"/>
      <name val="Calibri"/>
      <family val="2"/>
      <scheme val="minor"/>
    </font>
    <font>
      <i/>
      <sz val="9"/>
      <color theme="1"/>
      <name val="Calibri"/>
      <family val="2"/>
      <scheme val="minor"/>
    </font>
    <font>
      <sz val="9"/>
      <color rgb="FFFF0000"/>
      <name val="Calibri"/>
      <family val="2"/>
      <scheme val="minor"/>
    </font>
    <font>
      <sz val="9"/>
      <color theme="1"/>
      <name val="Calibri"/>
      <family val="2"/>
    </font>
    <font>
      <sz val="9"/>
      <name val="Calibri"/>
      <family val="2"/>
      <scheme val="minor"/>
    </font>
    <font>
      <sz val="9"/>
      <color rgb="FF000000"/>
      <name val="Arial"/>
      <family val="2"/>
    </font>
    <font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  <font>
      <b/>
      <sz val="12"/>
      <color theme="3" tint="0.39997558519241921"/>
      <name val="Calibri"/>
      <family val="2"/>
      <scheme val="minor"/>
    </font>
    <font>
      <b/>
      <sz val="12"/>
      <color rgb="FFFF0000"/>
      <name val="Calibri"/>
      <family val="2"/>
      <scheme val="minor"/>
    </font>
    <font>
      <b/>
      <sz val="12"/>
      <color rgb="FF0070C0"/>
      <name val="Calibri"/>
      <family val="2"/>
      <scheme val="minor"/>
    </font>
    <font>
      <b/>
      <sz val="16"/>
      <color rgb="FF0070C0"/>
      <name val="Calibri"/>
      <family val="2"/>
      <scheme val="minor"/>
    </font>
    <font>
      <b/>
      <sz val="9"/>
      <color theme="0" tint="-0.14999847407452621"/>
      <name val="Calibri"/>
      <family val="2"/>
      <scheme val="minor"/>
    </font>
    <font>
      <b/>
      <sz val="9"/>
      <color theme="0" tint="-0.499984740745262"/>
      <name val="Calibri"/>
      <family val="2"/>
      <scheme val="minor"/>
    </font>
    <font>
      <b/>
      <sz val="18"/>
      <color theme="3"/>
      <name val="Cambria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65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sz val="11"/>
      <color theme="0"/>
      <name val="Calibri"/>
      <family val="2"/>
      <scheme val="minor"/>
    </font>
    <font>
      <sz val="9"/>
      <color theme="0" tint="-0.499984740745262"/>
      <name val="Calibri"/>
      <family val="2"/>
      <scheme val="minor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0"/>
      <color rgb="FF333333"/>
      <name val="Segoe UI"/>
      <family val="2"/>
    </font>
    <font>
      <b/>
      <sz val="10"/>
      <color rgb="FF333333"/>
      <name val="Segoe UI"/>
      <family val="2"/>
    </font>
    <font>
      <sz val="11"/>
      <color theme="1"/>
      <name val="Calibri"/>
      <family val="2"/>
    </font>
    <font>
      <b/>
      <sz val="10"/>
      <color rgb="FF2E5348"/>
      <name val="Consolas"/>
      <family val="3"/>
    </font>
    <font>
      <sz val="10"/>
      <color rgb="FF000000"/>
      <name val="Consolas"/>
      <family val="3"/>
    </font>
    <font>
      <sz val="11"/>
      <name val="Calibri"/>
      <family val="2"/>
      <scheme val="minor"/>
    </font>
    <font>
      <b/>
      <sz val="11"/>
      <color rgb="FFFF0000"/>
      <name val="Calibri"/>
      <family val="2"/>
      <scheme val="minor"/>
    </font>
    <font>
      <sz val="14"/>
      <color rgb="FF0070C0"/>
      <name val="Calibri"/>
      <family val="2"/>
      <scheme val="minor"/>
    </font>
    <font>
      <sz val="11"/>
      <color rgb="FF0070C0"/>
      <name val="Calibri"/>
      <family val="2"/>
      <scheme val="minor"/>
    </font>
    <font>
      <sz val="11"/>
      <color rgb="FF1F497D"/>
      <name val="Calibri"/>
      <family val="2"/>
      <scheme val="minor"/>
    </font>
    <font>
      <b/>
      <sz val="10"/>
      <color theme="1"/>
      <name val="Segoe UI"/>
      <family val="2"/>
    </font>
    <font>
      <u/>
      <sz val="10"/>
      <color rgb="FF333333"/>
      <name val="Segoe UI"/>
      <family val="2"/>
    </font>
    <font>
      <b/>
      <sz val="9"/>
      <color theme="1"/>
      <name val="Segoe UI"/>
      <family val="2"/>
    </font>
    <font>
      <sz val="9"/>
      <color theme="1"/>
      <name val="Segoe UI"/>
      <family val="2"/>
    </font>
    <font>
      <b/>
      <sz val="16"/>
      <color rgb="FF0070C0"/>
      <name val="Segoe UI"/>
      <family val="2"/>
    </font>
    <font>
      <sz val="9"/>
      <color rgb="FFFF0000"/>
      <name val="Segoe UI"/>
      <family val="2"/>
    </font>
    <font>
      <b/>
      <sz val="9"/>
      <name val="Segoe UI"/>
      <family val="2"/>
    </font>
    <font>
      <b/>
      <sz val="12"/>
      <color theme="3" tint="0.39997558519241921"/>
      <name val="Segoe UI"/>
      <family val="2"/>
    </font>
    <font>
      <b/>
      <sz val="12"/>
      <color rgb="FFFF0000"/>
      <name val="Segoe UI"/>
      <family val="2"/>
    </font>
    <font>
      <sz val="9"/>
      <color rgb="FF000000"/>
      <name val="Segoe UI"/>
      <family val="2"/>
    </font>
    <font>
      <b/>
      <sz val="9"/>
      <color theme="0" tint="-0.499984740745262"/>
      <name val="Segoe UI"/>
      <family val="2"/>
    </font>
    <font>
      <b/>
      <sz val="9"/>
      <color theme="0" tint="-0.14999847407452621"/>
      <name val="Segoe UI"/>
      <family val="2"/>
    </font>
    <font>
      <sz val="9"/>
      <color theme="0" tint="-0.499984740745262"/>
      <name val="Segoe UI"/>
      <family val="2"/>
    </font>
    <font>
      <b/>
      <sz val="9"/>
      <color theme="0"/>
      <name val="Segoe UI"/>
      <family val="2"/>
    </font>
    <font>
      <sz val="9"/>
      <color theme="0"/>
      <name val="Segoe UI"/>
      <family val="2"/>
    </font>
    <font>
      <sz val="12"/>
      <color theme="1"/>
      <name val="Segoe UI"/>
      <family val="2"/>
    </font>
    <font>
      <sz val="11"/>
      <color theme="1"/>
      <name val="Segoe UI"/>
      <family val="2"/>
    </font>
    <font>
      <sz val="12"/>
      <color theme="0"/>
      <name val="Segoe UI"/>
      <family val="2"/>
    </font>
    <font>
      <sz val="9"/>
      <name val="Segoe UI"/>
      <family val="2"/>
    </font>
    <font>
      <b/>
      <sz val="12"/>
      <color rgb="FF0070C0"/>
      <name val="Segoe UI"/>
      <family val="2"/>
    </font>
    <font>
      <b/>
      <sz val="9"/>
      <color theme="1"/>
      <name val="Segou"/>
    </font>
    <font>
      <sz val="9"/>
      <color theme="1"/>
      <name val="Segou"/>
    </font>
    <font>
      <b/>
      <sz val="16"/>
      <color rgb="FF7030A0"/>
      <name val="Segou"/>
    </font>
    <font>
      <sz val="9"/>
      <name val="Segou"/>
    </font>
    <font>
      <sz val="9"/>
      <color rgb="FFFF0000"/>
      <name val="Segou"/>
    </font>
    <font>
      <b/>
      <sz val="9"/>
      <name val="Segou"/>
    </font>
    <font>
      <b/>
      <sz val="12"/>
      <color theme="3" tint="0.39997558519241921"/>
      <name val="Segou"/>
    </font>
    <font>
      <b/>
      <sz val="12"/>
      <color rgb="FFFF0000"/>
      <name val="Segou"/>
    </font>
    <font>
      <sz val="9"/>
      <color rgb="FF000000"/>
      <name val="Segou"/>
    </font>
    <font>
      <b/>
      <sz val="9"/>
      <color theme="0" tint="-0.499984740745262"/>
      <name val="Segou"/>
    </font>
    <font>
      <b/>
      <sz val="9"/>
      <color theme="0" tint="-0.14999847407452621"/>
      <name val="Segou"/>
    </font>
    <font>
      <sz val="9"/>
      <color theme="0" tint="-0.499984740745262"/>
      <name val="Segou"/>
    </font>
    <font>
      <b/>
      <sz val="9"/>
      <color theme="0"/>
      <name val="Segou"/>
    </font>
    <font>
      <sz val="9"/>
      <color theme="0"/>
      <name val="Segou"/>
    </font>
    <font>
      <sz val="12"/>
      <color theme="1"/>
      <name val="Segou"/>
    </font>
    <font>
      <sz val="11"/>
      <color theme="1"/>
      <name val="Segou"/>
    </font>
    <font>
      <sz val="12"/>
      <color theme="0"/>
      <name val="Segou"/>
    </font>
    <font>
      <b/>
      <sz val="12"/>
      <color rgb="FF0070C0"/>
      <name val="Segou"/>
    </font>
    <font>
      <sz val="9"/>
      <color rgb="FF0070C0"/>
      <name val="Segoe UI"/>
      <family val="2"/>
    </font>
    <font>
      <sz val="9"/>
      <color theme="0" tint="-0.14999847407452621"/>
      <name val="Segoe UI"/>
      <family val="2"/>
    </font>
    <font>
      <sz val="12"/>
      <name val="Segoe UI"/>
      <family val="2"/>
    </font>
    <font>
      <sz val="8"/>
      <color theme="1"/>
      <name val="Calibri"/>
      <family val="2"/>
      <scheme val="minor"/>
    </font>
    <font>
      <sz val="8"/>
      <name val="Calibri"/>
      <family val="2"/>
      <scheme val="minor"/>
    </font>
    <font>
      <b/>
      <sz val="9"/>
      <color rgb="FFFF0000"/>
      <name val="Segoe UI"/>
      <family val="2"/>
    </font>
    <font>
      <b/>
      <sz val="12"/>
      <color rgb="FF538DD5"/>
      <name val="Segoe UI"/>
      <family val="2"/>
    </font>
    <font>
      <b/>
      <sz val="9"/>
      <color rgb="FF538DD5"/>
      <name val="Segoe UI"/>
      <family val="2"/>
    </font>
    <font>
      <sz val="11"/>
      <color rgb="FF000000"/>
      <name val="Calibri"/>
      <family val="2"/>
    </font>
    <font>
      <sz val="9"/>
      <color theme="0" tint="-0.249977111117893"/>
      <name val="Segoe UI"/>
      <family val="2"/>
    </font>
    <font>
      <i/>
      <sz val="9"/>
      <color theme="1"/>
      <name val="Segoe UI"/>
      <family val="2"/>
    </font>
    <font>
      <sz val="10"/>
      <color theme="7"/>
      <name val="Segoe UI"/>
      <family val="2"/>
    </font>
    <font>
      <sz val="11"/>
      <color theme="0" tint="-0.499984740745262"/>
      <name val="Segoe UI"/>
      <family val="2"/>
    </font>
    <font>
      <i/>
      <sz val="11"/>
      <color theme="1"/>
      <name val="Segoe UI"/>
      <family val="2"/>
    </font>
  </fonts>
  <fills count="41">
    <fill>
      <patternFill patternType="none"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FFFFFF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92D050"/>
        <bgColor indexed="64"/>
      </patternFill>
    </fill>
    <fill>
      <patternFill patternType="solid">
        <fgColor rgb="FFCCFFCC"/>
        <bgColor indexed="64"/>
      </patternFill>
    </fill>
    <fill>
      <patternFill patternType="solid">
        <fgColor rgb="FFF0F44E"/>
        <bgColor indexed="64"/>
      </patternFill>
    </fill>
    <fill>
      <patternFill patternType="solid">
        <fgColor theme="8" tint="0.79998168889431442"/>
        <bgColor indexed="64"/>
      </patternFill>
    </fill>
  </fills>
  <borders count="29">
    <border>
      <left/>
      <right/>
      <top/>
      <bottom/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/>
      <right/>
      <top style="medium">
        <color rgb="FFC9C9C9"/>
      </top>
      <bottom style="medium">
        <color rgb="FFC9C9C9"/>
      </bottom>
      <diagonal/>
    </border>
    <border>
      <left/>
      <right/>
      <top style="medium">
        <color rgb="FFC9C9C9"/>
      </top>
      <bottom style="medium">
        <color rgb="FF000000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auto="1"/>
      </left>
      <right style="thin">
        <color auto="1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</borders>
  <cellStyleXfs count="45">
    <xf numFmtId="0" fontId="0" fillId="0" borderId="0"/>
    <xf numFmtId="0" fontId="4" fillId="0" borderId="0" applyNumberFormat="0" applyFill="0" applyBorder="0" applyAlignment="0" applyProtection="0">
      <alignment vertical="top"/>
      <protection locked="0"/>
    </xf>
    <xf numFmtId="0" fontId="25" fillId="0" borderId="0" applyNumberFormat="0" applyFill="0" applyBorder="0" applyAlignment="0" applyProtection="0"/>
    <xf numFmtId="0" fontId="26" fillId="0" borderId="15" applyNumberFormat="0" applyFill="0" applyAlignment="0" applyProtection="0"/>
    <xf numFmtId="0" fontId="27" fillId="0" borderId="16" applyNumberFormat="0" applyFill="0" applyAlignment="0" applyProtection="0"/>
    <xf numFmtId="0" fontId="28" fillId="0" borderId="17" applyNumberFormat="0" applyFill="0" applyAlignment="0" applyProtection="0"/>
    <xf numFmtId="0" fontId="28" fillId="0" borderId="0" applyNumberFormat="0" applyFill="0" applyBorder="0" applyAlignment="0" applyProtection="0"/>
    <xf numFmtId="0" fontId="29" fillId="4" borderId="0" applyNumberFormat="0" applyBorder="0" applyAlignment="0" applyProtection="0"/>
    <xf numFmtId="0" fontId="30" fillId="5" borderId="0" applyNumberFormat="0" applyBorder="0" applyAlignment="0" applyProtection="0"/>
    <xf numFmtId="0" fontId="31" fillId="6" borderId="0" applyNumberFormat="0" applyBorder="0" applyAlignment="0" applyProtection="0"/>
    <xf numFmtId="0" fontId="32" fillId="7" borderId="18" applyNumberFormat="0" applyAlignment="0" applyProtection="0"/>
    <xf numFmtId="0" fontId="33" fillId="8" borderId="19" applyNumberFormat="0" applyAlignment="0" applyProtection="0"/>
    <xf numFmtId="0" fontId="34" fillId="8" borderId="18" applyNumberFormat="0" applyAlignment="0" applyProtection="0"/>
    <xf numFmtId="0" fontId="35" fillId="0" borderId="20" applyNumberFormat="0" applyFill="0" applyAlignment="0" applyProtection="0"/>
    <xf numFmtId="0" fontId="36" fillId="9" borderId="21" applyNumberFormat="0" applyAlignment="0" applyProtection="0"/>
    <xf numFmtId="0" fontId="37" fillId="0" borderId="0" applyNumberFormat="0" applyFill="0" applyBorder="0" applyAlignment="0" applyProtection="0"/>
    <xf numFmtId="0" fontId="1" fillId="10" borderId="22" applyNumberFormat="0" applyFont="0" applyAlignment="0" applyProtection="0"/>
    <xf numFmtId="0" fontId="38" fillId="0" borderId="0" applyNumberFormat="0" applyFill="0" applyBorder="0" applyAlignment="0" applyProtection="0"/>
    <xf numFmtId="0" fontId="2" fillId="0" borderId="23" applyNumberFormat="0" applyFill="0" applyAlignment="0" applyProtection="0"/>
    <xf numFmtId="0" fontId="39" fillId="11" borderId="0" applyNumberFormat="0" applyBorder="0" applyAlignment="0" applyProtection="0"/>
    <xf numFmtId="0" fontId="1" fillId="12" borderId="0" applyNumberFormat="0" applyBorder="0" applyAlignment="0" applyProtection="0"/>
    <xf numFmtId="0" fontId="1" fillId="13" borderId="0" applyNumberFormat="0" applyBorder="0" applyAlignment="0" applyProtection="0"/>
    <xf numFmtId="0" fontId="39" fillId="14" borderId="0" applyNumberFormat="0" applyBorder="0" applyAlignment="0" applyProtection="0"/>
    <xf numFmtId="0" fontId="39" fillId="15" borderId="0" applyNumberFormat="0" applyBorder="0" applyAlignment="0" applyProtection="0"/>
    <xf numFmtId="0" fontId="1" fillId="16" borderId="0" applyNumberFormat="0" applyBorder="0" applyAlignment="0" applyProtection="0"/>
    <xf numFmtId="0" fontId="1" fillId="17" borderId="0" applyNumberFormat="0" applyBorder="0" applyAlignment="0" applyProtection="0"/>
    <xf numFmtId="0" fontId="39" fillId="18" borderId="0" applyNumberFormat="0" applyBorder="0" applyAlignment="0" applyProtection="0"/>
    <xf numFmtId="0" fontId="39" fillId="19" borderId="0" applyNumberFormat="0" applyBorder="0" applyAlignment="0" applyProtection="0"/>
    <xf numFmtId="0" fontId="1" fillId="20" borderId="0" applyNumberFormat="0" applyBorder="0" applyAlignment="0" applyProtection="0"/>
    <xf numFmtId="0" fontId="1" fillId="21" borderId="0" applyNumberFormat="0" applyBorder="0" applyAlignment="0" applyProtection="0"/>
    <xf numFmtId="0" fontId="39" fillId="22" borderId="0" applyNumberFormat="0" applyBorder="0" applyAlignment="0" applyProtection="0"/>
    <xf numFmtId="0" fontId="39" fillId="23" borderId="0" applyNumberFormat="0" applyBorder="0" applyAlignment="0" applyProtection="0"/>
    <xf numFmtId="0" fontId="1" fillId="24" borderId="0" applyNumberFormat="0" applyBorder="0" applyAlignment="0" applyProtection="0"/>
    <xf numFmtId="0" fontId="1" fillId="25" borderId="0" applyNumberFormat="0" applyBorder="0" applyAlignment="0" applyProtection="0"/>
    <xf numFmtId="0" fontId="39" fillId="26" borderId="0" applyNumberFormat="0" applyBorder="0" applyAlignment="0" applyProtection="0"/>
    <xf numFmtId="0" fontId="39" fillId="27" borderId="0" applyNumberFormat="0" applyBorder="0" applyAlignment="0" applyProtection="0"/>
    <xf numFmtId="0" fontId="1" fillId="28" borderId="0" applyNumberFormat="0" applyBorder="0" applyAlignment="0" applyProtection="0"/>
    <xf numFmtId="0" fontId="1" fillId="29" borderId="0" applyNumberFormat="0" applyBorder="0" applyAlignment="0" applyProtection="0"/>
    <xf numFmtId="0" fontId="39" fillId="30" borderId="0" applyNumberFormat="0" applyBorder="0" applyAlignment="0" applyProtection="0"/>
    <xf numFmtId="0" fontId="39" fillId="31" borderId="0" applyNumberFormat="0" applyBorder="0" applyAlignment="0" applyProtection="0"/>
    <xf numFmtId="0" fontId="1" fillId="32" borderId="0" applyNumberFormat="0" applyBorder="0" applyAlignment="0" applyProtection="0"/>
    <xf numFmtId="0" fontId="1" fillId="33" borderId="0" applyNumberFormat="0" applyBorder="0" applyAlignment="0" applyProtection="0"/>
    <xf numFmtId="0" fontId="39" fillId="34" borderId="0" applyNumberFormat="0" applyBorder="0" applyAlignment="0" applyProtection="0"/>
    <xf numFmtId="0" fontId="54" fillId="0" borderId="0" applyNumberFormat="0" applyFill="0" applyBorder="0" applyAlignment="0" applyProtection="0"/>
    <xf numFmtId="9" fontId="1" fillId="0" borderId="0" applyFont="0" applyFill="0" applyBorder="0" applyAlignment="0" applyProtection="0"/>
  </cellStyleXfs>
  <cellXfs count="535">
    <xf numFmtId="0" fontId="0" fillId="0" borderId="0" xfId="0"/>
    <xf numFmtId="0" fontId="3" fillId="0" borderId="0" xfId="0" applyFont="1"/>
    <xf numFmtId="15" fontId="0" fillId="0" borderId="0" xfId="0" applyNumberFormat="1"/>
    <xf numFmtId="0" fontId="4" fillId="0" borderId="0" xfId="1" applyAlignment="1" applyProtection="1"/>
    <xf numFmtId="0" fontId="5" fillId="0" borderId="0" xfId="0" applyFont="1"/>
    <xf numFmtId="0" fontId="2" fillId="0" borderId="0" xfId="0" applyFont="1"/>
    <xf numFmtId="0" fontId="7" fillId="2" borderId="0" xfId="0" applyFont="1" applyFill="1" applyBorder="1" applyAlignment="1">
      <alignment vertical="center"/>
    </xf>
    <xf numFmtId="0" fontId="7" fillId="2" borderId="0" xfId="0" applyFont="1" applyFill="1" applyBorder="1"/>
    <xf numFmtId="0" fontId="6" fillId="2" borderId="0" xfId="0" applyFont="1" applyFill="1" applyBorder="1"/>
    <xf numFmtId="0" fontId="6" fillId="2" borderId="4" xfId="0" applyFont="1" applyFill="1" applyBorder="1"/>
    <xf numFmtId="0" fontId="6" fillId="2" borderId="5" xfId="0" applyFont="1" applyFill="1" applyBorder="1" applyAlignment="1">
      <alignment vertical="center"/>
    </xf>
    <xf numFmtId="0" fontId="7" fillId="0" borderId="0" xfId="0" applyFont="1" applyBorder="1"/>
    <xf numFmtId="0" fontId="7" fillId="2" borderId="2" xfId="0" applyFont="1" applyFill="1" applyBorder="1" applyAlignment="1">
      <alignment vertical="center"/>
    </xf>
    <xf numFmtId="0" fontId="6" fillId="2" borderId="0" xfId="0" applyFont="1" applyFill="1" applyBorder="1" applyAlignment="1">
      <alignment vertical="center"/>
    </xf>
    <xf numFmtId="0" fontId="6" fillId="2" borderId="2" xfId="0" applyFont="1" applyFill="1" applyBorder="1"/>
    <xf numFmtId="0" fontId="6" fillId="2" borderId="0" xfId="0" applyFont="1" applyFill="1" applyBorder="1" applyAlignment="1"/>
    <xf numFmtId="0" fontId="16" fillId="2" borderId="0" xfId="0" applyFont="1" applyFill="1" applyBorder="1" applyAlignment="1">
      <alignment horizontal="right" readingOrder="1"/>
    </xf>
    <xf numFmtId="0" fontId="16" fillId="2" borderId="0" xfId="0" applyFont="1" applyFill="1" applyBorder="1" applyAlignment="1">
      <alignment readingOrder="1"/>
    </xf>
    <xf numFmtId="0" fontId="16" fillId="2" borderId="0" xfId="0" applyFont="1" applyFill="1" applyBorder="1" applyAlignment="1">
      <alignment horizontal="left" readingOrder="1"/>
    </xf>
    <xf numFmtId="0" fontId="6" fillId="0" borderId="0" xfId="0" applyFont="1" applyFill="1" applyBorder="1"/>
    <xf numFmtId="0" fontId="6" fillId="2" borderId="1" xfId="0" applyFont="1" applyFill="1" applyBorder="1"/>
    <xf numFmtId="0" fontId="6" fillId="2" borderId="0" xfId="0" applyFont="1" applyFill="1" applyBorder="1" applyAlignment="1">
      <alignment vertical="top"/>
    </xf>
    <xf numFmtId="0" fontId="6" fillId="2" borderId="0" xfId="0" applyFont="1" applyFill="1" applyBorder="1" applyAlignment="1">
      <alignment horizontal="left" vertical="center"/>
    </xf>
    <xf numFmtId="0" fontId="6" fillId="0" borderId="0" xfId="0" applyFont="1" applyBorder="1" applyAlignment="1">
      <alignment horizontal="right"/>
    </xf>
    <xf numFmtId="0" fontId="6" fillId="0" borderId="0" xfId="0" applyFont="1" applyBorder="1"/>
    <xf numFmtId="0" fontId="13" fillId="0" borderId="0" xfId="0" applyFont="1" applyBorder="1"/>
    <xf numFmtId="3" fontId="6" fillId="0" borderId="0" xfId="0" applyNumberFormat="1" applyFont="1" applyBorder="1"/>
    <xf numFmtId="0" fontId="6" fillId="2" borderId="0" xfId="0" applyFont="1" applyFill="1" applyBorder="1" applyAlignment="1">
      <alignment horizontal="right"/>
    </xf>
    <xf numFmtId="0" fontId="6" fillId="2" borderId="0" xfId="0" applyFont="1" applyFill="1" applyBorder="1" applyAlignment="1">
      <alignment horizontal="left" vertical="top"/>
    </xf>
    <xf numFmtId="0" fontId="14" fillId="0" borderId="0" xfId="0" applyFont="1" applyBorder="1"/>
    <xf numFmtId="0" fontId="12" fillId="2" borderId="0" xfId="0" applyFont="1" applyFill="1" applyBorder="1"/>
    <xf numFmtId="0" fontId="11" fillId="2" borderId="0" xfId="0" applyFont="1" applyFill="1" applyBorder="1"/>
    <xf numFmtId="0" fontId="15" fillId="2" borderId="0" xfId="0" applyFont="1" applyFill="1" applyBorder="1" applyAlignment="1">
      <alignment horizontal="right"/>
    </xf>
    <xf numFmtId="0" fontId="6" fillId="2" borderId="0" xfId="0" applyFont="1" applyFill="1" applyBorder="1" applyAlignment="1">
      <alignment horizontal="right" vertical="top"/>
    </xf>
    <xf numFmtId="0" fontId="15" fillId="2" borderId="0" xfId="0" applyFont="1" applyFill="1" applyBorder="1" applyAlignment="1"/>
    <xf numFmtId="0" fontId="15" fillId="2" borderId="0" xfId="0" applyFont="1" applyFill="1" applyBorder="1"/>
    <xf numFmtId="0" fontId="7" fillId="2" borderId="0" xfId="0" applyFont="1" applyFill="1" applyBorder="1" applyAlignment="1">
      <alignment horizontal="left" vertical="top"/>
    </xf>
    <xf numFmtId="0" fontId="17" fillId="2" borderId="3" xfId="0" applyFont="1" applyFill="1" applyBorder="1"/>
    <xf numFmtId="0" fontId="17" fillId="2" borderId="4" xfId="0" applyFont="1" applyFill="1" applyBorder="1"/>
    <xf numFmtId="0" fontId="6" fillId="2" borderId="5" xfId="0" applyFont="1" applyFill="1" applyBorder="1"/>
    <xf numFmtId="0" fontId="6" fillId="2" borderId="4" xfId="0" applyFont="1" applyFill="1" applyBorder="1" applyAlignment="1">
      <alignment horizontal="left" vertical="center"/>
    </xf>
    <xf numFmtId="0" fontId="6" fillId="2" borderId="5" xfId="0" applyFont="1" applyFill="1" applyBorder="1" applyAlignment="1">
      <alignment horizontal="left" vertical="center"/>
    </xf>
    <xf numFmtId="0" fontId="17" fillId="2" borderId="7" xfId="0" applyFont="1" applyFill="1" applyBorder="1"/>
    <xf numFmtId="0" fontId="17" fillId="2" borderId="8" xfId="0" applyFont="1" applyFill="1" applyBorder="1"/>
    <xf numFmtId="0" fontId="6" fillId="2" borderId="8" xfId="0" applyFont="1" applyFill="1" applyBorder="1"/>
    <xf numFmtId="0" fontId="6" fillId="2" borderId="8" xfId="0" applyFont="1" applyFill="1" applyBorder="1" applyAlignment="1">
      <alignment horizontal="left" vertical="center"/>
    </xf>
    <xf numFmtId="0" fontId="6" fillId="2" borderId="9" xfId="0" applyFont="1" applyFill="1" applyBorder="1" applyAlignment="1">
      <alignment horizontal="left" vertical="center"/>
    </xf>
    <xf numFmtId="0" fontId="18" fillId="2" borderId="4" xfId="0" applyFont="1" applyFill="1" applyBorder="1" applyAlignment="1">
      <alignment horizontal="left" vertical="center" readingOrder="1"/>
    </xf>
    <xf numFmtId="0" fontId="11" fillId="2" borderId="4" xfId="0" applyFont="1" applyFill="1" applyBorder="1" applyAlignment="1">
      <alignment horizontal="left" vertical="center" readingOrder="1"/>
    </xf>
    <xf numFmtId="0" fontId="11" fillId="2" borderId="4" xfId="0" applyFont="1" applyFill="1" applyBorder="1" applyAlignment="1">
      <alignment horizontal="right" vertical="center" readingOrder="1"/>
    </xf>
    <xf numFmtId="0" fontId="11" fillId="2" borderId="4" xfId="0" applyFont="1" applyFill="1" applyBorder="1" applyAlignment="1">
      <alignment vertical="center"/>
    </xf>
    <xf numFmtId="0" fontId="18" fillId="2" borderId="4" xfId="0" applyFont="1" applyFill="1" applyBorder="1" applyAlignment="1">
      <alignment vertical="center"/>
    </xf>
    <xf numFmtId="0" fontId="7" fillId="2" borderId="5" xfId="0" applyFont="1" applyFill="1" applyBorder="1" applyAlignment="1">
      <alignment vertical="center"/>
    </xf>
    <xf numFmtId="0" fontId="17" fillId="2" borderId="4" xfId="0" applyFont="1" applyFill="1" applyBorder="1" applyAlignment="1">
      <alignment horizontal="left" vertical="top"/>
    </xf>
    <xf numFmtId="0" fontId="6" fillId="2" borderId="4" xfId="0" applyFont="1" applyFill="1" applyBorder="1" applyAlignment="1">
      <alignment horizontal="left" vertical="top"/>
    </xf>
    <xf numFmtId="0" fontId="6" fillId="2" borderId="5" xfId="0" applyFont="1" applyFill="1" applyBorder="1" applyAlignment="1">
      <alignment horizontal="left" vertical="top"/>
    </xf>
    <xf numFmtId="0" fontId="17" fillId="2" borderId="7" xfId="0" applyFont="1" applyFill="1" applyBorder="1" applyAlignment="1">
      <alignment horizontal="left" vertical="top"/>
    </xf>
    <xf numFmtId="0" fontId="17" fillId="2" borderId="8" xfId="0" applyFont="1" applyFill="1" applyBorder="1" applyAlignment="1">
      <alignment horizontal="left" vertical="top"/>
    </xf>
    <xf numFmtId="0" fontId="6" fillId="2" borderId="8" xfId="0" applyFont="1" applyFill="1" applyBorder="1" applyAlignment="1">
      <alignment horizontal="left" vertical="top"/>
    </xf>
    <xf numFmtId="0" fontId="6" fillId="2" borderId="9" xfId="0" applyFont="1" applyFill="1" applyBorder="1" applyAlignment="1">
      <alignment horizontal="left" vertical="top"/>
    </xf>
    <xf numFmtId="0" fontId="6" fillId="2" borderId="11" xfId="0" applyFont="1" applyFill="1" applyBorder="1"/>
    <xf numFmtId="0" fontId="6" fillId="2" borderId="1" xfId="0" applyFont="1" applyFill="1" applyBorder="1" applyAlignment="1">
      <alignment horizontal="left" vertical="top"/>
    </xf>
    <xf numFmtId="0" fontId="6" fillId="2" borderId="12" xfId="0" applyFont="1" applyFill="1" applyBorder="1" applyAlignment="1">
      <alignment horizontal="left" vertical="top"/>
    </xf>
    <xf numFmtId="0" fontId="6" fillId="2" borderId="3" xfId="0" applyFont="1" applyFill="1" applyBorder="1"/>
    <xf numFmtId="0" fontId="9" fillId="2" borderId="7" xfId="0" applyFont="1" applyFill="1" applyBorder="1" applyAlignment="1">
      <alignment vertical="center"/>
    </xf>
    <xf numFmtId="0" fontId="11" fillId="2" borderId="8" xfId="0" applyFont="1" applyFill="1" applyBorder="1" applyAlignment="1">
      <alignment vertical="center"/>
    </xf>
    <xf numFmtId="0" fontId="11" fillId="2" borderId="9" xfId="0" applyFont="1" applyFill="1" applyBorder="1" applyAlignment="1">
      <alignment vertical="center"/>
    </xf>
    <xf numFmtId="0" fontId="7" fillId="2" borderId="11" xfId="0" applyFont="1" applyFill="1" applyBorder="1"/>
    <xf numFmtId="0" fontId="6" fillId="2" borderId="12" xfId="0" applyFont="1" applyFill="1" applyBorder="1"/>
    <xf numFmtId="0" fontId="6" fillId="2" borderId="7" xfId="0" applyFont="1" applyFill="1" applyBorder="1"/>
    <xf numFmtId="0" fontId="6" fillId="2" borderId="11" xfId="0" applyFont="1" applyFill="1" applyBorder="1" applyAlignment="1">
      <alignment horizontal="right" vertical="top"/>
    </xf>
    <xf numFmtId="0" fontId="7" fillId="2" borderId="12" xfId="0" applyFont="1" applyFill="1" applyBorder="1" applyAlignment="1">
      <alignment horizontal="right" vertical="top"/>
    </xf>
    <xf numFmtId="0" fontId="10" fillId="2" borderId="4" xfId="0" applyFont="1" applyFill="1" applyBorder="1" applyAlignment="1">
      <alignment vertical="center"/>
    </xf>
    <xf numFmtId="0" fontId="10" fillId="2" borderId="4" xfId="0" applyFont="1" applyFill="1" applyBorder="1" applyAlignment="1">
      <alignment horizontal="left" vertical="center"/>
    </xf>
    <xf numFmtId="0" fontId="6" fillId="2" borderId="9" xfId="0" applyFont="1" applyFill="1" applyBorder="1"/>
    <xf numFmtId="0" fontId="7" fillId="2" borderId="1" xfId="0" applyFont="1" applyFill="1" applyBorder="1" applyAlignment="1">
      <alignment vertical="center"/>
    </xf>
    <xf numFmtId="0" fontId="6" fillId="2" borderId="4" xfId="0" applyFont="1" applyFill="1" applyBorder="1" applyAlignment="1"/>
    <xf numFmtId="0" fontId="9" fillId="2" borderId="3" xfId="0" applyFont="1" applyFill="1" applyBorder="1" applyAlignment="1">
      <alignment horizontal="left"/>
    </xf>
    <xf numFmtId="0" fontId="8" fillId="2" borderId="1" xfId="0" applyFont="1" applyFill="1" applyBorder="1" applyAlignment="1">
      <alignment horizontal="left" vertical="center" readingOrder="1"/>
    </xf>
    <xf numFmtId="0" fontId="20" fillId="2" borderId="8" xfId="0" applyFont="1" applyFill="1" applyBorder="1" applyAlignment="1">
      <alignment horizontal="center"/>
    </xf>
    <xf numFmtId="0" fontId="6" fillId="2" borderId="7" xfId="0" applyFont="1" applyFill="1" applyBorder="1" applyAlignment="1"/>
    <xf numFmtId="0" fontId="6" fillId="2" borderId="8" xfId="0" applyFont="1" applyFill="1" applyBorder="1" applyAlignment="1"/>
    <xf numFmtId="0" fontId="19" fillId="2" borderId="8" xfId="0" applyFont="1" applyFill="1" applyBorder="1" applyAlignment="1">
      <alignment horizontal="center"/>
    </xf>
    <xf numFmtId="0" fontId="6" fillId="2" borderId="10" xfId="0" applyFont="1" applyFill="1" applyBorder="1" applyAlignment="1">
      <alignment horizontal="right"/>
    </xf>
    <xf numFmtId="0" fontId="6" fillId="2" borderId="2" xfId="0" applyFont="1" applyFill="1" applyBorder="1" applyAlignment="1">
      <alignment horizontal="right" vertical="center"/>
    </xf>
    <xf numFmtId="0" fontId="7" fillId="2" borderId="10" xfId="0" applyFont="1" applyFill="1" applyBorder="1" applyAlignment="1">
      <alignment horizontal="right"/>
    </xf>
    <xf numFmtId="0" fontId="6" fillId="2" borderId="2" xfId="0" applyFont="1" applyFill="1" applyBorder="1" applyAlignment="1">
      <alignment horizontal="right" vertical="top"/>
    </xf>
    <xf numFmtId="0" fontId="6" fillId="2" borderId="9" xfId="0" applyFont="1" applyFill="1" applyBorder="1" applyAlignment="1"/>
    <xf numFmtId="0" fontId="6" fillId="2" borderId="8" xfId="0" applyFont="1" applyFill="1" applyBorder="1" applyAlignment="1">
      <alignment vertical="center"/>
    </xf>
    <xf numFmtId="0" fontId="21" fillId="2" borderId="3" xfId="0" applyFont="1" applyFill="1" applyBorder="1"/>
    <xf numFmtId="0" fontId="22" fillId="2" borderId="8" xfId="0" applyFont="1" applyFill="1" applyBorder="1" applyAlignment="1">
      <alignment horizontal="center"/>
    </xf>
    <xf numFmtId="0" fontId="6" fillId="2" borderId="10" xfId="0" applyFont="1" applyFill="1" applyBorder="1"/>
    <xf numFmtId="0" fontId="7" fillId="2" borderId="11" xfId="0" applyFont="1" applyFill="1" applyBorder="1" applyAlignment="1">
      <alignment vertical="center"/>
    </xf>
    <xf numFmtId="0" fontId="7" fillId="2" borderId="1" xfId="0" applyFont="1" applyFill="1" applyBorder="1"/>
    <xf numFmtId="0" fontId="7" fillId="2" borderId="7" xfId="0" applyFont="1" applyFill="1" applyBorder="1" applyAlignment="1">
      <alignment vertical="center"/>
    </xf>
    <xf numFmtId="0" fontId="7" fillId="2" borderId="8" xfId="0" applyFont="1" applyFill="1" applyBorder="1" applyAlignment="1">
      <alignment vertical="center"/>
    </xf>
    <xf numFmtId="0" fontId="7" fillId="2" borderId="9" xfId="0" applyFont="1" applyFill="1" applyBorder="1" applyAlignment="1">
      <alignment vertical="center"/>
    </xf>
    <xf numFmtId="0" fontId="7" fillId="2" borderId="8" xfId="0" applyFont="1" applyFill="1" applyBorder="1" applyAlignment="1"/>
    <xf numFmtId="0" fontId="7" fillId="2" borderId="1" xfId="0" applyFont="1" applyFill="1" applyBorder="1" applyAlignment="1">
      <alignment horizontal="left" vertical="top"/>
    </xf>
    <xf numFmtId="0" fontId="7" fillId="2" borderId="4" xfId="0" applyFont="1" applyFill="1" applyBorder="1" applyAlignment="1">
      <alignment horizontal="left" vertical="top"/>
    </xf>
    <xf numFmtId="0" fontId="0" fillId="0" borderId="0" xfId="0" applyFill="1"/>
    <xf numFmtId="0" fontId="23" fillId="2" borderId="1" xfId="0" applyFont="1" applyFill="1" applyBorder="1" applyAlignment="1">
      <alignment horizontal="left" vertical="center"/>
    </xf>
    <xf numFmtId="0" fontId="23" fillId="2" borderId="1" xfId="0" applyFont="1" applyFill="1" applyBorder="1" applyAlignment="1">
      <alignment vertical="center"/>
    </xf>
    <xf numFmtId="0" fontId="23" fillId="2" borderId="12" xfId="0" applyFont="1" applyFill="1" applyBorder="1" applyAlignment="1">
      <alignment vertical="center"/>
    </xf>
    <xf numFmtId="0" fontId="23" fillId="2" borderId="1" xfId="0" applyFont="1" applyFill="1" applyBorder="1" applyAlignment="1">
      <alignment horizontal="left" vertical="top"/>
    </xf>
    <xf numFmtId="0" fontId="23" fillId="2" borderId="4" xfId="0" applyFont="1" applyFill="1" applyBorder="1" applyAlignment="1">
      <alignment horizontal="left" vertical="center"/>
    </xf>
    <xf numFmtId="0" fontId="23" fillId="2" borderId="5" xfId="0" applyFont="1" applyFill="1" applyBorder="1" applyAlignment="1">
      <alignment horizontal="left" vertical="center"/>
    </xf>
    <xf numFmtId="0" fontId="23" fillId="2" borderId="4" xfId="0" applyFont="1" applyFill="1" applyBorder="1" applyAlignment="1">
      <alignment horizontal="left" vertical="top"/>
    </xf>
    <xf numFmtId="0" fontId="0" fillId="2" borderId="5" xfId="0" applyFont="1" applyFill="1" applyBorder="1"/>
    <xf numFmtId="0" fontId="0" fillId="2" borderId="3" xfId="0" applyFont="1" applyFill="1" applyBorder="1"/>
    <xf numFmtId="0" fontId="0" fillId="2" borderId="5" xfId="0" applyFont="1" applyFill="1" applyBorder="1" applyAlignment="1">
      <alignment horizontal="right"/>
    </xf>
    <xf numFmtId="0" fontId="24" fillId="2" borderId="11" xfId="0" applyFont="1" applyFill="1" applyBorder="1" applyAlignment="1">
      <alignment vertical="center"/>
    </xf>
    <xf numFmtId="0" fontId="24" fillId="2" borderId="3" xfId="0" applyFont="1" applyFill="1" applyBorder="1" applyAlignment="1">
      <alignment vertical="center"/>
    </xf>
    <xf numFmtId="0" fontId="24" fillId="2" borderId="11" xfId="0" applyFont="1" applyFill="1" applyBorder="1" applyAlignment="1">
      <alignment horizontal="left" vertical="center"/>
    </xf>
    <xf numFmtId="0" fontId="0" fillId="0" borderId="0" xfId="0"/>
    <xf numFmtId="0" fontId="0" fillId="0" borderId="0" xfId="0" applyAlignment="1">
      <alignment horizontal="center" vertical="center" wrapText="1"/>
    </xf>
    <xf numFmtId="0" fontId="40" fillId="2" borderId="3" xfId="0" applyFont="1" applyFill="1" applyBorder="1" applyAlignment="1">
      <alignment horizontal="left" vertical="center"/>
    </xf>
    <xf numFmtId="0" fontId="0" fillId="0" borderId="0" xfId="0" applyBorder="1"/>
    <xf numFmtId="0" fontId="43" fillId="35" borderId="24" xfId="0" applyFont="1" applyFill="1" applyBorder="1" applyAlignment="1">
      <alignment horizontal="left" vertical="top" wrapText="1" indent="1"/>
    </xf>
    <xf numFmtId="0" fontId="43" fillId="35" borderId="25" xfId="0" applyFont="1" applyFill="1" applyBorder="1" applyAlignment="1">
      <alignment horizontal="left" vertical="top" wrapText="1" indent="1"/>
    </xf>
    <xf numFmtId="0" fontId="44" fillId="0" borderId="0" xfId="0" applyFont="1"/>
    <xf numFmtId="0" fontId="43" fillId="35" borderId="0" xfId="0" applyFont="1" applyFill="1" applyBorder="1" applyAlignment="1">
      <alignment horizontal="left" vertical="top" indent="1"/>
    </xf>
    <xf numFmtId="49" fontId="0" fillId="0" borderId="0" xfId="0" applyNumberFormat="1" applyAlignment="1">
      <alignment horizontal="right"/>
    </xf>
    <xf numFmtId="49" fontId="45" fillId="0" borderId="0" xfId="0" applyNumberFormat="1" applyFont="1" applyAlignment="1">
      <alignment horizontal="right"/>
    </xf>
    <xf numFmtId="0" fontId="46" fillId="0" borderId="0" xfId="0" applyFont="1"/>
    <xf numFmtId="0" fontId="47" fillId="0" borderId="0" xfId="0" applyFont="1" applyBorder="1" applyAlignment="1">
      <alignment horizontal="left" vertical="center" indent="3"/>
    </xf>
    <xf numFmtId="0" fontId="6" fillId="3" borderId="6" xfId="0" applyFont="1" applyFill="1" applyBorder="1" applyAlignment="1">
      <alignment horizontal="center"/>
    </xf>
    <xf numFmtId="0" fontId="7" fillId="0" borderId="6" xfId="0" applyFont="1" applyBorder="1" applyAlignment="1">
      <alignment horizontal="center"/>
    </xf>
    <xf numFmtId="0" fontId="6" fillId="0" borderId="6" xfId="0" applyFont="1" applyBorder="1" applyAlignment="1">
      <alignment horizontal="center"/>
    </xf>
    <xf numFmtId="0" fontId="0" fillId="0" borderId="0" xfId="0"/>
    <xf numFmtId="0" fontId="6" fillId="2" borderId="7" xfId="0" applyFont="1" applyFill="1" applyBorder="1" applyAlignment="1">
      <alignment horizontal="left"/>
    </xf>
    <xf numFmtId="164" fontId="6" fillId="2" borderId="8" xfId="0" applyNumberFormat="1" applyFont="1" applyFill="1" applyBorder="1" applyAlignment="1">
      <alignment horizontal="left"/>
    </xf>
    <xf numFmtId="0" fontId="6" fillId="2" borderId="11" xfId="0" applyFont="1" applyFill="1" applyBorder="1" applyAlignment="1">
      <alignment horizontal="left" vertical="center"/>
    </xf>
    <xf numFmtId="164" fontId="6" fillId="2" borderId="1" xfId="0" applyNumberFormat="1" applyFont="1" applyFill="1" applyBorder="1" applyAlignment="1">
      <alignment horizontal="left" vertical="center"/>
    </xf>
    <xf numFmtId="0" fontId="6" fillId="2" borderId="1" xfId="0" applyFont="1" applyFill="1" applyBorder="1" applyAlignment="1">
      <alignment vertical="center"/>
    </xf>
    <xf numFmtId="0" fontId="0" fillId="2" borderId="5" xfId="0" applyFont="1" applyFill="1" applyBorder="1" applyAlignment="1">
      <alignment horizontal="center"/>
    </xf>
    <xf numFmtId="0" fontId="7" fillId="2" borderId="1" xfId="0" applyFont="1" applyFill="1" applyBorder="1" applyAlignment="1">
      <alignment horizontal="right" vertical="top"/>
    </xf>
    <xf numFmtId="164" fontId="0" fillId="2" borderId="3" xfId="0" applyNumberFormat="1" applyFont="1" applyFill="1" applyBorder="1"/>
    <xf numFmtId="1" fontId="0" fillId="2" borderId="5" xfId="0" applyNumberFormat="1" applyFont="1" applyFill="1" applyBorder="1"/>
    <xf numFmtId="0" fontId="6" fillId="2" borderId="0" xfId="0" applyFont="1" applyFill="1" applyBorder="1" applyAlignment="1">
      <alignment horizontal="left"/>
    </xf>
    <xf numFmtId="1" fontId="0" fillId="2" borderId="5" xfId="0" applyNumberFormat="1" applyFont="1" applyFill="1" applyBorder="1" applyAlignment="1">
      <alignment horizontal="right"/>
    </xf>
    <xf numFmtId="0" fontId="15" fillId="0" borderId="4" xfId="0" applyFont="1" applyFill="1" applyBorder="1" applyAlignment="1">
      <alignment horizontal="left" readingOrder="1"/>
    </xf>
    <xf numFmtId="2" fontId="0" fillId="2" borderId="3" xfId="0" applyNumberFormat="1" applyFont="1" applyFill="1" applyBorder="1"/>
    <xf numFmtId="1" fontId="15" fillId="2" borderId="0" xfId="0" applyNumberFormat="1" applyFont="1" applyFill="1" applyBorder="1"/>
    <xf numFmtId="0" fontId="0" fillId="37" borderId="0" xfId="0" applyFill="1"/>
    <xf numFmtId="0" fontId="0" fillId="36" borderId="6" xfId="0" applyFill="1" applyBorder="1"/>
    <xf numFmtId="164" fontId="6" fillId="2" borderId="0" xfId="0" applyNumberFormat="1" applyFont="1" applyFill="1" applyBorder="1"/>
    <xf numFmtId="2" fontId="0" fillId="0" borderId="0" xfId="0" applyNumberFormat="1"/>
    <xf numFmtId="0" fontId="6" fillId="2" borderId="0" xfId="0" applyFont="1" applyFill="1" applyBorder="1" applyAlignment="1">
      <alignment horizontal="center" vertical="center"/>
    </xf>
    <xf numFmtId="0" fontId="37" fillId="0" borderId="0" xfId="0" applyFont="1"/>
    <xf numFmtId="0" fontId="37" fillId="0" borderId="0" xfId="0" applyFont="1" applyAlignment="1">
      <alignment horizontal="center" vertical="center" wrapText="1"/>
    </xf>
    <xf numFmtId="0" fontId="37" fillId="0" borderId="0" xfId="0" applyFont="1" applyAlignment="1">
      <alignment horizontal="center" vertical="center" textRotation="90" wrapText="1"/>
    </xf>
    <xf numFmtId="164" fontId="0" fillId="0" borderId="0" xfId="0" applyNumberFormat="1"/>
    <xf numFmtId="0" fontId="48" fillId="0" borderId="0" xfId="0" applyFont="1"/>
    <xf numFmtId="0" fontId="0" fillId="3" borderId="0" xfId="0" applyFill="1"/>
    <xf numFmtId="0" fontId="6" fillId="36" borderId="0" xfId="0" applyFont="1" applyFill="1" applyBorder="1"/>
    <xf numFmtId="0" fontId="0" fillId="38" borderId="0" xfId="0" applyFill="1"/>
    <xf numFmtId="0" fontId="0" fillId="38" borderId="6" xfId="0" applyFill="1" applyBorder="1"/>
    <xf numFmtId="0" fontId="48" fillId="38" borderId="0" xfId="0" applyFont="1" applyFill="1"/>
    <xf numFmtId="0" fontId="49" fillId="0" borderId="6" xfId="0" applyFont="1" applyBorder="1"/>
    <xf numFmtId="0" fontId="37" fillId="0" borderId="6" xfId="0" applyFont="1" applyBorder="1"/>
    <xf numFmtId="0" fontId="0" fillId="3" borderId="6" xfId="0" applyFill="1" applyBorder="1"/>
    <xf numFmtId="164" fontId="6" fillId="0" borderId="6" xfId="0" applyNumberFormat="1" applyFont="1" applyBorder="1"/>
    <xf numFmtId="0" fontId="37" fillId="0" borderId="14" xfId="0" applyFont="1" applyFill="1" applyBorder="1"/>
    <xf numFmtId="0" fontId="0" fillId="38" borderId="0" xfId="0" applyFill="1" applyBorder="1"/>
    <xf numFmtId="0" fontId="6" fillId="0" borderId="6" xfId="0" applyFont="1" applyBorder="1" applyAlignment="1">
      <alignment horizontal="left"/>
    </xf>
    <xf numFmtId="2" fontId="6" fillId="0" borderId="0" xfId="0" applyNumberFormat="1" applyFont="1" applyBorder="1"/>
    <xf numFmtId="2" fontId="13" fillId="2" borderId="1" xfId="0" applyNumberFormat="1" applyFont="1" applyFill="1" applyBorder="1" applyAlignment="1"/>
    <xf numFmtId="2" fontId="13" fillId="2" borderId="12" xfId="0" applyNumberFormat="1" applyFont="1" applyFill="1" applyBorder="1" applyAlignment="1"/>
    <xf numFmtId="0" fontId="50" fillId="0" borderId="26" xfId="0" applyFont="1" applyBorder="1" applyAlignment="1">
      <alignment horizontal="center"/>
    </xf>
    <xf numFmtId="0" fontId="2" fillId="0" borderId="27" xfId="0" applyFont="1" applyBorder="1" applyAlignment="1">
      <alignment horizontal="center"/>
    </xf>
    <xf numFmtId="0" fontId="51" fillId="0" borderId="0" xfId="0" applyFont="1" applyAlignment="1">
      <alignment horizontal="left"/>
    </xf>
    <xf numFmtId="0" fontId="50" fillId="0" borderId="28" xfId="0" applyFont="1" applyBorder="1"/>
    <xf numFmtId="1" fontId="0" fillId="0" borderId="6" xfId="0" applyNumberFormat="1" applyBorder="1" applyAlignment="1">
      <alignment horizontal="left"/>
    </xf>
    <xf numFmtId="2" fontId="15" fillId="2" borderId="1" xfId="0" applyNumberFormat="1" applyFont="1" applyFill="1" applyBorder="1" applyAlignment="1"/>
    <xf numFmtId="0" fontId="52" fillId="0" borderId="0" xfId="0" applyFont="1" applyAlignment="1">
      <alignment vertical="center"/>
    </xf>
    <xf numFmtId="0" fontId="0" fillId="0" borderId="0" xfId="0" applyAlignment="1">
      <alignment horizontal="center"/>
    </xf>
    <xf numFmtId="3" fontId="6" fillId="0" borderId="6" xfId="0" applyNumberFormat="1" applyFont="1" applyBorder="1"/>
    <xf numFmtId="0" fontId="6" fillId="0" borderId="6" xfId="0" applyFont="1" applyBorder="1"/>
    <xf numFmtId="3" fontId="6" fillId="0" borderId="6" xfId="0" applyNumberFormat="1" applyFont="1" applyBorder="1" applyAlignment="1">
      <alignment horizontal="center"/>
    </xf>
    <xf numFmtId="164" fontId="6" fillId="2" borderId="0" xfId="0" applyNumberFormat="1" applyFont="1" applyFill="1" applyBorder="1" applyAlignment="1">
      <alignment horizontal="left" vertical="top"/>
    </xf>
    <xf numFmtId="0" fontId="6" fillId="0" borderId="0" xfId="0" applyFont="1" applyBorder="1" applyAlignment="1">
      <alignment horizontal="center"/>
    </xf>
    <xf numFmtId="164" fontId="6" fillId="0" borderId="0" xfId="0" applyNumberFormat="1" applyFont="1" applyBorder="1"/>
    <xf numFmtId="164" fontId="6" fillId="0" borderId="0" xfId="0" applyNumberFormat="1" applyFont="1" applyBorder="1" applyAlignment="1">
      <alignment horizontal="center"/>
    </xf>
    <xf numFmtId="0" fontId="6" fillId="3" borderId="0" xfId="0" applyFont="1" applyFill="1" applyBorder="1" applyAlignment="1">
      <alignment horizontal="center"/>
    </xf>
    <xf numFmtId="3" fontId="7" fillId="0" borderId="0" xfId="0" applyNumberFormat="1" applyFont="1" applyBorder="1" applyAlignment="1">
      <alignment horizontal="center"/>
    </xf>
    <xf numFmtId="0" fontId="0" fillId="0" borderId="0" xfId="0" applyFill="1" applyAlignment="1">
      <alignment horizontal="left"/>
    </xf>
    <xf numFmtId="0" fontId="2" fillId="0" borderId="0" xfId="0" applyFont="1" applyAlignment="1">
      <alignment horizontal="center" vertical="center" wrapText="1"/>
    </xf>
    <xf numFmtId="0" fontId="0" fillId="39" borderId="0" xfId="0" applyFill="1"/>
    <xf numFmtId="0" fontId="0" fillId="0" borderId="0" xfId="0" applyFill="1" applyBorder="1"/>
    <xf numFmtId="165" fontId="15" fillId="2" borderId="0" xfId="0" applyNumberFormat="1" applyFont="1" applyFill="1" applyBorder="1" applyAlignment="1"/>
    <xf numFmtId="0" fontId="6" fillId="0" borderId="13" xfId="0" applyFont="1" applyBorder="1"/>
    <xf numFmtId="0" fontId="14" fillId="0" borderId="6" xfId="0" applyFont="1" applyBorder="1"/>
    <xf numFmtId="3" fontId="6" fillId="0" borderId="0" xfId="0" applyNumberFormat="1" applyFont="1" applyBorder="1" applyAlignment="1">
      <alignment horizontal="center"/>
    </xf>
    <xf numFmtId="1" fontId="6" fillId="0" borderId="0" xfId="0" applyNumberFormat="1" applyFont="1" applyBorder="1"/>
    <xf numFmtId="0" fontId="55" fillId="2" borderId="11" xfId="0" applyFont="1" applyFill="1" applyBorder="1" applyAlignment="1">
      <alignment vertical="center"/>
    </xf>
    <xf numFmtId="0" fontId="53" fillId="2" borderId="11" xfId="0" applyFont="1" applyFill="1" applyBorder="1" applyAlignment="1">
      <alignment vertical="center"/>
    </xf>
    <xf numFmtId="0" fontId="55" fillId="2" borderId="2" xfId="0" applyFont="1" applyFill="1" applyBorder="1" applyAlignment="1">
      <alignment vertical="center"/>
    </xf>
    <xf numFmtId="0" fontId="53" fillId="2" borderId="2" xfId="0" applyFont="1" applyFill="1" applyBorder="1" applyAlignment="1">
      <alignment vertical="center"/>
    </xf>
    <xf numFmtId="0" fontId="56" fillId="2" borderId="1" xfId="0" applyFont="1" applyFill="1" applyBorder="1"/>
    <xf numFmtId="0" fontId="56" fillId="2" borderId="8" xfId="0" applyFont="1" applyFill="1" applyBorder="1" applyAlignment="1">
      <alignment vertical="center"/>
    </xf>
    <xf numFmtId="0" fontId="56" fillId="2" borderId="8" xfId="0" applyFont="1" applyFill="1" applyBorder="1"/>
    <xf numFmtId="0" fontId="57" fillId="2" borderId="8" xfId="0" applyFont="1" applyFill="1" applyBorder="1" applyAlignment="1">
      <alignment horizontal="center"/>
    </xf>
    <xf numFmtId="0" fontId="56" fillId="2" borderId="9" xfId="0" applyFont="1" applyFill="1" applyBorder="1"/>
    <xf numFmtId="0" fontId="56" fillId="2" borderId="0" xfId="0" applyFont="1" applyFill="1" applyBorder="1"/>
    <xf numFmtId="0" fontId="56" fillId="2" borderId="0" xfId="0" applyFont="1" applyFill="1" applyBorder="1" applyAlignment="1">
      <alignment vertical="center"/>
    </xf>
    <xf numFmtId="0" fontId="55" fillId="2" borderId="0" xfId="0" applyFont="1" applyFill="1" applyBorder="1"/>
    <xf numFmtId="0" fontId="56" fillId="2" borderId="0" xfId="0" applyFont="1" applyFill="1" applyBorder="1" applyAlignment="1">
      <alignment horizontal="left"/>
    </xf>
    <xf numFmtId="0" fontId="56" fillId="0" borderId="0" xfId="0" applyFont="1" applyBorder="1"/>
    <xf numFmtId="0" fontId="56" fillId="2" borderId="10" xfId="0" applyFont="1" applyFill="1" applyBorder="1"/>
    <xf numFmtId="0" fontId="55" fillId="2" borderId="1" xfId="0" applyFont="1" applyFill="1" applyBorder="1"/>
    <xf numFmtId="2" fontId="58" fillId="2" borderId="1" xfId="0" applyNumberFormat="1" applyFont="1" applyFill="1" applyBorder="1" applyAlignment="1"/>
    <xf numFmtId="2" fontId="58" fillId="2" borderId="12" xfId="0" applyNumberFormat="1" applyFont="1" applyFill="1" applyBorder="1" applyAlignment="1"/>
    <xf numFmtId="0" fontId="56" fillId="2" borderId="0" xfId="0" applyFont="1" applyFill="1" applyBorder="1" applyAlignment="1"/>
    <xf numFmtId="0" fontId="59" fillId="2" borderId="3" xfId="0" applyFont="1" applyFill="1" applyBorder="1" applyAlignment="1">
      <alignment horizontal="left"/>
    </xf>
    <xf numFmtId="0" fontId="56" fillId="2" borderId="4" xfId="0" applyFont="1" applyFill="1" applyBorder="1" applyAlignment="1"/>
    <xf numFmtId="0" fontId="56" fillId="2" borderId="8" xfId="0" applyFont="1" applyFill="1" applyBorder="1" applyAlignment="1"/>
    <xf numFmtId="0" fontId="60" fillId="2" borderId="8" xfId="0" applyFont="1" applyFill="1" applyBorder="1" applyAlignment="1">
      <alignment horizontal="center"/>
    </xf>
    <xf numFmtId="0" fontId="56" fillId="2" borderId="0" xfId="0" applyFont="1" applyFill="1" applyBorder="1" applyAlignment="1">
      <alignment horizontal="left" vertical="top"/>
    </xf>
    <xf numFmtId="0" fontId="56" fillId="2" borderId="7" xfId="0" applyFont="1" applyFill="1" applyBorder="1" applyAlignment="1">
      <alignment horizontal="left"/>
    </xf>
    <xf numFmtId="164" fontId="56" fillId="2" borderId="8" xfId="0" applyNumberFormat="1" applyFont="1" applyFill="1" applyBorder="1" applyAlignment="1">
      <alignment horizontal="left"/>
    </xf>
    <xf numFmtId="0" fontId="55" fillId="2" borderId="7" xfId="0" applyFont="1" applyFill="1" applyBorder="1" applyAlignment="1">
      <alignment vertical="center"/>
    </xf>
    <xf numFmtId="0" fontId="55" fillId="2" borderId="8" xfId="0" applyFont="1" applyFill="1" applyBorder="1" applyAlignment="1">
      <alignment vertical="center"/>
    </xf>
    <xf numFmtId="0" fontId="55" fillId="2" borderId="8" xfId="0" applyFont="1" applyFill="1" applyBorder="1" applyAlignment="1"/>
    <xf numFmtId="0" fontId="56" fillId="2" borderId="11" xfId="0" applyFont="1" applyFill="1" applyBorder="1" applyAlignment="1">
      <alignment horizontal="left" vertical="center"/>
    </xf>
    <xf numFmtId="0" fontId="55" fillId="2" borderId="1" xfId="0" applyFont="1" applyFill="1" applyBorder="1" applyAlignment="1">
      <alignment vertical="center"/>
    </xf>
    <xf numFmtId="164" fontId="56" fillId="2" borderId="1" xfId="0" applyNumberFormat="1" applyFont="1" applyFill="1" applyBorder="1" applyAlignment="1">
      <alignment horizontal="left" vertical="center"/>
    </xf>
    <xf numFmtId="0" fontId="56" fillId="2" borderId="1" xfId="0" applyFont="1" applyFill="1" applyBorder="1" applyAlignment="1">
      <alignment vertical="center"/>
    </xf>
    <xf numFmtId="0" fontId="62" fillId="2" borderId="1" xfId="0" applyFont="1" applyFill="1" applyBorder="1" applyAlignment="1">
      <alignment horizontal="left" vertical="center" readingOrder="1"/>
    </xf>
    <xf numFmtId="0" fontId="63" fillId="2" borderId="11" xfId="0" applyFont="1" applyFill="1" applyBorder="1" applyAlignment="1">
      <alignment vertical="center"/>
    </xf>
    <xf numFmtId="0" fontId="64" fillId="2" borderId="1" xfId="0" applyFont="1" applyFill="1" applyBorder="1" applyAlignment="1">
      <alignment horizontal="left" vertical="center"/>
    </xf>
    <xf numFmtId="0" fontId="64" fillId="2" borderId="1" xfId="0" applyFont="1" applyFill="1" applyBorder="1" applyAlignment="1">
      <alignment vertical="center"/>
    </xf>
    <xf numFmtId="0" fontId="64" fillId="2" borderId="12" xfId="0" applyFont="1" applyFill="1" applyBorder="1" applyAlignment="1">
      <alignment vertical="center"/>
    </xf>
    <xf numFmtId="0" fontId="63" fillId="2" borderId="11" xfId="0" applyFont="1" applyFill="1" applyBorder="1" applyAlignment="1">
      <alignment horizontal="left" vertical="center"/>
    </xf>
    <xf numFmtId="0" fontId="64" fillId="2" borderId="1" xfId="0" applyFont="1" applyFill="1" applyBorder="1" applyAlignment="1">
      <alignment horizontal="left" vertical="top"/>
    </xf>
    <xf numFmtId="0" fontId="55" fillId="2" borderId="1" xfId="0" applyFont="1" applyFill="1" applyBorder="1" applyAlignment="1">
      <alignment horizontal="left" vertical="top"/>
    </xf>
    <xf numFmtId="0" fontId="56" fillId="2" borderId="1" xfId="0" applyFont="1" applyFill="1" applyBorder="1" applyAlignment="1">
      <alignment horizontal="left" vertical="top"/>
    </xf>
    <xf numFmtId="0" fontId="56" fillId="2" borderId="12" xfId="0" applyFont="1" applyFill="1" applyBorder="1" applyAlignment="1">
      <alignment horizontal="left" vertical="top"/>
    </xf>
    <xf numFmtId="0" fontId="65" fillId="2" borderId="3" xfId="0" applyFont="1" applyFill="1" applyBorder="1" applyAlignment="1">
      <alignment horizontal="left" vertical="center"/>
    </xf>
    <xf numFmtId="0" fontId="66" fillId="2" borderId="4" xfId="0" applyFont="1" applyFill="1" applyBorder="1" applyAlignment="1">
      <alignment vertical="center"/>
    </xf>
    <xf numFmtId="0" fontId="66" fillId="2" borderId="4" xfId="0" applyFont="1" applyFill="1" applyBorder="1" applyAlignment="1">
      <alignment horizontal="left" vertical="center"/>
    </xf>
    <xf numFmtId="0" fontId="63" fillId="2" borderId="3" xfId="0" applyFont="1" applyFill="1" applyBorder="1" applyAlignment="1">
      <alignment vertical="center"/>
    </xf>
    <xf numFmtId="0" fontId="64" fillId="2" borderId="4" xfId="0" applyFont="1" applyFill="1" applyBorder="1" applyAlignment="1">
      <alignment horizontal="left" vertical="center"/>
    </xf>
    <xf numFmtId="0" fontId="64" fillId="2" borderId="5" xfId="0" applyFont="1" applyFill="1" applyBorder="1" applyAlignment="1">
      <alignment horizontal="left" vertical="center"/>
    </xf>
    <xf numFmtId="0" fontId="64" fillId="2" borderId="4" xfId="0" applyFont="1" applyFill="1" applyBorder="1" applyAlignment="1">
      <alignment horizontal="left" vertical="top"/>
    </xf>
    <xf numFmtId="0" fontId="55" fillId="2" borderId="4" xfId="0" applyFont="1" applyFill="1" applyBorder="1" applyAlignment="1">
      <alignment horizontal="left" vertical="top"/>
    </xf>
    <xf numFmtId="0" fontId="56" fillId="2" borderId="4" xfId="0" applyFont="1" applyFill="1" applyBorder="1" applyAlignment="1">
      <alignment horizontal="left" vertical="top"/>
    </xf>
    <xf numFmtId="0" fontId="56" fillId="2" borderId="5" xfId="0" applyFont="1" applyFill="1" applyBorder="1" applyAlignment="1">
      <alignment horizontal="left" vertical="top"/>
    </xf>
    <xf numFmtId="0" fontId="67" fillId="2" borderId="8" xfId="0" applyFont="1" applyFill="1" applyBorder="1" applyAlignment="1">
      <alignment vertical="center"/>
    </xf>
    <xf numFmtId="0" fontId="67" fillId="2" borderId="9" xfId="0" applyFont="1" applyFill="1" applyBorder="1" applyAlignment="1">
      <alignment vertical="center"/>
    </xf>
    <xf numFmtId="0" fontId="56" fillId="2" borderId="0" xfId="0" applyFont="1" applyFill="1" applyBorder="1" applyAlignment="1">
      <alignment horizontal="right" vertical="top"/>
    </xf>
    <xf numFmtId="0" fontId="55" fillId="2" borderId="11" xfId="0" applyFont="1" applyFill="1" applyBorder="1"/>
    <xf numFmtId="0" fontId="56" fillId="2" borderId="12" xfId="0" applyFont="1" applyFill="1" applyBorder="1"/>
    <xf numFmtId="0" fontId="55" fillId="2" borderId="12" xfId="0" applyFont="1" applyFill="1" applyBorder="1" applyAlignment="1">
      <alignment horizontal="right" vertical="top"/>
    </xf>
    <xf numFmtId="0" fontId="55" fillId="2" borderId="1" xfId="0" applyFont="1" applyFill="1" applyBorder="1" applyAlignment="1">
      <alignment horizontal="right" vertical="top"/>
    </xf>
    <xf numFmtId="0" fontId="56" fillId="2" borderId="11" xfId="0" applyFont="1" applyFill="1" applyBorder="1" applyAlignment="1">
      <alignment horizontal="right" vertical="top"/>
    </xf>
    <xf numFmtId="0" fontId="68" fillId="2" borderId="3" xfId="0" applyFont="1" applyFill="1" applyBorder="1"/>
    <xf numFmtId="0" fontId="68" fillId="2" borderId="4" xfId="0" applyFont="1" applyFill="1" applyBorder="1"/>
    <xf numFmtId="0" fontId="56" fillId="2" borderId="4" xfId="0" applyFont="1" applyFill="1" applyBorder="1"/>
    <xf numFmtId="0" fontId="56" fillId="2" borderId="5" xfId="0" applyFont="1" applyFill="1" applyBorder="1"/>
    <xf numFmtId="0" fontId="56" fillId="2" borderId="3" xfId="0" applyFont="1" applyFill="1" applyBorder="1"/>
    <xf numFmtId="165" fontId="69" fillId="2" borderId="5" xfId="0" applyNumberFormat="1" applyFont="1" applyFill="1" applyBorder="1"/>
    <xf numFmtId="165" fontId="69" fillId="2" borderId="3" xfId="0" applyNumberFormat="1" applyFont="1" applyFill="1" applyBorder="1"/>
    <xf numFmtId="165" fontId="69" fillId="2" borderId="3" xfId="0" applyNumberFormat="1" applyFont="1" applyFill="1" applyBorder="1" applyAlignment="1">
      <alignment horizontal="left"/>
    </xf>
    <xf numFmtId="165" fontId="56" fillId="2" borderId="3" xfId="0" applyNumberFormat="1" applyFont="1" applyFill="1" applyBorder="1"/>
    <xf numFmtId="0" fontId="68" fillId="2" borderId="7" xfId="0" applyFont="1" applyFill="1" applyBorder="1"/>
    <xf numFmtId="0" fontId="68" fillId="2" borderId="8" xfId="0" applyFont="1" applyFill="1" applyBorder="1"/>
    <xf numFmtId="0" fontId="56" fillId="2" borderId="8" xfId="0" applyFont="1" applyFill="1" applyBorder="1" applyAlignment="1">
      <alignment horizontal="left" vertical="center"/>
    </xf>
    <xf numFmtId="0" fontId="56" fillId="2" borderId="9" xfId="0" applyFont="1" applyFill="1" applyBorder="1" applyAlignment="1">
      <alignment horizontal="left" vertical="center"/>
    </xf>
    <xf numFmtId="0" fontId="62" fillId="2" borderId="0" xfId="0" applyFont="1" applyFill="1" applyBorder="1" applyAlignment="1">
      <alignment horizontal="right" readingOrder="1"/>
    </xf>
    <xf numFmtId="0" fontId="70" fillId="2" borderId="4" xfId="0" applyFont="1" applyFill="1" applyBorder="1" applyAlignment="1">
      <alignment vertical="center"/>
    </xf>
    <xf numFmtId="0" fontId="67" fillId="2" borderId="4" xfId="0" applyFont="1" applyFill="1" applyBorder="1" applyAlignment="1">
      <alignment vertical="center"/>
    </xf>
    <xf numFmtId="0" fontId="56" fillId="2" borderId="4" xfId="0" applyFont="1" applyFill="1" applyBorder="1" applyAlignment="1">
      <alignment horizontal="left" vertical="center"/>
    </xf>
    <xf numFmtId="0" fontId="56" fillId="2" borderId="5" xfId="0" applyFont="1" applyFill="1" applyBorder="1" applyAlignment="1">
      <alignment horizontal="left" vertical="center"/>
    </xf>
    <xf numFmtId="0" fontId="70" fillId="2" borderId="4" xfId="0" applyFont="1" applyFill="1" applyBorder="1" applyAlignment="1">
      <alignment horizontal="left" vertical="center" readingOrder="1"/>
    </xf>
    <xf numFmtId="0" fontId="67" fillId="2" borderId="4" xfId="0" applyFont="1" applyFill="1" applyBorder="1" applyAlignment="1">
      <alignment horizontal="left" vertical="center" readingOrder="1"/>
    </xf>
    <xf numFmtId="0" fontId="67" fillId="2" borderId="4" xfId="0" applyFont="1" applyFill="1" applyBorder="1" applyAlignment="1">
      <alignment horizontal="right" vertical="center" readingOrder="1"/>
    </xf>
    <xf numFmtId="0" fontId="56" fillId="2" borderId="5" xfId="0" applyFont="1" applyFill="1" applyBorder="1" applyAlignment="1">
      <alignment vertical="center"/>
    </xf>
    <xf numFmtId="0" fontId="71" fillId="0" borderId="4" xfId="0" applyFont="1" applyFill="1" applyBorder="1" applyAlignment="1">
      <alignment horizontal="left" readingOrder="1"/>
    </xf>
    <xf numFmtId="165" fontId="69" fillId="2" borderId="5" xfId="0" applyNumberFormat="1" applyFont="1" applyFill="1" applyBorder="1" applyAlignment="1">
      <alignment horizontal="center"/>
    </xf>
    <xf numFmtId="0" fontId="68" fillId="2" borderId="4" xfId="0" applyFont="1" applyFill="1" applyBorder="1" applyAlignment="1">
      <alignment horizontal="left" vertical="top"/>
    </xf>
    <xf numFmtId="165" fontId="69" fillId="2" borderId="5" xfId="0" applyNumberFormat="1" applyFont="1" applyFill="1" applyBorder="1" applyAlignment="1">
      <alignment horizontal="right"/>
    </xf>
    <xf numFmtId="0" fontId="68" fillId="2" borderId="7" xfId="0" applyFont="1" applyFill="1" applyBorder="1" applyAlignment="1">
      <alignment horizontal="left" vertical="top"/>
    </xf>
    <xf numFmtId="0" fontId="68" fillId="2" borderId="8" xfId="0" applyFont="1" applyFill="1" applyBorder="1" applyAlignment="1">
      <alignment horizontal="left" vertical="top"/>
    </xf>
    <xf numFmtId="0" fontId="56" fillId="2" borderId="8" xfId="0" applyFont="1" applyFill="1" applyBorder="1" applyAlignment="1">
      <alignment horizontal="left" vertical="top"/>
    </xf>
    <xf numFmtId="0" fontId="56" fillId="2" borderId="9" xfId="0" applyFont="1" applyFill="1" applyBorder="1" applyAlignment="1">
      <alignment horizontal="left" vertical="top"/>
    </xf>
    <xf numFmtId="0" fontId="72" fillId="2" borderId="3" xfId="0" applyFont="1" applyFill="1" applyBorder="1"/>
    <xf numFmtId="0" fontId="62" fillId="2" borderId="0" xfId="0" applyFont="1" applyFill="1" applyBorder="1" applyAlignment="1">
      <alignment readingOrder="1"/>
    </xf>
    <xf numFmtId="0" fontId="56" fillId="2" borderId="4" xfId="0" quotePrefix="1" applyFont="1" applyFill="1" applyBorder="1" applyAlignment="1"/>
    <xf numFmtId="1" fontId="56" fillId="2" borderId="4" xfId="0" applyNumberFormat="1" applyFont="1" applyFill="1" applyBorder="1" applyAlignment="1">
      <alignment horizontal="left"/>
    </xf>
    <xf numFmtId="0" fontId="69" fillId="2" borderId="5" xfId="0" applyFont="1" applyFill="1" applyBorder="1"/>
    <xf numFmtId="164" fontId="69" fillId="2" borderId="3" xfId="0" applyNumberFormat="1" applyFont="1" applyFill="1" applyBorder="1"/>
    <xf numFmtId="0" fontId="69" fillId="2" borderId="3" xfId="0" applyFont="1" applyFill="1" applyBorder="1"/>
    <xf numFmtId="0" fontId="69" fillId="2" borderId="5" xfId="0" applyFont="1" applyFill="1" applyBorder="1" applyAlignment="1">
      <alignment horizontal="center"/>
    </xf>
    <xf numFmtId="0" fontId="69" fillId="2" borderId="5" xfId="0" applyFont="1" applyFill="1" applyBorder="1" applyAlignment="1">
      <alignment horizontal="right"/>
    </xf>
    <xf numFmtId="0" fontId="56" fillId="2" borderId="0" xfId="0" applyFont="1" applyFill="1" applyBorder="1" applyAlignment="1">
      <alignment horizontal="center" vertical="center"/>
    </xf>
    <xf numFmtId="0" fontId="56" fillId="2" borderId="0" xfId="0" applyFont="1" applyFill="1" applyBorder="1" applyAlignment="1">
      <alignment horizontal="left" vertical="center"/>
    </xf>
    <xf numFmtId="0" fontId="71" fillId="2" borderId="0" xfId="0" applyFont="1" applyFill="1" applyBorder="1"/>
    <xf numFmtId="0" fontId="71" fillId="2" borderId="0" xfId="0" applyFont="1" applyFill="1" applyBorder="1" applyAlignment="1">
      <alignment horizontal="right"/>
    </xf>
    <xf numFmtId="0" fontId="74" fillId="2" borderId="8" xfId="0" applyFont="1" applyFill="1" applyBorder="1" applyAlignment="1">
      <alignment vertical="center"/>
    </xf>
    <xf numFmtId="0" fontId="74" fillId="2" borderId="8" xfId="0" applyFont="1" applyFill="1" applyBorder="1"/>
    <xf numFmtId="0" fontId="75" fillId="2" borderId="8" xfId="0" applyFont="1" applyFill="1" applyBorder="1" applyAlignment="1">
      <alignment horizontal="center"/>
    </xf>
    <xf numFmtId="0" fontId="74" fillId="2" borderId="9" xfId="0" applyFont="1" applyFill="1" applyBorder="1"/>
    <xf numFmtId="0" fontId="73" fillId="2" borderId="2" xfId="0" applyFont="1" applyFill="1" applyBorder="1" applyAlignment="1">
      <alignment vertical="center"/>
    </xf>
    <xf numFmtId="0" fontId="74" fillId="2" borderId="0" xfId="0" applyFont="1" applyFill="1" applyBorder="1"/>
    <xf numFmtId="0" fontId="74" fillId="2" borderId="0" xfId="0" applyFont="1" applyFill="1" applyBorder="1" applyAlignment="1">
      <alignment vertical="center"/>
    </xf>
    <xf numFmtId="0" fontId="73" fillId="2" borderId="0" xfId="0" applyFont="1" applyFill="1" applyBorder="1"/>
    <xf numFmtId="0" fontId="74" fillId="2" borderId="0" xfId="0" applyFont="1" applyFill="1" applyBorder="1" applyAlignment="1">
      <alignment horizontal="left"/>
    </xf>
    <xf numFmtId="3" fontId="74" fillId="2" borderId="0" xfId="0" applyNumberFormat="1" applyFont="1" applyFill="1" applyBorder="1"/>
    <xf numFmtId="0" fontId="74" fillId="0" borderId="0" xfId="0" applyFont="1" applyBorder="1"/>
    <xf numFmtId="0" fontId="74" fillId="2" borderId="10" xfId="0" applyFont="1" applyFill="1" applyBorder="1"/>
    <xf numFmtId="0" fontId="73" fillId="2" borderId="11" xfId="0" applyFont="1" applyFill="1" applyBorder="1" applyAlignment="1">
      <alignment vertical="center"/>
    </xf>
    <xf numFmtId="0" fontId="73" fillId="2" borderId="1" xfId="0" applyFont="1" applyFill="1" applyBorder="1"/>
    <xf numFmtId="0" fontId="74" fillId="2" borderId="1" xfId="0" applyFont="1" applyFill="1" applyBorder="1"/>
    <xf numFmtId="2" fontId="76" fillId="2" borderId="1" xfId="0" applyNumberFormat="1" applyFont="1" applyFill="1" applyBorder="1" applyAlignment="1"/>
    <xf numFmtId="2" fontId="77" fillId="2" borderId="1" xfId="0" applyNumberFormat="1" applyFont="1" applyFill="1" applyBorder="1" applyAlignment="1"/>
    <xf numFmtId="2" fontId="77" fillId="2" borderId="12" xfId="0" applyNumberFormat="1" applyFont="1" applyFill="1" applyBorder="1" applyAlignment="1"/>
    <xf numFmtId="0" fontId="78" fillId="2" borderId="3" xfId="0" applyFont="1" applyFill="1" applyBorder="1" applyAlignment="1">
      <alignment horizontal="left"/>
    </xf>
    <xf numFmtId="0" fontId="74" fillId="2" borderId="4" xfId="0" applyFont="1" applyFill="1" applyBorder="1" applyAlignment="1"/>
    <xf numFmtId="0" fontId="74" fillId="2" borderId="7" xfId="0" applyFont="1" applyFill="1" applyBorder="1" applyAlignment="1"/>
    <xf numFmtId="0" fontId="74" fillId="2" borderId="8" xfId="0" applyFont="1" applyFill="1" applyBorder="1" applyAlignment="1"/>
    <xf numFmtId="0" fontId="79" fillId="2" borderId="8" xfId="0" applyFont="1" applyFill="1" applyBorder="1" applyAlignment="1">
      <alignment horizontal="center"/>
    </xf>
    <xf numFmtId="0" fontId="74" fillId="2" borderId="7" xfId="0" applyFont="1" applyFill="1" applyBorder="1"/>
    <xf numFmtId="0" fontId="80" fillId="2" borderId="8" xfId="0" applyFont="1" applyFill="1" applyBorder="1" applyAlignment="1">
      <alignment horizontal="center"/>
    </xf>
    <xf numFmtId="0" fontId="74" fillId="2" borderId="7" xfId="0" applyFont="1" applyFill="1" applyBorder="1" applyAlignment="1">
      <alignment horizontal="left"/>
    </xf>
    <xf numFmtId="164" fontId="74" fillId="2" borderId="8" xfId="0" applyNumberFormat="1" applyFont="1" applyFill="1" applyBorder="1" applyAlignment="1">
      <alignment horizontal="left"/>
    </xf>
    <xf numFmtId="0" fontId="73" fillId="2" borderId="7" xfId="0" applyFont="1" applyFill="1" applyBorder="1" applyAlignment="1">
      <alignment vertical="center"/>
    </xf>
    <xf numFmtId="0" fontId="73" fillId="2" borderId="8" xfId="0" applyFont="1" applyFill="1" applyBorder="1" applyAlignment="1">
      <alignment vertical="center"/>
    </xf>
    <xf numFmtId="0" fontId="73" fillId="2" borderId="9" xfId="0" applyFont="1" applyFill="1" applyBorder="1" applyAlignment="1">
      <alignment vertical="center"/>
    </xf>
    <xf numFmtId="0" fontId="73" fillId="2" borderId="8" xfId="0" applyFont="1" applyFill="1" applyBorder="1" applyAlignment="1"/>
    <xf numFmtId="0" fontId="74" fillId="2" borderId="9" xfId="0" applyFont="1" applyFill="1" applyBorder="1" applyAlignment="1"/>
    <xf numFmtId="0" fontId="74" fillId="2" borderId="0" xfId="0" applyFont="1" applyFill="1" applyBorder="1" applyAlignment="1"/>
    <xf numFmtId="0" fontId="74" fillId="2" borderId="11" xfId="0" applyFont="1" applyFill="1" applyBorder="1" applyAlignment="1">
      <alignment horizontal="left" vertical="center"/>
    </xf>
    <xf numFmtId="0" fontId="73" fillId="2" borderId="1" xfId="0" applyFont="1" applyFill="1" applyBorder="1" applyAlignment="1">
      <alignment vertical="center"/>
    </xf>
    <xf numFmtId="164" fontId="74" fillId="2" borderId="1" xfId="0" applyNumberFormat="1" applyFont="1" applyFill="1" applyBorder="1" applyAlignment="1">
      <alignment horizontal="left" vertical="center"/>
    </xf>
    <xf numFmtId="0" fontId="74" fillId="2" borderId="1" xfId="0" applyFont="1" applyFill="1" applyBorder="1" applyAlignment="1">
      <alignment vertical="center"/>
    </xf>
    <xf numFmtId="0" fontId="81" fillId="2" borderId="1" xfId="0" applyFont="1" applyFill="1" applyBorder="1" applyAlignment="1">
      <alignment horizontal="left" vertical="center" readingOrder="1"/>
    </xf>
    <xf numFmtId="0" fontId="82" fillId="2" borderId="11" xfId="0" applyFont="1" applyFill="1" applyBorder="1" applyAlignment="1">
      <alignment vertical="center"/>
    </xf>
    <xf numFmtId="0" fontId="83" fillId="2" borderId="1" xfId="0" applyFont="1" applyFill="1" applyBorder="1" applyAlignment="1">
      <alignment horizontal="left" vertical="center"/>
    </xf>
    <xf numFmtId="0" fontId="83" fillId="2" borderId="1" xfId="0" applyFont="1" applyFill="1" applyBorder="1" applyAlignment="1">
      <alignment vertical="center"/>
    </xf>
    <xf numFmtId="0" fontId="83" fillId="2" borderId="12" xfId="0" applyFont="1" applyFill="1" applyBorder="1" applyAlignment="1">
      <alignment vertical="center"/>
    </xf>
    <xf numFmtId="0" fontId="82" fillId="2" borderId="11" xfId="0" applyFont="1" applyFill="1" applyBorder="1" applyAlignment="1">
      <alignment horizontal="left" vertical="center"/>
    </xf>
    <xf numFmtId="0" fontId="83" fillId="2" borderId="1" xfId="0" applyFont="1" applyFill="1" applyBorder="1" applyAlignment="1">
      <alignment horizontal="left" vertical="top"/>
    </xf>
    <xf numFmtId="0" fontId="73" fillId="2" borderId="1" xfId="0" applyFont="1" applyFill="1" applyBorder="1" applyAlignment="1">
      <alignment horizontal="left" vertical="top"/>
    </xf>
    <xf numFmtId="0" fontId="74" fillId="2" borderId="1" xfId="0" applyFont="1" applyFill="1" applyBorder="1" applyAlignment="1">
      <alignment horizontal="left" vertical="top"/>
    </xf>
    <xf numFmtId="0" fontId="74" fillId="2" borderId="12" xfId="0" applyFont="1" applyFill="1" applyBorder="1" applyAlignment="1">
      <alignment horizontal="left" vertical="top"/>
    </xf>
    <xf numFmtId="0" fontId="74" fillId="2" borderId="0" xfId="0" applyFont="1" applyFill="1" applyBorder="1" applyAlignment="1">
      <alignment horizontal="left" vertical="top"/>
    </xf>
    <xf numFmtId="0" fontId="84" fillId="2" borderId="3" xfId="0" applyFont="1" applyFill="1" applyBorder="1" applyAlignment="1">
      <alignment horizontal="left" vertical="center"/>
    </xf>
    <xf numFmtId="0" fontId="85" fillId="2" borderId="4" xfId="0" applyFont="1" applyFill="1" applyBorder="1" applyAlignment="1">
      <alignment vertical="center"/>
    </xf>
    <xf numFmtId="0" fontId="85" fillId="2" borderId="4" xfId="0" applyFont="1" applyFill="1" applyBorder="1" applyAlignment="1">
      <alignment horizontal="left" vertical="center"/>
    </xf>
    <xf numFmtId="0" fontId="82" fillId="2" borderId="3" xfId="0" applyFont="1" applyFill="1" applyBorder="1" applyAlignment="1">
      <alignment vertical="center"/>
    </xf>
    <xf numFmtId="0" fontId="83" fillId="2" borderId="4" xfId="0" applyFont="1" applyFill="1" applyBorder="1" applyAlignment="1">
      <alignment horizontal="left" vertical="center"/>
    </xf>
    <xf numFmtId="0" fontId="83" fillId="2" borderId="5" xfId="0" applyFont="1" applyFill="1" applyBorder="1" applyAlignment="1">
      <alignment horizontal="left" vertical="center"/>
    </xf>
    <xf numFmtId="0" fontId="83" fillId="2" borderId="4" xfId="0" applyFont="1" applyFill="1" applyBorder="1" applyAlignment="1">
      <alignment horizontal="left" vertical="top"/>
    </xf>
    <xf numFmtId="0" fontId="73" fillId="2" borderId="4" xfId="0" applyFont="1" applyFill="1" applyBorder="1" applyAlignment="1">
      <alignment horizontal="left" vertical="top"/>
    </xf>
    <xf numFmtId="0" fontId="74" fillId="2" borderId="4" xfId="0" applyFont="1" applyFill="1" applyBorder="1" applyAlignment="1">
      <alignment horizontal="left" vertical="top"/>
    </xf>
    <xf numFmtId="0" fontId="74" fillId="2" borderId="5" xfId="0" applyFont="1" applyFill="1" applyBorder="1" applyAlignment="1">
      <alignment horizontal="left" vertical="top"/>
    </xf>
    <xf numFmtId="0" fontId="78" fillId="2" borderId="7" xfId="0" applyFont="1" applyFill="1" applyBorder="1" applyAlignment="1">
      <alignment vertical="center"/>
    </xf>
    <xf numFmtId="0" fontId="86" fillId="2" borderId="8" xfId="0" applyFont="1" applyFill="1" applyBorder="1" applyAlignment="1">
      <alignment vertical="center"/>
    </xf>
    <xf numFmtId="0" fontId="86" fillId="2" borderId="9" xfId="0" applyFont="1" applyFill="1" applyBorder="1" applyAlignment="1">
      <alignment vertical="center"/>
    </xf>
    <xf numFmtId="0" fontId="74" fillId="2" borderId="2" xfId="0" applyFont="1" applyFill="1" applyBorder="1"/>
    <xf numFmtId="0" fontId="74" fillId="2" borderId="10" xfId="0" applyFont="1" applyFill="1" applyBorder="1" applyAlignment="1">
      <alignment horizontal="right"/>
    </xf>
    <xf numFmtId="0" fontId="74" fillId="2" borderId="2" xfId="0" applyFont="1" applyFill="1" applyBorder="1" applyAlignment="1">
      <alignment horizontal="right" vertical="top"/>
    </xf>
    <xf numFmtId="0" fontId="74" fillId="2" borderId="2" xfId="0" applyFont="1" applyFill="1" applyBorder="1" applyAlignment="1">
      <alignment horizontal="right" vertical="center"/>
    </xf>
    <xf numFmtId="0" fontId="73" fillId="2" borderId="10" xfId="0" applyFont="1" applyFill="1" applyBorder="1" applyAlignment="1">
      <alignment horizontal="right"/>
    </xf>
    <xf numFmtId="0" fontId="74" fillId="2" borderId="0" xfId="0" applyFont="1" applyFill="1" applyBorder="1" applyAlignment="1">
      <alignment horizontal="right" vertical="top"/>
    </xf>
    <xf numFmtId="0" fontId="73" fillId="2" borderId="11" xfId="0" applyFont="1" applyFill="1" applyBorder="1"/>
    <xf numFmtId="0" fontId="74" fillId="2" borderId="12" xfId="0" applyFont="1" applyFill="1" applyBorder="1"/>
    <xf numFmtId="0" fontId="74" fillId="2" borderId="11" xfId="0" applyFont="1" applyFill="1" applyBorder="1"/>
    <xf numFmtId="0" fontId="73" fillId="2" borderId="12" xfId="0" applyFont="1" applyFill="1" applyBorder="1" applyAlignment="1">
      <alignment horizontal="right" vertical="top"/>
    </xf>
    <xf numFmtId="0" fontId="73" fillId="2" borderId="1" xfId="0" applyFont="1" applyFill="1" applyBorder="1" applyAlignment="1">
      <alignment horizontal="right" vertical="top"/>
    </xf>
    <xf numFmtId="0" fontId="74" fillId="2" borderId="11" xfId="0" applyFont="1" applyFill="1" applyBorder="1" applyAlignment="1">
      <alignment horizontal="right" vertical="top"/>
    </xf>
    <xf numFmtId="0" fontId="87" fillId="2" borderId="3" xfId="0" applyFont="1" applyFill="1" applyBorder="1"/>
    <xf numFmtId="0" fontId="87" fillId="2" borderId="4" xfId="0" applyFont="1" applyFill="1" applyBorder="1"/>
    <xf numFmtId="0" fontId="74" fillId="2" borderId="4" xfId="0" applyFont="1" applyFill="1" applyBorder="1"/>
    <xf numFmtId="0" fontId="74" fillId="2" borderId="5" xfId="0" applyFont="1" applyFill="1" applyBorder="1"/>
    <xf numFmtId="165" fontId="74" fillId="2" borderId="3" xfId="0" applyNumberFormat="1" applyFont="1" applyFill="1" applyBorder="1"/>
    <xf numFmtId="165" fontId="88" fillId="2" borderId="5" xfId="0" applyNumberFormat="1" applyFont="1" applyFill="1" applyBorder="1"/>
    <xf numFmtId="165" fontId="88" fillId="2" borderId="3" xfId="0" applyNumberFormat="1" applyFont="1" applyFill="1" applyBorder="1"/>
    <xf numFmtId="0" fontId="87" fillId="2" borderId="7" xfId="0" applyFont="1" applyFill="1" applyBorder="1"/>
    <xf numFmtId="0" fontId="87" fillId="2" borderId="8" xfId="0" applyFont="1" applyFill="1" applyBorder="1"/>
    <xf numFmtId="0" fontId="74" fillId="2" borderId="8" xfId="0" applyFont="1" applyFill="1" applyBorder="1" applyAlignment="1">
      <alignment horizontal="left" vertical="center"/>
    </xf>
    <xf numFmtId="0" fontId="74" fillId="2" borderId="9" xfId="0" applyFont="1" applyFill="1" applyBorder="1" applyAlignment="1">
      <alignment horizontal="left" vertical="center"/>
    </xf>
    <xf numFmtId="0" fontId="89" fillId="2" borderId="4" xfId="0" applyFont="1" applyFill="1" applyBorder="1" applyAlignment="1">
      <alignment vertical="center"/>
    </xf>
    <xf numFmtId="0" fontId="86" fillId="2" borderId="4" xfId="0" applyFont="1" applyFill="1" applyBorder="1" applyAlignment="1">
      <alignment vertical="center"/>
    </xf>
    <xf numFmtId="0" fontId="74" fillId="2" borderId="4" xfId="0" applyFont="1" applyFill="1" applyBorder="1" applyAlignment="1">
      <alignment horizontal="left" vertical="center"/>
    </xf>
    <xf numFmtId="0" fontId="74" fillId="2" borderId="5" xfId="0" applyFont="1" applyFill="1" applyBorder="1" applyAlignment="1">
      <alignment horizontal="left" vertical="center"/>
    </xf>
    <xf numFmtId="0" fontId="89" fillId="2" borderId="4" xfId="0" applyFont="1" applyFill="1" applyBorder="1" applyAlignment="1">
      <alignment horizontal="left" vertical="center" readingOrder="1"/>
    </xf>
    <xf numFmtId="0" fontId="86" fillId="2" borderId="4" xfId="0" applyFont="1" applyFill="1" applyBorder="1" applyAlignment="1">
      <alignment horizontal="left" vertical="center" readingOrder="1"/>
    </xf>
    <xf numFmtId="0" fontId="86" fillId="2" borderId="4" xfId="0" applyFont="1" applyFill="1" applyBorder="1" applyAlignment="1">
      <alignment horizontal="right" vertical="center" readingOrder="1"/>
    </xf>
    <xf numFmtId="0" fontId="74" fillId="2" borderId="5" xfId="0" applyFont="1" applyFill="1" applyBorder="1" applyAlignment="1">
      <alignment vertical="center"/>
    </xf>
    <xf numFmtId="0" fontId="81" fillId="2" borderId="0" xfId="0" applyFont="1" applyFill="1" applyBorder="1" applyAlignment="1">
      <alignment horizontal="right" readingOrder="1"/>
    </xf>
    <xf numFmtId="0" fontId="73" fillId="2" borderId="5" xfId="0" applyFont="1" applyFill="1" applyBorder="1" applyAlignment="1">
      <alignment vertical="center"/>
    </xf>
    <xf numFmtId="0" fontId="76" fillId="0" borderId="4" xfId="0" applyFont="1" applyFill="1" applyBorder="1" applyAlignment="1">
      <alignment horizontal="left" readingOrder="1"/>
    </xf>
    <xf numFmtId="165" fontId="88" fillId="2" borderId="5" xfId="0" applyNumberFormat="1" applyFont="1" applyFill="1" applyBorder="1" applyAlignment="1">
      <alignment horizontal="center"/>
    </xf>
    <xf numFmtId="0" fontId="87" fillId="2" borderId="4" xfId="0" applyFont="1" applyFill="1" applyBorder="1" applyAlignment="1">
      <alignment horizontal="left" vertical="top"/>
    </xf>
    <xf numFmtId="165" fontId="88" fillId="2" borderId="5" xfId="0" applyNumberFormat="1" applyFont="1" applyFill="1" applyBorder="1" applyAlignment="1">
      <alignment horizontal="right"/>
    </xf>
    <xf numFmtId="0" fontId="87" fillId="2" borderId="7" xfId="0" applyFont="1" applyFill="1" applyBorder="1" applyAlignment="1">
      <alignment horizontal="left" vertical="top"/>
    </xf>
    <xf numFmtId="0" fontId="87" fillId="2" borderId="8" xfId="0" applyFont="1" applyFill="1" applyBorder="1" applyAlignment="1">
      <alignment horizontal="left" vertical="top"/>
    </xf>
    <xf numFmtId="0" fontId="74" fillId="2" borderId="8" xfId="0" applyFont="1" applyFill="1" applyBorder="1" applyAlignment="1">
      <alignment horizontal="left" vertical="top"/>
    </xf>
    <xf numFmtId="0" fontId="74" fillId="2" borderId="9" xfId="0" applyFont="1" applyFill="1" applyBorder="1" applyAlignment="1">
      <alignment horizontal="left" vertical="top"/>
    </xf>
    <xf numFmtId="0" fontId="90" fillId="2" borderId="3" xfId="0" applyFont="1" applyFill="1" applyBorder="1"/>
    <xf numFmtId="0" fontId="81" fillId="2" borderId="0" xfId="0" applyFont="1" applyFill="1" applyBorder="1" applyAlignment="1">
      <alignment readingOrder="1"/>
    </xf>
    <xf numFmtId="0" fontId="74" fillId="2" borderId="3" xfId="0" applyFont="1" applyFill="1" applyBorder="1"/>
    <xf numFmtId="1" fontId="88" fillId="2" borderId="5" xfId="0" applyNumberFormat="1" applyFont="1" applyFill="1" applyBorder="1" applyAlignment="1">
      <alignment horizontal="right"/>
    </xf>
    <xf numFmtId="164" fontId="88" fillId="2" borderId="3" xfId="0" applyNumberFormat="1" applyFont="1" applyFill="1" applyBorder="1"/>
    <xf numFmtId="0" fontId="88" fillId="2" borderId="5" xfId="0" applyFont="1" applyFill="1" applyBorder="1"/>
    <xf numFmtId="0" fontId="88" fillId="2" borderId="3" xfId="0" applyFont="1" applyFill="1" applyBorder="1"/>
    <xf numFmtId="0" fontId="88" fillId="2" borderId="5" xfId="0" applyFont="1" applyFill="1" applyBorder="1" applyAlignment="1">
      <alignment horizontal="right"/>
    </xf>
    <xf numFmtId="165" fontId="74" fillId="2" borderId="0" xfId="0" applyNumberFormat="1" applyFont="1" applyFill="1" applyBorder="1"/>
    <xf numFmtId="165" fontId="74" fillId="2" borderId="0" xfId="0" applyNumberFormat="1" applyFont="1" applyFill="1" applyBorder="1" applyAlignment="1"/>
    <xf numFmtId="0" fontId="91" fillId="2" borderId="8" xfId="0" applyFont="1" applyFill="1" applyBorder="1"/>
    <xf numFmtId="3" fontId="56" fillId="2" borderId="0" xfId="0" applyNumberFormat="1" applyFont="1" applyFill="1" applyBorder="1"/>
    <xf numFmtId="2" fontId="71" fillId="2" borderId="1" xfId="0" applyNumberFormat="1" applyFont="1" applyFill="1" applyBorder="1" applyAlignment="1"/>
    <xf numFmtId="165" fontId="56" fillId="2" borderId="0" xfId="0" applyNumberFormat="1" applyFont="1" applyFill="1" applyBorder="1"/>
    <xf numFmtId="165" fontId="56" fillId="2" borderId="0" xfId="0" applyNumberFormat="1" applyFont="1" applyFill="1" applyBorder="1" applyAlignment="1"/>
    <xf numFmtId="165" fontId="71" fillId="2" borderId="0" xfId="0" applyNumberFormat="1" applyFont="1" applyFill="1" applyBorder="1" applyAlignment="1"/>
    <xf numFmtId="165" fontId="71" fillId="2" borderId="0" xfId="0" applyNumberFormat="1" applyFont="1" applyFill="1" applyBorder="1"/>
    <xf numFmtId="166" fontId="69" fillId="2" borderId="5" xfId="0" applyNumberFormat="1" applyFont="1" applyFill="1" applyBorder="1" applyAlignment="1">
      <alignment horizontal="center"/>
    </xf>
    <xf numFmtId="0" fontId="6" fillId="0" borderId="6" xfId="0" applyFont="1" applyBorder="1" applyAlignment="1">
      <alignment horizontal="center" vertical="center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 wrapText="1"/>
    </xf>
    <xf numFmtId="0" fontId="6" fillId="2" borderId="0" xfId="0" applyFont="1" applyFill="1" applyBorder="1" applyAlignment="1">
      <alignment horizontal="right" vertical="top"/>
    </xf>
    <xf numFmtId="0" fontId="0" fillId="0" borderId="0" xfId="0" applyAlignment="1">
      <alignment horizontal="left" vertical="center" wrapText="1"/>
    </xf>
    <xf numFmtId="0" fontId="0" fillId="0" borderId="0" xfId="0" applyAlignment="1">
      <alignment horizontal="left" vertical="center"/>
    </xf>
    <xf numFmtId="0" fontId="61" fillId="2" borderId="5" xfId="0" applyFont="1" applyFill="1" applyBorder="1" applyAlignment="1">
      <alignment horizontal="center"/>
    </xf>
    <xf numFmtId="0" fontId="61" fillId="2" borderId="4" xfId="0" applyFont="1" applyFill="1" applyBorder="1" applyAlignment="1">
      <alignment horizontal="center"/>
    </xf>
    <xf numFmtId="0" fontId="6" fillId="2" borderId="0" xfId="0" applyFont="1" applyFill="1" applyBorder="1" applyAlignment="1">
      <alignment horizontal="right" vertical="top"/>
    </xf>
    <xf numFmtId="0" fontId="6" fillId="2" borderId="0" xfId="0" applyFont="1" applyFill="1" applyBorder="1" applyAlignment="1">
      <alignment horizontal="right" vertical="top"/>
    </xf>
    <xf numFmtId="0" fontId="6" fillId="2" borderId="0" xfId="0" applyFont="1" applyFill="1" applyBorder="1" applyAlignment="1">
      <alignment horizontal="right" vertical="top"/>
    </xf>
    <xf numFmtId="0" fontId="0" fillId="0" borderId="0" xfId="0" applyAlignment="1">
      <alignment horizontal="left" vertical="center" wrapText="1"/>
    </xf>
    <xf numFmtId="0" fontId="6" fillId="2" borderId="0" xfId="0" applyFont="1" applyFill="1" applyBorder="1" applyAlignment="1">
      <alignment horizontal="right" vertical="top"/>
    </xf>
    <xf numFmtId="0" fontId="6" fillId="2" borderId="0" xfId="0" applyFont="1" applyFill="1" applyBorder="1" applyAlignment="1">
      <alignment horizontal="right" vertical="top"/>
    </xf>
    <xf numFmtId="0" fontId="0" fillId="0" borderId="0" xfId="0" applyAlignment="1">
      <alignment horizontal="left" vertical="center" wrapText="1"/>
    </xf>
    <xf numFmtId="0" fontId="6" fillId="2" borderId="0" xfId="0" applyFont="1" applyFill="1" applyBorder="1" applyAlignment="1">
      <alignment horizontal="right" vertical="top"/>
    </xf>
    <xf numFmtId="0" fontId="0" fillId="0" borderId="0" xfId="0" applyAlignment="1">
      <alignment horizontal="left" vertical="center"/>
    </xf>
    <xf numFmtId="0" fontId="0" fillId="0" borderId="0" xfId="0" applyAlignment="1">
      <alignment horizontal="left" vertical="center"/>
    </xf>
    <xf numFmtId="0" fontId="6" fillId="2" borderId="0" xfId="0" applyFont="1" applyFill="1" applyBorder="1" applyAlignment="1">
      <alignment horizontal="right" vertical="top"/>
    </xf>
    <xf numFmtId="0" fontId="6" fillId="2" borderId="0" xfId="0" applyFont="1" applyFill="1" applyBorder="1" applyAlignment="1">
      <alignment horizontal="right" vertical="top"/>
    </xf>
    <xf numFmtId="0" fontId="6" fillId="2" borderId="0" xfId="0" applyFont="1" applyFill="1" applyBorder="1" applyAlignment="1">
      <alignment horizontal="right" vertical="top"/>
    </xf>
    <xf numFmtId="0" fontId="0" fillId="0" borderId="0" xfId="0"/>
    <xf numFmtId="0" fontId="6" fillId="2" borderId="0" xfId="0" applyFont="1" applyFill="1" applyBorder="1"/>
    <xf numFmtId="0" fontId="6" fillId="2" borderId="0" xfId="0" applyFont="1" applyFill="1" applyBorder="1" applyAlignment="1">
      <alignment vertical="center"/>
    </xf>
    <xf numFmtId="0" fontId="16" fillId="2" borderId="0" xfId="0" applyFont="1" applyFill="1" applyBorder="1" applyAlignment="1">
      <alignment horizontal="right" readingOrder="1"/>
    </xf>
    <xf numFmtId="0" fontId="16" fillId="2" borderId="0" xfId="0" applyFont="1" applyFill="1" applyBorder="1" applyAlignment="1">
      <alignment readingOrder="1"/>
    </xf>
    <xf numFmtId="0" fontId="6" fillId="0" borderId="0" xfId="0" applyFont="1" applyBorder="1"/>
    <xf numFmtId="0" fontId="6" fillId="2" borderId="0" xfId="0" applyFont="1" applyFill="1" applyBorder="1" applyAlignment="1">
      <alignment horizontal="left" vertical="top"/>
    </xf>
    <xf numFmtId="0" fontId="12" fillId="2" borderId="0" xfId="0" applyFont="1" applyFill="1" applyBorder="1"/>
    <xf numFmtId="0" fontId="6" fillId="2" borderId="0" xfId="0" applyFont="1" applyFill="1" applyBorder="1" applyAlignment="1">
      <alignment horizontal="right" vertical="top"/>
    </xf>
    <xf numFmtId="0" fontId="7" fillId="2" borderId="0" xfId="0" applyFont="1" applyFill="1" applyBorder="1" applyAlignment="1">
      <alignment horizontal="left" vertical="top"/>
    </xf>
    <xf numFmtId="0" fontId="56" fillId="2" borderId="4" xfId="0" applyFont="1" applyFill="1" applyBorder="1"/>
    <xf numFmtId="0" fontId="6" fillId="0" borderId="6" xfId="0" applyFont="1" applyBorder="1" applyAlignment="1">
      <alignment horizontal="center" vertical="center"/>
    </xf>
    <xf numFmtId="0" fontId="0" fillId="0" borderId="0" xfId="0" applyAlignment="1">
      <alignment horizontal="left" vertical="center"/>
    </xf>
    <xf numFmtId="0" fontId="67" fillId="2" borderId="1" xfId="0" applyFont="1" applyFill="1" applyBorder="1" applyAlignment="1">
      <alignment vertical="center"/>
    </xf>
    <xf numFmtId="0" fontId="70" fillId="2" borderId="8" xfId="0" applyFont="1" applyFill="1" applyBorder="1" applyAlignment="1">
      <alignment horizontal="left" vertical="center" readingOrder="1"/>
    </xf>
    <xf numFmtId="0" fontId="67" fillId="2" borderId="8" xfId="0" applyFont="1" applyFill="1" applyBorder="1" applyAlignment="1">
      <alignment horizontal="left" vertical="center" readingOrder="1"/>
    </xf>
    <xf numFmtId="0" fontId="67" fillId="2" borderId="8" xfId="0" applyFont="1" applyFill="1" applyBorder="1" applyAlignment="1">
      <alignment horizontal="right" vertical="center" readingOrder="1"/>
    </xf>
    <xf numFmtId="0" fontId="56" fillId="2" borderId="9" xfId="0" applyFont="1" applyFill="1" applyBorder="1" applyAlignment="1">
      <alignment vertical="center"/>
    </xf>
    <xf numFmtId="0" fontId="68" fillId="2" borderId="11" xfId="0" applyFont="1" applyFill="1" applyBorder="1"/>
    <xf numFmtId="0" fontId="70" fillId="2" borderId="1" xfId="0" applyFont="1" applyFill="1" applyBorder="1" applyAlignment="1">
      <alignment horizontal="left" vertical="center" readingOrder="1"/>
    </xf>
    <xf numFmtId="0" fontId="67" fillId="2" borderId="1" xfId="0" applyFont="1" applyFill="1" applyBorder="1" applyAlignment="1">
      <alignment horizontal="left" vertical="center" readingOrder="1"/>
    </xf>
    <xf numFmtId="0" fontId="67" fillId="2" borderId="1" xfId="0" applyFont="1" applyFill="1" applyBorder="1" applyAlignment="1">
      <alignment horizontal="right" vertical="center" readingOrder="1"/>
    </xf>
    <xf numFmtId="0" fontId="56" fillId="2" borderId="1" xfId="0" applyFont="1" applyFill="1" applyBorder="1" applyAlignment="1">
      <alignment horizontal="left" vertical="center"/>
    </xf>
    <xf numFmtId="0" fontId="56" fillId="2" borderId="12" xfId="0" applyFont="1" applyFill="1" applyBorder="1" applyAlignment="1">
      <alignment vertical="center"/>
    </xf>
    <xf numFmtId="0" fontId="0" fillId="0" borderId="0" xfId="0"/>
    <xf numFmtId="0" fontId="92" fillId="2" borderId="0" xfId="0" applyFont="1" applyFill="1" applyBorder="1"/>
    <xf numFmtId="0" fontId="55" fillId="2" borderId="4" xfId="0" applyFont="1" applyFill="1" applyBorder="1" applyAlignment="1"/>
    <xf numFmtId="167" fontId="69" fillId="2" borderId="3" xfId="0" applyNumberFormat="1" applyFont="1" applyFill="1" applyBorder="1" applyAlignment="1">
      <alignment horizontal="left"/>
    </xf>
    <xf numFmtId="9" fontId="69" fillId="2" borderId="3" xfId="44" applyFont="1" applyFill="1" applyBorder="1" applyAlignment="1">
      <alignment horizontal="left"/>
    </xf>
    <xf numFmtId="0" fontId="71" fillId="2" borderId="0" xfId="0" applyFont="1" applyFill="1" applyBorder="1" applyAlignment="1">
      <alignment horizontal="center" vertical="center"/>
    </xf>
    <xf numFmtId="0" fontId="71" fillId="2" borderId="0" xfId="0" applyFont="1" applyFill="1" applyBorder="1" applyAlignment="1">
      <alignment horizontal="left" vertical="center"/>
    </xf>
    <xf numFmtId="1" fontId="60" fillId="2" borderId="5" xfId="0" applyNumberFormat="1" applyFont="1" applyFill="1" applyBorder="1" applyAlignment="1">
      <alignment vertical="center"/>
    </xf>
    <xf numFmtId="0" fontId="94" fillId="38" borderId="0" xfId="0" applyFont="1" applyFill="1"/>
    <xf numFmtId="0" fontId="95" fillId="38" borderId="0" xfId="0" applyFont="1" applyFill="1"/>
    <xf numFmtId="0" fontId="94" fillId="38" borderId="0" xfId="0" applyFont="1" applyFill="1" applyBorder="1"/>
    <xf numFmtId="0" fontId="0" fillId="3" borderId="6" xfId="0" applyFill="1" applyBorder="1" applyAlignment="1">
      <alignment horizontal="center" vertical="center"/>
    </xf>
    <xf numFmtId="0" fontId="65" fillId="2" borderId="0" xfId="0" applyFont="1" applyFill="1" applyBorder="1" applyAlignment="1">
      <alignment horizontal="right"/>
    </xf>
    <xf numFmtId="9" fontId="69" fillId="2" borderId="5" xfId="44" applyFont="1" applyFill="1" applyBorder="1"/>
    <xf numFmtId="0" fontId="15" fillId="3" borderId="0" xfId="0" applyFont="1" applyFill="1" applyBorder="1" applyAlignment="1">
      <alignment horizontal="center"/>
    </xf>
    <xf numFmtId="0" fontId="53" fillId="2" borderId="0" xfId="0" applyFont="1" applyFill="1" applyBorder="1" applyAlignment="1">
      <alignment vertical="center"/>
    </xf>
    <xf numFmtId="0" fontId="97" fillId="2" borderId="8" xfId="0" applyFont="1" applyFill="1" applyBorder="1" applyAlignment="1">
      <alignment horizontal="center"/>
    </xf>
    <xf numFmtId="0" fontId="98" fillId="2" borderId="9" xfId="0" applyFont="1" applyFill="1" applyBorder="1" applyAlignment="1">
      <alignment horizontal="center" vertical="center"/>
    </xf>
    <xf numFmtId="0" fontId="96" fillId="2" borderId="9" xfId="0" applyFont="1" applyFill="1" applyBorder="1" applyAlignment="1">
      <alignment horizontal="center" vertical="center"/>
    </xf>
    <xf numFmtId="0" fontId="0" fillId="0" borderId="0" xfId="0" applyAlignment="1"/>
    <xf numFmtId="0" fontId="0" fillId="0" borderId="0" xfId="0" applyAlignment="1">
      <alignment horizontal="left"/>
    </xf>
    <xf numFmtId="0" fontId="0" fillId="3" borderId="0" xfId="0" applyFill="1" applyAlignment="1">
      <alignment horizontal="center" vertical="center"/>
    </xf>
    <xf numFmtId="0" fontId="0" fillId="3" borderId="0" xfId="0" applyFill="1" applyAlignment="1"/>
    <xf numFmtId="0" fontId="0" fillId="40" borderId="0" xfId="0" applyFill="1"/>
    <xf numFmtId="164" fontId="0" fillId="40" borderId="0" xfId="0" applyNumberFormat="1" applyFill="1"/>
    <xf numFmtId="0" fontId="40" fillId="0" borderId="0" xfId="0" applyFont="1" applyBorder="1"/>
    <xf numFmtId="0" fontId="0" fillId="37" borderId="0" xfId="0" applyFill="1" applyAlignment="1">
      <alignment horizontal="center" vertical="center" wrapText="1"/>
    </xf>
    <xf numFmtId="0" fontId="0" fillId="36" borderId="0" xfId="0" applyFill="1" applyAlignment="1">
      <alignment horizontal="center" vertical="center" wrapText="1"/>
    </xf>
    <xf numFmtId="0" fontId="0" fillId="0" borderId="0" xfId="0" applyFill="1" applyAlignment="1">
      <alignment horizontal="center" vertical="center" wrapText="1"/>
    </xf>
    <xf numFmtId="0" fontId="100" fillId="2" borderId="0" xfId="0" applyFont="1" applyFill="1" applyBorder="1" applyAlignment="1">
      <alignment horizontal="left"/>
    </xf>
    <xf numFmtId="0" fontId="100" fillId="2" borderId="0" xfId="0" applyFont="1" applyFill="1" applyBorder="1"/>
    <xf numFmtId="0" fontId="100" fillId="2" borderId="0" xfId="0" applyNumberFormat="1" applyFont="1" applyFill="1" applyBorder="1" applyAlignment="1">
      <alignment horizontal="left"/>
    </xf>
    <xf numFmtId="0" fontId="100" fillId="2" borderId="4" xfId="0" applyFont="1" applyFill="1" applyBorder="1" applyAlignment="1">
      <alignment horizontal="right"/>
    </xf>
    <xf numFmtId="0" fontId="101" fillId="2" borderId="1" xfId="0" applyFont="1" applyFill="1" applyBorder="1"/>
    <xf numFmtId="0" fontId="101" fillId="2" borderId="7" xfId="0" applyFont="1" applyFill="1" applyBorder="1" applyAlignment="1"/>
    <xf numFmtId="0" fontId="101" fillId="2" borderId="3" xfId="0" applyFont="1" applyFill="1" applyBorder="1"/>
    <xf numFmtId="0" fontId="65" fillId="2" borderId="7" xfId="0" applyFont="1" applyFill="1" applyBorder="1" applyAlignment="1">
      <alignment vertical="center"/>
    </xf>
    <xf numFmtId="0" fontId="93" fillId="2" borderId="0" xfId="0" applyFont="1" applyFill="1" applyBorder="1" applyAlignment="1">
      <alignment horizontal="left" vertical="top"/>
    </xf>
    <xf numFmtId="0" fontId="71" fillId="2" borderId="0" xfId="0" applyFont="1" applyFill="1" applyBorder="1" applyAlignment="1">
      <alignment horizontal="center"/>
    </xf>
    <xf numFmtId="0" fontId="102" fillId="2" borderId="8" xfId="0" applyFont="1" applyFill="1" applyBorder="1" applyAlignment="1">
      <alignment horizontal="left" vertical="top"/>
    </xf>
    <xf numFmtId="0" fontId="102" fillId="2" borderId="0" xfId="0" applyFont="1" applyFill="1" applyBorder="1" applyAlignment="1">
      <alignment horizontal="left" vertical="top"/>
    </xf>
    <xf numFmtId="0" fontId="102" fillId="2" borderId="0" xfId="0" applyFont="1" applyFill="1" applyBorder="1" applyAlignment="1">
      <alignment readingOrder="1"/>
    </xf>
    <xf numFmtId="0" fontId="102" fillId="0" borderId="0" xfId="0" applyFont="1" applyBorder="1"/>
    <xf numFmtId="0" fontId="102" fillId="2" borderId="0" xfId="0" applyFont="1" applyFill="1" applyBorder="1" applyAlignment="1">
      <alignment horizontal="center" vertical="center"/>
    </xf>
    <xf numFmtId="0" fontId="63" fillId="2" borderId="4" xfId="0" applyFont="1" applyFill="1" applyBorder="1" applyAlignment="1">
      <alignment vertical="center"/>
    </xf>
    <xf numFmtId="165" fontId="103" fillId="2" borderId="3" xfId="0" applyNumberFormat="1" applyFont="1" applyFill="1" applyBorder="1" applyAlignment="1">
      <alignment horizontal="left"/>
    </xf>
    <xf numFmtId="165" fontId="104" fillId="2" borderId="5" xfId="0" applyNumberFormat="1" applyFont="1" applyFill="1" applyBorder="1"/>
    <xf numFmtId="0" fontId="37" fillId="0" borderId="0" xfId="0" applyFont="1" applyAlignment="1">
      <alignment horizontal="left" vertical="center" wrapText="1"/>
    </xf>
    <xf numFmtId="0" fontId="67" fillId="2" borderId="4" xfId="0" applyFont="1" applyFill="1" applyBorder="1" applyAlignment="1">
      <alignment horizontal="left" vertical="center"/>
    </xf>
    <xf numFmtId="0" fontId="67" fillId="2" borderId="5" xfId="0" applyFont="1" applyFill="1" applyBorder="1" applyAlignment="1">
      <alignment horizontal="left" vertical="center"/>
    </xf>
    <xf numFmtId="22" fontId="0" fillId="0" borderId="0" xfId="0" applyNumberFormat="1"/>
    <xf numFmtId="1" fontId="61" fillId="2" borderId="4" xfId="0" applyNumberFormat="1" applyFont="1" applyFill="1" applyBorder="1" applyAlignment="1">
      <alignment horizontal="right"/>
    </xf>
    <xf numFmtId="14" fontId="55" fillId="2" borderId="7" xfId="0" applyNumberFormat="1" applyFont="1" applyFill="1" applyBorder="1" applyAlignment="1">
      <alignment horizontal="left" vertical="center"/>
    </xf>
    <xf numFmtId="14" fontId="55" fillId="2" borderId="8" xfId="0" applyNumberFormat="1" applyFont="1" applyFill="1" applyBorder="1" applyAlignment="1">
      <alignment horizontal="left" vertical="center"/>
    </xf>
    <xf numFmtId="14" fontId="73" fillId="2" borderId="7" xfId="0" applyNumberFormat="1" applyFont="1" applyFill="1" applyBorder="1" applyAlignment="1">
      <alignment horizontal="left" vertical="center"/>
    </xf>
    <xf numFmtId="14" fontId="73" fillId="2" borderId="8" xfId="0" applyNumberFormat="1" applyFont="1" applyFill="1" applyBorder="1" applyAlignment="1">
      <alignment horizontal="left" vertical="center"/>
    </xf>
    <xf numFmtId="0" fontId="73" fillId="2" borderId="7" xfId="0" applyFont="1" applyFill="1" applyBorder="1" applyAlignment="1">
      <alignment horizontal="center"/>
    </xf>
    <xf numFmtId="0" fontId="73" fillId="2" borderId="9" xfId="0" applyFont="1" applyFill="1" applyBorder="1" applyAlignment="1">
      <alignment horizontal="center"/>
    </xf>
    <xf numFmtId="0" fontId="102" fillId="2" borderId="8" xfId="0" applyFont="1" applyFill="1" applyBorder="1" applyAlignment="1">
      <alignment horizontal="center" vertical="top"/>
    </xf>
    <xf numFmtId="14" fontId="53" fillId="2" borderId="7" xfId="0" applyNumberFormat="1" applyFont="1" applyFill="1" applyBorder="1" applyAlignment="1">
      <alignment horizontal="left" vertical="center"/>
    </xf>
    <xf numFmtId="14" fontId="53" fillId="2" borderId="8" xfId="0" applyNumberFormat="1" applyFont="1" applyFill="1" applyBorder="1" applyAlignment="1">
      <alignment horizontal="left" vertical="center"/>
    </xf>
    <xf numFmtId="0" fontId="55" fillId="2" borderId="7" xfId="0" applyFont="1" applyFill="1" applyBorder="1" applyAlignment="1">
      <alignment horizontal="center"/>
    </xf>
    <xf numFmtId="0" fontId="55" fillId="2" borderId="9" xfId="0" applyFont="1" applyFill="1" applyBorder="1" applyAlignment="1">
      <alignment horizontal="center"/>
    </xf>
    <xf numFmtId="0" fontId="55" fillId="2" borderId="7" xfId="0" applyFont="1" applyFill="1" applyBorder="1" applyAlignment="1">
      <alignment horizontal="center" vertical="center"/>
    </xf>
    <xf numFmtId="0" fontId="55" fillId="2" borderId="9" xfId="0" applyFont="1" applyFill="1" applyBorder="1" applyAlignment="1">
      <alignment horizontal="center" vertical="center"/>
    </xf>
    <xf numFmtId="0" fontId="55" fillId="2" borderId="11" xfId="0" applyFont="1" applyFill="1" applyBorder="1" applyAlignment="1">
      <alignment horizontal="center" vertical="center"/>
    </xf>
    <xf numFmtId="0" fontId="55" fillId="2" borderId="12" xfId="0" applyFont="1" applyFill="1" applyBorder="1" applyAlignment="1">
      <alignment horizontal="center" vertical="center"/>
    </xf>
    <xf numFmtId="0" fontId="7" fillId="2" borderId="7" xfId="0" applyFont="1" applyFill="1" applyBorder="1" applyAlignment="1">
      <alignment horizontal="center"/>
    </xf>
    <xf numFmtId="0" fontId="7" fillId="2" borderId="9" xfId="0" applyFont="1" applyFill="1" applyBorder="1" applyAlignment="1">
      <alignment horizontal="center"/>
    </xf>
    <xf numFmtId="14" fontId="7" fillId="2" borderId="7" xfId="0" applyNumberFormat="1" applyFont="1" applyFill="1" applyBorder="1" applyAlignment="1">
      <alignment horizontal="left" vertical="center"/>
    </xf>
    <xf numFmtId="14" fontId="7" fillId="2" borderId="8" xfId="0" applyNumberFormat="1" applyFont="1" applyFill="1" applyBorder="1" applyAlignment="1">
      <alignment horizontal="left" vertical="center"/>
    </xf>
  </cellXfs>
  <cellStyles count="45">
    <cellStyle name="20% - Accent1" xfId="20" builtinId="30" customBuiltin="1"/>
    <cellStyle name="20% - Accent2" xfId="24" builtinId="34" customBuiltin="1"/>
    <cellStyle name="20% - Accent3" xfId="28" builtinId="38" customBuiltin="1"/>
    <cellStyle name="20% - Accent4" xfId="32" builtinId="42" customBuiltin="1"/>
    <cellStyle name="20% - Accent5" xfId="36" builtinId="46" customBuiltin="1"/>
    <cellStyle name="20% - Accent6" xfId="40" builtinId="50" customBuiltin="1"/>
    <cellStyle name="40% - Accent1" xfId="21" builtinId="31" customBuiltin="1"/>
    <cellStyle name="40% - Accent2" xfId="25" builtinId="35" customBuiltin="1"/>
    <cellStyle name="40% - Accent3" xfId="29" builtinId="39" customBuiltin="1"/>
    <cellStyle name="40% - Accent4" xfId="33" builtinId="43" customBuiltin="1"/>
    <cellStyle name="40% - Accent5" xfId="37" builtinId="47" customBuiltin="1"/>
    <cellStyle name="40% - Accent6" xfId="41" builtinId="51" customBuiltin="1"/>
    <cellStyle name="60% - Accent1" xfId="22" builtinId="32" customBuiltin="1"/>
    <cellStyle name="60% - Accent2" xfId="26" builtinId="36" customBuiltin="1"/>
    <cellStyle name="60% - Accent3" xfId="30" builtinId="40" customBuiltin="1"/>
    <cellStyle name="60% - Accent4" xfId="34" builtinId="44" customBuiltin="1"/>
    <cellStyle name="60% - Accent5" xfId="38" builtinId="48" customBuiltin="1"/>
    <cellStyle name="60% - Accent6" xfId="42" builtinId="52" customBuiltin="1"/>
    <cellStyle name="Accent1" xfId="19" builtinId="29" customBuiltin="1"/>
    <cellStyle name="Accent2" xfId="23" builtinId="33" customBuiltin="1"/>
    <cellStyle name="Accent3" xfId="27" builtinId="37" customBuiltin="1"/>
    <cellStyle name="Accent4" xfId="31" builtinId="41" customBuiltin="1"/>
    <cellStyle name="Accent5" xfId="35" builtinId="45" customBuiltin="1"/>
    <cellStyle name="Accent6" xfId="39" builtinId="49" customBuiltin="1"/>
    <cellStyle name="Bad" xfId="8" builtinId="27" customBuiltin="1"/>
    <cellStyle name="Calculation" xfId="12" builtinId="22" customBuiltin="1"/>
    <cellStyle name="Check Cell" xfId="14" builtinId="23" customBuiltin="1"/>
    <cellStyle name="Explanatory Text" xfId="17" builtinId="53" customBuiltin="1"/>
    <cellStyle name="Followed Hyperlink" xfId="43" builtinId="9" customBuiltin="1"/>
    <cellStyle name="Good" xfId="7" builtinId="26" customBuiltin="1"/>
    <cellStyle name="Heading 1" xfId="3" builtinId="16" customBuiltin="1"/>
    <cellStyle name="Heading 2" xfId="4" builtinId="17" customBuiltin="1"/>
    <cellStyle name="Heading 3" xfId="5" builtinId="18" customBuiltin="1"/>
    <cellStyle name="Heading 4" xfId="6" builtinId="19" customBuiltin="1"/>
    <cellStyle name="Hyperlink" xfId="1" builtinId="8"/>
    <cellStyle name="Input" xfId="10" builtinId="20" customBuiltin="1"/>
    <cellStyle name="Linked Cell" xfId="13" builtinId="24" customBuiltin="1"/>
    <cellStyle name="Neutral" xfId="9" builtinId="28" customBuiltin="1"/>
    <cellStyle name="Normal" xfId="0" builtinId="0"/>
    <cellStyle name="Note" xfId="16" builtinId="10" customBuiltin="1"/>
    <cellStyle name="Output" xfId="11" builtinId="21" customBuiltin="1"/>
    <cellStyle name="Percent" xfId="44" builtinId="5"/>
    <cellStyle name="Title" xfId="2" builtinId="15" customBuiltin="1"/>
    <cellStyle name="Total" xfId="18" builtinId="25" customBuiltin="1"/>
    <cellStyle name="Warning Text" xfId="15" builtinId="11" customBuiltin="1"/>
  </cellStyles>
  <dxfs count="0"/>
  <tableStyles count="0" defaultTableStyle="TableStyleMedium9" defaultPivotStyle="PivotStyleLight16"/>
  <colors>
    <mruColors>
      <color rgb="FFFFFFCC"/>
      <color rgb="FF538DD5"/>
      <color rgb="FFF0F44E"/>
      <color rgb="FFF8B152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externalLink" Target="externalLinks/externalLink1.xml"/><Relationship Id="rId3" Type="http://schemas.openxmlformats.org/officeDocument/2006/relationships/worksheet" Target="worksheets/sheet3.xml"/><Relationship Id="rId21" Type="http://schemas.openxmlformats.org/officeDocument/2006/relationships/theme" Target="theme/theme1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microsoft.com/office/2006/relationships/vbaProject" Target="vbaProject.bin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externalLink" Target="externalLinks/externalLink3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24" Type="http://schemas.openxmlformats.org/officeDocument/2006/relationships/calcChain" Target="calcChain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23" Type="http://schemas.openxmlformats.org/officeDocument/2006/relationships/sharedStrings" Target="sharedStrings.xml"/><Relationship Id="rId10" Type="http://schemas.openxmlformats.org/officeDocument/2006/relationships/worksheet" Target="worksheets/sheet10.xml"/><Relationship Id="rId19" Type="http://schemas.openxmlformats.org/officeDocument/2006/relationships/externalLink" Target="externalLinks/externalLink2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_rels/activeX6.xml.rels><?xml version="1.0" encoding="UTF-8" standalone="yes"?>
<Relationships xmlns="http://schemas.openxmlformats.org/package/2006/relationships"><Relationship Id="rId1" Type="http://schemas.microsoft.com/office/2006/relationships/activeXControlBinary" Target="activeX6.bin"/></Relationships>
</file>

<file path=xl/activeX/_rels/activeX7.xml.rels><?xml version="1.0" encoding="UTF-8" standalone="yes"?>
<Relationships xmlns="http://schemas.openxmlformats.org/package/2006/relationships"><Relationship Id="rId1" Type="http://schemas.microsoft.com/office/2006/relationships/activeXControlBinary" Target="activeX7.bin"/></Relationships>
</file>

<file path=xl/activeX/_rels/activeX8.xml.rels><?xml version="1.0" encoding="UTF-8" standalone="yes"?>
<Relationships xmlns="http://schemas.openxmlformats.org/package/2006/relationships"><Relationship Id="rId1" Type="http://schemas.microsoft.com/office/2006/relationships/activeXControlBinary" Target="activeX8.bin"/></Relationships>
</file>

<file path=xl/activeX/_rels/activeX9.xml.rels><?xml version="1.0" encoding="UTF-8" standalone="yes"?>
<Relationships xmlns="http://schemas.openxmlformats.org/package/2006/relationships"><Relationship Id="rId1" Type="http://schemas.microsoft.com/office/2006/relationships/activeXControlBinary" Target="activeX9.bin"/></Relationships>
</file>

<file path=xl/activeX/_rels/activeX10.xml.rels><?xml version="1.0" encoding="UTF-8" standalone="yes"?>
<Relationships xmlns="http://schemas.openxmlformats.org/package/2006/relationships"><Relationship Id="rId1" Type="http://schemas.microsoft.com/office/2006/relationships/activeXControlBinary" Target="activeX10.bin"/></Relationships>
</file>

<file path=xl/activeX/_rels/activeX11.xml.rels><?xml version="1.0" encoding="UTF-8" standalone="yes"?>
<Relationships xmlns="http://schemas.openxmlformats.org/package/2006/relationships"><Relationship Id="rId1" Type="http://schemas.microsoft.com/office/2006/relationships/activeXControlBinary" Target="activeX11.bin"/></Relationships>
</file>

<file path=xl/activeX/_rels/activeX12.xml.rels><?xml version="1.0" encoding="UTF-8" standalone="yes"?>
<Relationships xmlns="http://schemas.openxmlformats.org/package/2006/relationships"><Relationship Id="rId1" Type="http://schemas.microsoft.com/office/2006/relationships/activeXControlBinary" Target="activeX12.bin"/></Relationships>
</file>

<file path=xl/activeX/_rels/activeX13.xml.rels><?xml version="1.0" encoding="UTF-8" standalone="yes"?>
<Relationships xmlns="http://schemas.openxmlformats.org/package/2006/relationships"><Relationship Id="rId1" Type="http://schemas.microsoft.com/office/2006/relationships/activeXControlBinary" Target="activeX13.bin"/></Relationships>
</file>

<file path=xl/activeX/_rels/activeX14.xml.rels><?xml version="1.0" encoding="UTF-8" standalone="yes"?>
<Relationships xmlns="http://schemas.openxmlformats.org/package/2006/relationships"><Relationship Id="rId1" Type="http://schemas.microsoft.com/office/2006/relationships/activeXControlBinary" Target="activeX14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6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7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8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9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0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1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../media/image3.png"/><Relationship Id="rId2" Type="http://schemas.openxmlformats.org/officeDocument/2006/relationships/image" Target="../media/image2.png"/><Relationship Id="rId1" Type="http://schemas.openxmlformats.org/officeDocument/2006/relationships/image" Target="../media/image1.png"/><Relationship Id="rId6" Type="http://schemas.openxmlformats.org/officeDocument/2006/relationships/image" Target="../media/image6.png"/><Relationship Id="rId5" Type="http://schemas.openxmlformats.org/officeDocument/2006/relationships/image" Target="../media/image5.png"/><Relationship Id="rId4" Type="http://schemas.openxmlformats.org/officeDocument/2006/relationships/image" Target="../media/image4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8.gif"/></Relationships>
</file>

<file path=xl/drawings/_rels/drawing3.xml.rels><?xml version="1.0" encoding="UTF-8" standalone="yes"?>
<Relationships xmlns="http://schemas.openxmlformats.org/package/2006/relationships"><Relationship Id="rId2" Type="http://schemas.openxmlformats.org/officeDocument/2006/relationships/image" Target="../media/image10.png"/><Relationship Id="rId1" Type="http://schemas.openxmlformats.org/officeDocument/2006/relationships/image" Target="../media/image8.gif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image" Target="../media/image15.png"/><Relationship Id="rId2" Type="http://schemas.openxmlformats.org/officeDocument/2006/relationships/image" Target="../media/image8.gif"/><Relationship Id="rId1" Type="http://schemas.openxmlformats.org/officeDocument/2006/relationships/image" Target="../media/image14.emf"/><Relationship Id="rId4" Type="http://schemas.openxmlformats.org/officeDocument/2006/relationships/image" Target="../media/image16.png"/></Relationships>
</file>

<file path=xl/drawings/_rels/drawing5.xml.rels><?xml version="1.0" encoding="UTF-8" standalone="yes"?>
<Relationships xmlns="http://schemas.openxmlformats.org/package/2006/relationships"><Relationship Id="rId2" Type="http://schemas.openxmlformats.org/officeDocument/2006/relationships/image" Target="../media/image18.png"/><Relationship Id="rId1" Type="http://schemas.openxmlformats.org/officeDocument/2006/relationships/image" Target="../media/image17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image" Target="../media/image28.png"/></Relationships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7.emf"/></Relationships>
</file>

<file path=xl/drawings/_rels/vmlDrawing2.vml.rels><?xml version="1.0" encoding="UTF-8" standalone="yes"?>
<Relationships xmlns="http://schemas.openxmlformats.org/package/2006/relationships"><Relationship Id="rId1" Type="http://schemas.openxmlformats.org/officeDocument/2006/relationships/image" Target="../media/image9.emf"/></Relationships>
</file>

<file path=xl/drawings/_rels/vmlDrawing3.vml.rels><?xml version="1.0" encoding="UTF-8" standalone="yes"?>
<Relationships xmlns="http://schemas.openxmlformats.org/package/2006/relationships"><Relationship Id="rId3" Type="http://schemas.openxmlformats.org/officeDocument/2006/relationships/image" Target="../media/image13.emf"/><Relationship Id="rId2" Type="http://schemas.openxmlformats.org/officeDocument/2006/relationships/image" Target="../media/image11.emf"/><Relationship Id="rId1" Type="http://schemas.openxmlformats.org/officeDocument/2006/relationships/image" Target="../media/image12.emf"/></Relationships>
</file>

<file path=xl/drawings/_rels/vmlDrawing5.vml.rels><?xml version="1.0" encoding="UTF-8" standalone="yes"?>
<Relationships xmlns="http://schemas.openxmlformats.org/package/2006/relationships"><Relationship Id="rId8" Type="http://schemas.openxmlformats.org/officeDocument/2006/relationships/image" Target="../media/image20.emf"/><Relationship Id="rId3" Type="http://schemas.openxmlformats.org/officeDocument/2006/relationships/image" Target="../media/image25.emf"/><Relationship Id="rId7" Type="http://schemas.openxmlformats.org/officeDocument/2006/relationships/image" Target="../media/image21.emf"/><Relationship Id="rId2" Type="http://schemas.openxmlformats.org/officeDocument/2006/relationships/image" Target="../media/image26.emf"/><Relationship Id="rId1" Type="http://schemas.openxmlformats.org/officeDocument/2006/relationships/image" Target="../media/image27.emf"/><Relationship Id="rId6" Type="http://schemas.openxmlformats.org/officeDocument/2006/relationships/image" Target="../media/image22.emf"/><Relationship Id="rId5" Type="http://schemas.openxmlformats.org/officeDocument/2006/relationships/image" Target="../media/image23.emf"/><Relationship Id="rId4" Type="http://schemas.openxmlformats.org/officeDocument/2006/relationships/image" Target="../media/image24.emf"/><Relationship Id="rId9" Type="http://schemas.openxmlformats.org/officeDocument/2006/relationships/image" Target="../media/image19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10</xdr:col>
      <xdr:colOff>41207</xdr:colOff>
      <xdr:row>77</xdr:row>
      <xdr:rowOff>165260</xdr:rowOff>
    </xdr:from>
    <xdr:to>
      <xdr:col>21</xdr:col>
      <xdr:colOff>247413</xdr:colOff>
      <xdr:row>99</xdr:row>
      <xdr:rowOff>89060</xdr:rowOff>
    </xdr:to>
    <xdr:pic>
      <xdr:nvPicPr>
        <xdr:cNvPr id="2" name="Picture 1" descr="Microsoft Visual Basic for Applications - 130711 - carrier tool.xlsm - [CreatePDF (Code)]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PicPr>
          <a:picLocks noGrp="1"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>
        <a:xfrm>
          <a:off x="6746807" y="14833760"/>
          <a:ext cx="6911805" cy="4114800"/>
        </a:xfrm>
        <a:prstGeom prst="rect">
          <a:avLst/>
        </a:prstGeom>
      </xdr:spPr>
    </xdr:pic>
    <xdr:clientData/>
  </xdr:twoCellAnchor>
  <xdr:twoCellAnchor editAs="oneCell">
    <xdr:from>
      <xdr:col>10</xdr:col>
      <xdr:colOff>462502</xdr:colOff>
      <xdr:row>36</xdr:row>
      <xdr:rowOff>10389</xdr:rowOff>
    </xdr:from>
    <xdr:to>
      <xdr:col>16</xdr:col>
      <xdr:colOff>585357</xdr:colOff>
      <xdr:row>50</xdr:row>
      <xdr:rowOff>176643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000-000004000000}"/>
            </a:ext>
          </a:extLst>
        </xdr:cNvPr>
        <xdr:cNvPicPr>
          <a:picLocks noGrp="1" noChangeAspect="1" noChangeArrowheads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rcRect l="2995" r="2995"/>
        <a:stretch>
          <a:fillRect/>
        </a:stretch>
      </xdr:blipFill>
      <xdr:spPr bwMode="auto">
        <a:xfrm>
          <a:off x="7168102" y="6868389"/>
          <a:ext cx="3780454" cy="2833254"/>
        </a:xfrm>
        <a:prstGeom prst="rect">
          <a:avLst/>
        </a:prstGeom>
        <a:noFill/>
        <a:ln>
          <a:noFill/>
        </a:ln>
        <a:effectLst/>
        <a:extLst>
          <a:ext uri="{909E8E84-426E-40DD-AFC4-6F175D3DCCD1}">
            <a14:hiddenFill xmlns:a14="http://schemas.microsoft.com/office/drawing/2010/main">
              <a:solidFill>
                <a:schemeClr val="accent1"/>
              </a:solidFill>
            </a14:hiddenFill>
          </a:ext>
          <a:ext uri="{91240B29-F687-4F45-9708-019B960494DF}">
            <a14:hiddenLine xmlns:a14="http://schemas.microsoft.com/office/drawing/2010/main" w="9525">
              <a:solidFill>
                <a:schemeClr val="tx1"/>
              </a:solidFill>
              <a:miter lim="800000"/>
              <a:headEnd/>
              <a:tailEnd/>
            </a14:hiddenLine>
          </a:ext>
          <a:ext uri="{AF507438-7753-43E0-B8FC-AC1667EBCBE1}">
            <a14:hiddenEffects xmlns:a14="http://schemas.microsoft.com/office/drawing/2010/main">
              <a:effectLst>
                <a:outerShdw dist="35921" dir="2700000" algn="ctr" rotWithShape="0">
                  <a:schemeClr val="bg2"/>
                </a:outerShdw>
              </a:effectLst>
            </a14:hiddenEffects>
          </a:ext>
        </a:extLst>
      </xdr:spPr>
    </xdr:pic>
    <xdr:clientData/>
  </xdr:twoCellAnchor>
  <xdr:twoCellAnchor editAs="oneCell">
    <xdr:from>
      <xdr:col>10</xdr:col>
      <xdr:colOff>14555</xdr:colOff>
      <xdr:row>12</xdr:row>
      <xdr:rowOff>81580</xdr:rowOff>
    </xdr:from>
    <xdr:to>
      <xdr:col>18</xdr:col>
      <xdr:colOff>447892</xdr:colOff>
      <xdr:row>35</xdr:row>
      <xdr:rowOff>134836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0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6086743" y="2367580"/>
          <a:ext cx="5291087" cy="4434756"/>
        </a:xfrm>
        <a:prstGeom prst="rect">
          <a:avLst/>
        </a:prstGeom>
      </xdr:spPr>
    </xdr:pic>
    <xdr:clientData/>
  </xdr:twoCellAnchor>
  <xdr:twoCellAnchor editAs="oneCell">
    <xdr:from>
      <xdr:col>10</xdr:col>
      <xdr:colOff>263961</xdr:colOff>
      <xdr:row>71</xdr:row>
      <xdr:rowOff>135969</xdr:rowOff>
    </xdr:from>
    <xdr:to>
      <xdr:col>14</xdr:col>
      <xdr:colOff>367148</xdr:colOff>
      <xdr:row>76</xdr:row>
      <xdr:rowOff>93971</xdr:rowOff>
    </xdr:to>
    <xdr:pic>
      <xdr:nvPicPr>
        <xdr:cNvPr id="6" name="Picture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/>
        <a:stretch>
          <a:fillRect/>
        </a:stretch>
      </xdr:blipFill>
      <xdr:spPr>
        <a:xfrm>
          <a:off x="6969561" y="13661469"/>
          <a:ext cx="2541587" cy="910502"/>
        </a:xfrm>
        <a:prstGeom prst="rect">
          <a:avLst/>
        </a:prstGeom>
      </xdr:spPr>
    </xdr:pic>
    <xdr:clientData/>
  </xdr:twoCellAnchor>
  <xdr:twoCellAnchor>
    <xdr:from>
      <xdr:col>10</xdr:col>
      <xdr:colOff>279485</xdr:colOff>
      <xdr:row>53</xdr:row>
      <xdr:rowOff>134589</xdr:rowOff>
    </xdr:from>
    <xdr:to>
      <xdr:col>16</xdr:col>
      <xdr:colOff>448660</xdr:colOff>
      <xdr:row>70</xdr:row>
      <xdr:rowOff>78849</xdr:rowOff>
    </xdr:to>
    <xdr:grpSp>
      <xdr:nvGrpSpPr>
        <xdr:cNvPr id="3" name="Group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pSpPr/>
      </xdr:nvGrpSpPr>
      <xdr:grpSpPr>
        <a:xfrm>
          <a:off x="6565985" y="9726264"/>
          <a:ext cx="3941075" cy="3020835"/>
          <a:chOff x="7067549" y="2779891"/>
          <a:chExt cx="3831257" cy="3182760"/>
        </a:xfrm>
      </xdr:grpSpPr>
      <xdr:pic>
        <xdr:nvPicPr>
          <xdr:cNvPr id="7" name="Picture 6">
            <a:extLst>
              <a:ext uri="{FF2B5EF4-FFF2-40B4-BE49-F238E27FC236}">
                <a16:creationId xmlns:a16="http://schemas.microsoft.com/office/drawing/2014/main" id="{00000000-0008-0000-0000-000007000000}"/>
              </a:ext>
            </a:extLst>
          </xdr:cNvPr>
          <xdr:cNvPicPr>
            <a:picLocks noChangeAspect="1"/>
          </xdr:cNvPicPr>
        </xdr:nvPicPr>
        <xdr:blipFill rotWithShape="1">
          <a:blip xmlns:r="http://schemas.openxmlformats.org/officeDocument/2006/relationships" r:embed="rId5"/>
          <a:srcRect t="10664" r="8324" b="15160"/>
          <a:stretch/>
        </xdr:blipFill>
        <xdr:spPr>
          <a:xfrm>
            <a:off x="7372350" y="4438651"/>
            <a:ext cx="3381375" cy="1524000"/>
          </a:xfrm>
          <a:prstGeom prst="rect">
            <a:avLst/>
          </a:prstGeom>
        </xdr:spPr>
      </xdr:pic>
      <xdr:pic>
        <xdr:nvPicPr>
          <xdr:cNvPr id="8" name="Picture 7">
            <a:extLst>
              <a:ext uri="{FF2B5EF4-FFF2-40B4-BE49-F238E27FC236}">
                <a16:creationId xmlns:a16="http://schemas.microsoft.com/office/drawing/2014/main" id="{00000000-0008-0000-0000-000008000000}"/>
              </a:ext>
            </a:extLst>
          </xdr:cNvPr>
          <xdr:cNvPicPr>
            <a:picLocks noChangeAspect="1"/>
          </xdr:cNvPicPr>
        </xdr:nvPicPr>
        <xdr:blipFill>
          <a:blip xmlns:r="http://schemas.openxmlformats.org/officeDocument/2006/relationships" r:embed="rId6"/>
          <a:stretch>
            <a:fillRect/>
          </a:stretch>
        </xdr:blipFill>
        <xdr:spPr>
          <a:xfrm>
            <a:off x="7067549" y="2779891"/>
            <a:ext cx="3831257" cy="1751116"/>
          </a:xfrm>
          <a:prstGeom prst="rect">
            <a:avLst/>
          </a:prstGeom>
        </xdr:spPr>
      </xdr:pic>
    </xdr:grpSp>
    <xdr:clientData/>
  </xdr:twoCellAnchor>
  <xdr:twoCellAnchor>
    <xdr:from>
      <xdr:col>10</xdr:col>
      <xdr:colOff>180974</xdr:colOff>
      <xdr:row>7</xdr:row>
      <xdr:rowOff>104775</xdr:rowOff>
    </xdr:from>
    <xdr:to>
      <xdr:col>14</xdr:col>
      <xdr:colOff>231224</xdr:colOff>
      <xdr:row>12</xdr:row>
      <xdr:rowOff>81580</xdr:rowOff>
    </xdr:to>
    <xdr:cxnSp macro="">
      <xdr:nvCxnSpPr>
        <xdr:cNvPr id="10" name="Straight Arrow Connector 9">
          <a:extLst>
            <a:ext uri="{FF2B5EF4-FFF2-40B4-BE49-F238E27FC236}">
              <a16:creationId xmlns:a16="http://schemas.microsoft.com/office/drawing/2014/main" id="{00000000-0008-0000-0000-00000A000000}"/>
            </a:ext>
          </a:extLst>
        </xdr:cNvPr>
        <xdr:cNvCxnSpPr>
          <a:endCxn id="5" idx="0"/>
        </xdr:cNvCxnSpPr>
      </xdr:nvCxnSpPr>
      <xdr:spPr>
        <a:xfrm>
          <a:off x="6253162" y="1438275"/>
          <a:ext cx="2479125" cy="929305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  <xdr:twoCellAnchor>
    <xdr:from>
      <xdr:col>11</xdr:col>
      <xdr:colOff>190500</xdr:colOff>
      <xdr:row>30</xdr:row>
      <xdr:rowOff>152400</xdr:rowOff>
    </xdr:from>
    <xdr:to>
      <xdr:col>13</xdr:col>
      <xdr:colOff>523929</xdr:colOff>
      <xdr:row>36</xdr:row>
      <xdr:rowOff>10389</xdr:rowOff>
    </xdr:to>
    <xdr:cxnSp macro="">
      <xdr:nvCxnSpPr>
        <xdr:cNvPr id="17" name="Straight Arrow Connector 16">
          <a:extLst>
            <a:ext uri="{FF2B5EF4-FFF2-40B4-BE49-F238E27FC236}">
              <a16:creationId xmlns:a16="http://schemas.microsoft.com/office/drawing/2014/main" id="{00000000-0008-0000-0000-000011000000}"/>
            </a:ext>
          </a:extLst>
        </xdr:cNvPr>
        <xdr:cNvCxnSpPr>
          <a:endCxn id="4" idx="0"/>
        </xdr:cNvCxnSpPr>
      </xdr:nvCxnSpPr>
      <xdr:spPr>
        <a:xfrm>
          <a:off x="7505700" y="5867400"/>
          <a:ext cx="1552629" cy="1000989"/>
        </a:xfrm>
        <a:prstGeom prst="straightConnector1">
          <a:avLst/>
        </a:prstGeom>
        <a:ln>
          <a:tailEnd type="arrow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22860</xdr:colOff>
          <xdr:row>4</xdr:row>
          <xdr:rowOff>7620</xdr:rowOff>
        </xdr:from>
        <xdr:to>
          <xdr:col>28</xdr:col>
          <xdr:colOff>914400</xdr:colOff>
          <xdr:row>5</xdr:row>
          <xdr:rowOff>152400</xdr:rowOff>
        </xdr:to>
        <xdr:sp macro="" textlink="">
          <xdr:nvSpPr>
            <xdr:cNvPr id="88065" name="CommandButton2" hidden="1">
              <a:extLst>
                <a:ext uri="{63B3BB69-23CF-44E3-9099-C40C66FF867C}">
                  <a14:compatExt spid="_x0000_s88065"/>
                </a:ext>
                <a:ext uri="{FF2B5EF4-FFF2-40B4-BE49-F238E27FC236}">
                  <a16:creationId xmlns:a16="http://schemas.microsoft.com/office/drawing/2014/main" id="{00000000-0008-0000-0100-0000015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28</xdr:col>
      <xdr:colOff>1299882</xdr:colOff>
      <xdr:row>7</xdr:row>
      <xdr:rowOff>78444</xdr:rowOff>
    </xdr:from>
    <xdr:to>
      <xdr:col>30</xdr:col>
      <xdr:colOff>638735</xdr:colOff>
      <xdr:row>9</xdr:row>
      <xdr:rowOff>179296</xdr:rowOff>
    </xdr:to>
    <xdr:sp macro="" textlink="">
      <xdr:nvSpPr>
        <xdr:cNvPr id="3" name="Down Arrow 2">
          <a:extLst>
            <a:ext uri="{FF2B5EF4-FFF2-40B4-BE49-F238E27FC236}">
              <a16:creationId xmlns:a16="http://schemas.microsoft.com/office/drawing/2014/main" id="{00000000-0008-0000-0100-000003000000}"/>
            </a:ext>
          </a:extLst>
        </xdr:cNvPr>
        <xdr:cNvSpPr/>
      </xdr:nvSpPr>
      <xdr:spPr>
        <a:xfrm rot="5400000">
          <a:off x="12029795" y="1388131"/>
          <a:ext cx="539002" cy="1139078"/>
        </a:xfrm>
        <a:prstGeom prst="down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vert="vert270" rtlCol="0" anchor="ctr" anchorCtr="0"/>
        <a:lstStyle/>
        <a:p>
          <a:pPr algn="ctr"/>
          <a:r>
            <a:rPr lang="de-DE" sz="1100">
              <a:solidFill>
                <a:schemeClr val="tx1"/>
              </a:solidFill>
            </a:rPr>
            <a:t>file</a:t>
          </a:r>
          <a:r>
            <a:rPr lang="de-DE" sz="1100" baseline="0">
              <a:solidFill>
                <a:schemeClr val="tx1"/>
              </a:solidFill>
            </a:rPr>
            <a:t> name</a:t>
          </a:r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17</xdr:col>
      <xdr:colOff>369793</xdr:colOff>
      <xdr:row>1</xdr:row>
      <xdr:rowOff>44822</xdr:rowOff>
    </xdr:from>
    <xdr:to>
      <xdr:col>23</xdr:col>
      <xdr:colOff>178173</xdr:colOff>
      <xdr:row>3</xdr:row>
      <xdr:rowOff>5602</xdr:rowOff>
    </xdr:to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100-000004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6843" y="263897"/>
          <a:ext cx="2027705" cy="475130"/>
        </a:xfrm>
        <a:prstGeom prst="rect">
          <a:avLst/>
        </a:prstGeom>
      </xdr:spPr>
    </xdr:pic>
    <xdr:clientData/>
  </xdr:twoCellAnchor>
  <xdr:twoCellAnchor>
    <xdr:from>
      <xdr:col>19</xdr:col>
      <xdr:colOff>4843</xdr:colOff>
      <xdr:row>39</xdr:row>
      <xdr:rowOff>55782</xdr:rowOff>
    </xdr:from>
    <xdr:to>
      <xdr:col>32</xdr:col>
      <xdr:colOff>739759</xdr:colOff>
      <xdr:row>52</xdr:row>
      <xdr:rowOff>135972</xdr:rowOff>
    </xdr:to>
    <xdr:sp macro="" textlink="">
      <xdr:nvSpPr>
        <xdr:cNvPr id="2" name="Curved Left Arrow 1">
          <a:extLst>
            <a:ext uri="{FF2B5EF4-FFF2-40B4-BE49-F238E27FC236}">
              <a16:creationId xmlns:a16="http://schemas.microsoft.com/office/drawing/2014/main" id="{00000000-0008-0000-0100-000002000000}"/>
            </a:ext>
          </a:extLst>
        </xdr:cNvPr>
        <xdr:cNvSpPr/>
      </xdr:nvSpPr>
      <xdr:spPr>
        <a:xfrm rot="4968272">
          <a:off x="10435509" y="5804008"/>
          <a:ext cx="2026012" cy="6803702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>
    <xdr:from>
      <xdr:col>35</xdr:col>
      <xdr:colOff>470206</xdr:colOff>
      <xdr:row>37</xdr:row>
      <xdr:rowOff>58505</xdr:rowOff>
    </xdr:from>
    <xdr:to>
      <xdr:col>45</xdr:col>
      <xdr:colOff>225408</xdr:colOff>
      <xdr:row>50</xdr:row>
      <xdr:rowOff>138695</xdr:rowOff>
    </xdr:to>
    <xdr:sp macro="" textlink="">
      <xdr:nvSpPr>
        <xdr:cNvPr id="8" name="Curved Left Arrow 7">
          <a:extLst>
            <a:ext uri="{FF2B5EF4-FFF2-40B4-BE49-F238E27FC236}">
              <a16:creationId xmlns:a16="http://schemas.microsoft.com/office/drawing/2014/main" id="{00000000-0008-0000-0100-000008000000}"/>
            </a:ext>
          </a:extLst>
        </xdr:cNvPr>
        <xdr:cNvSpPr/>
      </xdr:nvSpPr>
      <xdr:spPr>
        <a:xfrm rot="4968272">
          <a:off x="19500587" y="5507374"/>
          <a:ext cx="2026012" cy="6803702"/>
        </a:xfrm>
        <a:prstGeom prst="curvedLeft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>
            <a:solidFill>
              <a:schemeClr val="tx1"/>
            </a:solidFill>
          </a:endParaRPr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28</xdr:col>
          <xdr:colOff>22860</xdr:colOff>
          <xdr:row>4</xdr:row>
          <xdr:rowOff>7620</xdr:rowOff>
        </xdr:from>
        <xdr:to>
          <xdr:col>28</xdr:col>
          <xdr:colOff>1569720</xdr:colOff>
          <xdr:row>5</xdr:row>
          <xdr:rowOff>152400</xdr:rowOff>
        </xdr:to>
        <xdr:sp macro="" textlink="">
          <xdr:nvSpPr>
            <xdr:cNvPr id="56322" name="CommandButton2" hidden="1">
              <a:extLst>
                <a:ext uri="{63B3BB69-23CF-44E3-9099-C40C66FF867C}">
                  <a14:compatExt spid="_x0000_s56322"/>
                </a:ext>
                <a:ext uri="{FF2B5EF4-FFF2-40B4-BE49-F238E27FC236}">
                  <a16:creationId xmlns:a16="http://schemas.microsoft.com/office/drawing/2014/main" id="{00000000-0008-0000-0200-000002D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28</xdr:col>
      <xdr:colOff>1299882</xdr:colOff>
      <xdr:row>7</xdr:row>
      <xdr:rowOff>78444</xdr:rowOff>
    </xdr:from>
    <xdr:to>
      <xdr:col>29</xdr:col>
      <xdr:colOff>638735</xdr:colOff>
      <xdr:row>9</xdr:row>
      <xdr:rowOff>179296</xdr:rowOff>
    </xdr:to>
    <xdr:sp macro="" textlink="">
      <xdr:nvSpPr>
        <xdr:cNvPr id="5" name="Down Arrow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SpPr/>
      </xdr:nvSpPr>
      <xdr:spPr>
        <a:xfrm rot="5400000">
          <a:off x="12063132" y="1417547"/>
          <a:ext cx="549087" cy="1143000"/>
        </a:xfrm>
        <a:prstGeom prst="down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vert="vert270" rtlCol="0" anchor="ctr" anchorCtr="0"/>
        <a:lstStyle/>
        <a:p>
          <a:pPr algn="ctr"/>
          <a:r>
            <a:rPr lang="de-DE" sz="1100">
              <a:solidFill>
                <a:schemeClr val="tx1"/>
              </a:solidFill>
            </a:rPr>
            <a:t>file</a:t>
          </a:r>
          <a:r>
            <a:rPr lang="de-DE" sz="1100" baseline="0">
              <a:solidFill>
                <a:schemeClr val="tx1"/>
              </a:solidFill>
            </a:rPr>
            <a:t> name</a:t>
          </a:r>
          <a:endParaRPr lang="de-DE" sz="1100">
            <a:solidFill>
              <a:schemeClr val="tx1"/>
            </a:solidFill>
          </a:endParaRPr>
        </a:p>
      </xdr:txBody>
    </xdr:sp>
    <xdr:clientData/>
  </xdr:twoCellAnchor>
  <xdr:twoCellAnchor editAs="oneCell">
    <xdr:from>
      <xdr:col>17</xdr:col>
      <xdr:colOff>369793</xdr:colOff>
      <xdr:row>1</xdr:row>
      <xdr:rowOff>44822</xdr:rowOff>
    </xdr:from>
    <xdr:to>
      <xdr:col>23</xdr:col>
      <xdr:colOff>178173</xdr:colOff>
      <xdr:row>3</xdr:row>
      <xdr:rowOff>5602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2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46843" y="263897"/>
          <a:ext cx="2029386" cy="475130"/>
        </a:xfrm>
        <a:prstGeom prst="rect">
          <a:avLst/>
        </a:prstGeom>
      </xdr:spPr>
    </xdr:pic>
    <xdr:clientData/>
  </xdr:twoCellAnchor>
  <xdr:twoCellAnchor editAs="oneCell">
    <xdr:from>
      <xdr:col>27</xdr:col>
      <xdr:colOff>246530</xdr:colOff>
      <xdr:row>19</xdr:row>
      <xdr:rowOff>212912</xdr:rowOff>
    </xdr:from>
    <xdr:to>
      <xdr:col>32</xdr:col>
      <xdr:colOff>641924</xdr:colOff>
      <xdr:row>28</xdr:row>
      <xdr:rowOff>139225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9861177" y="4538383"/>
          <a:ext cx="6782747" cy="1943371"/>
        </a:xfrm>
        <a:prstGeom prst="rect">
          <a:avLst/>
        </a:prstGeom>
      </xdr:spPr>
    </xdr:pic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31</xdr:col>
          <xdr:colOff>640080</xdr:colOff>
          <xdr:row>11</xdr:row>
          <xdr:rowOff>175260</xdr:rowOff>
        </xdr:from>
        <xdr:to>
          <xdr:col>32</xdr:col>
          <xdr:colOff>678180</xdr:colOff>
          <xdr:row>13</xdr:row>
          <xdr:rowOff>106680</xdr:rowOff>
        </xdr:to>
        <xdr:sp macro="" textlink="">
          <xdr:nvSpPr>
            <xdr:cNvPr id="25601" name="CommandButton1" hidden="1">
              <a:extLst>
                <a:ext uri="{63B3BB69-23CF-44E3-9099-C40C66FF867C}">
                  <a14:compatExt spid="_x0000_s25601"/>
                </a:ext>
                <a:ext uri="{FF2B5EF4-FFF2-40B4-BE49-F238E27FC236}">
                  <a16:creationId xmlns:a16="http://schemas.microsoft.com/office/drawing/2014/main" id="{00000000-0008-0000-0500-000001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861060</xdr:colOff>
          <xdr:row>0</xdr:row>
          <xdr:rowOff>76200</xdr:rowOff>
        </xdr:from>
        <xdr:to>
          <xdr:col>36</xdr:col>
          <xdr:colOff>0</xdr:colOff>
          <xdr:row>1</xdr:row>
          <xdr:rowOff>228600</xdr:rowOff>
        </xdr:to>
        <xdr:sp macro="" textlink="">
          <xdr:nvSpPr>
            <xdr:cNvPr id="25602" name="CommandButton2" hidden="1">
              <a:extLst>
                <a:ext uri="{63B3BB69-23CF-44E3-9099-C40C66FF867C}">
                  <a14:compatExt spid="_x0000_s25602"/>
                </a:ext>
                <a:ext uri="{FF2B5EF4-FFF2-40B4-BE49-F238E27FC236}">
                  <a16:creationId xmlns:a16="http://schemas.microsoft.com/office/drawing/2014/main" id="{00000000-0008-0000-0500-000002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39</xdr:col>
      <xdr:colOff>131293</xdr:colOff>
      <xdr:row>53</xdr:row>
      <xdr:rowOff>40419</xdr:rowOff>
    </xdr:from>
    <xdr:to>
      <xdr:col>57</xdr:col>
      <xdr:colOff>93527</xdr:colOff>
      <xdr:row>77</xdr:row>
      <xdr:rowOff>91475</xdr:rowOff>
    </xdr:to>
    <xdr:pic>
      <xdr:nvPicPr>
        <xdr:cNvPr id="24" name="Picture 23">
          <a:extLst>
            <a:ext uri="{FF2B5EF4-FFF2-40B4-BE49-F238E27FC236}">
              <a16:creationId xmlns:a16="http://schemas.microsoft.com/office/drawing/2014/main" id="{00000000-0008-0000-0500-00001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20055352" y="11806595"/>
          <a:ext cx="8120342" cy="520576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twoCellAnchor>
  <xdr:twoCellAnchor>
    <xdr:from>
      <xdr:col>28</xdr:col>
      <xdr:colOff>1142999</xdr:colOff>
      <xdr:row>9</xdr:row>
      <xdr:rowOff>1</xdr:rowOff>
    </xdr:from>
    <xdr:to>
      <xdr:col>29</xdr:col>
      <xdr:colOff>481852</xdr:colOff>
      <xdr:row>11</xdr:row>
      <xdr:rowOff>100853</xdr:rowOff>
    </xdr:to>
    <xdr:sp macro="" textlink="">
      <xdr:nvSpPr>
        <xdr:cNvPr id="2" name="Down Arrow 1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SpPr/>
      </xdr:nvSpPr>
      <xdr:spPr>
        <a:xfrm rot="5400000">
          <a:off x="11872632" y="1787338"/>
          <a:ext cx="549087" cy="1143001"/>
        </a:xfrm>
        <a:prstGeom prst="down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vert="vert270" rtlCol="0" anchor="ctr" anchorCtr="0"/>
        <a:lstStyle/>
        <a:p>
          <a:pPr algn="ctr"/>
          <a:r>
            <a:rPr lang="de-DE" sz="1100">
              <a:solidFill>
                <a:schemeClr val="tx1"/>
              </a:solidFill>
            </a:rPr>
            <a:t>for print</a:t>
          </a:r>
        </a:p>
      </xdr:txBody>
    </xdr:sp>
    <xdr:clientData/>
  </xdr:twoCellAnchor>
  <xdr:twoCellAnchor>
    <xdr:from>
      <xdr:col>28</xdr:col>
      <xdr:colOff>1316691</xdr:colOff>
      <xdr:row>6</xdr:row>
      <xdr:rowOff>152401</xdr:rowOff>
    </xdr:from>
    <xdr:to>
      <xdr:col>29</xdr:col>
      <xdr:colOff>40341</xdr:colOff>
      <xdr:row>8</xdr:row>
      <xdr:rowOff>85166</xdr:rowOff>
    </xdr:to>
    <xdr:sp macro="" textlink="">
      <xdr:nvSpPr>
        <xdr:cNvPr id="6" name="Down Arrow 5">
          <a:extLst>
            <a:ext uri="{FF2B5EF4-FFF2-40B4-BE49-F238E27FC236}">
              <a16:creationId xmlns:a16="http://schemas.microsoft.com/office/drawing/2014/main" id="{00000000-0008-0000-0500-000006000000}"/>
            </a:ext>
          </a:extLst>
        </xdr:cNvPr>
        <xdr:cNvSpPr/>
      </xdr:nvSpPr>
      <xdr:spPr>
        <a:xfrm rot="5740954">
          <a:off x="11822766" y="1490943"/>
          <a:ext cx="381000" cy="527798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oneCellAnchor>
    <xdr:from>
      <xdr:col>54</xdr:col>
      <xdr:colOff>369793</xdr:colOff>
      <xdr:row>1</xdr:row>
      <xdr:rowOff>44822</xdr:rowOff>
    </xdr:from>
    <xdr:ext cx="2038350" cy="476250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500-000008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50205" y="268940"/>
          <a:ext cx="2038350" cy="476250"/>
        </a:xfrm>
        <a:prstGeom prst="rect">
          <a:avLst/>
        </a:prstGeom>
      </xdr:spPr>
    </xdr:pic>
    <xdr:clientData/>
  </xdr:one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30</xdr:col>
          <xdr:colOff>22860</xdr:colOff>
          <xdr:row>3</xdr:row>
          <xdr:rowOff>30480</xdr:rowOff>
        </xdr:from>
        <xdr:to>
          <xdr:col>30</xdr:col>
          <xdr:colOff>853440</xdr:colOff>
          <xdr:row>6</xdr:row>
          <xdr:rowOff>99060</xdr:rowOff>
        </xdr:to>
        <xdr:sp macro="" textlink="">
          <xdr:nvSpPr>
            <xdr:cNvPr id="25619" name="CommandButton3" hidden="1">
              <a:extLst>
                <a:ext uri="{63B3BB69-23CF-44E3-9099-C40C66FF867C}">
                  <a14:compatExt spid="_x0000_s25619"/>
                </a:ext>
                <a:ext uri="{FF2B5EF4-FFF2-40B4-BE49-F238E27FC236}">
                  <a16:creationId xmlns:a16="http://schemas.microsoft.com/office/drawing/2014/main" id="{00000000-0008-0000-0500-000013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>
    <xdr:from>
      <xdr:col>29</xdr:col>
      <xdr:colOff>504265</xdr:colOff>
      <xdr:row>0</xdr:row>
      <xdr:rowOff>134470</xdr:rowOff>
    </xdr:from>
    <xdr:to>
      <xdr:col>29</xdr:col>
      <xdr:colOff>1680883</xdr:colOff>
      <xdr:row>2</xdr:row>
      <xdr:rowOff>179293</xdr:rowOff>
    </xdr:to>
    <xdr:sp macro="" textlink="">
      <xdr:nvSpPr>
        <xdr:cNvPr id="3" name="Right Arrow 2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SpPr/>
      </xdr:nvSpPr>
      <xdr:spPr>
        <a:xfrm>
          <a:off x="12763500" y="134470"/>
          <a:ext cx="1176618" cy="560294"/>
        </a:xfrm>
        <a:prstGeom prst="right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de-DE" sz="1100">
              <a:solidFill>
                <a:schemeClr val="tx1"/>
              </a:solidFill>
            </a:rPr>
            <a:t>for Print AHU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33</xdr:col>
          <xdr:colOff>830580</xdr:colOff>
          <xdr:row>1</xdr:row>
          <xdr:rowOff>289560</xdr:rowOff>
        </xdr:from>
        <xdr:to>
          <xdr:col>35</xdr:col>
          <xdr:colOff>518160</xdr:colOff>
          <xdr:row>3</xdr:row>
          <xdr:rowOff>175260</xdr:rowOff>
        </xdr:to>
        <xdr:sp macro="" textlink="">
          <xdr:nvSpPr>
            <xdr:cNvPr id="25620" name="Button 20" hidden="1">
              <a:extLst>
                <a:ext uri="{63B3BB69-23CF-44E3-9099-C40C66FF867C}">
                  <a14:compatExt spid="_x0000_s25620"/>
                </a:ext>
                <a:ext uri="{FF2B5EF4-FFF2-40B4-BE49-F238E27FC236}">
                  <a16:creationId xmlns:a16="http://schemas.microsoft.com/office/drawing/2014/main" id="{00000000-0008-0000-0500-000014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Set</a:t>
              </a:r>
            </a:p>
          </xdr:txBody>
        </xdr:sp>
        <xdr:clientData fPrintsWithSheet="0"/>
      </xdr:twoCellAnchor>
    </mc:Choice>
    <mc:Fallback/>
  </mc:AlternateContent>
  <xdr:twoCellAnchor>
    <xdr:from>
      <xdr:col>27</xdr:col>
      <xdr:colOff>176213</xdr:colOff>
      <xdr:row>1</xdr:row>
      <xdr:rowOff>42862</xdr:rowOff>
    </xdr:from>
    <xdr:to>
      <xdr:col>27</xdr:col>
      <xdr:colOff>709613</xdr:colOff>
      <xdr:row>5</xdr:row>
      <xdr:rowOff>204787</xdr:rowOff>
    </xdr:to>
    <xdr:sp macro="" textlink="">
      <xdr:nvSpPr>
        <xdr:cNvPr id="12" name="Down Arrow 1">
          <a:extLst>
            <a:ext uri="{FF2B5EF4-FFF2-40B4-BE49-F238E27FC236}">
              <a16:creationId xmlns:a16="http://schemas.microsoft.com/office/drawing/2014/main" id="{00000000-0008-0000-0500-00000C000000}"/>
            </a:ext>
          </a:extLst>
        </xdr:cNvPr>
        <xdr:cNvSpPr/>
      </xdr:nvSpPr>
      <xdr:spPr>
        <a:xfrm rot="10800000">
          <a:off x="9805988" y="261937"/>
          <a:ext cx="533400" cy="1114425"/>
        </a:xfrm>
        <a:prstGeom prst="downArrow">
          <a:avLst/>
        </a:prstGeom>
      </xdr:spPr>
      <xdr:style>
        <a:lnRef idx="2">
          <a:schemeClr val="accent6">
            <a:shade val="50000"/>
          </a:schemeClr>
        </a:lnRef>
        <a:fillRef idx="1">
          <a:schemeClr val="accent6"/>
        </a:fillRef>
        <a:effectRef idx="0">
          <a:schemeClr val="accent6"/>
        </a:effectRef>
        <a:fontRef idx="minor">
          <a:schemeClr val="lt1"/>
        </a:fontRef>
      </xdr:style>
      <xdr:txBody>
        <a:bodyPr vertOverflow="clip" horzOverflow="clip" vert="vert270" rtlCol="0" anchor="ctr" anchorCtr="0"/>
        <a:lstStyle/>
        <a:p>
          <a:pPr algn="ctr"/>
          <a:r>
            <a:rPr lang="de-DE" sz="1100">
              <a:solidFill>
                <a:schemeClr val="tx1"/>
              </a:solidFill>
            </a:rPr>
            <a:t>set language</a:t>
          </a:r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27</xdr:col>
          <xdr:colOff>861060</xdr:colOff>
          <xdr:row>3</xdr:row>
          <xdr:rowOff>144780</xdr:rowOff>
        </xdr:from>
        <xdr:to>
          <xdr:col>28</xdr:col>
          <xdr:colOff>1402080</xdr:colOff>
          <xdr:row>5</xdr:row>
          <xdr:rowOff>99060</xdr:rowOff>
        </xdr:to>
        <xdr:sp macro="" textlink="">
          <xdr:nvSpPr>
            <xdr:cNvPr id="25621" name="Button 21" hidden="1">
              <a:extLst>
                <a:ext uri="{63B3BB69-23CF-44E3-9099-C40C66FF867C}">
                  <a14:compatExt spid="_x0000_s25621"/>
                </a:ext>
                <a:ext uri="{FF2B5EF4-FFF2-40B4-BE49-F238E27FC236}">
                  <a16:creationId xmlns:a16="http://schemas.microsoft.com/office/drawing/2014/main" id="{00000000-0008-0000-0500-0000156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New Print PDF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16</xdr:col>
      <xdr:colOff>413657</xdr:colOff>
      <xdr:row>1</xdr:row>
      <xdr:rowOff>101236</xdr:rowOff>
    </xdr:from>
    <xdr:to>
      <xdr:col>18</xdr:col>
      <xdr:colOff>0</xdr:colOff>
      <xdr:row>3</xdr:row>
      <xdr:rowOff>93616</xdr:rowOff>
    </xdr:to>
    <xdr:pic>
      <xdr:nvPicPr>
        <xdr:cNvPr id="7" name="Picture 6">
          <a:extLst>
            <a:ext uri="{FF2B5EF4-FFF2-40B4-BE49-F238E27FC236}">
              <a16:creationId xmlns:a16="http://schemas.microsoft.com/office/drawing/2014/main" id="{00000000-0008-0000-0500-000007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260771" y="318950"/>
          <a:ext cx="511629" cy="511629"/>
        </a:xfrm>
        <a:prstGeom prst="rect">
          <a:avLst/>
        </a:prstGeom>
      </xdr:spPr>
    </xdr:pic>
    <xdr:clientData/>
  </xdr:twoCellAnchor>
  <xdr:twoCellAnchor editAs="oneCell">
    <xdr:from>
      <xdr:col>18</xdr:col>
      <xdr:colOff>206827</xdr:colOff>
      <xdr:row>1</xdr:row>
      <xdr:rowOff>119743</xdr:rowOff>
    </xdr:from>
    <xdr:to>
      <xdr:col>23</xdr:col>
      <xdr:colOff>3549</xdr:colOff>
      <xdr:row>3</xdr:row>
      <xdr:rowOff>95860</xdr:rowOff>
    </xdr:to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500-00000A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4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979227" y="337457"/>
          <a:ext cx="2038635" cy="476316"/>
        </a:xfrm>
        <a:prstGeom prst="rect">
          <a:avLst/>
        </a:prstGeom>
      </xdr:spPr>
    </xdr:pic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13</xdr:col>
          <xdr:colOff>251460</xdr:colOff>
          <xdr:row>0</xdr:row>
          <xdr:rowOff>160020</xdr:rowOff>
        </xdr:from>
        <xdr:to>
          <xdr:col>14</xdr:col>
          <xdr:colOff>518160</xdr:colOff>
          <xdr:row>0</xdr:row>
          <xdr:rowOff>632460</xdr:rowOff>
        </xdr:to>
        <xdr:sp macro="" textlink="">
          <xdr:nvSpPr>
            <xdr:cNvPr id="49153" name="Button 1" hidden="1">
              <a:extLst>
                <a:ext uri="{63B3BB69-23CF-44E3-9099-C40C66FF867C}">
                  <a14:compatExt spid="_x0000_s49153"/>
                </a:ext>
                <a:ext uri="{FF2B5EF4-FFF2-40B4-BE49-F238E27FC236}">
                  <a16:creationId xmlns:a16="http://schemas.microsoft.com/office/drawing/2014/main" id="{00000000-0008-0000-0600-000001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for_Building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16</xdr:col>
          <xdr:colOff>198120</xdr:colOff>
          <xdr:row>0</xdr:row>
          <xdr:rowOff>198120</xdr:rowOff>
        </xdr:from>
        <xdr:to>
          <xdr:col>18</xdr:col>
          <xdr:colOff>0</xdr:colOff>
          <xdr:row>0</xdr:row>
          <xdr:rowOff>670560</xdr:rowOff>
        </xdr:to>
        <xdr:sp macro="" textlink="">
          <xdr:nvSpPr>
            <xdr:cNvPr id="49154" name="Button 2" hidden="1">
              <a:extLst>
                <a:ext uri="{63B3BB69-23CF-44E3-9099-C40C66FF867C}">
                  <a14:compatExt spid="_x0000_s49154"/>
                </a:ext>
                <a:ext uri="{FF2B5EF4-FFF2-40B4-BE49-F238E27FC236}">
                  <a16:creationId xmlns:a16="http://schemas.microsoft.com/office/drawing/2014/main" id="{00000000-0008-0000-0600-000002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1. per_Zone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14</xdr:col>
          <xdr:colOff>381000</xdr:colOff>
          <xdr:row>18</xdr:row>
          <xdr:rowOff>0</xdr:rowOff>
        </xdr:from>
        <xdr:to>
          <xdr:col>15</xdr:col>
          <xdr:colOff>838200</xdr:colOff>
          <xdr:row>22</xdr:row>
          <xdr:rowOff>106680</xdr:rowOff>
        </xdr:to>
        <xdr:sp macro="" textlink="">
          <xdr:nvSpPr>
            <xdr:cNvPr id="49155" name="Button 3" hidden="1">
              <a:extLst>
                <a:ext uri="{63B3BB69-23CF-44E3-9099-C40C66FF867C}">
                  <a14:compatExt spid="_x0000_s49155"/>
                </a:ext>
                <a:ext uri="{FF2B5EF4-FFF2-40B4-BE49-F238E27FC236}">
                  <a16:creationId xmlns:a16="http://schemas.microsoft.com/office/drawing/2014/main" id="{00000000-0008-0000-0600-000003C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2. organize_Data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23</xdr:col>
      <xdr:colOff>752475</xdr:colOff>
      <xdr:row>3</xdr:row>
      <xdr:rowOff>123825</xdr:rowOff>
    </xdr:from>
    <xdr:to>
      <xdr:col>43</xdr:col>
      <xdr:colOff>93280</xdr:colOff>
      <xdr:row>14</xdr:row>
      <xdr:rowOff>76486</xdr:rowOff>
    </xdr:to>
    <xdr:pic>
      <xdr:nvPicPr>
        <xdr:cNvPr id="5" name="Picture 4">
          <a:extLst>
            <a:ext uri="{FF2B5EF4-FFF2-40B4-BE49-F238E27FC236}">
              <a16:creationId xmlns:a16="http://schemas.microsoft.com/office/drawing/2014/main" id="{00000000-0008-0000-0600-000005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20678775" y="1447800"/>
          <a:ext cx="13632115" cy="1943386"/>
        </a:xfrm>
        <a:prstGeom prst="rect">
          <a:avLst/>
        </a:prstGeom>
      </xdr:spPr>
    </xdr:pic>
    <xdr:clientData/>
  </xdr:twoCellAnchor>
  <xdr:twoCellAnchor editAs="oneCell">
    <xdr:from>
      <xdr:col>28</xdr:col>
      <xdr:colOff>190500</xdr:colOff>
      <xdr:row>17</xdr:row>
      <xdr:rowOff>57150</xdr:rowOff>
    </xdr:from>
    <xdr:to>
      <xdr:col>32</xdr:col>
      <xdr:colOff>244063</xdr:colOff>
      <xdr:row>40</xdr:row>
      <xdr:rowOff>17504</xdr:rowOff>
    </xdr:to>
    <xdr:pic>
      <xdr:nvPicPr>
        <xdr:cNvPr id="3" name="Picture 2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23679150" y="3914775"/>
          <a:ext cx="2575783" cy="4138019"/>
        </a:xfrm>
        <a:prstGeom prst="rect">
          <a:avLst/>
        </a:prstGeom>
      </xdr:spPr>
    </xdr:pic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16</xdr:row>
          <xdr:rowOff>7620</xdr:rowOff>
        </xdr:from>
        <xdr:to>
          <xdr:col>1</xdr:col>
          <xdr:colOff>411480</xdr:colOff>
          <xdr:row>18</xdr:row>
          <xdr:rowOff>7620</xdr:rowOff>
        </xdr:to>
        <xdr:sp macro="" textlink="">
          <xdr:nvSpPr>
            <xdr:cNvPr id="8193" name="CommandButton1" hidden="1">
              <a:extLst>
                <a:ext uri="{63B3BB69-23CF-44E3-9099-C40C66FF867C}">
                  <a14:compatExt spid="_x0000_s8193"/>
                </a:ext>
                <a:ext uri="{FF2B5EF4-FFF2-40B4-BE49-F238E27FC236}">
                  <a16:creationId xmlns:a16="http://schemas.microsoft.com/office/drawing/2014/main" id="{00000000-0008-0000-0700-000001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182880</xdr:colOff>
          <xdr:row>16</xdr:row>
          <xdr:rowOff>7620</xdr:rowOff>
        </xdr:from>
        <xdr:to>
          <xdr:col>3</xdr:col>
          <xdr:colOff>457200</xdr:colOff>
          <xdr:row>18</xdr:row>
          <xdr:rowOff>7620</xdr:rowOff>
        </xdr:to>
        <xdr:sp macro="" textlink="">
          <xdr:nvSpPr>
            <xdr:cNvPr id="8194" name="CommandButton2" hidden="1">
              <a:extLst>
                <a:ext uri="{63B3BB69-23CF-44E3-9099-C40C66FF867C}">
                  <a14:compatExt spid="_x0000_s8194"/>
                </a:ext>
                <a:ext uri="{FF2B5EF4-FFF2-40B4-BE49-F238E27FC236}">
                  <a16:creationId xmlns:a16="http://schemas.microsoft.com/office/drawing/2014/main" id="{00000000-0008-0000-0700-000002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16</xdr:row>
          <xdr:rowOff>7620</xdr:rowOff>
        </xdr:from>
        <xdr:to>
          <xdr:col>5</xdr:col>
          <xdr:colOff>502920</xdr:colOff>
          <xdr:row>18</xdr:row>
          <xdr:rowOff>7620</xdr:rowOff>
        </xdr:to>
        <xdr:sp macro="" textlink="">
          <xdr:nvSpPr>
            <xdr:cNvPr id="8195" name="CommandButton3" hidden="1">
              <a:extLst>
                <a:ext uri="{63B3BB69-23CF-44E3-9099-C40C66FF867C}">
                  <a14:compatExt spid="_x0000_s8195"/>
                </a:ext>
                <a:ext uri="{FF2B5EF4-FFF2-40B4-BE49-F238E27FC236}">
                  <a16:creationId xmlns:a16="http://schemas.microsoft.com/office/drawing/2014/main" id="{00000000-0008-0000-0700-000003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274320</xdr:colOff>
          <xdr:row>16</xdr:row>
          <xdr:rowOff>7620</xdr:rowOff>
        </xdr:from>
        <xdr:to>
          <xdr:col>7</xdr:col>
          <xdr:colOff>518160</xdr:colOff>
          <xdr:row>18</xdr:row>
          <xdr:rowOff>7620</xdr:rowOff>
        </xdr:to>
        <xdr:sp macro="" textlink="">
          <xdr:nvSpPr>
            <xdr:cNvPr id="8196" name="CommandButton4" hidden="1">
              <a:extLst>
                <a:ext uri="{63B3BB69-23CF-44E3-9099-C40C66FF867C}">
                  <a14:compatExt spid="_x0000_s8196"/>
                </a:ext>
                <a:ext uri="{FF2B5EF4-FFF2-40B4-BE49-F238E27FC236}">
                  <a16:creationId xmlns:a16="http://schemas.microsoft.com/office/drawing/2014/main" id="{00000000-0008-0000-0700-000004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121920</xdr:colOff>
          <xdr:row>74</xdr:row>
          <xdr:rowOff>7620</xdr:rowOff>
        </xdr:from>
        <xdr:to>
          <xdr:col>1</xdr:col>
          <xdr:colOff>411480</xdr:colOff>
          <xdr:row>76</xdr:row>
          <xdr:rowOff>7620</xdr:rowOff>
        </xdr:to>
        <xdr:sp macro="" textlink="">
          <xdr:nvSpPr>
            <xdr:cNvPr id="8197" name="CommandButton5" hidden="1">
              <a:extLst>
                <a:ext uri="{63B3BB69-23CF-44E3-9099-C40C66FF867C}">
                  <a14:compatExt spid="_x0000_s8197"/>
                </a:ext>
                <a:ext uri="{FF2B5EF4-FFF2-40B4-BE49-F238E27FC236}">
                  <a16:creationId xmlns:a16="http://schemas.microsoft.com/office/drawing/2014/main" id="{00000000-0008-0000-0700-000005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2</xdr:col>
          <xdr:colOff>182880</xdr:colOff>
          <xdr:row>74</xdr:row>
          <xdr:rowOff>7620</xdr:rowOff>
        </xdr:from>
        <xdr:to>
          <xdr:col>3</xdr:col>
          <xdr:colOff>457200</xdr:colOff>
          <xdr:row>76</xdr:row>
          <xdr:rowOff>7620</xdr:rowOff>
        </xdr:to>
        <xdr:sp macro="" textlink="">
          <xdr:nvSpPr>
            <xdr:cNvPr id="8198" name="CommandButton6" hidden="1">
              <a:extLst>
                <a:ext uri="{63B3BB69-23CF-44E3-9099-C40C66FF867C}">
                  <a14:compatExt spid="_x0000_s8198"/>
                </a:ext>
                <a:ext uri="{FF2B5EF4-FFF2-40B4-BE49-F238E27FC236}">
                  <a16:creationId xmlns:a16="http://schemas.microsoft.com/office/drawing/2014/main" id="{00000000-0008-0000-0700-000006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228600</xdr:colOff>
          <xdr:row>74</xdr:row>
          <xdr:rowOff>7620</xdr:rowOff>
        </xdr:from>
        <xdr:to>
          <xdr:col>5</xdr:col>
          <xdr:colOff>502920</xdr:colOff>
          <xdr:row>76</xdr:row>
          <xdr:rowOff>7620</xdr:rowOff>
        </xdr:to>
        <xdr:sp macro="" textlink="">
          <xdr:nvSpPr>
            <xdr:cNvPr id="8199" name="CommandButton7" hidden="1">
              <a:extLst>
                <a:ext uri="{63B3BB69-23CF-44E3-9099-C40C66FF867C}">
                  <a14:compatExt spid="_x0000_s8199"/>
                </a:ext>
                <a:ext uri="{FF2B5EF4-FFF2-40B4-BE49-F238E27FC236}">
                  <a16:creationId xmlns:a16="http://schemas.microsoft.com/office/drawing/2014/main" id="{00000000-0008-0000-0700-000007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6</xdr:col>
          <xdr:colOff>274320</xdr:colOff>
          <xdr:row>74</xdr:row>
          <xdr:rowOff>7620</xdr:rowOff>
        </xdr:from>
        <xdr:to>
          <xdr:col>7</xdr:col>
          <xdr:colOff>518160</xdr:colOff>
          <xdr:row>76</xdr:row>
          <xdr:rowOff>7620</xdr:rowOff>
        </xdr:to>
        <xdr:sp macro="" textlink="">
          <xdr:nvSpPr>
            <xdr:cNvPr id="8200" name="CommandButton8" hidden="1">
              <a:extLst>
                <a:ext uri="{63B3BB69-23CF-44E3-9099-C40C66FF867C}">
                  <a14:compatExt spid="_x0000_s8200"/>
                </a:ext>
                <a:ext uri="{FF2B5EF4-FFF2-40B4-BE49-F238E27FC236}">
                  <a16:creationId xmlns:a16="http://schemas.microsoft.com/office/drawing/2014/main" id="{00000000-0008-0000-0700-000008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8</xdr:col>
          <xdr:colOff>274320</xdr:colOff>
          <xdr:row>74</xdr:row>
          <xdr:rowOff>7620</xdr:rowOff>
        </xdr:from>
        <xdr:to>
          <xdr:col>9</xdr:col>
          <xdr:colOff>518160</xdr:colOff>
          <xdr:row>76</xdr:row>
          <xdr:rowOff>7620</xdr:rowOff>
        </xdr:to>
        <xdr:sp macro="" textlink="">
          <xdr:nvSpPr>
            <xdr:cNvPr id="8201" name="CommandButton9" hidden="1">
              <a:extLst>
                <a:ext uri="{63B3BB69-23CF-44E3-9099-C40C66FF867C}">
                  <a14:compatExt spid="_x0000_s8201"/>
                </a:ext>
                <a:ext uri="{FF2B5EF4-FFF2-40B4-BE49-F238E27FC236}">
                  <a16:creationId xmlns:a16="http://schemas.microsoft.com/office/drawing/2014/main" id="{00000000-0008-0000-0700-0000092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7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11</xdr:col>
          <xdr:colOff>76200</xdr:colOff>
          <xdr:row>0</xdr:row>
          <xdr:rowOff>137160</xdr:rowOff>
        </xdr:from>
        <xdr:to>
          <xdr:col>12</xdr:col>
          <xdr:colOff>236220</xdr:colOff>
          <xdr:row>0</xdr:row>
          <xdr:rowOff>632460</xdr:rowOff>
        </xdr:to>
        <xdr:sp macro="" textlink="">
          <xdr:nvSpPr>
            <xdr:cNvPr id="79875" name="Button 3" hidden="1">
              <a:extLst>
                <a:ext uri="{63B3BB69-23CF-44E3-9099-C40C66FF867C}">
                  <a14:compatExt spid="_x0000_s79875"/>
                </a:ext>
                <a:ext uri="{FF2B5EF4-FFF2-40B4-BE49-F238E27FC236}">
                  <a16:creationId xmlns:a16="http://schemas.microsoft.com/office/drawing/2014/main" id="{00000000-0008-0000-0C00-0000033801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32004" rIns="36576" bIns="32004" anchor="ctr" upright="1"/>
            <a:lstStyle/>
            <a:p>
              <a:pPr algn="ctr" rtl="0">
                <a:defRPr sz="1000"/>
              </a:pPr>
              <a:r>
                <a:rPr lang="en-GB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Run</a:t>
              </a:r>
            </a:p>
          </xdr:txBody>
        </xdr:sp>
        <xdr:clientData fPrintsWithSheet="0"/>
      </xdr:twoCellAnchor>
    </mc:Choice>
    <mc:Fallback/>
  </mc:AlternateContent>
</xdr:wsDr>
</file>

<file path=xl/drawings/drawing8.xml><?xml version="1.0" encoding="utf-8"?>
<xdr:wsDr xmlns:xdr="http://schemas.openxmlformats.org/drawingml/2006/spreadsheetDrawing" xmlns:a="http://schemas.openxmlformats.org/drawingml/2006/main">
  <xdr:twoCellAnchor editAs="oneCell">
    <xdr:from>
      <xdr:col>8</xdr:col>
      <xdr:colOff>274320</xdr:colOff>
      <xdr:row>1</xdr:row>
      <xdr:rowOff>0</xdr:rowOff>
    </xdr:from>
    <xdr:to>
      <xdr:col>11</xdr:col>
      <xdr:colOff>815720</xdr:colOff>
      <xdr:row>23</xdr:row>
      <xdr:rowOff>46073</xdr:rowOff>
    </xdr:to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10728960" y="182880"/>
          <a:ext cx="4381880" cy="4069433"/>
        </a:xfrm>
        <a:prstGeom prst="rect">
          <a:avLst/>
        </a:prstGeom>
      </xdr:spPr>
    </xdr:pic>
    <xdr:clientData/>
  </xdr:twoCellAnchor>
</xdr:wsDr>
</file>

<file path=xl/externalLinks/_rels/externalLink1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PROJECT%20FILING\026826%20-%20KAFD%20Fosters%20(Plots%202.07,%204.02,%204.06,%205.06)\F48%20CoSA\Study%203%20-%20Parametric%20facade%20analysis\Excel\KAFD%20Facade%20design%20tool%20with%20Effectice%20G%20value%20output.xls" TargetMode="External"/></Relationships>
</file>

<file path=xl/externalLinks/_rels/externalLink2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PROJECT%20FILING\Documents%20and%20Settings\dkingsto\My%20Documents\Data\cosa\CIBSE%20Adaptive%20Comfort%20Leeds%20DSY.xls" TargetMode="External"/></Relationships>
</file>

<file path=xl/externalLinks/_rels/externalLink3.xml.rels><?xml version="1.0" encoding="UTF-8" standalone="yes"?>
<Relationships xmlns="http://schemas.openxmlformats.org/package/2006/relationships"><Relationship Id="rId1" Type="http://schemas.openxmlformats.org/officeDocument/2006/relationships/externalLinkPath" Target="file:///O:\Users\dknott\Desktop\ALWAYS%20Keep%20on%20Desktop\ALL%20-%20Thermal%20comfort%20toolkit_Aug2011-cleaned_rev2.xlsm" TargetMode="External"/></Relationships>
</file>

<file path=xl/externalLinks/externalLink1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H Disclaimer &amp; Copyright"/>
      <sheetName val="Interface"/>
      <sheetName val="Method 1"/>
      <sheetName val="Method 2"/>
      <sheetName val="sunpath"/>
      <sheetName val="graphs"/>
      <sheetName val="work"/>
      <sheetName val="orient"/>
      <sheetName val="data"/>
      <sheetName val="-"/>
      <sheetName val="Z1"/>
      <sheetName val="YSum"/>
      <sheetName val="Y1"/>
      <sheetName val="Y2"/>
      <sheetName val="XSum"/>
      <sheetName val="X1"/>
      <sheetName val="X3"/>
      <sheetName val="X2"/>
      <sheetName val="X4"/>
      <sheetName val="WSum"/>
      <sheetName val="W1"/>
      <sheetName val="W2"/>
      <sheetName val="W3"/>
      <sheetName val="W4"/>
      <sheetName val="W5"/>
      <sheetName val="W6"/>
      <sheetName val="W7"/>
      <sheetName val="W8"/>
      <sheetName val="DF"/>
      <sheetName val="DP"/>
      <sheetName val="peak"/>
      <sheetName val="annual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</sheetDataSet>
  </externalBook>
</externalLink>
</file>

<file path=xl/externalLinks/externalLink2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Weather Data"/>
      <sheetName val="Outdoor Running Mean"/>
      <sheetName val="Adaptive Comfort"/>
      <sheetName val="Adaptive Comfort MV"/>
      <sheetName val="Adaptive Comfort Free Running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</sheetDataSet>
  </externalBook>
</externalLink>
</file>

<file path=xl/externalLinks/externalLink3.xml><?xml version="1.0" encoding="utf-8"?>
<externalLink xmlns="http://schemas.openxmlformats.org/spreadsheetml/2006/main" xmlns:mc="http://schemas.openxmlformats.org/markup-compatibility/2006" xmlns:x14="http://schemas.microsoft.com/office/spreadsheetml/2009/9/main" mc:Ignorable="x14">
  <externalBook xmlns:r="http://schemas.openxmlformats.org/officeDocument/2006/relationships" r:id="rId1">
    <sheetNames>
      <sheetName val="BH Disclaimer &amp; Copyright"/>
      <sheetName val="Interface (Y)"/>
      <sheetName val="Input"/>
      <sheetName val="Interface"/>
      <sheetName val="Macros-&gt;"/>
      <sheetName val="Run UTCI"/>
      <sheetName val="UTCI"/>
      <sheetName val="UTCI (month)"/>
      <sheetName val="Auto From Input -&gt;"/>
      <sheetName val="Solar"/>
      <sheetName val="Solar (month)"/>
      <sheetName val="Wind"/>
      <sheetName val="Wind (month)"/>
      <sheetName val="CiBSE Adapt"/>
      <sheetName val="C Adapt (month)"/>
      <sheetName val="Precedent Study"/>
      <sheetName val="ASHRAE 55"/>
      <sheetName val="TSI"/>
      <sheetName val="Period"/>
      <sheetName val="W-Precedent Study"/>
      <sheetName val="W-Adapt1"/>
      <sheetName val="W-Adapt2"/>
      <sheetName val="W-Adapt3"/>
      <sheetName val="UNK"/>
      <sheetName val="PMV"/>
      <sheetName val="RH"/>
      <sheetName val="MRT"/>
      <sheetName val="RT"/>
      <sheetName val="DB"/>
      <sheetName val="PPD"/>
      <sheetName val="Ref -&gt;"/>
      <sheetName val="Ref-Precedent Study"/>
      <sheetName val="Ref-PET"/>
      <sheetName val="Ref-UTCI"/>
      <sheetName val="Working-&gt;"/>
      <sheetName val="UTCI-Calc"/>
      <sheetName val="UTCI-ehPA"/>
      <sheetName val="UTCI-poly"/>
      <sheetName val="Sheet4"/>
      <sheetName val="Sheet2"/>
    </sheetNames>
    <sheetDataSet>
      <sheetData sheetId="0" refreshError="1"/>
      <sheetData sheetId="1" refreshError="1"/>
      <sheetData sheetId="2" refreshError="1"/>
      <sheetData sheetId="3" refreshError="1"/>
      <sheetData sheetId="4" refreshError="1"/>
      <sheetData sheetId="5" refreshError="1"/>
      <sheetData sheetId="6" refreshError="1"/>
      <sheetData sheetId="7" refreshError="1"/>
      <sheetData sheetId="8" refreshError="1"/>
      <sheetData sheetId="9" refreshError="1"/>
      <sheetData sheetId="10" refreshError="1"/>
      <sheetData sheetId="11" refreshError="1"/>
      <sheetData sheetId="12" refreshError="1"/>
      <sheetData sheetId="13" refreshError="1"/>
      <sheetData sheetId="14" refreshError="1"/>
      <sheetData sheetId="15" refreshError="1"/>
      <sheetData sheetId="16" refreshError="1"/>
      <sheetData sheetId="17" refreshError="1"/>
      <sheetData sheetId="18" refreshError="1"/>
      <sheetData sheetId="19" refreshError="1"/>
      <sheetData sheetId="20" refreshError="1"/>
      <sheetData sheetId="21" refreshError="1"/>
      <sheetData sheetId="22" refreshError="1"/>
      <sheetData sheetId="23" refreshError="1"/>
      <sheetData sheetId="24" refreshError="1"/>
      <sheetData sheetId="25" refreshError="1"/>
      <sheetData sheetId="26" refreshError="1"/>
      <sheetData sheetId="27" refreshError="1"/>
      <sheetData sheetId="28" refreshError="1"/>
      <sheetData sheetId="29" refreshError="1"/>
      <sheetData sheetId="30" refreshError="1"/>
      <sheetData sheetId="31" refreshError="1"/>
      <sheetData sheetId="32" refreshError="1"/>
      <sheetData sheetId="33" refreshError="1"/>
      <sheetData sheetId="34" refreshError="1"/>
      <sheetData sheetId="35" refreshError="1"/>
      <sheetData sheetId="36" refreshError="1"/>
      <sheetData sheetId="37" refreshError="1"/>
      <sheetData sheetId="38" refreshError="1"/>
      <sheetData sheetId="39" refreshError="1"/>
    </sheetDataSet>
  </externalBook>
</externalLink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image" Target="../media/image7.emf"/><Relationship Id="rId4" Type="http://schemas.openxmlformats.org/officeDocument/2006/relationships/control" Target="../activeX/activeX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Relationship Id="rId5" Type="http://schemas.openxmlformats.org/officeDocument/2006/relationships/image" Target="../media/image9.emf"/><Relationship Id="rId4" Type="http://schemas.openxmlformats.org/officeDocument/2006/relationships/control" Target="../activeX/activeX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6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3.vml"/><Relationship Id="rId7" Type="http://schemas.openxmlformats.org/officeDocument/2006/relationships/image" Target="../media/image12.emf"/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5.bin"/><Relationship Id="rId6" Type="http://schemas.openxmlformats.org/officeDocument/2006/relationships/control" Target="../activeX/activeX4.xml"/><Relationship Id="rId11" Type="http://schemas.openxmlformats.org/officeDocument/2006/relationships/ctrlProp" Target="../ctrlProps/ctrlProp2.xml"/><Relationship Id="rId5" Type="http://schemas.openxmlformats.org/officeDocument/2006/relationships/image" Target="../media/image11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3.xml"/><Relationship Id="rId9" Type="http://schemas.openxmlformats.org/officeDocument/2006/relationships/image" Target="../media/image13.emf"/></Relationships>
</file>

<file path=xl/worksheets/_rels/sheet7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4.vml"/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6.bin"/><Relationship Id="rId6" Type="http://schemas.openxmlformats.org/officeDocument/2006/relationships/ctrlProp" Target="../ctrlProps/ctrlProp5.xml"/><Relationship Id="rId5" Type="http://schemas.openxmlformats.org/officeDocument/2006/relationships/ctrlProp" Target="../ctrlProps/ctrlProp4.xml"/><Relationship Id="rId4" Type="http://schemas.openxmlformats.org/officeDocument/2006/relationships/ctrlProp" Target="../ctrlProps/ctrlProp3.xml"/></Relationships>
</file>

<file path=xl/worksheets/_rels/sheet8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7.xml"/><Relationship Id="rId13" Type="http://schemas.openxmlformats.org/officeDocument/2006/relationships/image" Target="../media/image22.emf"/><Relationship Id="rId18" Type="http://schemas.openxmlformats.org/officeDocument/2006/relationships/control" Target="../activeX/activeX12.xml"/><Relationship Id="rId3" Type="http://schemas.openxmlformats.org/officeDocument/2006/relationships/printerSettings" Target="../printerSettings/printerSettings7.bin"/><Relationship Id="rId21" Type="http://schemas.openxmlformats.org/officeDocument/2006/relationships/image" Target="../media/image26.emf"/><Relationship Id="rId7" Type="http://schemas.openxmlformats.org/officeDocument/2006/relationships/image" Target="../media/image19.emf"/><Relationship Id="rId12" Type="http://schemas.openxmlformats.org/officeDocument/2006/relationships/control" Target="../activeX/activeX9.xml"/><Relationship Id="rId17" Type="http://schemas.openxmlformats.org/officeDocument/2006/relationships/image" Target="../media/image24.emf"/><Relationship Id="rId2" Type="http://schemas.openxmlformats.org/officeDocument/2006/relationships/hyperlink" Target="http://www.rondebruin.nl/sendmail.htm" TargetMode="External"/><Relationship Id="rId16" Type="http://schemas.openxmlformats.org/officeDocument/2006/relationships/control" Target="../activeX/activeX11.xml"/><Relationship Id="rId20" Type="http://schemas.openxmlformats.org/officeDocument/2006/relationships/control" Target="../activeX/activeX13.xml"/><Relationship Id="rId1" Type="http://schemas.openxmlformats.org/officeDocument/2006/relationships/hyperlink" Target="http://www.rondebruin.nl/pdf.htm" TargetMode="External"/><Relationship Id="rId6" Type="http://schemas.openxmlformats.org/officeDocument/2006/relationships/control" Target="../activeX/activeX6.xml"/><Relationship Id="rId11" Type="http://schemas.openxmlformats.org/officeDocument/2006/relationships/image" Target="../media/image21.emf"/><Relationship Id="rId5" Type="http://schemas.openxmlformats.org/officeDocument/2006/relationships/vmlDrawing" Target="../drawings/vmlDrawing5.vml"/><Relationship Id="rId15" Type="http://schemas.openxmlformats.org/officeDocument/2006/relationships/image" Target="../media/image23.emf"/><Relationship Id="rId23" Type="http://schemas.openxmlformats.org/officeDocument/2006/relationships/image" Target="../media/image27.emf"/><Relationship Id="rId10" Type="http://schemas.openxmlformats.org/officeDocument/2006/relationships/control" Target="../activeX/activeX8.xml"/><Relationship Id="rId19" Type="http://schemas.openxmlformats.org/officeDocument/2006/relationships/image" Target="../media/image25.emf"/><Relationship Id="rId4" Type="http://schemas.openxmlformats.org/officeDocument/2006/relationships/drawing" Target="../drawings/drawing6.xml"/><Relationship Id="rId9" Type="http://schemas.openxmlformats.org/officeDocument/2006/relationships/image" Target="../media/image20.emf"/><Relationship Id="rId14" Type="http://schemas.openxmlformats.org/officeDocument/2006/relationships/control" Target="../activeX/activeX10.xml"/><Relationship Id="rId22" Type="http://schemas.openxmlformats.org/officeDocument/2006/relationships/control" Target="../activeX/activeX14.xml"/></Relationships>
</file>

<file path=xl/worksheets/_rels/sheet9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8.bin"/></Relationships>
</file>

<file path=xl/worksheets/_rels/sheet1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6.xml"/><Relationship Id="rId2" Type="http://schemas.openxmlformats.org/officeDocument/2006/relationships/vmlDrawing" Target="../drawings/vmlDrawing6.vml"/><Relationship Id="rId1" Type="http://schemas.openxmlformats.org/officeDocument/2006/relationships/drawing" Target="../drawings/drawing7.xml"/><Relationship Id="rId4" Type="http://schemas.openxmlformats.org/officeDocument/2006/relationships/comments" Target="../comments1.xml"/></Relationships>
</file>

<file path=xl/worksheets/_rels/sheet17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8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1:X100"/>
  <sheetViews>
    <sheetView zoomScale="80" zoomScaleNormal="80" workbookViewId="0">
      <selection activeCell="X9" sqref="X9"/>
    </sheetView>
  </sheetViews>
  <sheetFormatPr defaultColWidth="18.77734375" defaultRowHeight="12.75" customHeight="1"/>
  <cols>
    <col min="1" max="24" width="9.109375" customWidth="1"/>
  </cols>
  <sheetData>
    <row r="1" spans="1:24" ht="14.4"/>
    <row r="2" spans="1:24" ht="14.4">
      <c r="A2" t="s">
        <v>349</v>
      </c>
    </row>
    <row r="3" spans="1:24" ht="14.4">
      <c r="A3" t="s">
        <v>340</v>
      </c>
    </row>
    <row r="4" spans="1:24" ht="14.4">
      <c r="A4" t="s">
        <v>341</v>
      </c>
      <c r="X4" t="s">
        <v>504</v>
      </c>
    </row>
    <row r="5" spans="1:24" ht="14.4">
      <c r="A5" t="s">
        <v>344</v>
      </c>
      <c r="X5" t="s">
        <v>505</v>
      </c>
    </row>
    <row r="6" spans="1:24" ht="14.4">
      <c r="A6" t="s">
        <v>342</v>
      </c>
      <c r="X6" t="s">
        <v>507</v>
      </c>
    </row>
    <row r="7" spans="1:24" ht="14.4">
      <c r="A7" t="s">
        <v>343</v>
      </c>
      <c r="X7" t="s">
        <v>506</v>
      </c>
    </row>
    <row r="8" spans="1:24" ht="14.4">
      <c r="A8" t="s">
        <v>346</v>
      </c>
      <c r="X8" t="s">
        <v>509</v>
      </c>
    </row>
    <row r="9" spans="1:24" ht="14.4">
      <c r="A9" s="129" t="s">
        <v>347</v>
      </c>
    </row>
    <row r="10" spans="1:24" ht="14.4">
      <c r="A10" s="129" t="s">
        <v>348</v>
      </c>
    </row>
    <row r="11" spans="1:24" ht="14.4">
      <c r="A11" t="s">
        <v>345</v>
      </c>
    </row>
    <row r="12" spans="1:24" ht="14.4">
      <c r="A12" s="129" t="s">
        <v>350</v>
      </c>
    </row>
    <row r="13" spans="1:24" ht="14.4">
      <c r="A13" s="129" t="s">
        <v>351</v>
      </c>
    </row>
    <row r="14" spans="1:24" ht="14.4">
      <c r="A14" s="129" t="s">
        <v>352</v>
      </c>
    </row>
    <row r="15" spans="1:24" ht="14.4">
      <c r="A15" s="129" t="s">
        <v>353</v>
      </c>
    </row>
    <row r="16" spans="1:24" ht="14.4">
      <c r="A16" t="s">
        <v>354</v>
      </c>
    </row>
    <row r="17" spans="1:2" ht="14.4">
      <c r="A17" s="129" t="s">
        <v>151</v>
      </c>
      <c r="B17" s="129" t="s">
        <v>153</v>
      </c>
    </row>
    <row r="18" spans="1:2" ht="14.4">
      <c r="A18" s="144"/>
      <c r="B18" t="s">
        <v>149</v>
      </c>
    </row>
    <row r="19" spans="1:2" ht="14.4">
      <c r="A19" t="s">
        <v>449</v>
      </c>
    </row>
    <row r="20" spans="1:2" ht="14.4"/>
    <row r="21" spans="1:2" ht="14.4"/>
    <row r="22" spans="1:2" ht="14.4"/>
    <row r="23" spans="1:2" ht="14.4"/>
    <row r="24" spans="1:2" ht="14.4"/>
    <row r="25" spans="1:2" ht="14.4"/>
    <row r="26" spans="1:2" ht="14.4"/>
    <row r="27" spans="1:2" ht="14.4"/>
    <row r="28" spans="1:2" ht="14.4"/>
    <row r="29" spans="1:2" ht="14.4"/>
    <row r="30" spans="1:2" ht="14.4"/>
    <row r="31" spans="1:2" ht="14.4"/>
    <row r="32" spans="1:2" ht="14.4"/>
    <row r="33" ht="14.4"/>
    <row r="34" ht="14.4"/>
    <row r="35" ht="14.4"/>
    <row r="36" ht="14.4"/>
    <row r="37" ht="14.4"/>
    <row r="38" ht="14.4"/>
    <row r="39" ht="14.4"/>
    <row r="40" ht="14.4"/>
    <row r="41" ht="14.4"/>
    <row r="42" ht="14.4"/>
    <row r="43" ht="14.4"/>
    <row r="44" ht="14.4"/>
    <row r="45" ht="14.4"/>
    <row r="46" ht="14.4"/>
    <row r="47" ht="14.4"/>
    <row r="48" ht="14.4"/>
    <row r="49" ht="14.4"/>
    <row r="50" ht="14.4"/>
    <row r="51" ht="14.4"/>
    <row r="52" ht="14.4"/>
    <row r="53" ht="14.4"/>
    <row r="54" ht="14.4"/>
    <row r="55" ht="14.4"/>
    <row r="56" ht="14.4"/>
    <row r="57" ht="14.4"/>
    <row r="58" ht="14.4"/>
    <row r="59" ht="14.4"/>
    <row r="60" ht="14.4"/>
    <row r="61" ht="14.4"/>
    <row r="62" ht="14.4"/>
    <row r="63" ht="14.4"/>
    <row r="64" ht="14.4"/>
    <row r="65" ht="14.4"/>
    <row r="66" ht="14.4"/>
    <row r="67" ht="14.4"/>
    <row r="68" ht="14.4"/>
    <row r="69" ht="14.4"/>
    <row r="70" ht="14.4"/>
    <row r="71" ht="14.4"/>
    <row r="72" ht="14.4"/>
    <row r="73" ht="14.4"/>
    <row r="74" ht="14.4"/>
    <row r="75" ht="14.4"/>
    <row r="76" ht="14.4"/>
    <row r="77" ht="14.4"/>
    <row r="78" ht="14.4"/>
    <row r="79" ht="14.4"/>
    <row r="80" ht="14.4"/>
    <row r="81" ht="14.4"/>
    <row r="82" ht="14.4"/>
    <row r="83" ht="14.4"/>
    <row r="84" ht="14.4"/>
    <row r="85" ht="14.4"/>
    <row r="86" ht="14.4"/>
    <row r="87" ht="14.4"/>
    <row r="88" ht="14.4"/>
    <row r="89" ht="14.4"/>
    <row r="90" ht="14.4"/>
    <row r="91" ht="14.4"/>
    <row r="92" ht="14.4"/>
    <row r="93" ht="14.4"/>
    <row r="94" ht="14.4"/>
    <row r="95" ht="14.4"/>
    <row r="96" ht="14.4"/>
    <row r="97" ht="14.4"/>
    <row r="98" ht="14.4"/>
    <row r="99" ht="14.4"/>
    <row r="100" ht="14.4"/>
  </sheetData>
  <pageMargins left="0.7" right="0.7" top="0.75" bottom="0.75" header="0.3" footer="0.3"/>
  <pageSetup paperSize="9" orientation="portrait" r:id="rId1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31">
    <tabColor rgb="FF00B050"/>
  </sheetPr>
  <dimension ref="A1:AU53"/>
  <sheetViews>
    <sheetView view="pageBreakPreview" zoomScale="85" zoomScaleNormal="40" zoomScaleSheetLayoutView="85" workbookViewId="0">
      <selection activeCell="AM6" sqref="AM6:AS31"/>
    </sheetView>
  </sheetViews>
  <sheetFormatPr defaultColWidth="18.77734375" defaultRowHeight="12.75" customHeight="1"/>
  <cols>
    <col min="1" max="1" width="1.33203125" style="24" customWidth="1"/>
    <col min="2" max="2" width="1.6640625" style="24" customWidth="1"/>
    <col min="3" max="3" width="4.44140625" style="24" customWidth="1"/>
    <col min="4" max="4" width="5.5546875" style="24" customWidth="1"/>
    <col min="5" max="5" width="10.88671875" style="24" customWidth="1"/>
    <col min="6" max="6" width="7.44140625" style="24" customWidth="1"/>
    <col min="7" max="7" width="5.5546875" style="24" customWidth="1"/>
    <col min="8" max="8" width="7.88671875" style="24" customWidth="1"/>
    <col min="9" max="9" width="4.44140625" style="24" customWidth="1"/>
    <col min="10" max="10" width="6.6640625" style="24" customWidth="1"/>
    <col min="11" max="13" width="6.88671875" style="24" customWidth="1"/>
    <col min="14" max="14" width="9.33203125" style="24" customWidth="1"/>
    <col min="15" max="17" width="6.88671875" style="24" customWidth="1"/>
    <col min="18" max="18" width="6" style="24" customWidth="1"/>
    <col min="19" max="19" width="7.88671875" style="24" customWidth="1"/>
    <col min="20" max="20" width="8" style="24" customWidth="1"/>
    <col min="21" max="21" width="5.44140625" style="24" customWidth="1"/>
    <col min="22" max="24" width="3" style="24" customWidth="1"/>
    <col min="25" max="27" width="1.44140625" style="24" customWidth="1"/>
    <col min="28" max="28" width="12.6640625" style="23" customWidth="1"/>
    <col min="29" max="30" width="13.6640625" style="24" customWidth="1"/>
    <col min="31" max="31" width="8.88671875" style="24" customWidth="1"/>
    <col min="32" max="32" width="15.33203125" style="24" customWidth="1"/>
    <col min="33" max="38" width="12.6640625" style="24" customWidth="1"/>
    <col min="39" max="39" width="12.6640625" style="23" customWidth="1"/>
    <col min="40" max="47" width="9.109375" style="24" customWidth="1"/>
    <col min="48" max="16384" width="18.77734375" style="24"/>
  </cols>
  <sheetData>
    <row r="1" spans="1:47" ht="17.25" customHeight="1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G1" s="25"/>
      <c r="AH1" s="25"/>
      <c r="AI1" s="25"/>
      <c r="AJ1" s="25"/>
      <c r="AK1" s="25"/>
    </row>
    <row r="2" spans="1:47" ht="23.25" customHeight="1">
      <c r="A2" s="8"/>
      <c r="B2" s="8"/>
      <c r="C2" s="516">
        <f ca="1">Print!C2</f>
        <v>44697</v>
      </c>
      <c r="D2" s="517"/>
      <c r="E2" s="517"/>
      <c r="F2" s="200"/>
      <c r="G2" s="201"/>
      <c r="H2" s="201"/>
      <c r="I2" s="201"/>
      <c r="J2" s="201"/>
      <c r="K2" s="201"/>
      <c r="L2" s="411"/>
      <c r="M2" s="202" t="s">
        <v>220</v>
      </c>
      <c r="N2" s="201"/>
      <c r="O2" s="201"/>
      <c r="P2" s="201"/>
      <c r="Q2" s="201"/>
      <c r="R2" s="201"/>
      <c r="S2" s="201"/>
      <c r="T2" s="201"/>
      <c r="U2" s="201"/>
      <c r="V2" s="201"/>
      <c r="W2" s="201"/>
      <c r="X2" s="203"/>
      <c r="Y2" s="8"/>
      <c r="Z2" s="8"/>
      <c r="AA2" s="8"/>
      <c r="AF2" s="26"/>
    </row>
    <row r="3" spans="1:47" ht="17.25" customHeight="1">
      <c r="A3" s="8"/>
      <c r="B3" s="8"/>
      <c r="C3" s="197" t="str">
        <f>Print!C3</f>
        <v>Project Name:</v>
      </c>
      <c r="D3" s="204"/>
      <c r="E3" s="204"/>
      <c r="F3" s="205"/>
      <c r="G3" s="204"/>
      <c r="H3" s="204"/>
      <c r="I3" s="204"/>
      <c r="J3" s="206"/>
      <c r="K3" s="204"/>
      <c r="L3" s="207"/>
      <c r="M3" s="204"/>
      <c r="N3" s="412"/>
      <c r="O3" s="204"/>
      <c r="P3" s="204"/>
      <c r="Q3" s="208"/>
      <c r="R3" s="204"/>
      <c r="S3" s="204"/>
      <c r="T3" s="204"/>
      <c r="U3" s="204"/>
      <c r="V3" s="204"/>
      <c r="W3" s="204"/>
      <c r="X3" s="209"/>
      <c r="Y3" s="8"/>
      <c r="Z3" s="8"/>
      <c r="AA3" s="8"/>
      <c r="AF3" s="26"/>
    </row>
    <row r="4" spans="1:47" ht="17.25" customHeight="1">
      <c r="A4" s="8"/>
      <c r="B4" s="6" t="s">
        <v>66</v>
      </c>
      <c r="C4" s="195" t="s">
        <v>83</v>
      </c>
      <c r="D4" s="210"/>
      <c r="E4" s="210"/>
      <c r="F4" s="210"/>
      <c r="G4" s="199"/>
      <c r="H4" s="199"/>
      <c r="I4" s="210"/>
      <c r="J4" s="413"/>
      <c r="K4" s="211"/>
      <c r="L4" s="211"/>
      <c r="M4" s="211"/>
      <c r="N4" s="211"/>
      <c r="O4" s="211"/>
      <c r="P4" s="211"/>
      <c r="Q4" s="211"/>
      <c r="R4" s="211"/>
      <c r="S4" s="211"/>
      <c r="T4" s="211"/>
      <c r="U4" s="211"/>
      <c r="V4" s="211"/>
      <c r="W4" s="211"/>
      <c r="X4" s="212"/>
      <c r="Y4" s="8"/>
      <c r="Z4" s="8"/>
      <c r="AA4" s="8"/>
      <c r="AF4" s="26"/>
    </row>
    <row r="5" spans="1:47" ht="12" customHeight="1">
      <c r="A5" s="8"/>
      <c r="B5" s="8"/>
      <c r="C5" s="204"/>
      <c r="D5" s="208"/>
      <c r="E5" s="204"/>
      <c r="F5" s="204"/>
      <c r="G5" s="204"/>
      <c r="H5" s="204"/>
      <c r="I5" s="204"/>
      <c r="J5" s="204"/>
      <c r="K5" s="204"/>
      <c r="L5" s="204"/>
      <c r="M5" s="204"/>
      <c r="N5" s="204"/>
      <c r="O5" s="204"/>
      <c r="P5" s="204"/>
      <c r="Q5" s="204"/>
      <c r="R5" s="204"/>
      <c r="S5" s="204"/>
      <c r="T5" s="204"/>
      <c r="U5" s="204"/>
      <c r="V5" s="204"/>
      <c r="W5" s="204"/>
      <c r="X5" s="204"/>
      <c r="Y5" s="8"/>
      <c r="Z5" s="8"/>
      <c r="AA5" s="8"/>
      <c r="AB5" s="27"/>
      <c r="AF5" s="26"/>
      <c r="AM5" s="27"/>
    </row>
    <row r="6" spans="1:47" ht="17.25" customHeight="1">
      <c r="A6" s="8"/>
      <c r="B6" s="8"/>
      <c r="C6" s="414" t="str">
        <f ca="1">AF6</f>
        <v>5.8.2 tropical hall</v>
      </c>
      <c r="D6" s="414"/>
      <c r="E6" s="414"/>
      <c r="F6" s="415">
        <f ca="1">AG6</f>
        <v>1</v>
      </c>
      <c r="G6" s="414"/>
      <c r="H6" s="416" t="str">
        <f ca="1">AH6</f>
        <v>8.-1.7 technical area</v>
      </c>
      <c r="I6" s="414"/>
      <c r="J6" s="416"/>
      <c r="K6" s="416">
        <f ca="1">AI6</f>
        <v>29</v>
      </c>
      <c r="L6" s="414"/>
      <c r="M6" s="416" t="str">
        <f ca="1">AJ6</f>
        <v>Underpools South</v>
      </c>
      <c r="N6" s="414"/>
      <c r="O6" s="416"/>
      <c r="P6" s="416">
        <f ca="1">AK6</f>
        <v>57</v>
      </c>
      <c r="R6" s="414"/>
      <c r="S6" s="414"/>
      <c r="T6" s="414"/>
      <c r="U6" s="204"/>
      <c r="V6" s="204"/>
      <c r="W6" s="204"/>
      <c r="X6" s="204"/>
      <c r="Y6" s="8"/>
      <c r="Z6" s="8"/>
      <c r="AA6" s="8"/>
      <c r="AF6" s="178" t="str">
        <f ca="1">OFFSET(AF6,0,$AD$13+7,1,1)</f>
        <v>5.8.2 tropical hall</v>
      </c>
      <c r="AG6" s="178">
        <f ca="1">OFFSET(AF6,0,$AD$13+9,1,1)</f>
        <v>1</v>
      </c>
      <c r="AH6" s="178" t="str">
        <f ca="1">OFFSET(AF6,0,$AD$13+10,1,1)</f>
        <v>8.-1.7 technical area</v>
      </c>
      <c r="AI6" s="178">
        <f ca="1">OFFSET(AF6,0,$AD$13+12,1,1)</f>
        <v>29</v>
      </c>
      <c r="AJ6" s="178" t="str">
        <f ca="1">OFFSET(AF6,0,$AD$13+13,1,1)</f>
        <v>Underpools South</v>
      </c>
      <c r="AK6" s="178">
        <f ca="1">OFFSET(AF6,0,$AD$13+15,1,1)</f>
        <v>57</v>
      </c>
      <c r="AM6" s="129" t="s">
        <v>221</v>
      </c>
      <c r="AO6" s="129">
        <v>1</v>
      </c>
      <c r="AP6" s="129" t="s">
        <v>254</v>
      </c>
      <c r="AR6" s="24">
        <v>29</v>
      </c>
      <c r="AS6" s="24" t="s">
        <v>338</v>
      </c>
      <c r="AU6" s="24">
        <v>57</v>
      </c>
    </row>
    <row r="7" spans="1:47" ht="17.25" customHeight="1">
      <c r="A7" s="8"/>
      <c r="B7" s="8"/>
      <c r="C7" s="414" t="str">
        <f t="shared" ref="C7:C32" ca="1" si="0">AF7</f>
        <v>UU 6 L2.75 Special Closed</v>
      </c>
      <c r="D7" s="414"/>
      <c r="E7" s="414"/>
      <c r="F7" s="415">
        <f t="shared" ref="F7:F33" ca="1" si="1">AG7</f>
        <v>2</v>
      </c>
      <c r="G7" s="414"/>
      <c r="H7" s="416" t="str">
        <f t="shared" ref="H7:H32" ca="1" si="2">AH7</f>
        <v>8.-1.8 AHU room</v>
      </c>
      <c r="I7" s="414"/>
      <c r="J7" s="417"/>
      <c r="K7" s="416">
        <f t="shared" ref="K7:K32" ca="1" si="3">AI7</f>
        <v>30</v>
      </c>
      <c r="L7" s="414"/>
      <c r="M7" s="416" t="str">
        <f t="shared" ref="M7:M32" ca="1" si="4">AJ7</f>
        <v>Underpools North</v>
      </c>
      <c r="N7" s="414"/>
      <c r="O7" s="416"/>
      <c r="P7" s="416">
        <f ca="1">AK7</f>
        <v>58</v>
      </c>
      <c r="R7" s="414"/>
      <c r="S7" s="414"/>
      <c r="T7" s="414"/>
      <c r="U7" s="204"/>
      <c r="V7" s="204"/>
      <c r="W7" s="204"/>
      <c r="X7" s="204"/>
      <c r="Y7" s="8"/>
      <c r="Z7" s="8"/>
      <c r="AA7" s="8"/>
      <c r="AB7" s="27"/>
      <c r="AF7" s="178" t="str">
        <f t="shared" ref="AF7:AF33" ca="1" si="5">OFFSET(AF7,0,$AD$13+7,1,1)</f>
        <v>UU 6 L2.75 Special Closed</v>
      </c>
      <c r="AG7" s="178">
        <f t="shared" ref="AG7:AG33" ca="1" si="6">OFFSET(AF7,0,$AD$13+9,1,1)</f>
        <v>2</v>
      </c>
      <c r="AH7" s="178" t="str">
        <f t="shared" ref="AH7:AH33" ca="1" si="7">OFFSET(AF7,0,$AD$13+10,1,1)</f>
        <v>8.-1.8 AHU room</v>
      </c>
      <c r="AI7" s="178">
        <f t="shared" ref="AI7:AI33" ca="1" si="8">OFFSET(AF7,0,$AD$13+12,1,1)</f>
        <v>30</v>
      </c>
      <c r="AJ7" s="178" t="str">
        <f t="shared" ref="AJ7:AJ33" ca="1" si="9">OFFSET(AF7,0,$AD$13+13,1,1)</f>
        <v>Underpools North</v>
      </c>
      <c r="AK7" s="178">
        <f t="shared" ref="AK7:AK33" ca="1" si="10">OFFSET(AF7,0,$AD$13+15,1,1)</f>
        <v>58</v>
      </c>
      <c r="AM7" s="129" t="s">
        <v>224</v>
      </c>
      <c r="AO7" s="129">
        <v>2</v>
      </c>
      <c r="AP7" s="129" t="s">
        <v>255</v>
      </c>
      <c r="AR7" s="24">
        <v>30</v>
      </c>
      <c r="AS7" s="24" t="s">
        <v>339</v>
      </c>
      <c r="AU7" s="24">
        <v>58</v>
      </c>
    </row>
    <row r="8" spans="1:47" ht="17.25" customHeight="1">
      <c r="A8" s="8"/>
      <c r="B8" s="8"/>
      <c r="C8" s="414" t="str">
        <f t="shared" ca="1" si="0"/>
        <v>3.0.0 breeding station</v>
      </c>
      <c r="D8" s="414"/>
      <c r="E8" s="414"/>
      <c r="F8" s="415">
        <f t="shared" ca="1" si="1"/>
        <v>3</v>
      </c>
      <c r="G8" s="414"/>
      <c r="H8" s="416" t="str">
        <f t="shared" ca="1" si="2"/>
        <v>8.-1.9 pump room</v>
      </c>
      <c r="I8" s="414"/>
      <c r="J8" s="414"/>
      <c r="K8" s="416">
        <f t="shared" ca="1" si="3"/>
        <v>31</v>
      </c>
      <c r="L8" s="414"/>
      <c r="M8" s="416" t="str">
        <f t="shared" ca="1" si="4"/>
        <v>7.0.2 sanitary d</v>
      </c>
      <c r="N8" s="414"/>
      <c r="O8" s="416"/>
      <c r="P8" s="416">
        <f ca="1">AK8</f>
        <v>59</v>
      </c>
      <c r="R8" s="414"/>
      <c r="S8" s="414"/>
      <c r="T8" s="414"/>
      <c r="U8" s="204"/>
      <c r="V8" s="204"/>
      <c r="W8" s="204"/>
      <c r="X8" s="204"/>
      <c r="Y8" s="8"/>
      <c r="Z8" s="8"/>
      <c r="AA8" s="8"/>
      <c r="AB8" s="27"/>
      <c r="AC8" s="178">
        <v>1</v>
      </c>
      <c r="AD8" s="185"/>
      <c r="AF8" s="178" t="str">
        <f t="shared" ca="1" si="5"/>
        <v>3.0.0 breeding station</v>
      </c>
      <c r="AG8" s="178">
        <f t="shared" ca="1" si="6"/>
        <v>3</v>
      </c>
      <c r="AH8" s="178" t="str">
        <f t="shared" ca="1" si="7"/>
        <v>8.-1.9 pump room</v>
      </c>
      <c r="AI8" s="178">
        <f t="shared" ca="1" si="8"/>
        <v>31</v>
      </c>
      <c r="AJ8" s="178" t="str">
        <f t="shared" ca="1" si="9"/>
        <v>7.0.2 sanitary d</v>
      </c>
      <c r="AK8" s="178">
        <f t="shared" ca="1" si="10"/>
        <v>59</v>
      </c>
      <c r="AM8" s="129" t="s">
        <v>225</v>
      </c>
      <c r="AO8" s="129">
        <v>3</v>
      </c>
      <c r="AP8" s="129" t="s">
        <v>256</v>
      </c>
      <c r="AR8" s="24">
        <v>31</v>
      </c>
      <c r="AS8" s="24" t="s">
        <v>237</v>
      </c>
      <c r="AU8" s="24">
        <v>59</v>
      </c>
    </row>
    <row r="9" spans="1:47" ht="17.25" customHeight="1">
      <c r="A9" s="8"/>
      <c r="B9" s="8"/>
      <c r="C9" s="414" t="str">
        <f t="shared" ca="1" si="0"/>
        <v>3.0.1 storage breeding</v>
      </c>
      <c r="D9" s="414"/>
      <c r="E9" s="414"/>
      <c r="F9" s="415">
        <f t="shared" ca="1" si="1"/>
        <v>4</v>
      </c>
      <c r="G9" s="414"/>
      <c r="H9" s="416" t="str">
        <f t="shared" ca="1" si="2"/>
        <v>9.0.1 arrival + meeting area</v>
      </c>
      <c r="I9" s="414"/>
      <c r="J9" s="414"/>
      <c r="K9" s="416">
        <f t="shared" ca="1" si="3"/>
        <v>32</v>
      </c>
      <c r="L9" s="414"/>
      <c r="M9" s="416">
        <f t="shared" ca="1" si="4"/>
        <v>0</v>
      </c>
      <c r="N9" s="414"/>
      <c r="O9" s="416"/>
      <c r="P9" s="416"/>
      <c r="Q9" s="416">
        <f t="shared" ref="Q9:Q33" ca="1" si="11">AK9</f>
        <v>0</v>
      </c>
      <c r="R9" s="414"/>
      <c r="S9" s="414"/>
      <c r="T9" s="414"/>
      <c r="U9" s="204"/>
      <c r="V9" s="204"/>
      <c r="W9" s="204"/>
      <c r="X9" s="204"/>
      <c r="Y9" s="8"/>
      <c r="Z9" s="8"/>
      <c r="AA9" s="8"/>
      <c r="AB9" s="27"/>
      <c r="AC9" s="179" t="str">
        <f>IF(AC8&lt;10,"00"&amp;AC8&amp;"_Legend",IF(AC8&lt;100,"0"&amp;AC8&amp;"_Legend",AC8&amp;"_Legend"))</f>
        <v>001_Legend</v>
      </c>
      <c r="AD9" s="193"/>
      <c r="AF9" s="178" t="str">
        <f t="shared" ca="1" si="5"/>
        <v>3.0.1 storage breeding</v>
      </c>
      <c r="AG9" s="178">
        <f t="shared" ca="1" si="6"/>
        <v>4</v>
      </c>
      <c r="AH9" s="178" t="str">
        <f t="shared" ca="1" si="7"/>
        <v>9.0.1 arrival + meeting area</v>
      </c>
      <c r="AI9" s="178">
        <f t="shared" ca="1" si="8"/>
        <v>32</v>
      </c>
      <c r="AJ9" s="178">
        <f t="shared" ca="1" si="9"/>
        <v>0</v>
      </c>
      <c r="AK9" s="178">
        <f t="shared" ca="1" si="10"/>
        <v>0</v>
      </c>
      <c r="AM9" s="129" t="s">
        <v>227</v>
      </c>
      <c r="AO9" s="129">
        <v>4</v>
      </c>
      <c r="AP9" s="129" t="s">
        <v>326</v>
      </c>
      <c r="AR9" s="24">
        <v>32</v>
      </c>
      <c r="AS9" s="129"/>
      <c r="AU9" s="129"/>
    </row>
    <row r="10" spans="1:47" ht="17.25" customHeight="1">
      <c r="A10" s="8"/>
      <c r="B10" s="8"/>
      <c r="C10" s="414" t="str">
        <f t="shared" ca="1" si="0"/>
        <v>4.0.0 shop</v>
      </c>
      <c r="D10" s="414"/>
      <c r="E10" s="414"/>
      <c r="F10" s="415">
        <f t="shared" ca="1" si="1"/>
        <v>5</v>
      </c>
      <c r="G10" s="414"/>
      <c r="H10" s="416" t="str">
        <f t="shared" ca="1" si="2"/>
        <v>9.0.2 circulation</v>
      </c>
      <c r="I10" s="414"/>
      <c r="J10" s="414"/>
      <c r="K10" s="416">
        <f t="shared" ca="1" si="3"/>
        <v>33</v>
      </c>
      <c r="L10" s="414"/>
      <c r="M10" s="416">
        <f t="shared" ca="1" si="4"/>
        <v>0</v>
      </c>
      <c r="N10" s="414"/>
      <c r="O10" s="416"/>
      <c r="P10" s="416"/>
      <c r="Q10" s="416">
        <f t="shared" ca="1" si="11"/>
        <v>0</v>
      </c>
      <c r="R10" s="414"/>
      <c r="S10" s="414"/>
      <c r="T10" s="414"/>
      <c r="U10" s="204"/>
      <c r="V10" s="204"/>
      <c r="W10" s="204"/>
      <c r="X10" s="204"/>
      <c r="Y10" s="8"/>
      <c r="Z10" s="8"/>
      <c r="AA10" s="8"/>
      <c r="AB10" s="27"/>
      <c r="AC10" s="126">
        <v>1</v>
      </c>
      <c r="AD10" s="184"/>
      <c r="AF10" s="178" t="str">
        <f t="shared" ca="1" si="5"/>
        <v>4.0.0 shop</v>
      </c>
      <c r="AG10" s="178">
        <f t="shared" ca="1" si="6"/>
        <v>5</v>
      </c>
      <c r="AH10" s="178" t="str">
        <f t="shared" ca="1" si="7"/>
        <v>9.0.2 circulation</v>
      </c>
      <c r="AI10" s="178">
        <f t="shared" ca="1" si="8"/>
        <v>33</v>
      </c>
      <c r="AJ10" s="178">
        <f t="shared" ca="1" si="9"/>
        <v>0</v>
      </c>
      <c r="AK10" s="178">
        <f t="shared" ca="1" si="10"/>
        <v>0</v>
      </c>
      <c r="AM10" s="129" t="s">
        <v>228</v>
      </c>
      <c r="AO10" s="129">
        <v>5</v>
      </c>
      <c r="AP10" s="129" t="s">
        <v>327</v>
      </c>
      <c r="AR10" s="24">
        <v>33</v>
      </c>
      <c r="AS10" s="129"/>
      <c r="AU10" s="129"/>
    </row>
    <row r="11" spans="1:47" ht="17.25" customHeight="1">
      <c r="A11" s="8"/>
      <c r="B11" s="8"/>
      <c r="C11" s="414" t="str">
        <f t="shared" ca="1" si="0"/>
        <v>4.0.1 storage shop</v>
      </c>
      <c r="D11" s="414"/>
      <c r="E11" s="414"/>
      <c r="F11" s="415">
        <f t="shared" ca="1" si="1"/>
        <v>6</v>
      </c>
      <c r="G11" s="414"/>
      <c r="H11" s="416" t="str">
        <f t="shared" ca="1" si="2"/>
        <v>9.0.5 air lock</v>
      </c>
      <c r="I11" s="414"/>
      <c r="J11" s="414"/>
      <c r="K11" s="416">
        <f t="shared" ca="1" si="3"/>
        <v>34</v>
      </c>
      <c r="L11" s="414"/>
      <c r="M11" s="416">
        <f t="shared" ca="1" si="4"/>
        <v>0</v>
      </c>
      <c r="N11" s="414"/>
      <c r="O11" s="416"/>
      <c r="P11" s="416"/>
      <c r="Q11" s="416">
        <f t="shared" ca="1" si="11"/>
        <v>0</v>
      </c>
      <c r="R11" s="414"/>
      <c r="S11" s="414"/>
      <c r="T11" s="414"/>
      <c r="U11" s="204"/>
      <c r="V11" s="204"/>
      <c r="W11" s="204"/>
      <c r="X11" s="204"/>
      <c r="Y11" s="8"/>
      <c r="Z11" s="8"/>
      <c r="AA11" s="8"/>
      <c r="AB11" s="27"/>
      <c r="AC11" s="126">
        <v>1</v>
      </c>
      <c r="AD11" s="184"/>
      <c r="AF11" s="178" t="str">
        <f t="shared" ca="1" si="5"/>
        <v>4.0.1 storage shop</v>
      </c>
      <c r="AG11" s="178">
        <f t="shared" ca="1" si="6"/>
        <v>6</v>
      </c>
      <c r="AH11" s="178" t="str">
        <f t="shared" ca="1" si="7"/>
        <v>9.0.5 air lock</v>
      </c>
      <c r="AI11" s="178">
        <f t="shared" ca="1" si="8"/>
        <v>34</v>
      </c>
      <c r="AJ11" s="178">
        <f t="shared" ca="1" si="9"/>
        <v>0</v>
      </c>
      <c r="AK11" s="178">
        <f t="shared" ca="1" si="10"/>
        <v>0</v>
      </c>
      <c r="AM11" s="129" t="s">
        <v>229</v>
      </c>
      <c r="AO11" s="129">
        <v>6</v>
      </c>
      <c r="AP11" s="129" t="s">
        <v>328</v>
      </c>
      <c r="AR11" s="24">
        <v>34</v>
      </c>
      <c r="AS11" s="129"/>
      <c r="AU11" s="129"/>
    </row>
    <row r="12" spans="1:47" ht="17.25" customHeight="1">
      <c r="A12" s="8"/>
      <c r="B12" s="8"/>
      <c r="C12" s="414" t="str">
        <f t="shared" ca="1" si="0"/>
        <v>5.0.0 multimedia room</v>
      </c>
      <c r="D12" s="414"/>
      <c r="E12" s="414"/>
      <c r="F12" s="415">
        <f t="shared" ca="1" si="1"/>
        <v>7</v>
      </c>
      <c r="G12" s="414"/>
      <c r="H12" s="416" t="str">
        <f t="shared" ca="1" si="2"/>
        <v>9.0.6 circulation</v>
      </c>
      <c r="I12" s="414"/>
      <c r="J12" s="414"/>
      <c r="K12" s="416">
        <f t="shared" ca="1" si="3"/>
        <v>35</v>
      </c>
      <c r="L12" s="414"/>
      <c r="M12" s="416">
        <f t="shared" ca="1" si="4"/>
        <v>0</v>
      </c>
      <c r="N12" s="414"/>
      <c r="O12" s="416"/>
      <c r="P12" s="416"/>
      <c r="Q12" s="416">
        <f t="shared" ca="1" si="11"/>
        <v>0</v>
      </c>
      <c r="R12" s="414"/>
      <c r="S12" s="414"/>
      <c r="T12" s="414"/>
      <c r="U12" s="204"/>
      <c r="V12" s="204"/>
      <c r="W12" s="204"/>
      <c r="X12" s="204"/>
      <c r="Y12" s="8"/>
      <c r="Z12" s="8"/>
      <c r="AA12" s="8"/>
      <c r="AB12" s="27"/>
      <c r="AF12" s="178" t="str">
        <f t="shared" ca="1" si="5"/>
        <v>5.0.0 multimedia room</v>
      </c>
      <c r="AG12" s="178">
        <f t="shared" ca="1" si="6"/>
        <v>7</v>
      </c>
      <c r="AH12" s="178" t="str">
        <f t="shared" ca="1" si="7"/>
        <v>9.0.6 circulation</v>
      </c>
      <c r="AI12" s="178">
        <f t="shared" ca="1" si="8"/>
        <v>35</v>
      </c>
      <c r="AJ12" s="178">
        <f t="shared" ca="1" si="9"/>
        <v>0</v>
      </c>
      <c r="AK12" s="178">
        <f t="shared" ca="1" si="10"/>
        <v>0</v>
      </c>
      <c r="AM12" s="129" t="s">
        <v>230</v>
      </c>
      <c r="AO12" s="129">
        <v>7</v>
      </c>
      <c r="AP12" s="129" t="s">
        <v>329</v>
      </c>
      <c r="AR12" s="24">
        <v>35</v>
      </c>
      <c r="AS12" s="129"/>
      <c r="AU12" s="129"/>
    </row>
    <row r="13" spans="1:47" ht="17.25" customHeight="1">
      <c r="A13" s="8"/>
      <c r="B13" s="31"/>
      <c r="C13" s="414" t="str">
        <f t="shared" ca="1" si="0"/>
        <v>5.1.0 preparation room</v>
      </c>
      <c r="D13" s="414"/>
      <c r="E13" s="414"/>
      <c r="F13" s="415">
        <f t="shared" ca="1" si="1"/>
        <v>8</v>
      </c>
      <c r="G13" s="414"/>
      <c r="H13" s="416" t="str">
        <f t="shared" ca="1" si="2"/>
        <v>9.0.3 circulation</v>
      </c>
      <c r="I13" s="414"/>
      <c r="J13" s="414"/>
      <c r="K13" s="416">
        <f t="shared" ca="1" si="3"/>
        <v>36</v>
      </c>
      <c r="L13" s="414"/>
      <c r="M13" s="416">
        <f t="shared" ca="1" si="4"/>
        <v>0</v>
      </c>
      <c r="N13" s="414"/>
      <c r="O13" s="416"/>
      <c r="P13" s="416"/>
      <c r="Q13" s="416">
        <f t="shared" ca="1" si="11"/>
        <v>0</v>
      </c>
      <c r="R13" s="414"/>
      <c r="S13" s="414"/>
      <c r="T13" s="414"/>
      <c r="U13" s="204"/>
      <c r="V13" s="204"/>
      <c r="W13" s="204"/>
      <c r="X13" s="204"/>
      <c r="Y13" s="8"/>
      <c r="Z13" s="8"/>
      <c r="AA13" s="8"/>
      <c r="AB13" s="27"/>
      <c r="AC13" s="24" t="s">
        <v>127</v>
      </c>
      <c r="AD13" s="178">
        <f>VLOOKUP(AC8,AC14:AD27,2,FALSE)</f>
        <v>0</v>
      </c>
      <c r="AF13" s="178" t="str">
        <f t="shared" ca="1" si="5"/>
        <v>5.1.0 preparation room</v>
      </c>
      <c r="AG13" s="178">
        <f t="shared" ca="1" si="6"/>
        <v>8</v>
      </c>
      <c r="AH13" s="178" t="str">
        <f t="shared" ca="1" si="7"/>
        <v>9.0.3 circulation</v>
      </c>
      <c r="AI13" s="178">
        <f t="shared" ca="1" si="8"/>
        <v>36</v>
      </c>
      <c r="AJ13" s="178">
        <f t="shared" ca="1" si="9"/>
        <v>0</v>
      </c>
      <c r="AK13" s="178">
        <f t="shared" ca="1" si="10"/>
        <v>0</v>
      </c>
      <c r="AM13" s="129" t="s">
        <v>231</v>
      </c>
      <c r="AO13" s="129">
        <v>8</v>
      </c>
      <c r="AP13" s="129" t="s">
        <v>260</v>
      </c>
      <c r="AR13" s="24">
        <v>36</v>
      </c>
      <c r="AS13" s="129"/>
      <c r="AU13" s="129"/>
    </row>
    <row r="14" spans="1:47" ht="17.25" customHeight="1">
      <c r="A14" s="8"/>
      <c r="B14" s="8"/>
      <c r="C14" s="414" t="str">
        <f t="shared" ca="1" si="0"/>
        <v>5.8.0 tropic showroom</v>
      </c>
      <c r="D14" s="414"/>
      <c r="E14" s="414"/>
      <c r="F14" s="415">
        <f t="shared" ca="1" si="1"/>
        <v>9</v>
      </c>
      <c r="G14" s="414"/>
      <c r="H14" s="416" t="str">
        <f t="shared" ca="1" si="2"/>
        <v>9.0.4 circulation</v>
      </c>
      <c r="I14" s="414"/>
      <c r="J14" s="414"/>
      <c r="K14" s="416">
        <f t="shared" ca="1" si="3"/>
        <v>37</v>
      </c>
      <c r="L14" s="414"/>
      <c r="M14" s="416">
        <f t="shared" ca="1" si="4"/>
        <v>0</v>
      </c>
      <c r="N14" s="414"/>
      <c r="O14" s="416"/>
      <c r="P14" s="416"/>
      <c r="Q14" s="416">
        <f t="shared" ca="1" si="11"/>
        <v>0</v>
      </c>
      <c r="R14" s="414"/>
      <c r="S14" s="414"/>
      <c r="T14" s="414"/>
      <c r="U14" s="204"/>
      <c r="V14" s="204"/>
      <c r="W14" s="204"/>
      <c r="X14" s="204"/>
      <c r="Y14" s="8"/>
      <c r="Z14" s="8"/>
      <c r="AA14" s="8"/>
      <c r="AB14" s="27"/>
      <c r="AC14" s="178">
        <v>1</v>
      </c>
      <c r="AD14" s="178">
        <v>0</v>
      </c>
      <c r="AF14" s="178" t="str">
        <f t="shared" ca="1" si="5"/>
        <v>5.8.0 tropic showroom</v>
      </c>
      <c r="AG14" s="178">
        <f t="shared" ca="1" si="6"/>
        <v>9</v>
      </c>
      <c r="AH14" s="178" t="str">
        <f t="shared" ca="1" si="7"/>
        <v>9.0.4 circulation</v>
      </c>
      <c r="AI14" s="178">
        <f t="shared" ca="1" si="8"/>
        <v>37</v>
      </c>
      <c r="AJ14" s="178">
        <f t="shared" ca="1" si="9"/>
        <v>0</v>
      </c>
      <c r="AK14" s="178">
        <f t="shared" ca="1" si="10"/>
        <v>0</v>
      </c>
      <c r="AM14" s="129" t="s">
        <v>233</v>
      </c>
      <c r="AO14" s="129">
        <v>9</v>
      </c>
      <c r="AP14" s="129" t="s">
        <v>261</v>
      </c>
      <c r="AR14" s="24">
        <v>37</v>
      </c>
      <c r="AS14" s="129"/>
      <c r="AU14" s="129"/>
    </row>
    <row r="15" spans="1:47" ht="17.25" customHeight="1">
      <c r="A15" s="8"/>
      <c r="C15" s="414" t="str">
        <f t="shared" ca="1" si="0"/>
        <v>6.0.0 first aid room</v>
      </c>
      <c r="D15" s="414"/>
      <c r="E15" s="414"/>
      <c r="F15" s="415">
        <f t="shared" ca="1" si="1"/>
        <v>10</v>
      </c>
      <c r="G15" s="414"/>
      <c r="H15" s="416" t="str">
        <f t="shared" ca="1" si="2"/>
        <v>9.0.7 em. stairs</v>
      </c>
      <c r="I15" s="414"/>
      <c r="J15" s="414"/>
      <c r="K15" s="416">
        <f t="shared" ca="1" si="3"/>
        <v>38</v>
      </c>
      <c r="L15" s="414"/>
      <c r="M15" s="416">
        <f t="shared" ca="1" si="4"/>
        <v>0</v>
      </c>
      <c r="N15" s="414"/>
      <c r="O15" s="416"/>
      <c r="P15" s="416"/>
      <c r="Q15" s="416">
        <f t="shared" ca="1" si="11"/>
        <v>0</v>
      </c>
      <c r="R15" s="414"/>
      <c r="S15" s="414"/>
      <c r="T15" s="414"/>
      <c r="U15" s="204"/>
      <c r="V15" s="204"/>
      <c r="W15" s="204"/>
      <c r="X15" s="204"/>
      <c r="Y15" s="8"/>
      <c r="Z15" s="8"/>
      <c r="AA15" s="8"/>
      <c r="AB15" s="27"/>
      <c r="AC15" s="178">
        <v>2</v>
      </c>
      <c r="AD15" s="178">
        <v>3</v>
      </c>
      <c r="AF15" s="178" t="str">
        <f t="shared" ca="1" si="5"/>
        <v>6.0.0 first aid room</v>
      </c>
      <c r="AG15" s="178">
        <f t="shared" ca="1" si="6"/>
        <v>10</v>
      </c>
      <c r="AH15" s="178" t="str">
        <f t="shared" ca="1" si="7"/>
        <v>9.0.7 em. stairs</v>
      </c>
      <c r="AI15" s="178">
        <f t="shared" ca="1" si="8"/>
        <v>38</v>
      </c>
      <c r="AJ15" s="178">
        <f t="shared" ca="1" si="9"/>
        <v>0</v>
      </c>
      <c r="AK15" s="178">
        <f t="shared" ca="1" si="10"/>
        <v>0</v>
      </c>
      <c r="AM15" s="129" t="s">
        <v>234</v>
      </c>
      <c r="AO15" s="129">
        <v>10</v>
      </c>
      <c r="AP15" s="129" t="s">
        <v>336</v>
      </c>
      <c r="AR15" s="24">
        <v>38</v>
      </c>
      <c r="AS15" s="129"/>
      <c r="AU15" s="129"/>
    </row>
    <row r="16" spans="1:47" ht="17.25" customHeight="1">
      <c r="A16" s="8"/>
      <c r="B16" s="7"/>
      <c r="C16" s="414" t="str">
        <f t="shared" ca="1" si="0"/>
        <v>7.0.0 lockers</v>
      </c>
      <c r="D16" s="414"/>
      <c r="E16" s="414"/>
      <c r="F16" s="415">
        <f t="shared" ca="1" si="1"/>
        <v>11</v>
      </c>
      <c r="G16" s="414"/>
      <c r="H16" s="416" t="str">
        <f t="shared" ca="1" si="2"/>
        <v>9.1.0 circulation</v>
      </c>
      <c r="I16" s="414"/>
      <c r="J16" s="414"/>
      <c r="K16" s="416">
        <f t="shared" ca="1" si="3"/>
        <v>39</v>
      </c>
      <c r="L16" s="414"/>
      <c r="M16" s="416">
        <f t="shared" ca="1" si="4"/>
        <v>0</v>
      </c>
      <c r="N16" s="414"/>
      <c r="O16" s="416"/>
      <c r="P16" s="416"/>
      <c r="Q16" s="416">
        <f t="shared" ca="1" si="11"/>
        <v>0</v>
      </c>
      <c r="R16" s="414"/>
      <c r="S16" s="414"/>
      <c r="T16" s="414"/>
      <c r="U16" s="204"/>
      <c r="V16" s="204"/>
      <c r="W16" s="204"/>
      <c r="X16" s="204"/>
      <c r="Y16" s="8"/>
      <c r="Z16" s="8"/>
      <c r="AA16" s="8"/>
      <c r="AB16" s="27"/>
      <c r="AC16" s="192">
        <v>2</v>
      </c>
      <c r="AD16" s="192">
        <v>6</v>
      </c>
      <c r="AF16" s="178" t="str">
        <f t="shared" ca="1" si="5"/>
        <v>7.0.0 lockers</v>
      </c>
      <c r="AG16" s="178">
        <f t="shared" ca="1" si="6"/>
        <v>11</v>
      </c>
      <c r="AH16" s="178" t="str">
        <f t="shared" ca="1" si="7"/>
        <v>9.1.0 circulation</v>
      </c>
      <c r="AI16" s="178">
        <f t="shared" ca="1" si="8"/>
        <v>39</v>
      </c>
      <c r="AJ16" s="178">
        <f t="shared" ca="1" si="9"/>
        <v>0</v>
      </c>
      <c r="AK16" s="178">
        <f t="shared" ca="1" si="10"/>
        <v>0</v>
      </c>
      <c r="AM16" s="129" t="s">
        <v>235</v>
      </c>
      <c r="AO16" s="129">
        <v>11</v>
      </c>
      <c r="AP16" s="129" t="s">
        <v>264</v>
      </c>
      <c r="AR16" s="24">
        <v>39</v>
      </c>
      <c r="AS16" s="129"/>
      <c r="AU16" s="129"/>
    </row>
    <row r="17" spans="1:47" ht="17.25" customHeight="1">
      <c r="A17" s="8"/>
      <c r="B17" s="7"/>
      <c r="C17" s="414" t="str">
        <f t="shared" ca="1" si="0"/>
        <v>7.0.1 sanitary f</v>
      </c>
      <c r="D17" s="414"/>
      <c r="E17" s="414"/>
      <c r="F17" s="415">
        <f t="shared" ca="1" si="1"/>
        <v>12</v>
      </c>
      <c r="G17" s="414"/>
      <c r="H17" s="416" t="str">
        <f t="shared" ca="1" si="2"/>
        <v>9.-1.0 corridor 1</v>
      </c>
      <c r="I17" s="414"/>
      <c r="J17" s="414"/>
      <c r="K17" s="416">
        <f t="shared" ca="1" si="3"/>
        <v>40</v>
      </c>
      <c r="L17" s="414"/>
      <c r="M17" s="416">
        <f t="shared" ca="1" si="4"/>
        <v>0</v>
      </c>
      <c r="N17" s="414"/>
      <c r="O17" s="416"/>
      <c r="P17" s="416"/>
      <c r="Q17" s="416">
        <f t="shared" ca="1" si="11"/>
        <v>0</v>
      </c>
      <c r="R17" s="414"/>
      <c r="S17" s="414"/>
      <c r="T17" s="414"/>
      <c r="U17" s="204"/>
      <c r="V17" s="204"/>
      <c r="W17" s="204"/>
      <c r="X17" s="204"/>
      <c r="Y17" s="8"/>
      <c r="Z17" s="8"/>
      <c r="AA17" s="8"/>
      <c r="AB17" s="27"/>
      <c r="AC17" s="178">
        <v>3</v>
      </c>
      <c r="AD17" s="178">
        <v>9</v>
      </c>
      <c r="AF17" s="178" t="str">
        <f t="shared" ca="1" si="5"/>
        <v>7.0.1 sanitary f</v>
      </c>
      <c r="AG17" s="178">
        <f t="shared" ca="1" si="6"/>
        <v>12</v>
      </c>
      <c r="AH17" s="178" t="str">
        <f t="shared" ca="1" si="7"/>
        <v>9.-1.0 corridor 1</v>
      </c>
      <c r="AI17" s="178">
        <f t="shared" ca="1" si="8"/>
        <v>40</v>
      </c>
      <c r="AJ17" s="178">
        <f t="shared" ca="1" si="9"/>
        <v>0</v>
      </c>
      <c r="AK17" s="178">
        <f t="shared" ca="1" si="10"/>
        <v>0</v>
      </c>
      <c r="AM17" s="129" t="s">
        <v>236</v>
      </c>
      <c r="AO17" s="129">
        <v>12</v>
      </c>
      <c r="AP17" s="129" t="s">
        <v>265</v>
      </c>
      <c r="AR17" s="24">
        <v>40</v>
      </c>
      <c r="AS17" s="129"/>
      <c r="AU17" s="129"/>
    </row>
    <row r="18" spans="1:47" ht="17.25" customHeight="1">
      <c r="A18" s="8"/>
      <c r="B18" s="8"/>
      <c r="C18" s="414" t="str">
        <f t="shared" ca="1" si="0"/>
        <v>7.0.3 sanitary m</v>
      </c>
      <c r="D18" s="414"/>
      <c r="E18" s="414"/>
      <c r="F18" s="415">
        <f t="shared" ca="1" si="1"/>
        <v>13</v>
      </c>
      <c r="G18" s="414"/>
      <c r="H18" s="416" t="str">
        <f t="shared" ca="1" si="2"/>
        <v>9.-1.2 staff circulation</v>
      </c>
      <c r="I18" s="414"/>
      <c r="J18" s="414"/>
      <c r="K18" s="416">
        <f t="shared" ca="1" si="3"/>
        <v>41</v>
      </c>
      <c r="L18" s="414"/>
      <c r="M18" s="416">
        <f t="shared" ca="1" si="4"/>
        <v>0</v>
      </c>
      <c r="N18" s="414"/>
      <c r="O18" s="416"/>
      <c r="P18" s="416"/>
      <c r="Q18" s="416">
        <f t="shared" ca="1" si="11"/>
        <v>0</v>
      </c>
      <c r="R18" s="414"/>
      <c r="S18" s="414"/>
      <c r="T18" s="414"/>
      <c r="U18" s="204"/>
      <c r="V18" s="204"/>
      <c r="W18" s="204"/>
      <c r="X18" s="204"/>
      <c r="Y18" s="8"/>
      <c r="Z18" s="8"/>
      <c r="AA18" s="8"/>
      <c r="AB18" s="27"/>
      <c r="AC18" s="178">
        <v>4</v>
      </c>
      <c r="AD18" s="178">
        <v>12</v>
      </c>
      <c r="AF18" s="178" t="str">
        <f t="shared" ca="1" si="5"/>
        <v>7.0.3 sanitary m</v>
      </c>
      <c r="AG18" s="178">
        <f t="shared" ca="1" si="6"/>
        <v>13</v>
      </c>
      <c r="AH18" s="178" t="str">
        <f t="shared" ca="1" si="7"/>
        <v>9.-1.2 staff circulation</v>
      </c>
      <c r="AI18" s="178">
        <f t="shared" ca="1" si="8"/>
        <v>41</v>
      </c>
      <c r="AJ18" s="178">
        <f t="shared" ca="1" si="9"/>
        <v>0</v>
      </c>
      <c r="AK18" s="178">
        <f t="shared" ca="1" si="10"/>
        <v>0</v>
      </c>
      <c r="AM18" s="129" t="s">
        <v>238</v>
      </c>
      <c r="AO18" s="129">
        <v>13</v>
      </c>
      <c r="AP18" s="129" t="s">
        <v>266</v>
      </c>
      <c r="AR18" s="24">
        <v>41</v>
      </c>
      <c r="AS18" s="129"/>
      <c r="AU18" s="129"/>
    </row>
    <row r="19" spans="1:47" ht="17.25" customHeight="1">
      <c r="A19" s="8"/>
      <c r="B19" s="8"/>
      <c r="C19" s="414" t="str">
        <f t="shared" ca="1" si="0"/>
        <v>7.0.4 storage mm-equipment</v>
      </c>
      <c r="D19" s="414"/>
      <c r="E19" s="414"/>
      <c r="F19" s="415">
        <f t="shared" ca="1" si="1"/>
        <v>14</v>
      </c>
      <c r="G19" s="414"/>
      <c r="H19" s="416" t="str">
        <f t="shared" ca="1" si="2"/>
        <v>9.2.0 circulation</v>
      </c>
      <c r="I19" s="414"/>
      <c r="J19" s="414"/>
      <c r="K19" s="416">
        <f t="shared" ca="1" si="3"/>
        <v>42</v>
      </c>
      <c r="L19" s="414"/>
      <c r="M19" s="416">
        <f t="shared" ca="1" si="4"/>
        <v>0</v>
      </c>
      <c r="N19" s="414"/>
      <c r="O19" s="416"/>
      <c r="P19" s="416"/>
      <c r="Q19" s="416">
        <f t="shared" ca="1" si="11"/>
        <v>0</v>
      </c>
      <c r="R19" s="414"/>
      <c r="S19" s="414"/>
      <c r="T19" s="414"/>
      <c r="U19" s="204"/>
      <c r="V19" s="204"/>
      <c r="W19" s="204"/>
      <c r="X19" s="204"/>
      <c r="Y19" s="8"/>
      <c r="Z19" s="8"/>
      <c r="AA19" s="8"/>
      <c r="AB19" s="32"/>
      <c r="AC19" s="178">
        <v>5</v>
      </c>
      <c r="AD19" s="192">
        <v>15</v>
      </c>
      <c r="AF19" s="178" t="str">
        <f t="shared" ca="1" si="5"/>
        <v>7.0.4 storage mm-equipment</v>
      </c>
      <c r="AG19" s="178">
        <f t="shared" ca="1" si="6"/>
        <v>14</v>
      </c>
      <c r="AH19" s="178" t="str">
        <f t="shared" ca="1" si="7"/>
        <v>9.2.0 circulation</v>
      </c>
      <c r="AI19" s="178">
        <f t="shared" ca="1" si="8"/>
        <v>42</v>
      </c>
      <c r="AJ19" s="178">
        <f t="shared" ca="1" si="9"/>
        <v>0</v>
      </c>
      <c r="AK19" s="178">
        <f t="shared" ca="1" si="10"/>
        <v>0</v>
      </c>
      <c r="AM19" s="129" t="s">
        <v>239</v>
      </c>
      <c r="AO19" s="129">
        <v>14</v>
      </c>
      <c r="AP19" s="129" t="s">
        <v>267</v>
      </c>
      <c r="AR19" s="24">
        <v>42</v>
      </c>
      <c r="AS19" s="129"/>
      <c r="AU19" s="129"/>
    </row>
    <row r="20" spans="1:47" ht="17.25" customHeight="1">
      <c r="A20" s="8"/>
      <c r="B20" s="8"/>
      <c r="C20" s="414" t="str">
        <f t="shared" ca="1" si="0"/>
        <v>7.1.0 storage</v>
      </c>
      <c r="D20" s="414"/>
      <c r="E20" s="414"/>
      <c r="F20" s="415">
        <f t="shared" ca="1" si="1"/>
        <v>15</v>
      </c>
      <c r="G20" s="414"/>
      <c r="H20" s="416" t="str">
        <f t="shared" ca="1" si="2"/>
        <v>9.2.2 em. stairs</v>
      </c>
      <c r="I20" s="414"/>
      <c r="J20" s="414"/>
      <c r="K20" s="416">
        <f t="shared" ca="1" si="3"/>
        <v>43</v>
      </c>
      <c r="L20" s="414"/>
      <c r="M20" s="416">
        <f t="shared" ca="1" si="4"/>
        <v>0</v>
      </c>
      <c r="N20" s="414"/>
      <c r="O20" s="416"/>
      <c r="P20" s="416"/>
      <c r="Q20" s="416">
        <f t="shared" ca="1" si="11"/>
        <v>0</v>
      </c>
      <c r="R20" s="414"/>
      <c r="S20" s="414"/>
      <c r="T20" s="414"/>
      <c r="U20" s="204"/>
      <c r="V20" s="204"/>
      <c r="W20" s="204"/>
      <c r="X20" s="204"/>
      <c r="Y20" s="8"/>
      <c r="Z20" s="8"/>
      <c r="AA20" s="8"/>
      <c r="AB20" s="32"/>
      <c r="AC20" s="178">
        <v>6</v>
      </c>
      <c r="AD20" s="178">
        <v>18</v>
      </c>
      <c r="AE20" s="117"/>
      <c r="AF20" s="178" t="str">
        <f t="shared" ca="1" si="5"/>
        <v>7.1.0 storage</v>
      </c>
      <c r="AG20" s="178">
        <f t="shared" ca="1" si="6"/>
        <v>15</v>
      </c>
      <c r="AH20" s="178" t="str">
        <f t="shared" ca="1" si="7"/>
        <v>9.2.2 em. stairs</v>
      </c>
      <c r="AI20" s="178">
        <f t="shared" ca="1" si="8"/>
        <v>43</v>
      </c>
      <c r="AJ20" s="178">
        <f t="shared" ca="1" si="9"/>
        <v>0</v>
      </c>
      <c r="AK20" s="178">
        <f t="shared" ca="1" si="10"/>
        <v>0</v>
      </c>
      <c r="AM20" s="129" t="s">
        <v>240</v>
      </c>
      <c r="AO20" s="129">
        <v>15</v>
      </c>
      <c r="AP20" s="129" t="s">
        <v>269</v>
      </c>
      <c r="AR20" s="24">
        <v>43</v>
      </c>
      <c r="AS20" s="129"/>
      <c r="AU20" s="129"/>
    </row>
    <row r="21" spans="1:47" ht="17.25" customHeight="1">
      <c r="A21" s="8"/>
      <c r="B21" s="8"/>
      <c r="C21" s="414" t="str">
        <f t="shared" ca="1" si="0"/>
        <v>7.-1.0 storage</v>
      </c>
      <c r="D21" s="414"/>
      <c r="E21" s="414"/>
      <c r="F21" s="415">
        <f t="shared" ca="1" si="1"/>
        <v>16</v>
      </c>
      <c r="G21" s="414"/>
      <c r="H21" s="416" t="str">
        <f t="shared" ca="1" si="2"/>
        <v>8.-2.11 fire-water storage</v>
      </c>
      <c r="I21" s="414"/>
      <c r="J21" s="414"/>
      <c r="K21" s="416">
        <f t="shared" ca="1" si="3"/>
        <v>44</v>
      </c>
      <c r="L21" s="414"/>
      <c r="M21" s="416">
        <f t="shared" ca="1" si="4"/>
        <v>0</v>
      </c>
      <c r="N21" s="414"/>
      <c r="O21" s="416"/>
      <c r="P21" s="416"/>
      <c r="Q21" s="416">
        <f t="shared" ca="1" si="11"/>
        <v>0</v>
      </c>
      <c r="R21" s="414"/>
      <c r="S21" s="414"/>
      <c r="T21" s="414"/>
      <c r="U21" s="204"/>
      <c r="V21" s="204"/>
      <c r="W21" s="204"/>
      <c r="X21" s="204"/>
      <c r="Y21" s="8"/>
      <c r="Z21" s="8"/>
      <c r="AA21" s="8"/>
      <c r="AB21" s="32"/>
      <c r="AC21" s="192">
        <v>7</v>
      </c>
      <c r="AD21" s="178">
        <v>21</v>
      </c>
      <c r="AE21" s="117"/>
      <c r="AF21" s="178" t="str">
        <f t="shared" ca="1" si="5"/>
        <v>7.-1.0 storage</v>
      </c>
      <c r="AG21" s="178">
        <f t="shared" ca="1" si="6"/>
        <v>16</v>
      </c>
      <c r="AH21" s="178" t="str">
        <f t="shared" ca="1" si="7"/>
        <v>8.-2.11 fire-water storage</v>
      </c>
      <c r="AI21" s="178">
        <f t="shared" ca="1" si="8"/>
        <v>44</v>
      </c>
      <c r="AJ21" s="178">
        <f t="shared" ca="1" si="9"/>
        <v>0</v>
      </c>
      <c r="AK21" s="178">
        <f t="shared" ca="1" si="10"/>
        <v>0</v>
      </c>
      <c r="AM21" s="129" t="s">
        <v>241</v>
      </c>
      <c r="AO21" s="129">
        <v>16</v>
      </c>
      <c r="AP21" s="129" t="s">
        <v>331</v>
      </c>
      <c r="AR21" s="24">
        <v>44</v>
      </c>
      <c r="AS21" s="129"/>
      <c r="AU21" s="129"/>
    </row>
    <row r="22" spans="1:47" ht="17.25" customHeight="1">
      <c r="A22" s="8"/>
      <c r="B22" s="8"/>
      <c r="C22" s="414" t="str">
        <f t="shared" ca="1" si="0"/>
        <v>7.-1.1 sanitary staff f</v>
      </c>
      <c r="D22" s="414"/>
      <c r="E22" s="414"/>
      <c r="F22" s="415">
        <f t="shared" ca="1" si="1"/>
        <v>17</v>
      </c>
      <c r="G22" s="414"/>
      <c r="H22" s="416" t="str">
        <f t="shared" ca="1" si="2"/>
        <v>8.-2.10 water</v>
      </c>
      <c r="I22" s="414"/>
      <c r="J22" s="414"/>
      <c r="K22" s="416">
        <f t="shared" ca="1" si="3"/>
        <v>45</v>
      </c>
      <c r="L22" s="414"/>
      <c r="M22" s="416">
        <f t="shared" ca="1" si="4"/>
        <v>0</v>
      </c>
      <c r="N22" s="414"/>
      <c r="O22" s="416"/>
      <c r="P22" s="416"/>
      <c r="Q22" s="416">
        <f t="shared" ca="1" si="11"/>
        <v>0</v>
      </c>
      <c r="R22" s="414"/>
      <c r="S22" s="414"/>
      <c r="T22" s="414"/>
      <c r="U22" s="204"/>
      <c r="V22" s="204"/>
      <c r="W22" s="204"/>
      <c r="X22" s="204"/>
      <c r="Y22" s="8"/>
      <c r="Z22" s="8"/>
      <c r="AA22" s="8"/>
      <c r="AB22" s="32"/>
      <c r="AC22" s="178">
        <v>8</v>
      </c>
      <c r="AD22" s="192">
        <v>24</v>
      </c>
      <c r="AE22" s="117"/>
      <c r="AF22" s="178" t="str">
        <f t="shared" ca="1" si="5"/>
        <v>7.-1.1 sanitary staff f</v>
      </c>
      <c r="AG22" s="178">
        <f t="shared" ca="1" si="6"/>
        <v>17</v>
      </c>
      <c r="AH22" s="178" t="str">
        <f t="shared" ca="1" si="7"/>
        <v>8.-2.10 water</v>
      </c>
      <c r="AI22" s="178">
        <f t="shared" ca="1" si="8"/>
        <v>45</v>
      </c>
      <c r="AJ22" s="178">
        <f t="shared" ca="1" si="9"/>
        <v>0</v>
      </c>
      <c r="AK22" s="178">
        <f t="shared" ca="1" si="10"/>
        <v>0</v>
      </c>
      <c r="AM22" s="129" t="s">
        <v>242</v>
      </c>
      <c r="AO22" s="129">
        <v>17</v>
      </c>
      <c r="AP22" s="129" t="s">
        <v>332</v>
      </c>
      <c r="AR22" s="24">
        <v>45</v>
      </c>
      <c r="AS22" s="129"/>
      <c r="AU22" s="129"/>
    </row>
    <row r="23" spans="1:47" ht="17.25" customHeight="1">
      <c r="A23" s="8"/>
      <c r="B23" s="8"/>
      <c r="C23" s="414" t="str">
        <f t="shared" ca="1" si="0"/>
        <v>7.-1.2 sanitary staff m</v>
      </c>
      <c r="D23" s="414"/>
      <c r="E23" s="414"/>
      <c r="F23" s="415">
        <f t="shared" ca="1" si="1"/>
        <v>18</v>
      </c>
      <c r="G23" s="414"/>
      <c r="H23" s="416" t="str">
        <f t="shared" ca="1" si="2"/>
        <v>8.-2.9 energy transfer station</v>
      </c>
      <c r="I23" s="414"/>
      <c r="J23" s="414"/>
      <c r="K23" s="416">
        <f t="shared" ca="1" si="3"/>
        <v>46</v>
      </c>
      <c r="L23" s="414"/>
      <c r="M23" s="416">
        <f t="shared" ca="1" si="4"/>
        <v>0</v>
      </c>
      <c r="N23" s="414"/>
      <c r="O23" s="416"/>
      <c r="P23" s="416"/>
      <c r="Q23" s="416">
        <f t="shared" ca="1" si="11"/>
        <v>0</v>
      </c>
      <c r="R23" s="414"/>
      <c r="S23" s="414"/>
      <c r="T23" s="414"/>
      <c r="U23" s="204"/>
      <c r="V23" s="204"/>
      <c r="W23" s="204"/>
      <c r="X23" s="204"/>
      <c r="Y23" s="8"/>
      <c r="Z23" s="8"/>
      <c r="AA23" s="8"/>
      <c r="AB23" s="32"/>
      <c r="AC23" s="178">
        <v>9</v>
      </c>
      <c r="AD23" s="178">
        <v>27</v>
      </c>
      <c r="AE23" s="117"/>
      <c r="AF23" s="178" t="str">
        <f t="shared" ca="1" si="5"/>
        <v>7.-1.2 sanitary staff m</v>
      </c>
      <c r="AG23" s="178">
        <f t="shared" ca="1" si="6"/>
        <v>18</v>
      </c>
      <c r="AH23" s="178" t="str">
        <f t="shared" ca="1" si="7"/>
        <v>8.-2.9 energy transfer station</v>
      </c>
      <c r="AI23" s="178">
        <f t="shared" ca="1" si="8"/>
        <v>46</v>
      </c>
      <c r="AJ23" s="178">
        <f t="shared" ca="1" si="9"/>
        <v>0</v>
      </c>
      <c r="AK23" s="178">
        <f t="shared" ca="1" si="10"/>
        <v>0</v>
      </c>
      <c r="AM23" s="129" t="s">
        <v>243</v>
      </c>
      <c r="AO23" s="129">
        <v>18</v>
      </c>
      <c r="AP23" s="129" t="s">
        <v>333</v>
      </c>
      <c r="AR23" s="24">
        <v>46</v>
      </c>
      <c r="AS23" s="129"/>
      <c r="AU23" s="129"/>
    </row>
    <row r="24" spans="1:47" ht="17.25" customHeight="1">
      <c r="A24" s="8"/>
      <c r="B24" s="8"/>
      <c r="C24" s="414" t="str">
        <f t="shared" ca="1" si="0"/>
        <v>7.-1.4 miscellaneous</v>
      </c>
      <c r="D24" s="414"/>
      <c r="E24" s="414"/>
      <c r="F24" s="415">
        <f t="shared" ca="1" si="1"/>
        <v>19</v>
      </c>
      <c r="G24" s="414"/>
      <c r="H24" s="416" t="str">
        <f t="shared" ca="1" si="2"/>
        <v>8.-2.8 ETS control</v>
      </c>
      <c r="I24" s="414"/>
      <c r="J24" s="414"/>
      <c r="K24" s="416">
        <f t="shared" ca="1" si="3"/>
        <v>47</v>
      </c>
      <c r="L24" s="414"/>
      <c r="M24" s="416">
        <f t="shared" ca="1" si="4"/>
        <v>0</v>
      </c>
      <c r="N24" s="414"/>
      <c r="O24" s="416"/>
      <c r="P24" s="416"/>
      <c r="Q24" s="416">
        <f t="shared" ca="1" si="11"/>
        <v>0</v>
      </c>
      <c r="R24" s="414"/>
      <c r="S24" s="414"/>
      <c r="T24" s="414"/>
      <c r="U24" s="204"/>
      <c r="V24" s="204"/>
      <c r="W24" s="204"/>
      <c r="X24" s="204"/>
      <c r="Y24" s="8"/>
      <c r="Z24" s="8"/>
      <c r="AA24" s="8"/>
      <c r="AB24" s="32"/>
      <c r="AC24" s="178">
        <v>10</v>
      </c>
      <c r="AD24" s="178">
        <v>30</v>
      </c>
      <c r="AE24" s="117"/>
      <c r="AF24" s="178" t="str">
        <f t="shared" ca="1" si="5"/>
        <v>7.-1.4 miscellaneous</v>
      </c>
      <c r="AG24" s="178">
        <f t="shared" ca="1" si="6"/>
        <v>19</v>
      </c>
      <c r="AH24" s="178" t="str">
        <f t="shared" ca="1" si="7"/>
        <v>8.-2.8 ETS control</v>
      </c>
      <c r="AI24" s="178">
        <f t="shared" ca="1" si="8"/>
        <v>47</v>
      </c>
      <c r="AJ24" s="178">
        <f t="shared" ca="1" si="9"/>
        <v>0</v>
      </c>
      <c r="AK24" s="178">
        <f t="shared" ca="1" si="10"/>
        <v>0</v>
      </c>
      <c r="AM24" s="129" t="s">
        <v>244</v>
      </c>
      <c r="AO24" s="129">
        <v>19</v>
      </c>
      <c r="AP24" s="129" t="s">
        <v>334</v>
      </c>
      <c r="AR24" s="24">
        <v>47</v>
      </c>
      <c r="AS24" s="129"/>
      <c r="AU24" s="129"/>
    </row>
    <row r="25" spans="1:47" ht="17.25" customHeight="1">
      <c r="A25" s="8"/>
      <c r="B25" s="8"/>
      <c r="C25" s="414" t="str">
        <f t="shared" ca="1" si="0"/>
        <v>7.-1.3 storage/AWCS</v>
      </c>
      <c r="D25" s="414"/>
      <c r="E25" s="414"/>
      <c r="F25" s="415">
        <f t="shared" ca="1" si="1"/>
        <v>20</v>
      </c>
      <c r="G25" s="414"/>
      <c r="H25" s="416" t="str">
        <f t="shared" ca="1" si="2"/>
        <v>8.-2.7 generator room</v>
      </c>
      <c r="I25" s="414"/>
      <c r="J25" s="414"/>
      <c r="K25" s="416">
        <f t="shared" ca="1" si="3"/>
        <v>48</v>
      </c>
      <c r="L25" s="414"/>
      <c r="M25" s="416">
        <f t="shared" ca="1" si="4"/>
        <v>0</v>
      </c>
      <c r="N25" s="414"/>
      <c r="O25" s="416"/>
      <c r="P25" s="416"/>
      <c r="Q25" s="416">
        <f t="shared" ca="1" si="11"/>
        <v>0</v>
      </c>
      <c r="R25" s="414"/>
      <c r="S25" s="414"/>
      <c r="T25" s="414"/>
      <c r="U25" s="204"/>
      <c r="V25" s="204"/>
      <c r="W25" s="204"/>
      <c r="X25" s="204"/>
      <c r="Y25" s="8"/>
      <c r="Z25" s="8"/>
      <c r="AA25" s="8"/>
      <c r="AB25" s="32"/>
      <c r="AC25" s="178">
        <v>11</v>
      </c>
      <c r="AD25" s="192">
        <v>33</v>
      </c>
      <c r="AE25" s="117"/>
      <c r="AF25" s="178" t="str">
        <f t="shared" ca="1" si="5"/>
        <v>7.-1.3 storage/AWCS</v>
      </c>
      <c r="AG25" s="178">
        <f t="shared" ca="1" si="6"/>
        <v>20</v>
      </c>
      <c r="AH25" s="178" t="str">
        <f t="shared" ca="1" si="7"/>
        <v>8.-2.7 generator room</v>
      </c>
      <c r="AI25" s="178">
        <f t="shared" ca="1" si="8"/>
        <v>48</v>
      </c>
      <c r="AJ25" s="178">
        <f t="shared" ca="1" si="9"/>
        <v>0</v>
      </c>
      <c r="AK25" s="178">
        <f t="shared" ca="1" si="10"/>
        <v>0</v>
      </c>
      <c r="AM25" s="129" t="s">
        <v>325</v>
      </c>
      <c r="AO25" s="129">
        <v>20</v>
      </c>
      <c r="AP25" s="129" t="s">
        <v>337</v>
      </c>
      <c r="AR25" s="24">
        <v>48</v>
      </c>
      <c r="AS25" s="129"/>
      <c r="AU25" s="129"/>
    </row>
    <row r="26" spans="1:47" ht="17.25" customHeight="1">
      <c r="A26" s="8"/>
      <c r="B26" s="8"/>
      <c r="C26" s="414" t="str">
        <f t="shared" ca="1" si="0"/>
        <v>8.-1.0 AHU room</v>
      </c>
      <c r="D26" s="414"/>
      <c r="E26" s="414"/>
      <c r="F26" s="415">
        <f t="shared" ca="1" si="1"/>
        <v>21</v>
      </c>
      <c r="G26" s="414"/>
      <c r="H26" s="416" t="str">
        <f t="shared" ca="1" si="2"/>
        <v>8.-2.5 electrical room</v>
      </c>
      <c r="I26" s="414"/>
      <c r="J26" s="414"/>
      <c r="K26" s="416">
        <f t="shared" ca="1" si="3"/>
        <v>49</v>
      </c>
      <c r="L26" s="414"/>
      <c r="M26" s="416">
        <f t="shared" ca="1" si="4"/>
        <v>0</v>
      </c>
      <c r="N26" s="414"/>
      <c r="O26" s="416"/>
      <c r="P26" s="416"/>
      <c r="Q26" s="416">
        <f t="shared" ca="1" si="11"/>
        <v>0</v>
      </c>
      <c r="R26" s="414"/>
      <c r="S26" s="414"/>
      <c r="T26" s="414"/>
      <c r="U26" s="204"/>
      <c r="V26" s="204"/>
      <c r="W26" s="204"/>
      <c r="X26" s="204"/>
      <c r="Y26" s="8"/>
      <c r="Z26" s="8"/>
      <c r="AA26" s="8"/>
      <c r="AB26" s="32"/>
      <c r="AC26" s="192">
        <v>12</v>
      </c>
      <c r="AD26" s="178">
        <v>36</v>
      </c>
      <c r="AE26" s="117"/>
      <c r="AF26" s="178" t="str">
        <f t="shared" ca="1" si="5"/>
        <v>8.-1.0 AHU room</v>
      </c>
      <c r="AG26" s="178">
        <f t="shared" ca="1" si="6"/>
        <v>21</v>
      </c>
      <c r="AH26" s="178" t="str">
        <f t="shared" ca="1" si="7"/>
        <v>8.-2.5 electrical room</v>
      </c>
      <c r="AI26" s="178">
        <f t="shared" ca="1" si="8"/>
        <v>49</v>
      </c>
      <c r="AJ26" s="178">
        <f t="shared" ca="1" si="9"/>
        <v>0</v>
      </c>
      <c r="AK26" s="178">
        <f t="shared" ca="1" si="10"/>
        <v>0</v>
      </c>
      <c r="AM26" s="129" t="s">
        <v>246</v>
      </c>
      <c r="AO26" s="129">
        <v>21</v>
      </c>
      <c r="AP26" s="129" t="s">
        <v>335</v>
      </c>
      <c r="AR26" s="24">
        <v>49</v>
      </c>
      <c r="AS26" s="129"/>
      <c r="AU26" s="129"/>
    </row>
    <row r="27" spans="1:47" ht="17.25" customHeight="1">
      <c r="A27" s="8"/>
      <c r="B27" s="8"/>
      <c r="C27" s="414" t="str">
        <f t="shared" ca="1" si="0"/>
        <v>8.-1.1 essential LV switch room</v>
      </c>
      <c r="D27" s="414"/>
      <c r="E27" s="414"/>
      <c r="F27" s="415">
        <f t="shared" ca="1" si="1"/>
        <v>22</v>
      </c>
      <c r="G27" s="414"/>
      <c r="H27" s="416" t="str">
        <f t="shared" ca="1" si="2"/>
        <v>8.-2.4 MTR room</v>
      </c>
      <c r="I27" s="414"/>
      <c r="J27" s="414"/>
      <c r="K27" s="416">
        <f t="shared" ca="1" si="3"/>
        <v>50</v>
      </c>
      <c r="L27" s="414"/>
      <c r="M27" s="416">
        <f t="shared" ca="1" si="4"/>
        <v>0</v>
      </c>
      <c r="N27" s="414"/>
      <c r="O27" s="416"/>
      <c r="P27" s="416"/>
      <c r="Q27" s="416">
        <f t="shared" ca="1" si="11"/>
        <v>0</v>
      </c>
      <c r="R27" s="414"/>
      <c r="S27" s="414"/>
      <c r="T27" s="414"/>
      <c r="U27" s="204"/>
      <c r="V27" s="204"/>
      <c r="W27" s="204"/>
      <c r="X27" s="204"/>
      <c r="Y27" s="8"/>
      <c r="Z27" s="8"/>
      <c r="AA27" s="8"/>
      <c r="AB27" s="32"/>
      <c r="AC27" s="178">
        <v>13</v>
      </c>
      <c r="AD27" s="178">
        <v>39</v>
      </c>
      <c r="AE27" s="117"/>
      <c r="AF27" s="178" t="str">
        <f t="shared" ca="1" si="5"/>
        <v>8.-1.1 essential LV switch room</v>
      </c>
      <c r="AG27" s="178">
        <f t="shared" ca="1" si="6"/>
        <v>22</v>
      </c>
      <c r="AH27" s="178" t="str">
        <f t="shared" ca="1" si="7"/>
        <v>8.-2.4 MTR room</v>
      </c>
      <c r="AI27" s="178">
        <f t="shared" ca="1" si="8"/>
        <v>50</v>
      </c>
      <c r="AJ27" s="178">
        <f t="shared" ca="1" si="9"/>
        <v>0</v>
      </c>
      <c r="AK27" s="178">
        <f t="shared" ca="1" si="10"/>
        <v>0</v>
      </c>
      <c r="AM27" s="129" t="s">
        <v>247</v>
      </c>
      <c r="AO27" s="129">
        <v>22</v>
      </c>
      <c r="AP27" s="129" t="s">
        <v>277</v>
      </c>
      <c r="AR27" s="24">
        <v>50</v>
      </c>
      <c r="AS27" s="129"/>
      <c r="AU27" s="129"/>
    </row>
    <row r="28" spans="1:47" ht="17.25" customHeight="1">
      <c r="A28" s="8"/>
      <c r="B28" s="8"/>
      <c r="C28" s="414" t="str">
        <f t="shared" ca="1" si="0"/>
        <v>8.-1.10 elevator</v>
      </c>
      <c r="D28" s="414"/>
      <c r="E28" s="414"/>
      <c r="F28" s="415">
        <f t="shared" ca="1" si="1"/>
        <v>23</v>
      </c>
      <c r="G28" s="414"/>
      <c r="H28" s="416" t="str">
        <f t="shared" ca="1" si="2"/>
        <v>8.-2.3 electrical room</v>
      </c>
      <c r="I28" s="414"/>
      <c r="J28" s="414"/>
      <c r="K28" s="416">
        <f t="shared" ca="1" si="3"/>
        <v>51</v>
      </c>
      <c r="L28" s="414"/>
      <c r="M28" s="416">
        <f t="shared" ca="1" si="4"/>
        <v>0</v>
      </c>
      <c r="N28" s="414"/>
      <c r="O28" s="416"/>
      <c r="P28" s="416"/>
      <c r="Q28" s="416">
        <f t="shared" ca="1" si="11"/>
        <v>0</v>
      </c>
      <c r="R28" s="414"/>
      <c r="S28" s="414"/>
      <c r="T28" s="414"/>
      <c r="U28" s="204"/>
      <c r="V28" s="204"/>
      <c r="W28" s="204"/>
      <c r="X28" s="204"/>
      <c r="Y28" s="8"/>
      <c r="Z28" s="8"/>
      <c r="AA28" s="8"/>
      <c r="AB28" s="32"/>
      <c r="AC28" s="183"/>
      <c r="AD28" s="183"/>
      <c r="AE28" s="117"/>
      <c r="AF28" s="178" t="str">
        <f t="shared" ca="1" si="5"/>
        <v>8.-1.10 elevator</v>
      </c>
      <c r="AG28" s="178">
        <f t="shared" ca="1" si="6"/>
        <v>23</v>
      </c>
      <c r="AH28" s="178" t="str">
        <f t="shared" ca="1" si="7"/>
        <v>8.-2.3 electrical room</v>
      </c>
      <c r="AI28" s="178">
        <f t="shared" ca="1" si="8"/>
        <v>51</v>
      </c>
      <c r="AJ28" s="178">
        <f t="shared" ca="1" si="9"/>
        <v>0</v>
      </c>
      <c r="AK28" s="178">
        <f t="shared" ca="1" si="10"/>
        <v>0</v>
      </c>
      <c r="AM28" s="129" t="s">
        <v>248</v>
      </c>
      <c r="AO28" s="129">
        <v>23</v>
      </c>
      <c r="AP28" s="129" t="s">
        <v>278</v>
      </c>
      <c r="AR28" s="24">
        <v>51</v>
      </c>
      <c r="AS28" s="129"/>
      <c r="AU28" s="129"/>
    </row>
    <row r="29" spans="1:47" ht="17.25" customHeight="1">
      <c r="A29" s="8"/>
      <c r="B29" s="8"/>
      <c r="C29" s="414" t="str">
        <f t="shared" ca="1" si="0"/>
        <v>8.-1.2 LV electrical switch room</v>
      </c>
      <c r="D29" s="414"/>
      <c r="E29" s="414"/>
      <c r="F29" s="415">
        <f t="shared" ca="1" si="1"/>
        <v>24</v>
      </c>
      <c r="G29" s="414"/>
      <c r="H29" s="416" t="str">
        <f t="shared" ca="1" si="2"/>
        <v>8.-2.2 transformer room</v>
      </c>
      <c r="I29" s="414"/>
      <c r="J29" s="414"/>
      <c r="K29" s="416">
        <f t="shared" ca="1" si="3"/>
        <v>52</v>
      </c>
      <c r="L29" s="414"/>
      <c r="M29" s="416">
        <f t="shared" ca="1" si="4"/>
        <v>0</v>
      </c>
      <c r="N29" s="414"/>
      <c r="O29" s="416"/>
      <c r="P29" s="416"/>
      <c r="Q29" s="416">
        <f t="shared" ca="1" si="11"/>
        <v>0</v>
      </c>
      <c r="R29" s="414"/>
      <c r="S29" s="414"/>
      <c r="T29" s="414"/>
      <c r="U29" s="204"/>
      <c r="V29" s="204"/>
      <c r="W29" s="204"/>
      <c r="X29" s="204"/>
      <c r="Y29" s="8"/>
      <c r="Z29" s="8"/>
      <c r="AA29" s="8"/>
      <c r="AB29" s="27"/>
      <c r="AC29" s="183"/>
      <c r="AD29" s="183"/>
      <c r="AE29" s="117"/>
      <c r="AF29" s="178" t="str">
        <f t="shared" ca="1" si="5"/>
        <v>8.-1.2 LV electrical switch room</v>
      </c>
      <c r="AG29" s="178">
        <f t="shared" ca="1" si="6"/>
        <v>24</v>
      </c>
      <c r="AH29" s="178" t="str">
        <f t="shared" ca="1" si="7"/>
        <v>8.-2.2 transformer room</v>
      </c>
      <c r="AI29" s="178">
        <f t="shared" ca="1" si="8"/>
        <v>52</v>
      </c>
      <c r="AJ29" s="178">
        <f t="shared" ca="1" si="9"/>
        <v>0</v>
      </c>
      <c r="AK29" s="178">
        <f t="shared" ca="1" si="10"/>
        <v>0</v>
      </c>
      <c r="AM29" s="129" t="s">
        <v>249</v>
      </c>
      <c r="AO29" s="129">
        <v>24</v>
      </c>
      <c r="AP29" s="129" t="s">
        <v>279</v>
      </c>
      <c r="AR29" s="24">
        <v>52</v>
      </c>
      <c r="AS29" s="129"/>
      <c r="AU29" s="129"/>
    </row>
    <row r="30" spans="1:47" ht="17.25" customHeight="1">
      <c r="A30" s="8"/>
      <c r="B30" s="15"/>
      <c r="C30" s="414" t="str">
        <f t="shared" ca="1" si="0"/>
        <v>8.-1.3 LV room</v>
      </c>
      <c r="D30" s="414"/>
      <c r="E30" s="415"/>
      <c r="F30" s="415">
        <f t="shared" ca="1" si="1"/>
        <v>25</v>
      </c>
      <c r="G30" s="415"/>
      <c r="H30" s="416" t="str">
        <f t="shared" ca="1" si="2"/>
        <v>8.-2.1 RMU room</v>
      </c>
      <c r="I30" s="414"/>
      <c r="J30" s="414"/>
      <c r="K30" s="416">
        <f t="shared" ca="1" si="3"/>
        <v>53</v>
      </c>
      <c r="L30" s="415"/>
      <c r="M30" s="416">
        <f t="shared" ca="1" si="4"/>
        <v>0</v>
      </c>
      <c r="N30" s="414"/>
      <c r="O30" s="416"/>
      <c r="P30" s="416"/>
      <c r="Q30" s="416">
        <f t="shared" ca="1" si="11"/>
        <v>0</v>
      </c>
      <c r="R30" s="414"/>
      <c r="S30" s="414"/>
      <c r="T30" s="414"/>
      <c r="U30" s="287"/>
      <c r="V30" s="287"/>
      <c r="W30" s="287"/>
      <c r="X30" s="287"/>
      <c r="Y30" s="17"/>
      <c r="Z30" s="17"/>
      <c r="AA30" s="28"/>
      <c r="AB30" s="28"/>
      <c r="AC30" s="181"/>
      <c r="AD30" s="181"/>
      <c r="AE30" s="117"/>
      <c r="AF30" s="178" t="str">
        <f t="shared" ca="1" si="5"/>
        <v>8.-1.3 LV room</v>
      </c>
      <c r="AG30" s="178">
        <f t="shared" ca="1" si="6"/>
        <v>25</v>
      </c>
      <c r="AH30" s="178" t="str">
        <f t="shared" ca="1" si="7"/>
        <v>8.-2.1 RMU room</v>
      </c>
      <c r="AI30" s="178">
        <f t="shared" ca="1" si="8"/>
        <v>53</v>
      </c>
      <c r="AJ30" s="178">
        <f t="shared" ca="1" si="9"/>
        <v>0</v>
      </c>
      <c r="AK30" s="178">
        <f t="shared" ca="1" si="10"/>
        <v>0</v>
      </c>
      <c r="AL30" s="28"/>
      <c r="AM30" s="129" t="s">
        <v>250</v>
      </c>
      <c r="AO30" s="129">
        <v>25</v>
      </c>
      <c r="AP30" s="129" t="s">
        <v>280</v>
      </c>
      <c r="AR30" s="24">
        <v>53</v>
      </c>
      <c r="AS30" s="129"/>
      <c r="AU30" s="129"/>
    </row>
    <row r="31" spans="1:47" ht="17.25" customHeight="1">
      <c r="A31" s="8"/>
      <c r="B31" s="15"/>
      <c r="C31" s="414" t="str">
        <f t="shared" ca="1" si="0"/>
        <v>8.-1.4 FTR room</v>
      </c>
      <c r="D31" s="414"/>
      <c r="E31" s="415"/>
      <c r="F31" s="415">
        <f t="shared" ca="1" si="1"/>
        <v>26</v>
      </c>
      <c r="G31" s="415"/>
      <c r="H31" s="416" t="str">
        <f t="shared" ca="1" si="2"/>
        <v>8.-2.0 utilities</v>
      </c>
      <c r="I31" s="414"/>
      <c r="J31" s="414"/>
      <c r="K31" s="416">
        <f t="shared" ca="1" si="3"/>
        <v>54</v>
      </c>
      <c r="L31" s="415"/>
      <c r="M31" s="416">
        <f t="shared" ca="1" si="4"/>
        <v>0</v>
      </c>
      <c r="N31" s="414"/>
      <c r="O31" s="416"/>
      <c r="P31" s="416"/>
      <c r="Q31" s="416">
        <f t="shared" ca="1" si="11"/>
        <v>0</v>
      </c>
      <c r="R31" s="414"/>
      <c r="S31" s="414"/>
      <c r="T31" s="414"/>
      <c r="U31" s="287"/>
      <c r="V31" s="287"/>
      <c r="W31" s="287"/>
      <c r="X31" s="287"/>
      <c r="Y31" s="17"/>
      <c r="Z31" s="17"/>
      <c r="AA31" s="8"/>
      <c r="AB31" s="27"/>
      <c r="AC31" s="181"/>
      <c r="AD31" s="181"/>
      <c r="AE31" s="117"/>
      <c r="AF31" s="178" t="str">
        <f t="shared" ca="1" si="5"/>
        <v>8.-1.4 FTR room</v>
      </c>
      <c r="AG31" s="178">
        <f t="shared" ca="1" si="6"/>
        <v>26</v>
      </c>
      <c r="AH31" s="178" t="str">
        <f t="shared" ca="1" si="7"/>
        <v>8.-2.0 utilities</v>
      </c>
      <c r="AI31" s="178">
        <f t="shared" ca="1" si="8"/>
        <v>54</v>
      </c>
      <c r="AJ31" s="178">
        <f t="shared" ca="1" si="9"/>
        <v>0</v>
      </c>
      <c r="AK31" s="178">
        <f t="shared" ca="1" si="10"/>
        <v>0</v>
      </c>
      <c r="AL31" s="19"/>
      <c r="AM31" s="129" t="s">
        <v>251</v>
      </c>
      <c r="AO31" s="129">
        <v>26</v>
      </c>
      <c r="AP31" s="129" t="s">
        <v>281</v>
      </c>
      <c r="AR31" s="24">
        <v>54</v>
      </c>
      <c r="AS31" s="129"/>
      <c r="AU31" s="129"/>
    </row>
    <row r="32" spans="1:47" ht="17.25" customHeight="1">
      <c r="A32" s="8"/>
      <c r="B32" s="15"/>
      <c r="C32" s="414" t="str">
        <f t="shared" ca="1" si="0"/>
        <v>8.-1.5 CCTV/ICT room</v>
      </c>
      <c r="D32" s="414"/>
      <c r="E32" s="415"/>
      <c r="F32" s="415">
        <f t="shared" ca="1" si="1"/>
        <v>27</v>
      </c>
      <c r="G32" s="415"/>
      <c r="H32" s="416" t="str">
        <f t="shared" ca="1" si="2"/>
        <v>9.-2.1 sand trap</v>
      </c>
      <c r="I32" s="415"/>
      <c r="J32" s="415"/>
      <c r="K32" s="416">
        <f t="shared" ca="1" si="3"/>
        <v>55</v>
      </c>
      <c r="L32" s="415"/>
      <c r="M32" s="416">
        <f t="shared" ca="1" si="4"/>
        <v>0</v>
      </c>
      <c r="N32" s="414"/>
      <c r="O32" s="416"/>
      <c r="P32" s="416"/>
      <c r="Q32" s="416">
        <f t="shared" ca="1" si="11"/>
        <v>0</v>
      </c>
      <c r="R32" s="414"/>
      <c r="S32" s="414"/>
      <c r="T32" s="414"/>
      <c r="U32" s="287"/>
      <c r="V32" s="287"/>
      <c r="W32" s="287"/>
      <c r="X32" s="287"/>
      <c r="Y32" s="17"/>
      <c r="Z32" s="17"/>
      <c r="AA32" s="8"/>
      <c r="AB32" s="27"/>
      <c r="AC32" s="181"/>
      <c r="AD32" s="181"/>
      <c r="AE32" s="117"/>
      <c r="AF32" s="178" t="str">
        <f t="shared" ca="1" si="5"/>
        <v>8.-1.5 CCTV/ICT room</v>
      </c>
      <c r="AG32" s="178">
        <f t="shared" ca="1" si="6"/>
        <v>27</v>
      </c>
      <c r="AH32" s="178" t="str">
        <f t="shared" ca="1" si="7"/>
        <v>9.-2.1 sand trap</v>
      </c>
      <c r="AI32" s="178">
        <f t="shared" ca="1" si="8"/>
        <v>55</v>
      </c>
      <c r="AJ32" s="178">
        <f t="shared" ca="1" si="9"/>
        <v>0</v>
      </c>
      <c r="AK32" s="178">
        <f t="shared" ca="1" si="10"/>
        <v>0</v>
      </c>
      <c r="AL32" s="19"/>
      <c r="AM32" s="129" t="s">
        <v>252</v>
      </c>
      <c r="AO32" s="129">
        <v>27</v>
      </c>
      <c r="AP32" s="129" t="s">
        <v>282</v>
      </c>
      <c r="AR32" s="24">
        <v>55</v>
      </c>
      <c r="AS32" s="129"/>
      <c r="AU32" s="129"/>
    </row>
    <row r="33" spans="1:47" ht="17.25" customHeight="1">
      <c r="A33" s="8"/>
      <c r="B33" s="34"/>
      <c r="C33" s="414" t="str">
        <f ca="1">AF33</f>
        <v>8.-2.6 oil room</v>
      </c>
      <c r="D33" s="416"/>
      <c r="E33" s="416"/>
      <c r="F33" s="415">
        <f t="shared" ca="1" si="1"/>
        <v>28</v>
      </c>
      <c r="G33" s="416"/>
      <c r="H33" s="416" t="str">
        <f ca="1">AH33</f>
        <v>9.-2.0 circulation</v>
      </c>
      <c r="I33" s="416"/>
      <c r="J33" s="416"/>
      <c r="K33" s="416">
        <f ca="1">AI33</f>
        <v>56</v>
      </c>
      <c r="L33" s="416"/>
      <c r="M33" s="416">
        <f ca="1">AJ33</f>
        <v>0</v>
      </c>
      <c r="N33" s="414"/>
      <c r="O33" s="416"/>
      <c r="P33" s="416"/>
      <c r="Q33" s="416">
        <f t="shared" ca="1" si="11"/>
        <v>0</v>
      </c>
      <c r="R33" s="414"/>
      <c r="S33" s="414"/>
      <c r="T33" s="414"/>
      <c r="U33" s="218" t="s">
        <v>127</v>
      </c>
      <c r="V33" s="250">
        <f>AC8</f>
        <v>1</v>
      </c>
      <c r="W33" s="218" t="str">
        <f>"/ "&amp;AC11</f>
        <v>/ 1</v>
      </c>
      <c r="X33" s="297"/>
      <c r="Y33" s="35"/>
      <c r="Z33" s="32"/>
      <c r="AA33" s="35"/>
      <c r="AB33" s="27"/>
      <c r="AC33" s="181"/>
      <c r="AD33" s="181"/>
      <c r="AE33" s="117"/>
      <c r="AF33" s="178" t="str">
        <f t="shared" ca="1" si="5"/>
        <v>8.-2.6 oil room</v>
      </c>
      <c r="AG33" s="178">
        <f t="shared" ca="1" si="6"/>
        <v>28</v>
      </c>
      <c r="AH33" s="178" t="str">
        <f t="shared" ca="1" si="7"/>
        <v>9.-2.0 circulation</v>
      </c>
      <c r="AI33" s="178">
        <f t="shared" ca="1" si="8"/>
        <v>56</v>
      </c>
      <c r="AJ33" s="178">
        <f t="shared" ca="1" si="9"/>
        <v>0</v>
      </c>
      <c r="AK33" s="178">
        <f t="shared" ca="1" si="10"/>
        <v>0</v>
      </c>
      <c r="AL33" s="19"/>
      <c r="AM33" s="129" t="s">
        <v>330</v>
      </c>
      <c r="AO33" s="129">
        <v>28</v>
      </c>
      <c r="AP33" s="129" t="s">
        <v>283</v>
      </c>
      <c r="AR33" s="24">
        <v>56</v>
      </c>
      <c r="AS33" s="129"/>
      <c r="AU33" s="129"/>
    </row>
    <row r="34" spans="1:47" ht="17.25" customHeight="1">
      <c r="A34" s="8"/>
      <c r="B34" s="35"/>
      <c r="C34" s="297"/>
      <c r="D34" s="297"/>
      <c r="E34" s="297"/>
      <c r="F34" s="297"/>
      <c r="G34" s="297"/>
      <c r="H34" s="297"/>
      <c r="I34" s="297"/>
      <c r="J34" s="297"/>
      <c r="K34" s="297"/>
      <c r="L34" s="297"/>
      <c r="M34" s="297"/>
      <c r="N34" s="297"/>
      <c r="O34" s="297"/>
      <c r="P34" s="297"/>
      <c r="Q34" s="297"/>
      <c r="R34" s="297"/>
      <c r="S34" s="297"/>
      <c r="T34" s="297"/>
      <c r="U34" s="297"/>
      <c r="V34" s="297"/>
      <c r="W34" s="297"/>
      <c r="X34" s="297"/>
      <c r="Y34" s="35"/>
      <c r="Z34" s="32"/>
      <c r="AA34" s="35"/>
      <c r="AB34" s="27"/>
      <c r="AC34" s="181"/>
      <c r="AD34" s="181"/>
      <c r="AE34" s="117"/>
      <c r="AF34" s="19"/>
      <c r="AL34" s="19"/>
      <c r="AM34" s="27"/>
    </row>
    <row r="35" spans="1:47" ht="14.25" customHeight="1">
      <c r="A35" s="8"/>
      <c r="B35" s="34"/>
      <c r="C35" s="35"/>
      <c r="E35" s="35"/>
      <c r="F35" s="190"/>
      <c r="G35" s="35"/>
      <c r="I35" s="35"/>
      <c r="J35" s="35"/>
      <c r="K35" s="35"/>
      <c r="L35" s="35"/>
      <c r="M35" s="143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2"/>
      <c r="AA35" s="35"/>
      <c r="AB35" s="27"/>
      <c r="AC35" s="181"/>
      <c r="AD35" s="181"/>
      <c r="AE35" s="117"/>
      <c r="AF35" s="19"/>
      <c r="AL35" s="19"/>
      <c r="AM35" s="27"/>
    </row>
    <row r="36" spans="1:47" ht="12"/>
    <row r="37" spans="1:47" ht="12"/>
    <row r="38" spans="1:47" ht="12"/>
    <row r="39" spans="1:47" ht="12"/>
    <row r="40" spans="1:47" ht="12"/>
    <row r="41" spans="1:47" ht="12"/>
    <row r="42" spans="1:47" ht="12"/>
    <row r="43" spans="1:47" ht="12"/>
    <row r="44" spans="1:47" ht="12"/>
    <row r="45" spans="1:47" ht="12"/>
    <row r="46" spans="1:47" ht="12"/>
    <row r="47" spans="1:47" ht="12"/>
    <row r="48" spans="1:47" ht="12"/>
    <row r="49" ht="12"/>
    <row r="50" ht="12"/>
    <row r="51" ht="12"/>
    <row r="52" ht="12"/>
    <row r="53" ht="12"/>
  </sheetData>
  <mergeCells count="1">
    <mergeCell ref="C2:E2"/>
  </mergeCells>
  <pageMargins left="0" right="0" top="0" bottom="0" header="0" footer="0"/>
  <pageSetup paperSize="9" orientation="landscape" r:id="rId1"/>
  <colBreaks count="1" manualBreakCount="1">
    <brk id="28" max="1048575" man="1"/>
  </colBreaks>
  <drawing r:id="rId2"/>
  <legacyDrawing r:id="rId3"/>
  <controls>
    <mc:AlternateContent xmlns:mc="http://schemas.openxmlformats.org/markup-compatibility/2006">
      <mc:Choice Requires="x14">
        <control shapeId="88065" r:id="rId4" name="CommandButton2">
          <controlPr defaultSize="0" autoLine="0" autoPict="0" r:id="rId5">
            <anchor moveWithCells="1" sizeWithCells="1">
              <from>
                <xdr:col>28</xdr:col>
                <xdr:colOff>22860</xdr:colOff>
                <xdr:row>4</xdr:row>
                <xdr:rowOff>7620</xdr:rowOff>
              </from>
              <to>
                <xdr:col>28</xdr:col>
                <xdr:colOff>914400</xdr:colOff>
                <xdr:row>5</xdr:row>
                <xdr:rowOff>152400</xdr:rowOff>
              </to>
            </anchor>
          </controlPr>
        </control>
      </mc:Choice>
      <mc:Fallback>
        <control shapeId="88065" r:id="rId4" name="CommandButton2"/>
      </mc:Fallback>
    </mc:AlternateContent>
  </controls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0">
    <tabColor rgb="FF00B050"/>
  </sheetPr>
  <dimension ref="A1:AG42"/>
  <sheetViews>
    <sheetView view="pageBreakPreview" zoomScale="85" zoomScaleNormal="40" zoomScaleSheetLayoutView="85" workbookViewId="0">
      <selection activeCell="C5" sqref="C5"/>
    </sheetView>
  </sheetViews>
  <sheetFormatPr defaultColWidth="18.77734375" defaultRowHeight="12.75" customHeight="1"/>
  <cols>
    <col min="1" max="1" width="1.33203125" style="24" customWidth="1"/>
    <col min="2" max="2" width="1.6640625" style="24" customWidth="1"/>
    <col min="3" max="3" width="4.44140625" style="24" customWidth="1"/>
    <col min="4" max="4" width="5.5546875" style="24" customWidth="1"/>
    <col min="5" max="5" width="7.6640625" style="24" customWidth="1"/>
    <col min="6" max="6" width="7.44140625" style="24" customWidth="1"/>
    <col min="7" max="7" width="5.5546875" style="24" customWidth="1"/>
    <col min="8" max="8" width="7.88671875" style="24" customWidth="1"/>
    <col min="9" max="9" width="4.44140625" style="24" customWidth="1"/>
    <col min="10" max="10" width="6.6640625" style="24" customWidth="1"/>
    <col min="11" max="13" width="6.88671875" style="24" customWidth="1"/>
    <col min="14" max="14" width="9.33203125" style="24" customWidth="1"/>
    <col min="15" max="17" width="6.88671875" style="24" customWidth="1"/>
    <col min="18" max="18" width="6" style="24" customWidth="1"/>
    <col min="19" max="19" width="7.88671875" style="24" customWidth="1"/>
    <col min="20" max="20" width="8" style="24" customWidth="1"/>
    <col min="21" max="21" width="5.44140625" style="24" customWidth="1"/>
    <col min="22" max="24" width="3" style="24" customWidth="1"/>
    <col min="25" max="27" width="1.44140625" style="24" customWidth="1"/>
    <col min="28" max="28" width="12.6640625" style="23" customWidth="1"/>
    <col min="29" max="29" width="27" style="24" customWidth="1"/>
    <col min="30" max="30" width="27.88671875" style="24" customWidth="1"/>
    <col min="31" max="31" width="15.33203125" style="24" customWidth="1"/>
    <col min="32" max="33" width="12.6640625" style="24" customWidth="1"/>
    <col min="34" max="16384" width="18.77734375" style="24"/>
  </cols>
  <sheetData>
    <row r="1" spans="1:32" ht="17.25" customHeight="1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F1" s="25"/>
    </row>
    <row r="2" spans="1:32" ht="23.25" customHeight="1">
      <c r="A2" s="8"/>
      <c r="B2" s="8"/>
      <c r="C2" s="518">
        <f ca="1">Print!C2</f>
        <v>44697</v>
      </c>
      <c r="D2" s="519"/>
      <c r="E2" s="519"/>
      <c r="F2" s="299"/>
      <c r="G2" s="300"/>
      <c r="H2" s="300"/>
      <c r="I2" s="300"/>
      <c r="J2" s="300"/>
      <c r="K2" s="300"/>
      <c r="L2" s="300"/>
      <c r="M2" s="301" t="str">
        <f>Print!AE2&amp;" Load Summary"</f>
        <v>AHU-01 Load Summary</v>
      </c>
      <c r="N2" s="300"/>
      <c r="O2" s="300"/>
      <c r="P2" s="300"/>
      <c r="Q2" s="300"/>
      <c r="R2" s="300"/>
      <c r="S2" s="300"/>
      <c r="T2" s="300"/>
      <c r="U2" s="300"/>
      <c r="V2" s="300"/>
      <c r="W2" s="300"/>
      <c r="X2" s="302"/>
      <c r="Y2" s="8"/>
      <c r="Z2" s="8"/>
      <c r="AA2" s="8"/>
      <c r="AE2" s="26"/>
    </row>
    <row r="3" spans="1:32" ht="17.25" customHeight="1">
      <c r="A3" s="8"/>
      <c r="B3" s="8"/>
      <c r="C3" s="303" t="str">
        <f>Print!C3</f>
        <v>Project Name:</v>
      </c>
      <c r="D3" s="304"/>
      <c r="E3" s="304"/>
      <c r="F3" s="305"/>
      <c r="G3" s="304"/>
      <c r="H3" s="304"/>
      <c r="I3" s="304"/>
      <c r="J3" s="306"/>
      <c r="K3" s="304"/>
      <c r="L3" s="307"/>
      <c r="M3" s="304"/>
      <c r="N3" s="308"/>
      <c r="O3" s="304"/>
      <c r="P3" s="304"/>
      <c r="Q3" s="309"/>
      <c r="R3" s="304"/>
      <c r="S3" s="304"/>
      <c r="T3" s="304"/>
      <c r="U3" s="304"/>
      <c r="V3" s="304"/>
      <c r="W3" s="304"/>
      <c r="X3" s="310"/>
      <c r="Y3" s="8"/>
      <c r="Z3" s="8"/>
      <c r="AA3" s="8"/>
      <c r="AE3" s="26"/>
    </row>
    <row r="4" spans="1:32" ht="17.25" customHeight="1">
      <c r="A4" s="8"/>
      <c r="B4" s="6" t="s">
        <v>66</v>
      </c>
      <c r="C4" s="311" t="s">
        <v>613</v>
      </c>
      <c r="D4" s="312"/>
      <c r="E4" s="312"/>
      <c r="F4" s="312"/>
      <c r="G4" s="313"/>
      <c r="H4" s="313"/>
      <c r="I4" s="312"/>
      <c r="J4" s="314"/>
      <c r="K4" s="315"/>
      <c r="L4" s="315"/>
      <c r="M4" s="315"/>
      <c r="N4" s="315"/>
      <c r="O4" s="315"/>
      <c r="P4" s="315"/>
      <c r="Q4" s="315"/>
      <c r="R4" s="315"/>
      <c r="S4" s="315"/>
      <c r="T4" s="315"/>
      <c r="U4" s="315"/>
      <c r="V4" s="315"/>
      <c r="W4" s="315"/>
      <c r="X4" s="316"/>
      <c r="Y4" s="8"/>
      <c r="Z4" s="8"/>
      <c r="AA4" s="8"/>
      <c r="AE4" s="26"/>
    </row>
    <row r="5" spans="1:32" ht="17.25" customHeight="1">
      <c r="A5" s="8"/>
      <c r="B5" s="8"/>
      <c r="C5" s="304"/>
      <c r="D5" s="309"/>
      <c r="E5" s="304"/>
      <c r="F5" s="304"/>
      <c r="G5" s="304"/>
      <c r="H5" s="304"/>
      <c r="I5" s="304"/>
      <c r="J5" s="304"/>
      <c r="K5" s="304"/>
      <c r="L5" s="304"/>
      <c r="M5" s="304"/>
      <c r="N5" s="304"/>
      <c r="O5" s="304"/>
      <c r="P5" s="304"/>
      <c r="Q5" s="304"/>
      <c r="R5" s="304"/>
      <c r="S5" s="304"/>
      <c r="T5" s="304"/>
      <c r="U5" s="304"/>
      <c r="V5" s="304"/>
      <c r="W5" s="304"/>
      <c r="X5" s="304"/>
      <c r="Y5" s="8"/>
      <c r="Z5" s="8"/>
      <c r="AA5" s="8"/>
      <c r="AB5" s="27"/>
      <c r="AE5" s="26"/>
    </row>
    <row r="6" spans="1:32" ht="17.25" customHeight="1">
      <c r="A6" s="8"/>
      <c r="B6" s="8"/>
      <c r="C6" s="304"/>
      <c r="D6" s="304"/>
      <c r="E6" s="304"/>
      <c r="F6" s="304"/>
      <c r="G6" s="304"/>
      <c r="H6" s="304"/>
      <c r="I6" s="304"/>
      <c r="J6" s="304"/>
      <c r="K6" s="304"/>
      <c r="L6" s="304"/>
      <c r="M6" s="304"/>
      <c r="N6" s="304"/>
      <c r="O6" s="304"/>
      <c r="P6" s="304"/>
      <c r="Q6" s="304"/>
      <c r="R6" s="304"/>
      <c r="S6" s="304"/>
      <c r="T6" s="304"/>
      <c r="U6" s="304"/>
      <c r="V6" s="304"/>
      <c r="W6" s="304"/>
      <c r="X6" s="304"/>
      <c r="Y6" s="15"/>
      <c r="Z6" s="8"/>
      <c r="AA6" s="8"/>
    </row>
    <row r="7" spans="1:32" ht="17.25" customHeight="1">
      <c r="A7" s="8"/>
      <c r="B7" s="8"/>
      <c r="C7" s="304"/>
      <c r="D7" s="317">
        <f>Print!AO7</f>
        <v>0</v>
      </c>
      <c r="E7" s="317" t="s">
        <v>152</v>
      </c>
      <c r="F7" s="318"/>
      <c r="G7" s="318"/>
      <c r="H7" s="318"/>
      <c r="I7" s="318"/>
      <c r="J7" s="318"/>
      <c r="K7" s="319"/>
      <c r="L7" s="320"/>
      <c r="M7" s="321" t="s">
        <v>76</v>
      </c>
      <c r="N7" s="300"/>
      <c r="O7" s="300"/>
      <c r="P7" s="302"/>
      <c r="Q7" s="322"/>
      <c r="R7" s="300"/>
      <c r="S7" s="323" t="s">
        <v>77</v>
      </c>
      <c r="T7" s="300"/>
      <c r="U7" s="300"/>
      <c r="V7" s="302"/>
      <c r="W7" s="304"/>
      <c r="X7" s="304"/>
      <c r="Y7" s="28"/>
      <c r="Z7" s="8"/>
      <c r="AA7" s="8"/>
      <c r="AB7" s="27"/>
    </row>
    <row r="8" spans="1:32" ht="17.25" customHeight="1">
      <c r="A8" s="8"/>
      <c r="B8" s="8"/>
      <c r="C8" s="304"/>
      <c r="D8" s="324" t="s">
        <v>132</v>
      </c>
      <c r="E8" s="309"/>
      <c r="F8" s="325">
        <f>Print!AQ8</f>
        <v>0</v>
      </c>
      <c r="G8" s="309" t="s">
        <v>133</v>
      </c>
      <c r="H8" s="300"/>
      <c r="I8" s="300"/>
      <c r="J8" s="300"/>
      <c r="K8" s="326"/>
      <c r="L8" s="327"/>
      <c r="M8" s="327"/>
      <c r="N8" s="327"/>
      <c r="O8" s="327"/>
      <c r="P8" s="328"/>
      <c r="Q8" s="326"/>
      <c r="R8" s="329"/>
      <c r="S8" s="329"/>
      <c r="T8" s="320"/>
      <c r="U8" s="320"/>
      <c r="V8" s="330"/>
      <c r="W8" s="331"/>
      <c r="X8" s="331"/>
      <c r="Y8" s="28"/>
      <c r="Z8" s="8"/>
      <c r="AA8" s="8"/>
      <c r="AB8" s="27"/>
      <c r="AC8" s="185">
        <v>0</v>
      </c>
      <c r="AF8" s="29"/>
    </row>
    <row r="9" spans="1:32" ht="17.25" customHeight="1">
      <c r="A9" s="8"/>
      <c r="B9" s="8"/>
      <c r="C9" s="304"/>
      <c r="D9" s="332" t="s">
        <v>134</v>
      </c>
      <c r="E9" s="333"/>
      <c r="F9" s="334">
        <f>Print!AQ9</f>
        <v>0</v>
      </c>
      <c r="G9" s="335" t="s">
        <v>135</v>
      </c>
      <c r="H9" s="333"/>
      <c r="I9" s="313"/>
      <c r="J9" s="336"/>
      <c r="K9" s="337" t="s">
        <v>87</v>
      </c>
      <c r="L9" s="338"/>
      <c r="M9" s="339"/>
      <c r="N9" s="339"/>
      <c r="O9" s="339"/>
      <c r="P9" s="340"/>
      <c r="Q9" s="341" t="s">
        <v>137</v>
      </c>
      <c r="R9" s="342"/>
      <c r="S9" s="343"/>
      <c r="T9" s="344"/>
      <c r="U9" s="344"/>
      <c r="V9" s="345"/>
      <c r="W9" s="346"/>
      <c r="X9" s="346"/>
      <c r="Y9" s="28"/>
      <c r="Z9" s="8"/>
      <c r="AA9" s="8"/>
      <c r="AB9" s="27"/>
      <c r="AC9" s="179" t="str">
        <f>Print!AE2</f>
        <v>AHU-01</v>
      </c>
    </row>
    <row r="10" spans="1:32" ht="17.25" customHeight="1">
      <c r="A10" s="8"/>
      <c r="B10" s="8"/>
      <c r="C10" s="304"/>
      <c r="D10" s="347"/>
      <c r="E10" s="348"/>
      <c r="F10" s="348"/>
      <c r="G10" s="348"/>
      <c r="H10" s="348"/>
      <c r="I10" s="349"/>
      <c r="J10" s="348"/>
      <c r="K10" s="350"/>
      <c r="L10" s="351"/>
      <c r="M10" s="351"/>
      <c r="N10" s="351"/>
      <c r="O10" s="351"/>
      <c r="P10" s="352"/>
      <c r="Q10" s="350"/>
      <c r="R10" s="353"/>
      <c r="S10" s="354"/>
      <c r="T10" s="355"/>
      <c r="U10" s="355"/>
      <c r="V10" s="356"/>
      <c r="W10" s="346"/>
      <c r="X10" s="346"/>
      <c r="Y10" s="28"/>
      <c r="Z10" s="8"/>
      <c r="AA10" s="8"/>
      <c r="AB10" s="27"/>
      <c r="AC10" s="184"/>
    </row>
    <row r="11" spans="1:32" ht="17.25" customHeight="1">
      <c r="A11" s="8"/>
      <c r="B11" s="8"/>
      <c r="C11" s="304"/>
      <c r="D11" s="357"/>
      <c r="E11" s="358"/>
      <c r="F11" s="358"/>
      <c r="G11" s="358"/>
      <c r="H11" s="358"/>
      <c r="I11" s="358"/>
      <c r="J11" s="359"/>
      <c r="K11" s="360"/>
      <c r="L11" s="361"/>
      <c r="M11" s="520" t="s">
        <v>69</v>
      </c>
      <c r="N11" s="521"/>
      <c r="O11" s="520" t="s">
        <v>70</v>
      </c>
      <c r="P11" s="521"/>
      <c r="Q11" s="362"/>
      <c r="R11" s="361"/>
      <c r="S11" s="520" t="s">
        <v>69</v>
      </c>
      <c r="T11" s="521"/>
      <c r="U11" s="363"/>
      <c r="V11" s="364" t="s">
        <v>70</v>
      </c>
      <c r="W11" s="365"/>
      <c r="X11" s="346"/>
      <c r="Y11" s="15"/>
      <c r="Z11" s="8"/>
      <c r="AA11" s="8"/>
      <c r="AB11" s="27"/>
      <c r="AC11" s="184"/>
    </row>
    <row r="12" spans="1:32" ht="17.25" customHeight="1">
      <c r="A12" s="8"/>
      <c r="B12" s="8"/>
      <c r="C12" s="304"/>
      <c r="D12" s="366" t="s">
        <v>207</v>
      </c>
      <c r="E12" s="313"/>
      <c r="F12" s="313"/>
      <c r="G12" s="313"/>
      <c r="H12" s="313"/>
      <c r="I12" s="313"/>
      <c r="J12" s="367"/>
      <c r="K12" s="368"/>
      <c r="L12" s="369" t="s">
        <v>68</v>
      </c>
      <c r="M12" s="370"/>
      <c r="N12" s="369" t="s">
        <v>84</v>
      </c>
      <c r="O12" s="370"/>
      <c r="P12" s="369" t="s">
        <v>84</v>
      </c>
      <c r="Q12" s="371"/>
      <c r="R12" s="369" t="s">
        <v>68</v>
      </c>
      <c r="S12" s="370"/>
      <c r="T12" s="369" t="s">
        <v>84</v>
      </c>
      <c r="U12" s="371"/>
      <c r="V12" s="369" t="s">
        <v>84</v>
      </c>
      <c r="W12" s="365"/>
      <c r="X12" s="346"/>
      <c r="Y12" s="15"/>
      <c r="Z12" s="8"/>
      <c r="AA12" s="8"/>
      <c r="AB12" s="27"/>
    </row>
    <row r="13" spans="1:32" ht="17.25" customHeight="1">
      <c r="A13" s="8"/>
      <c r="B13" s="31"/>
      <c r="C13" s="304"/>
      <c r="D13" s="372" t="s">
        <v>71</v>
      </c>
      <c r="E13" s="373"/>
      <c r="F13" s="374"/>
      <c r="G13" s="374"/>
      <c r="H13" s="374"/>
      <c r="I13" s="374"/>
      <c r="J13" s="375"/>
      <c r="K13" s="376"/>
      <c r="L13" s="377"/>
      <c r="M13" s="378"/>
      <c r="N13" s="377">
        <f>Print!$AY13</f>
        <v>0</v>
      </c>
      <c r="O13" s="378"/>
      <c r="P13" s="377">
        <f>Print!$BA13</f>
        <v>0</v>
      </c>
      <c r="Q13" s="376"/>
      <c r="R13" s="377"/>
      <c r="S13" s="378"/>
      <c r="T13" s="377">
        <f>Print!$BE13</f>
        <v>0</v>
      </c>
      <c r="U13" s="378"/>
      <c r="V13" s="377"/>
      <c r="W13" s="331"/>
      <c r="X13" s="331"/>
      <c r="Y13" s="15"/>
      <c r="Z13" s="8"/>
      <c r="AA13" s="8"/>
      <c r="AB13" s="27"/>
    </row>
    <row r="14" spans="1:32" ht="17.25" customHeight="1">
      <c r="A14" s="8"/>
      <c r="B14" s="8"/>
      <c r="C14" s="304"/>
      <c r="D14" s="372" t="s">
        <v>90</v>
      </c>
      <c r="E14" s="373"/>
      <c r="F14" s="374"/>
      <c r="G14" s="374"/>
      <c r="H14" s="374"/>
      <c r="I14" s="374"/>
      <c r="J14" s="374"/>
      <c r="K14" s="376"/>
      <c r="L14" s="377"/>
      <c r="M14" s="378"/>
      <c r="N14" s="377">
        <f>Print!$AY14</f>
        <v>0</v>
      </c>
      <c r="O14" s="378"/>
      <c r="P14" s="377">
        <f>Print!$BA14</f>
        <v>0</v>
      </c>
      <c r="Q14" s="376"/>
      <c r="R14" s="377"/>
      <c r="S14" s="378"/>
      <c r="T14" s="377">
        <f>Print!$BE14</f>
        <v>0</v>
      </c>
      <c r="U14" s="378"/>
      <c r="V14" s="377"/>
      <c r="W14" s="331"/>
      <c r="X14" s="331"/>
      <c r="Y14" s="15"/>
      <c r="Z14" s="8"/>
      <c r="AA14" s="8"/>
      <c r="AB14" s="27"/>
    </row>
    <row r="15" spans="1:32" ht="17.25" customHeight="1">
      <c r="A15" s="8"/>
      <c r="C15" s="304"/>
      <c r="D15" s="379" t="s">
        <v>91</v>
      </c>
      <c r="E15" s="380"/>
      <c r="F15" s="300"/>
      <c r="G15" s="300"/>
      <c r="H15" s="300"/>
      <c r="I15" s="381"/>
      <c r="J15" s="382"/>
      <c r="K15" s="376"/>
      <c r="L15" s="377"/>
      <c r="M15" s="378"/>
      <c r="N15" s="377">
        <f>Print!$AY15</f>
        <v>0</v>
      </c>
      <c r="O15" s="378"/>
      <c r="P15" s="377">
        <f>Print!$BA15</f>
        <v>0</v>
      </c>
      <c r="Q15" s="376"/>
      <c r="R15" s="377"/>
      <c r="S15" s="378"/>
      <c r="T15" s="377">
        <f>Print!$BE15</f>
        <v>0</v>
      </c>
      <c r="U15" s="378"/>
      <c r="V15" s="377"/>
      <c r="W15" s="331"/>
      <c r="X15" s="331"/>
      <c r="Y15" s="16"/>
      <c r="Z15" s="8"/>
      <c r="AA15" s="8"/>
      <c r="AB15" s="27"/>
      <c r="AC15" s="181"/>
      <c r="AD15" s="117"/>
      <c r="AE15" s="11"/>
    </row>
    <row r="16" spans="1:32" ht="17.25" customHeight="1">
      <c r="A16" s="8"/>
      <c r="B16" s="7"/>
      <c r="C16" s="304"/>
      <c r="D16" s="372" t="s">
        <v>89</v>
      </c>
      <c r="E16" s="383"/>
      <c r="F16" s="384"/>
      <c r="G16" s="384"/>
      <c r="H16" s="374"/>
      <c r="I16" s="385"/>
      <c r="J16" s="386"/>
      <c r="K16" s="376"/>
      <c r="L16" s="377"/>
      <c r="M16" s="378"/>
      <c r="N16" s="377">
        <f>Print!$AY16</f>
        <v>0</v>
      </c>
      <c r="O16" s="378"/>
      <c r="P16" s="377">
        <f>Print!$BA16</f>
        <v>0</v>
      </c>
      <c r="Q16" s="376"/>
      <c r="R16" s="377"/>
      <c r="S16" s="378"/>
      <c r="T16" s="377">
        <f>Print!$BE16</f>
        <v>0</v>
      </c>
      <c r="U16" s="378"/>
      <c r="V16" s="377"/>
      <c r="W16" s="331"/>
      <c r="X16" s="331"/>
      <c r="Y16" s="16"/>
      <c r="Z16" s="8"/>
      <c r="AA16" s="8"/>
      <c r="AB16" s="27"/>
      <c r="AC16" s="181"/>
      <c r="AD16" s="117"/>
      <c r="AF16" s="182"/>
    </row>
    <row r="17" spans="1:33" ht="17.25" customHeight="1">
      <c r="A17" s="8"/>
      <c r="B17" s="7"/>
      <c r="C17" s="304"/>
      <c r="D17" s="372" t="s">
        <v>88</v>
      </c>
      <c r="E17" s="387"/>
      <c r="F17" s="388"/>
      <c r="G17" s="389"/>
      <c r="H17" s="384"/>
      <c r="I17" s="385"/>
      <c r="J17" s="390"/>
      <c r="K17" s="376"/>
      <c r="L17" s="377"/>
      <c r="M17" s="378"/>
      <c r="N17" s="377">
        <f>Print!$AY17</f>
        <v>0</v>
      </c>
      <c r="O17" s="378"/>
      <c r="P17" s="377">
        <f>Print!$BA17</f>
        <v>0</v>
      </c>
      <c r="Q17" s="376"/>
      <c r="R17" s="377"/>
      <c r="S17" s="378"/>
      <c r="T17" s="377">
        <f>Print!$BE17</f>
        <v>0</v>
      </c>
      <c r="U17" s="378"/>
      <c r="V17" s="377"/>
      <c r="W17" s="391"/>
      <c r="X17" s="391"/>
      <c r="Y17" s="16"/>
      <c r="Z17" s="8"/>
      <c r="AA17" s="8"/>
      <c r="AB17" s="27"/>
      <c r="AC17" s="181"/>
      <c r="AD17" s="117"/>
      <c r="AF17" s="182"/>
    </row>
    <row r="18" spans="1:33" ht="17.25" customHeight="1">
      <c r="A18" s="8"/>
      <c r="B18" s="8"/>
      <c r="C18" s="304"/>
      <c r="D18" s="372" t="s">
        <v>73</v>
      </c>
      <c r="E18" s="383"/>
      <c r="F18" s="388"/>
      <c r="G18" s="389"/>
      <c r="H18" s="384"/>
      <c r="I18" s="385"/>
      <c r="J18" s="392"/>
      <c r="K18" s="376"/>
      <c r="L18" s="377"/>
      <c r="M18" s="378"/>
      <c r="N18" s="377">
        <f>Print!$AY18</f>
        <v>0</v>
      </c>
      <c r="O18" s="378"/>
      <c r="P18" s="377">
        <f>Print!$BA18</f>
        <v>0</v>
      </c>
      <c r="Q18" s="376"/>
      <c r="R18" s="377"/>
      <c r="S18" s="378"/>
      <c r="T18" s="377">
        <f>Print!$BE18</f>
        <v>0</v>
      </c>
      <c r="U18" s="378"/>
      <c r="V18" s="377"/>
      <c r="W18" s="391"/>
      <c r="X18" s="391"/>
      <c r="Y18" s="16"/>
      <c r="Z18" s="8"/>
      <c r="AA18" s="8"/>
      <c r="AB18" s="27"/>
      <c r="AC18" s="181"/>
      <c r="AD18" s="117"/>
      <c r="AF18" s="182"/>
    </row>
    <row r="19" spans="1:33" ht="17.25" customHeight="1">
      <c r="A19" s="8"/>
      <c r="B19" s="8"/>
      <c r="C19" s="304"/>
      <c r="D19" s="372"/>
      <c r="E19" s="387"/>
      <c r="F19" s="388"/>
      <c r="G19" s="389"/>
      <c r="H19" s="384"/>
      <c r="I19" s="385"/>
      <c r="J19" s="390"/>
      <c r="K19" s="376"/>
      <c r="L19" s="377"/>
      <c r="M19" s="378"/>
      <c r="N19" s="377">
        <f>Print!$AY19</f>
        <v>0</v>
      </c>
      <c r="O19" s="378"/>
      <c r="P19" s="377">
        <f>Print!$BA19</f>
        <v>0</v>
      </c>
      <c r="Q19" s="376"/>
      <c r="R19" s="377"/>
      <c r="S19" s="378"/>
      <c r="T19" s="377">
        <f>Print!$BE19</f>
        <v>0</v>
      </c>
      <c r="U19" s="378"/>
      <c r="V19" s="377"/>
      <c r="W19" s="391"/>
      <c r="X19" s="391"/>
      <c r="Y19" s="16"/>
      <c r="Z19" s="8"/>
      <c r="AA19" s="8"/>
      <c r="AB19" s="32"/>
      <c r="AC19" s="181"/>
      <c r="AD19" s="117"/>
      <c r="AF19" s="182"/>
    </row>
    <row r="20" spans="1:33" ht="17.25" customHeight="1">
      <c r="A20" s="8"/>
      <c r="B20" s="8"/>
      <c r="C20" s="304"/>
      <c r="D20" s="372" t="s">
        <v>92</v>
      </c>
      <c r="E20" s="387"/>
      <c r="F20" s="388"/>
      <c r="G20" s="389"/>
      <c r="H20" s="393" t="str">
        <f>"Profile : "&amp;AC38</f>
        <v xml:space="preserve">Profile : </v>
      </c>
      <c r="I20" s="385"/>
      <c r="J20" s="390"/>
      <c r="K20" s="376"/>
      <c r="L20" s="394"/>
      <c r="M20" s="378"/>
      <c r="N20" s="377">
        <f>Print!$AY20</f>
        <v>0</v>
      </c>
      <c r="O20" s="378"/>
      <c r="P20" s="377">
        <f>Print!$BA20</f>
        <v>0</v>
      </c>
      <c r="Q20" s="376"/>
      <c r="R20" s="377"/>
      <c r="S20" s="378"/>
      <c r="T20" s="377">
        <f>Print!$BE20</f>
        <v>0</v>
      </c>
      <c r="U20" s="378"/>
      <c r="V20" s="377"/>
      <c r="W20" s="391"/>
      <c r="X20" s="391"/>
      <c r="Y20" s="16"/>
      <c r="Z20" s="8"/>
      <c r="AA20" s="8"/>
      <c r="AB20" s="32"/>
      <c r="AC20" s="181"/>
      <c r="AD20" s="117"/>
      <c r="AF20" s="182"/>
    </row>
    <row r="21" spans="1:33" ht="17.25" customHeight="1">
      <c r="A21" s="8"/>
      <c r="B21" s="8"/>
      <c r="C21" s="304"/>
      <c r="D21" s="372" t="s">
        <v>72</v>
      </c>
      <c r="E21" s="387"/>
      <c r="F21" s="388"/>
      <c r="G21" s="389"/>
      <c r="H21" s="388"/>
      <c r="I21" s="385"/>
      <c r="J21" s="390"/>
      <c r="K21" s="376"/>
      <c r="L21" s="377"/>
      <c r="M21" s="378"/>
      <c r="N21" s="377">
        <f>Print!$AY21</f>
        <v>0</v>
      </c>
      <c r="O21" s="378"/>
      <c r="P21" s="377">
        <f>Print!$BA21</f>
        <v>0</v>
      </c>
      <c r="Q21" s="376"/>
      <c r="R21" s="377"/>
      <c r="S21" s="378"/>
      <c r="T21" s="377">
        <f>Print!$BE21</f>
        <v>0</v>
      </c>
      <c r="U21" s="378"/>
      <c r="V21" s="377"/>
      <c r="W21" s="391"/>
      <c r="X21" s="391"/>
      <c r="Y21" s="16"/>
      <c r="Z21" s="8"/>
      <c r="AA21" s="8"/>
      <c r="AB21" s="32"/>
      <c r="AC21" s="181"/>
      <c r="AD21" s="117"/>
      <c r="AF21" s="182"/>
    </row>
    <row r="22" spans="1:33" ht="17.25" customHeight="1">
      <c r="A22" s="8"/>
      <c r="B22" s="8"/>
      <c r="C22" s="304"/>
      <c r="D22" s="372" t="s">
        <v>74</v>
      </c>
      <c r="E22" s="373"/>
      <c r="F22" s="374"/>
      <c r="G22" s="374"/>
      <c r="H22" s="388"/>
      <c r="I22" s="385"/>
      <c r="J22" s="390"/>
      <c r="K22" s="376"/>
      <c r="L22" s="377"/>
      <c r="M22" s="378"/>
      <c r="N22" s="377">
        <f>Print!$AY22</f>
        <v>0</v>
      </c>
      <c r="O22" s="378"/>
      <c r="P22" s="377">
        <f>Print!$BA22</f>
        <v>0</v>
      </c>
      <c r="Q22" s="376"/>
      <c r="R22" s="377"/>
      <c r="S22" s="378"/>
      <c r="T22" s="377">
        <f>Print!$BE22</f>
        <v>0</v>
      </c>
      <c r="U22" s="378"/>
      <c r="V22" s="377"/>
      <c r="W22" s="391"/>
      <c r="X22" s="391"/>
      <c r="Y22" s="16"/>
      <c r="Z22" s="8"/>
      <c r="AA22" s="8"/>
      <c r="AB22" s="32"/>
      <c r="AC22" s="183"/>
      <c r="AD22" s="117"/>
      <c r="AF22" s="182"/>
    </row>
    <row r="23" spans="1:33" ht="17.25" customHeight="1">
      <c r="A23" s="8"/>
      <c r="B23" s="8"/>
      <c r="C23" s="304"/>
      <c r="D23" s="372" t="s">
        <v>75</v>
      </c>
      <c r="E23" s="395"/>
      <c r="F23" s="355"/>
      <c r="G23" s="374"/>
      <c r="H23" s="374"/>
      <c r="I23" s="385"/>
      <c r="J23" s="390"/>
      <c r="K23" s="376"/>
      <c r="L23" s="377"/>
      <c r="M23" s="378"/>
      <c r="N23" s="377">
        <f>Print!$AY23</f>
        <v>0</v>
      </c>
      <c r="O23" s="378"/>
      <c r="P23" s="377">
        <f>Print!$BA23</f>
        <v>0</v>
      </c>
      <c r="Q23" s="376"/>
      <c r="R23" s="377"/>
      <c r="S23" s="378"/>
      <c r="T23" s="377">
        <f>Print!$BE23</f>
        <v>0</v>
      </c>
      <c r="U23" s="378"/>
      <c r="V23" s="377"/>
      <c r="W23" s="391"/>
      <c r="X23" s="391"/>
      <c r="Y23" s="16"/>
      <c r="Z23" s="8"/>
      <c r="AA23" s="8"/>
      <c r="AB23" s="32"/>
      <c r="AC23" s="183"/>
      <c r="AD23" s="117"/>
      <c r="AF23" s="182"/>
    </row>
    <row r="24" spans="1:33" ht="17.25" customHeight="1">
      <c r="A24" s="8"/>
      <c r="B24" s="8"/>
      <c r="C24" s="304"/>
      <c r="D24" s="372" t="s">
        <v>65</v>
      </c>
      <c r="E24" s="395"/>
      <c r="F24" s="355"/>
      <c r="G24" s="355"/>
      <c r="H24" s="355"/>
      <c r="I24" s="355"/>
      <c r="J24" s="356"/>
      <c r="K24" s="376"/>
      <c r="L24" s="396"/>
      <c r="M24" s="378"/>
      <c r="N24" s="377">
        <f>Print!$AY24</f>
        <v>0</v>
      </c>
      <c r="O24" s="378"/>
      <c r="P24" s="377">
        <f>Print!$BA24</f>
        <v>0</v>
      </c>
      <c r="Q24" s="376"/>
      <c r="R24" s="396"/>
      <c r="S24" s="378"/>
      <c r="T24" s="377">
        <f>Print!$BE24</f>
        <v>0</v>
      </c>
      <c r="U24" s="378"/>
      <c r="V24" s="377"/>
      <c r="W24" s="391"/>
      <c r="X24" s="391"/>
      <c r="Y24" s="16"/>
      <c r="Z24" s="8"/>
      <c r="AA24" s="8"/>
      <c r="AB24" s="32"/>
      <c r="AC24" s="183"/>
      <c r="AD24" s="117"/>
      <c r="AF24" s="182"/>
    </row>
    <row r="25" spans="1:33" ht="17.25" customHeight="1">
      <c r="A25" s="8"/>
      <c r="B25" s="8"/>
      <c r="C25" s="304"/>
      <c r="D25" s="397" t="s">
        <v>93</v>
      </c>
      <c r="E25" s="398"/>
      <c r="F25" s="399"/>
      <c r="G25" s="399"/>
      <c r="H25" s="399"/>
      <c r="I25" s="399"/>
      <c r="J25" s="400"/>
      <c r="K25" s="376"/>
      <c r="L25" s="377"/>
      <c r="M25" s="378"/>
      <c r="N25" s="377">
        <f>Print!N25</f>
        <v>0</v>
      </c>
      <c r="O25" s="378"/>
      <c r="P25" s="377">
        <f>Print!$BA25</f>
        <v>0</v>
      </c>
      <c r="Q25" s="376"/>
      <c r="R25" s="377"/>
      <c r="S25" s="378"/>
      <c r="T25" s="377">
        <f>Print!T25</f>
        <v>0</v>
      </c>
      <c r="U25" s="378"/>
      <c r="V25" s="377"/>
      <c r="W25" s="391"/>
      <c r="X25" s="391"/>
      <c r="Y25" s="16"/>
      <c r="Z25" s="8"/>
      <c r="AA25" s="8"/>
      <c r="AB25" s="32"/>
      <c r="AC25" s="181"/>
      <c r="AD25" s="117"/>
      <c r="AF25" s="182"/>
    </row>
    <row r="26" spans="1:33" ht="17.25" customHeight="1">
      <c r="A26" s="8"/>
      <c r="B26" s="8"/>
      <c r="C26" s="304"/>
      <c r="D26" s="401" t="s">
        <v>94</v>
      </c>
      <c r="E26" s="355"/>
      <c r="F26" s="355"/>
      <c r="G26" s="355"/>
      <c r="H26" s="355"/>
      <c r="I26" s="355"/>
      <c r="J26" s="356"/>
      <c r="K26" s="376"/>
      <c r="L26" s="377"/>
      <c r="M26" s="378"/>
      <c r="N26" s="377">
        <f>Print!$AY26</f>
        <v>0</v>
      </c>
      <c r="O26" s="378"/>
      <c r="P26" s="377">
        <f>Print!$BA26</f>
        <v>0</v>
      </c>
      <c r="Q26" s="376"/>
      <c r="R26" s="377"/>
      <c r="S26" s="378"/>
      <c r="T26" s="377">
        <f>Print!$BE26</f>
        <v>0</v>
      </c>
      <c r="U26" s="378"/>
      <c r="V26" s="377"/>
      <c r="W26" s="391"/>
      <c r="X26" s="391"/>
      <c r="Y26" s="16"/>
      <c r="Z26" s="8"/>
      <c r="AA26" s="8"/>
      <c r="AB26" s="32"/>
      <c r="AC26" s="181"/>
      <c r="AD26" s="117"/>
      <c r="AF26" s="182"/>
    </row>
    <row r="27" spans="1:33" ht="17.25" customHeight="1">
      <c r="A27" s="8"/>
      <c r="B27" s="8"/>
      <c r="C27" s="304"/>
      <c r="D27" s="401" t="s">
        <v>150</v>
      </c>
      <c r="E27" s="355"/>
      <c r="F27" s="355"/>
      <c r="G27" s="355"/>
      <c r="H27" s="355"/>
      <c r="I27" s="355"/>
      <c r="J27" s="356"/>
      <c r="K27" s="376"/>
      <c r="L27" s="377"/>
      <c r="M27" s="378"/>
      <c r="N27" s="377">
        <f>Print!$AY27</f>
        <v>0</v>
      </c>
      <c r="O27" s="378"/>
      <c r="P27" s="377">
        <f>Print!$BA27</f>
        <v>0</v>
      </c>
      <c r="Q27" s="376"/>
      <c r="R27" s="377"/>
      <c r="S27" s="378"/>
      <c r="T27" s="377">
        <f>Print!$BE27</f>
        <v>0</v>
      </c>
      <c r="U27" s="378"/>
      <c r="V27" s="377"/>
      <c r="W27" s="391"/>
      <c r="X27" s="391"/>
      <c r="Y27" s="16"/>
      <c r="Z27" s="8"/>
      <c r="AA27" s="8"/>
      <c r="AB27" s="32"/>
      <c r="AC27" s="181"/>
      <c r="AD27" s="117"/>
    </row>
    <row r="28" spans="1:33" ht="17.25" customHeight="1">
      <c r="A28" s="8"/>
      <c r="B28" s="8"/>
      <c r="C28" s="304"/>
      <c r="D28" s="346"/>
      <c r="E28" s="346"/>
      <c r="F28" s="346"/>
      <c r="G28" s="346"/>
      <c r="H28" s="346"/>
      <c r="I28" s="346"/>
      <c r="J28" s="346"/>
      <c r="K28" s="346"/>
      <c r="L28" s="346"/>
      <c r="M28" s="346"/>
      <c r="N28" s="346"/>
      <c r="O28" s="346"/>
      <c r="P28" s="346"/>
      <c r="Q28" s="346"/>
      <c r="R28" s="346"/>
      <c r="S28" s="346"/>
      <c r="T28" s="402"/>
      <c r="U28" s="346"/>
      <c r="V28" s="346"/>
      <c r="W28" s="391"/>
      <c r="X28" s="391"/>
      <c r="Y28" s="28"/>
      <c r="Z28" s="8"/>
      <c r="AA28" s="8"/>
      <c r="AB28" s="32"/>
      <c r="AC28" s="183"/>
      <c r="AD28" s="117"/>
    </row>
    <row r="29" spans="1:33" ht="17.25" customHeight="1">
      <c r="A29" s="8"/>
      <c r="B29" s="8"/>
      <c r="C29" s="304"/>
      <c r="D29" s="372" t="s">
        <v>146</v>
      </c>
      <c r="E29" s="395"/>
      <c r="F29" s="355"/>
      <c r="G29" s="355"/>
      <c r="H29" s="355"/>
      <c r="I29" s="355"/>
      <c r="J29" s="356"/>
      <c r="K29" s="403" t="s">
        <v>147</v>
      </c>
      <c r="L29" s="404">
        <f>Print!AG2</f>
        <v>0</v>
      </c>
      <c r="M29" s="405"/>
      <c r="N29" s="406"/>
      <c r="O29" s="407"/>
      <c r="P29" s="406"/>
      <c r="Q29" s="403"/>
      <c r="R29" s="408"/>
      <c r="S29" s="407"/>
      <c r="T29" s="406"/>
      <c r="U29" s="407"/>
      <c r="V29" s="406"/>
      <c r="W29" s="391"/>
      <c r="X29" s="391"/>
      <c r="Y29" s="28"/>
      <c r="Z29" s="8"/>
      <c r="AA29" s="8"/>
      <c r="AB29" s="27"/>
      <c r="AC29" s="183"/>
      <c r="AD29" s="117"/>
    </row>
    <row r="30" spans="1:33" ht="17.25" customHeight="1">
      <c r="A30" s="8"/>
      <c r="B30" s="15"/>
      <c r="C30" s="331"/>
      <c r="D30" s="409" t="str">
        <f>VLOOKUP(AC9,AHU_Zones,2,FALSE)</f>
        <v>5.8.2 tropical hall, 5.8.0 tropic showroom, 9.2.0 circulation,  9.0.6 circulation</v>
      </c>
      <c r="E30" s="331"/>
      <c r="F30" s="331"/>
      <c r="G30" s="331"/>
      <c r="H30" s="331"/>
      <c r="I30" s="331"/>
      <c r="J30" s="331"/>
      <c r="K30" s="331"/>
      <c r="L30" s="331"/>
      <c r="M30" s="331"/>
      <c r="N30" s="331"/>
      <c r="O30" s="331"/>
      <c r="P30" s="331"/>
      <c r="Q30" s="331"/>
      <c r="R30" s="331"/>
      <c r="S30" s="331"/>
      <c r="T30" s="331"/>
      <c r="U30" s="402"/>
      <c r="V30" s="402"/>
      <c r="W30" s="402"/>
      <c r="X30" s="402"/>
      <c r="Y30" s="17"/>
      <c r="Z30" s="17"/>
      <c r="AA30" s="28"/>
      <c r="AB30" s="28"/>
      <c r="AC30" s="181"/>
      <c r="AD30" s="117"/>
      <c r="AE30" s="28"/>
      <c r="AF30" s="28"/>
      <c r="AG30" s="28"/>
    </row>
    <row r="31" spans="1:33" ht="17.25" customHeight="1">
      <c r="A31" s="8"/>
      <c r="B31" s="15"/>
      <c r="C31" s="331"/>
      <c r="D31" s="409">
        <f>VLOOKUP(AC9,AHU_Zones,3,FALSE)</f>
        <v>0</v>
      </c>
      <c r="E31" s="331"/>
      <c r="F31" s="331"/>
      <c r="G31" s="331"/>
      <c r="H31" s="331"/>
      <c r="I31" s="331"/>
      <c r="J31" s="331"/>
      <c r="K31" s="331"/>
      <c r="L31" s="331"/>
      <c r="M31" s="331"/>
      <c r="N31" s="331"/>
      <c r="O31" s="331"/>
      <c r="P31" s="331"/>
      <c r="Q31" s="331"/>
      <c r="R31" s="331"/>
      <c r="S31" s="331"/>
      <c r="T31" s="331"/>
      <c r="U31" s="402"/>
      <c r="V31" s="402"/>
      <c r="W31" s="402"/>
      <c r="X31" s="402"/>
      <c r="Y31" s="17"/>
      <c r="Z31" s="17"/>
      <c r="AA31" s="8"/>
      <c r="AB31" s="27"/>
      <c r="AC31" s="181"/>
      <c r="AD31" s="117"/>
      <c r="AE31" s="19"/>
      <c r="AG31" s="19"/>
    </row>
    <row r="32" spans="1:33" ht="14.25" customHeight="1">
      <c r="A32" s="8"/>
      <c r="B32" s="15"/>
      <c r="C32" s="331"/>
      <c r="D32" s="410">
        <f>VLOOKUP(AC9,AHU_Zones,4,FALSE)</f>
        <v>0</v>
      </c>
      <c r="E32" s="331"/>
      <c r="F32" s="331"/>
      <c r="G32" s="331"/>
      <c r="H32" s="331"/>
      <c r="I32" s="331"/>
      <c r="J32" s="331"/>
      <c r="K32" s="331"/>
      <c r="L32" s="331"/>
      <c r="M32" s="331"/>
      <c r="N32" s="331"/>
      <c r="O32" s="331"/>
      <c r="P32" s="331"/>
      <c r="Q32" s="331"/>
      <c r="R32" s="331"/>
      <c r="S32" s="331"/>
      <c r="T32" s="331"/>
      <c r="U32" s="402"/>
      <c r="V32" s="402"/>
      <c r="W32" s="402"/>
      <c r="X32" s="402"/>
      <c r="Y32" s="17"/>
      <c r="Z32" s="17"/>
      <c r="AA32" s="8"/>
      <c r="AB32" s="27"/>
      <c r="AC32" s="181"/>
      <c r="AD32" s="117"/>
      <c r="AE32" s="19"/>
      <c r="AG32" s="19"/>
    </row>
    <row r="33" spans="1:33" ht="14.25" customHeight="1">
      <c r="A33" s="8"/>
      <c r="B33" s="34"/>
      <c r="C33" s="34"/>
      <c r="D33" s="190">
        <f>VLOOKUP(AC9,AHU_Zones,5,FALSE)</f>
        <v>0</v>
      </c>
      <c r="E33" s="34"/>
      <c r="F33" s="34"/>
      <c r="G33" s="34"/>
      <c r="H33" s="34"/>
      <c r="I33" s="34"/>
      <c r="J33" s="34"/>
      <c r="K33" s="34"/>
      <c r="L33" s="34"/>
      <c r="M33" s="34"/>
      <c r="N33" s="34"/>
      <c r="O33" s="34"/>
      <c r="P33" s="34"/>
      <c r="Q33" s="34"/>
      <c r="R33" s="34"/>
      <c r="S33" s="34"/>
      <c r="T33" s="34"/>
      <c r="U33" s="28"/>
      <c r="V33" s="33"/>
      <c r="W33" s="28"/>
      <c r="X33" s="35"/>
      <c r="Y33" s="35"/>
      <c r="Z33" s="32"/>
      <c r="AA33" s="35"/>
      <c r="AB33" s="27"/>
      <c r="AC33" s="181"/>
      <c r="AD33" s="117"/>
      <c r="AE33" s="19"/>
      <c r="AG33" s="19"/>
    </row>
    <row r="34" spans="1:33" ht="14.25" customHeight="1">
      <c r="A34" s="8"/>
      <c r="B34" s="34"/>
      <c r="C34" s="35"/>
      <c r="D34" s="190">
        <f>VLOOKUP(AC9,AHU_Zones,6,FALSE)</f>
        <v>0</v>
      </c>
      <c r="E34" s="35"/>
      <c r="F34" s="35"/>
      <c r="G34" s="35"/>
      <c r="H34" s="35"/>
      <c r="I34" s="35"/>
      <c r="J34" s="35"/>
      <c r="K34" s="35"/>
      <c r="L34" s="35"/>
      <c r="M34" s="35"/>
      <c r="N34" s="35"/>
      <c r="O34" s="35"/>
      <c r="P34" s="35"/>
      <c r="Q34" s="35"/>
      <c r="R34" s="35"/>
      <c r="S34" s="35"/>
      <c r="T34" s="35"/>
      <c r="U34" s="35"/>
      <c r="V34" s="35"/>
      <c r="W34" s="35"/>
      <c r="X34" s="35"/>
      <c r="Y34" s="35"/>
      <c r="Z34" s="32"/>
      <c r="AA34" s="35"/>
      <c r="AB34" s="27"/>
      <c r="AC34" s="181"/>
      <c r="AD34" s="117"/>
      <c r="AE34" s="19"/>
      <c r="AG34" s="19"/>
    </row>
    <row r="35" spans="1:33" ht="14.25" customHeight="1">
      <c r="A35" s="8"/>
      <c r="B35" s="34"/>
      <c r="C35" s="35"/>
      <c r="D35" s="190">
        <f>VLOOKUP(AC9,AHU_Zones,7,FALSE)</f>
        <v>0</v>
      </c>
      <c r="E35" s="35"/>
      <c r="F35" s="35"/>
      <c r="G35" s="35"/>
      <c r="H35" s="35"/>
      <c r="I35" s="35"/>
      <c r="J35" s="35"/>
      <c r="K35" s="35"/>
      <c r="L35" s="35"/>
      <c r="M35" s="143"/>
      <c r="N35" s="35"/>
      <c r="O35" s="35"/>
      <c r="P35" s="35"/>
      <c r="Q35" s="35"/>
      <c r="R35" s="35"/>
      <c r="S35" s="35"/>
      <c r="T35" s="35"/>
      <c r="U35" s="35"/>
      <c r="V35" s="35"/>
      <c r="W35" s="35"/>
      <c r="X35" s="35"/>
      <c r="Y35" s="35"/>
      <c r="Z35" s="32"/>
      <c r="AA35" s="35"/>
      <c r="AB35" s="27"/>
      <c r="AC35" s="181"/>
      <c r="AD35" s="117"/>
      <c r="AE35" s="19"/>
      <c r="AG35" s="19"/>
    </row>
    <row r="36" spans="1:33" ht="14.25" customHeight="1">
      <c r="A36" s="8"/>
      <c r="B36" s="8"/>
      <c r="C36" s="8"/>
      <c r="D36" s="190">
        <f>VLOOKUP(AC9,AHU_Zones,8,FALSE)</f>
        <v>0</v>
      </c>
      <c r="E36" s="8"/>
      <c r="F36" s="8"/>
      <c r="G36" s="8"/>
      <c r="H36" s="8"/>
      <c r="I36" s="8"/>
      <c r="J36" s="8"/>
      <c r="K36" s="8"/>
      <c r="L36" s="8"/>
      <c r="M36" s="8"/>
      <c r="N36" s="8"/>
      <c r="O36" s="8"/>
      <c r="P36" s="8"/>
      <c r="Q36" s="8"/>
      <c r="R36" s="8"/>
      <c r="S36" s="8"/>
      <c r="T36" s="8"/>
      <c r="U36" s="8"/>
      <c r="V36" s="8"/>
      <c r="W36" s="8"/>
      <c r="X36" s="8"/>
      <c r="Y36" s="8"/>
      <c r="Z36" s="8"/>
      <c r="AA36" s="8"/>
      <c r="AB36" s="27"/>
      <c r="AC36" s="181"/>
      <c r="AD36" s="117"/>
      <c r="AE36" s="19"/>
      <c r="AG36" s="19"/>
    </row>
    <row r="37" spans="1:33" ht="18" customHeight="1">
      <c r="A37" s="8"/>
      <c r="B37" s="6"/>
      <c r="C37" s="13"/>
      <c r="D37" s="8"/>
      <c r="E37" s="8"/>
      <c r="G37" s="8"/>
      <c r="H37" s="13"/>
      <c r="I37" s="8"/>
      <c r="J37" s="7"/>
      <c r="K37" s="8"/>
      <c r="L37" s="8"/>
      <c r="M37" s="8"/>
      <c r="N37" s="146"/>
      <c r="O37" s="8"/>
      <c r="P37" s="146"/>
      <c r="Q37" s="8"/>
      <c r="R37" s="8"/>
      <c r="S37" s="8"/>
      <c r="T37" s="180"/>
      <c r="U37" s="8"/>
      <c r="V37" s="8"/>
      <c r="W37" s="8"/>
      <c r="X37" s="8"/>
      <c r="Y37" s="8"/>
      <c r="AA37" s="8"/>
      <c r="AB37" s="27"/>
      <c r="AC37" s="181"/>
      <c r="AD37" s="117"/>
      <c r="AE37" s="19"/>
      <c r="AG37" s="19"/>
    </row>
    <row r="38" spans="1:33" ht="18" customHeight="1">
      <c r="A38" s="8"/>
      <c r="B38" s="6"/>
      <c r="C38" s="13"/>
      <c r="D38" s="8"/>
      <c r="E38" s="8"/>
      <c r="G38" s="8"/>
      <c r="H38" s="13"/>
      <c r="I38" s="8"/>
      <c r="J38" s="7"/>
      <c r="K38" s="8"/>
      <c r="L38" s="8"/>
      <c r="M38" s="8"/>
      <c r="N38" s="146"/>
      <c r="O38" s="8"/>
      <c r="P38" s="146"/>
      <c r="Q38" s="8"/>
      <c r="R38" s="8"/>
      <c r="S38" s="8"/>
      <c r="T38" s="180"/>
      <c r="U38" s="8"/>
      <c r="V38" s="8"/>
      <c r="W38" s="8"/>
      <c r="X38" s="8"/>
      <c r="Y38" s="8"/>
      <c r="Z38" s="8"/>
      <c r="AA38" s="8"/>
      <c r="AB38" s="27"/>
      <c r="AC38" s="181"/>
      <c r="AD38" s="117"/>
    </row>
    <row r="39" spans="1:33" ht="18" customHeight="1">
      <c r="A39" s="8"/>
      <c r="B39" s="6"/>
      <c r="C39" s="13"/>
      <c r="D39" s="8"/>
      <c r="E39" s="8"/>
      <c r="G39" s="8"/>
      <c r="H39" s="13"/>
      <c r="I39" s="8"/>
      <c r="J39" s="7"/>
      <c r="K39" s="8"/>
      <c r="L39" s="8"/>
      <c r="M39" s="8"/>
      <c r="N39" s="146"/>
      <c r="O39" s="8"/>
      <c r="P39" s="8"/>
      <c r="Q39" s="8"/>
      <c r="R39" s="8"/>
      <c r="S39" s="8"/>
      <c r="T39" s="180"/>
      <c r="U39" s="8"/>
      <c r="V39" s="8"/>
      <c r="W39" s="8"/>
      <c r="X39" s="8"/>
      <c r="Y39" s="8"/>
      <c r="Z39" s="8"/>
      <c r="AA39" s="8"/>
      <c r="AB39" s="27"/>
      <c r="AC39" s="181"/>
      <c r="AD39" s="117"/>
    </row>
    <row r="40" spans="1:33" ht="18" customHeight="1">
      <c r="A40" s="8"/>
      <c r="B40" s="8"/>
      <c r="C40" s="8"/>
      <c r="D40" s="8"/>
      <c r="E40" s="8"/>
      <c r="G40" s="8"/>
      <c r="H40" s="13"/>
      <c r="I40" s="8"/>
      <c r="J40" s="8"/>
      <c r="K40" s="8"/>
      <c r="L40" s="8"/>
      <c r="M40" s="8"/>
      <c r="N40" s="146"/>
      <c r="O40" s="8"/>
      <c r="P40" s="8"/>
      <c r="Q40" s="8"/>
      <c r="R40" s="8"/>
      <c r="S40" s="8"/>
      <c r="T40" s="180"/>
      <c r="U40" s="8"/>
      <c r="V40" s="8"/>
      <c r="W40" s="8"/>
      <c r="X40" s="8"/>
      <c r="Y40" s="8"/>
      <c r="Z40" s="8"/>
      <c r="AA40" s="8"/>
      <c r="AB40" s="27"/>
      <c r="AC40" s="183"/>
      <c r="AD40" s="117"/>
    </row>
    <row r="41" spans="1:33" ht="18" customHeight="1">
      <c r="A41" s="8"/>
      <c r="C41" s="8"/>
      <c r="D41" s="8"/>
      <c r="E41" s="8"/>
      <c r="G41" s="15"/>
      <c r="H41" s="13"/>
      <c r="I41" s="15"/>
      <c r="J41" s="15"/>
      <c r="K41" s="15"/>
      <c r="L41" s="15"/>
      <c r="M41" s="15"/>
      <c r="N41" s="146"/>
      <c r="O41" s="15"/>
      <c r="P41" s="8"/>
      <c r="Q41" s="15"/>
      <c r="R41" s="15"/>
      <c r="S41" s="15"/>
      <c r="T41" s="180"/>
      <c r="U41" s="15"/>
      <c r="V41" s="15"/>
      <c r="W41" s="15"/>
      <c r="X41" s="15"/>
      <c r="Y41" s="15"/>
      <c r="Z41" s="8"/>
      <c r="AA41" s="8"/>
      <c r="AB41" s="27"/>
      <c r="AC41" s="181"/>
      <c r="AD41" s="117"/>
    </row>
    <row r="42" spans="1:33" ht="18" customHeight="1">
      <c r="A42" s="8"/>
      <c r="B42" s="8">
        <v>0</v>
      </c>
      <c r="C42" s="8"/>
      <c r="D42" s="8"/>
      <c r="E42" s="8"/>
      <c r="G42" s="28"/>
      <c r="H42" s="13"/>
      <c r="I42" s="28"/>
      <c r="J42" s="28"/>
      <c r="K42" s="28"/>
      <c r="L42" s="28"/>
      <c r="M42" s="28"/>
      <c r="N42" s="146"/>
      <c r="O42" s="8"/>
      <c r="P42" s="8"/>
      <c r="Q42" s="28"/>
      <c r="R42" s="28"/>
      <c r="S42" s="28"/>
      <c r="T42" s="180"/>
      <c r="U42" s="28"/>
      <c r="V42" s="28"/>
      <c r="W42" s="28"/>
      <c r="X42" s="28"/>
      <c r="Y42" s="28"/>
      <c r="Z42" s="8"/>
      <c r="AA42" s="8"/>
      <c r="AB42" s="27"/>
      <c r="AC42" s="183"/>
      <c r="AD42" s="117"/>
    </row>
  </sheetData>
  <mergeCells count="4">
    <mergeCell ref="C2:E2"/>
    <mergeCell ref="M11:N11"/>
    <mergeCell ref="O11:P11"/>
    <mergeCell ref="S11:T11"/>
  </mergeCells>
  <pageMargins left="0" right="0" top="0" bottom="0" header="0" footer="0"/>
  <pageSetup paperSize="9" orientation="landscape" r:id="rId1"/>
  <colBreaks count="1" manualBreakCount="1">
    <brk id="28" max="1048575" man="1"/>
  </colBreaks>
  <drawing r:id="rId2"/>
  <legacyDrawing r:id="rId3"/>
  <controls>
    <mc:AlternateContent xmlns:mc="http://schemas.openxmlformats.org/markup-compatibility/2006">
      <mc:Choice Requires="x14">
        <control shapeId="56322" r:id="rId4" name="CommandButton2">
          <controlPr defaultSize="0" autoLine="0" r:id="rId5">
            <anchor moveWithCells="1" sizeWithCells="1">
              <from>
                <xdr:col>28</xdr:col>
                <xdr:colOff>22860</xdr:colOff>
                <xdr:row>4</xdr:row>
                <xdr:rowOff>7620</xdr:rowOff>
              </from>
              <to>
                <xdr:col>28</xdr:col>
                <xdr:colOff>1569720</xdr:colOff>
                <xdr:row>5</xdr:row>
                <xdr:rowOff>152400</xdr:rowOff>
              </to>
            </anchor>
          </controlPr>
        </control>
      </mc:Choice>
      <mc:Fallback>
        <control shapeId="56322" r:id="rId4" name="CommandButton2"/>
      </mc:Fallback>
    </mc:AlternateContent>
  </control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CE893"/>
  <sheetViews>
    <sheetView workbookViewId="0">
      <selection activeCell="A13" sqref="A13"/>
    </sheetView>
  </sheetViews>
  <sheetFormatPr defaultColWidth="18.77734375" defaultRowHeight="12.75" customHeight="1"/>
  <cols>
    <col min="1" max="1" width="23.109375" bestFit="1" customWidth="1"/>
    <col min="2" max="8" width="8.88671875" customWidth="1"/>
    <col min="9" max="9" width="14" customWidth="1"/>
    <col min="10" max="14" width="8.88671875" customWidth="1"/>
    <col min="15" max="15" width="17.33203125" customWidth="1"/>
    <col min="16" max="16" width="16.88671875" customWidth="1"/>
    <col min="17" max="20" width="15.6640625" bestFit="1" customWidth="1"/>
    <col min="21" max="22" width="8.88671875" customWidth="1"/>
    <col min="23" max="23" width="17.6640625" customWidth="1"/>
    <col min="24" max="69" width="8.88671875" customWidth="1"/>
  </cols>
  <sheetData>
    <row r="1" spans="1:83" s="115" customFormat="1" ht="72">
      <c r="A1" s="115" t="s">
        <v>458</v>
      </c>
      <c r="B1" s="115" t="s">
        <v>457</v>
      </c>
      <c r="C1" s="115" t="s">
        <v>456</v>
      </c>
      <c r="D1" s="115" t="s">
        <v>592</v>
      </c>
      <c r="E1" s="115" t="s">
        <v>593</v>
      </c>
      <c r="F1" s="115" t="s">
        <v>531</v>
      </c>
      <c r="G1" s="115" t="s">
        <v>532</v>
      </c>
      <c r="H1" s="115" t="s">
        <v>533</v>
      </c>
      <c r="I1" s="115" t="s">
        <v>534</v>
      </c>
      <c r="J1" s="115" t="s">
        <v>535</v>
      </c>
      <c r="K1" s="115" t="s">
        <v>536</v>
      </c>
      <c r="L1" s="115" t="s">
        <v>555</v>
      </c>
      <c r="M1" s="115" t="s">
        <v>477</v>
      </c>
      <c r="N1" s="115" t="s">
        <v>547</v>
      </c>
      <c r="O1" s="115" t="s">
        <v>480</v>
      </c>
      <c r="P1" s="115" t="s">
        <v>481</v>
      </c>
      <c r="Q1" s="115" t="s">
        <v>482</v>
      </c>
      <c r="R1" s="115" t="s">
        <v>548</v>
      </c>
      <c r="S1" s="115" t="s">
        <v>549</v>
      </c>
      <c r="T1" s="115" t="s">
        <v>550</v>
      </c>
      <c r="U1" s="115" t="s">
        <v>551</v>
      </c>
      <c r="V1" s="115" t="s">
        <v>552</v>
      </c>
      <c r="W1" s="115" t="s">
        <v>553</v>
      </c>
      <c r="X1" s="115" t="s">
        <v>554</v>
      </c>
      <c r="Y1" s="115" t="s">
        <v>537</v>
      </c>
      <c r="Z1" s="115" t="s">
        <v>538</v>
      </c>
      <c r="AA1" s="115" t="s">
        <v>539</v>
      </c>
      <c r="AB1" s="115" t="s">
        <v>540</v>
      </c>
      <c r="AC1" s="115" t="s">
        <v>574</v>
      </c>
      <c r="AD1" s="115" t="s">
        <v>575</v>
      </c>
      <c r="AE1" s="115" t="s">
        <v>570</v>
      </c>
      <c r="AF1" s="115" t="s">
        <v>571</v>
      </c>
      <c r="AG1" s="115" t="s">
        <v>572</v>
      </c>
      <c r="AH1" s="115" t="s">
        <v>580</v>
      </c>
      <c r="AI1" s="115" t="s">
        <v>581</v>
      </c>
      <c r="AJ1" s="115" t="s">
        <v>582</v>
      </c>
      <c r="AK1" s="115" t="s">
        <v>583</v>
      </c>
      <c r="AL1" s="115" t="s">
        <v>584</v>
      </c>
      <c r="AM1" s="115" t="s">
        <v>585</v>
      </c>
      <c r="AN1" s="115" t="s">
        <v>591</v>
      </c>
      <c r="AO1" s="115" t="s">
        <v>578</v>
      </c>
      <c r="AP1" s="115" t="s">
        <v>579</v>
      </c>
      <c r="AQ1" s="115" t="s">
        <v>573</v>
      </c>
      <c r="AR1" s="115" t="s">
        <v>476</v>
      </c>
      <c r="AS1" s="115" t="s">
        <v>543</v>
      </c>
      <c r="AT1" s="115" t="s">
        <v>544</v>
      </c>
      <c r="AU1" s="115" t="s">
        <v>545</v>
      </c>
      <c r="AV1" s="115" t="s">
        <v>577</v>
      </c>
      <c r="AW1" s="115" t="s">
        <v>546</v>
      </c>
      <c r="AX1" s="115" t="s">
        <v>557</v>
      </c>
      <c r="AY1" s="115" t="s">
        <v>558</v>
      </c>
      <c r="AZ1" s="115" t="s">
        <v>559</v>
      </c>
      <c r="BA1" s="115" t="s">
        <v>560</v>
      </c>
      <c r="BB1" s="115" t="s">
        <v>561</v>
      </c>
      <c r="BC1" s="115" t="s">
        <v>562</v>
      </c>
      <c r="BD1" s="115" t="s">
        <v>563</v>
      </c>
      <c r="BE1" s="115" t="s">
        <v>564</v>
      </c>
      <c r="BF1" s="115" t="s">
        <v>565</v>
      </c>
      <c r="BG1" s="115" t="s">
        <v>566</v>
      </c>
      <c r="BH1" s="115" t="s">
        <v>567</v>
      </c>
      <c r="BI1" s="115" t="s">
        <v>471</v>
      </c>
      <c r="BJ1" s="115" t="s">
        <v>568</v>
      </c>
      <c r="BK1" s="115" t="s">
        <v>478</v>
      </c>
      <c r="BL1" s="115" t="s">
        <v>569</v>
      </c>
      <c r="BM1" s="115" t="s">
        <v>541</v>
      </c>
      <c r="BN1" s="115" t="s">
        <v>542</v>
      </c>
      <c r="BO1" s="115" t="s">
        <v>483</v>
      </c>
      <c r="BP1" s="115" t="s">
        <v>576</v>
      </c>
      <c r="BQ1" s="115" t="s">
        <v>556</v>
      </c>
      <c r="BR1" s="115" t="s">
        <v>594</v>
      </c>
      <c r="BS1" s="115" t="s">
        <v>595</v>
      </c>
      <c r="BT1" s="115" t="s">
        <v>596</v>
      </c>
      <c r="BU1" s="115" t="s">
        <v>597</v>
      </c>
      <c r="BV1" s="115" t="s">
        <v>598</v>
      </c>
      <c r="BW1" s="115" t="s">
        <v>599</v>
      </c>
      <c r="BX1" s="115" t="s">
        <v>600</v>
      </c>
      <c r="BY1" s="115" t="s">
        <v>601</v>
      </c>
      <c r="BZ1" s="115" t="s">
        <v>602</v>
      </c>
      <c r="CA1" s="115" t="s">
        <v>603</v>
      </c>
      <c r="CB1" s="115" t="s">
        <v>604</v>
      </c>
      <c r="CC1" s="115" t="s">
        <v>605</v>
      </c>
      <c r="CD1" s="115" t="s">
        <v>606</v>
      </c>
      <c r="CE1" s="115" t="s">
        <v>607</v>
      </c>
    </row>
    <row r="2" spans="1:83" ht="14.4">
      <c r="A2" s="464">
        <v>0</v>
      </c>
      <c r="B2" s="464">
        <v>1</v>
      </c>
      <c r="C2" s="464">
        <v>2</v>
      </c>
      <c r="D2" s="464">
        <v>3</v>
      </c>
      <c r="E2" s="464">
        <v>4</v>
      </c>
      <c r="F2" s="464">
        <v>5</v>
      </c>
      <c r="G2" s="464">
        <v>6</v>
      </c>
      <c r="H2" s="464">
        <v>7</v>
      </c>
      <c r="I2" s="464">
        <v>8</v>
      </c>
      <c r="J2" s="464">
        <v>9</v>
      </c>
      <c r="K2" s="464">
        <v>10</v>
      </c>
      <c r="L2" s="464">
        <v>11</v>
      </c>
      <c r="M2" s="464">
        <v>12</v>
      </c>
      <c r="N2" s="464">
        <v>13</v>
      </c>
      <c r="O2" s="464">
        <v>14</v>
      </c>
      <c r="P2" s="464">
        <v>15</v>
      </c>
      <c r="Q2" s="464">
        <v>16</v>
      </c>
      <c r="R2" s="464">
        <v>17</v>
      </c>
      <c r="S2" s="464">
        <v>18</v>
      </c>
      <c r="T2" s="464">
        <v>19</v>
      </c>
      <c r="U2" s="464">
        <v>20</v>
      </c>
      <c r="V2" s="464">
        <v>21</v>
      </c>
      <c r="W2" s="464">
        <v>22</v>
      </c>
      <c r="X2" s="464">
        <v>23</v>
      </c>
      <c r="Y2" s="464">
        <v>24</v>
      </c>
      <c r="Z2" s="464">
        <v>25</v>
      </c>
      <c r="AA2" s="464">
        <v>26</v>
      </c>
      <c r="AB2" s="464">
        <v>27</v>
      </c>
      <c r="AC2" s="464">
        <v>28</v>
      </c>
      <c r="AD2" s="464">
        <v>29</v>
      </c>
      <c r="AE2" s="464">
        <v>30</v>
      </c>
      <c r="AF2" s="464">
        <v>31</v>
      </c>
      <c r="AG2" s="464">
        <v>32</v>
      </c>
      <c r="AH2" s="464">
        <v>33</v>
      </c>
      <c r="AI2" s="464">
        <v>34</v>
      </c>
      <c r="AJ2" s="464">
        <v>35</v>
      </c>
      <c r="AK2" s="464">
        <v>36</v>
      </c>
      <c r="AL2" s="464">
        <v>37</v>
      </c>
      <c r="AM2" s="464">
        <v>38</v>
      </c>
      <c r="AN2" s="464">
        <v>39</v>
      </c>
      <c r="AO2" s="464">
        <v>40</v>
      </c>
      <c r="AP2" s="464">
        <v>41</v>
      </c>
      <c r="AQ2" s="464">
        <v>42</v>
      </c>
      <c r="AR2" s="464">
        <v>43</v>
      </c>
      <c r="AS2" s="464">
        <v>44</v>
      </c>
      <c r="AT2" s="464">
        <v>45</v>
      </c>
      <c r="AU2" s="464">
        <v>46</v>
      </c>
      <c r="AV2" s="464">
        <v>47</v>
      </c>
      <c r="AW2" s="464">
        <v>48</v>
      </c>
      <c r="AX2" s="464">
        <v>49</v>
      </c>
      <c r="AY2" s="464">
        <v>50</v>
      </c>
      <c r="AZ2" s="464">
        <v>51</v>
      </c>
      <c r="BA2" s="464">
        <v>52</v>
      </c>
      <c r="BB2" s="464">
        <v>53</v>
      </c>
      <c r="BC2" s="464">
        <v>54</v>
      </c>
      <c r="BD2" s="464">
        <v>55</v>
      </c>
      <c r="BE2" s="464">
        <v>56</v>
      </c>
      <c r="BF2" s="464">
        <v>57</v>
      </c>
      <c r="BG2" s="464">
        <v>58</v>
      </c>
      <c r="BH2" s="464">
        <v>59</v>
      </c>
      <c r="BI2" s="464">
        <v>60</v>
      </c>
      <c r="BJ2" s="464">
        <v>61</v>
      </c>
      <c r="BK2" s="464">
        <v>62</v>
      </c>
      <c r="BL2" s="464">
        <v>63</v>
      </c>
      <c r="BM2" s="464">
        <v>64</v>
      </c>
      <c r="BN2" s="464">
        <v>65</v>
      </c>
      <c r="BO2" s="464">
        <v>66</v>
      </c>
      <c r="BP2" s="464">
        <v>67</v>
      </c>
      <c r="BQ2" s="464">
        <v>68</v>
      </c>
      <c r="BR2">
        <v>69</v>
      </c>
      <c r="BS2">
        <v>70</v>
      </c>
      <c r="BT2">
        <v>71</v>
      </c>
      <c r="BU2">
        <v>72</v>
      </c>
      <c r="BV2">
        <v>73</v>
      </c>
      <c r="BW2">
        <v>74</v>
      </c>
      <c r="BX2">
        <v>75</v>
      </c>
      <c r="BY2">
        <v>76</v>
      </c>
      <c r="BZ2">
        <v>77</v>
      </c>
      <c r="CA2">
        <v>78</v>
      </c>
      <c r="CB2">
        <v>79</v>
      </c>
      <c r="CC2">
        <v>80</v>
      </c>
      <c r="CD2">
        <v>81</v>
      </c>
      <c r="CE2">
        <v>82</v>
      </c>
    </row>
    <row r="3" spans="1:83" ht="12.75" customHeight="1">
      <c r="A3" t="s">
        <v>859</v>
      </c>
      <c r="C3" t="s">
        <v>848</v>
      </c>
      <c r="D3">
        <v>1</v>
      </c>
      <c r="F3">
        <v>3.1638233647999998</v>
      </c>
      <c r="I3" t="s">
        <v>814</v>
      </c>
      <c r="J3" t="s">
        <v>815</v>
      </c>
      <c r="K3" t="s">
        <v>816</v>
      </c>
      <c r="L3">
        <v>0.2</v>
      </c>
      <c r="N3">
        <v>500</v>
      </c>
      <c r="R3">
        <v>23.728675842285156</v>
      </c>
      <c r="S3">
        <v>4238</v>
      </c>
      <c r="T3">
        <v>71.186027526855469</v>
      </c>
      <c r="V3" t="s">
        <v>817</v>
      </c>
      <c r="W3" s="514">
        <v>44697.359722222223</v>
      </c>
      <c r="X3">
        <v>96.527984619140625</v>
      </c>
      <c r="Y3" t="s">
        <v>189</v>
      </c>
      <c r="AF3">
        <v>1.9434530287981033E-2</v>
      </c>
      <c r="AG3" t="s">
        <v>860</v>
      </c>
      <c r="AN3">
        <v>13</v>
      </c>
      <c r="AO3">
        <v>0</v>
      </c>
      <c r="AP3">
        <v>0</v>
      </c>
      <c r="AQ3">
        <v>0</v>
      </c>
      <c r="AS3">
        <v>20</v>
      </c>
      <c r="AT3">
        <v>9.9999997444926283</v>
      </c>
      <c r="AU3">
        <v>8</v>
      </c>
      <c r="AV3">
        <v>-6.1534227283761469</v>
      </c>
      <c r="AW3">
        <v>49.390063871209406</v>
      </c>
      <c r="AX3">
        <v>2990.5751953125</v>
      </c>
      <c r="AY3">
        <v>189.82940673828125</v>
      </c>
      <c r="AZ3">
        <v>31.961759567260742</v>
      </c>
      <c r="BA3">
        <v>0</v>
      </c>
      <c r="BB3">
        <v>-146.0125732421875</v>
      </c>
      <c r="BC3">
        <v>-33.84173583984375</v>
      </c>
      <c r="BD3">
        <v>-843.1353759765625</v>
      </c>
      <c r="BE3">
        <v>237.28675842285156</v>
      </c>
      <c r="BF3">
        <v>474.57351684570313</v>
      </c>
      <c r="BG3">
        <v>0</v>
      </c>
      <c r="BH3">
        <v>174.01028442382813</v>
      </c>
      <c r="BI3">
        <v>1172.0096435546875</v>
      </c>
      <c r="BJ3">
        <v>1171.9608154296875</v>
      </c>
      <c r="BK3">
        <v>2901.335205078125</v>
      </c>
      <c r="BL3">
        <v>2901.234375</v>
      </c>
      <c r="BM3">
        <v>21</v>
      </c>
      <c r="BN3">
        <v>30.63140869140625</v>
      </c>
      <c r="BP3">
        <v>21</v>
      </c>
      <c r="BQ3">
        <v>25</v>
      </c>
      <c r="BR3">
        <v>-123.97287750244141</v>
      </c>
      <c r="BS3">
        <v>0</v>
      </c>
      <c r="BT3">
        <v>29.2236328125</v>
      </c>
      <c r="BU3">
        <v>-857.46295166015625</v>
      </c>
      <c r="BV3">
        <v>-219.74920654296875</v>
      </c>
      <c r="BW3" t="s">
        <v>615</v>
      </c>
      <c r="BX3">
        <v>21</v>
      </c>
      <c r="BY3">
        <v>18.690338134765625</v>
      </c>
      <c r="CB3">
        <v>24.390819549560547</v>
      </c>
      <c r="CC3">
        <v>0</v>
      </c>
      <c r="CD3" t="s">
        <v>861</v>
      </c>
      <c r="CE3" t="s">
        <v>862</v>
      </c>
    </row>
    <row r="4" spans="1:83" ht="12.75" customHeight="1">
      <c r="A4" t="s">
        <v>863</v>
      </c>
      <c r="C4" t="s">
        <v>848</v>
      </c>
      <c r="D4">
        <v>2</v>
      </c>
      <c r="F4">
        <v>3.2361766352000001</v>
      </c>
      <c r="I4" t="s">
        <v>814</v>
      </c>
      <c r="J4" t="s">
        <v>815</v>
      </c>
      <c r="K4" t="s">
        <v>816</v>
      </c>
      <c r="L4">
        <v>0.2</v>
      </c>
      <c r="N4">
        <v>500</v>
      </c>
      <c r="R4">
        <v>24.271324157714844</v>
      </c>
      <c r="S4">
        <v>4240</v>
      </c>
      <c r="T4">
        <v>72.813972473144531</v>
      </c>
      <c r="V4" t="s">
        <v>817</v>
      </c>
      <c r="W4" s="514">
        <v>44697.359722222223</v>
      </c>
      <c r="X4">
        <v>100</v>
      </c>
      <c r="Y4" t="s">
        <v>189</v>
      </c>
      <c r="AF4">
        <v>2.0156227052211761E-2</v>
      </c>
      <c r="AG4" t="s">
        <v>860</v>
      </c>
      <c r="AN4">
        <v>13</v>
      </c>
      <c r="AO4">
        <v>0</v>
      </c>
      <c r="AP4">
        <v>0</v>
      </c>
      <c r="AQ4">
        <v>0</v>
      </c>
      <c r="AS4">
        <v>20</v>
      </c>
      <c r="AT4">
        <v>10.000000249794843</v>
      </c>
      <c r="AU4">
        <v>8</v>
      </c>
      <c r="AV4">
        <v>1.3246358160884999</v>
      </c>
      <c r="AW4">
        <v>38.629358961503364</v>
      </c>
      <c r="AX4">
        <v>1705.525390625</v>
      </c>
      <c r="AY4">
        <v>194.17059326171875</v>
      </c>
      <c r="AZ4">
        <v>29.720623016357422</v>
      </c>
      <c r="BA4">
        <v>0</v>
      </c>
      <c r="BB4">
        <v>32.150665283203125</v>
      </c>
      <c r="BC4">
        <v>2.5405731201171875</v>
      </c>
      <c r="BD4">
        <v>-548.4713134765625</v>
      </c>
      <c r="BE4">
        <v>242.71324157714844</v>
      </c>
      <c r="BF4">
        <v>485.42648315429688</v>
      </c>
      <c r="BG4">
        <v>0</v>
      </c>
      <c r="BH4">
        <v>177.98971557617188</v>
      </c>
      <c r="BI4">
        <v>937.62347412109375</v>
      </c>
      <c r="BJ4">
        <v>937.585693359375</v>
      </c>
      <c r="BK4">
        <v>2143.8662109375</v>
      </c>
      <c r="BL4">
        <v>2143.771728515625</v>
      </c>
      <c r="BM4">
        <v>21</v>
      </c>
      <c r="BN4">
        <v>28.59283447265625</v>
      </c>
      <c r="BP4">
        <v>21</v>
      </c>
      <c r="BQ4">
        <v>25</v>
      </c>
      <c r="BR4">
        <v>-126.80799865722656</v>
      </c>
      <c r="BS4">
        <v>0</v>
      </c>
      <c r="BT4">
        <v>-29.223388671875</v>
      </c>
      <c r="BU4">
        <v>-461.29132080078125</v>
      </c>
      <c r="BV4">
        <v>-320.25994873046875</v>
      </c>
      <c r="BW4" t="s">
        <v>615</v>
      </c>
      <c r="BX4">
        <v>21</v>
      </c>
      <c r="BY4">
        <v>19.106033325195313</v>
      </c>
      <c r="CB4">
        <v>24.999006271362305</v>
      </c>
      <c r="CC4">
        <v>0</v>
      </c>
      <c r="CD4" t="s">
        <v>861</v>
      </c>
      <c r="CE4" t="s">
        <v>862</v>
      </c>
    </row>
    <row r="5" spans="1:83" ht="12.75" customHeight="1">
      <c r="A5" t="s">
        <v>858</v>
      </c>
      <c r="D5">
        <v>3</v>
      </c>
      <c r="F5">
        <v>102.67111387449044</v>
      </c>
      <c r="I5" t="s">
        <v>814</v>
      </c>
      <c r="J5" t="s">
        <v>815</v>
      </c>
      <c r="K5" t="s">
        <v>816</v>
      </c>
      <c r="L5">
        <v>0.2</v>
      </c>
      <c r="N5">
        <v>500</v>
      </c>
      <c r="R5">
        <v>770.0333251953125</v>
      </c>
      <c r="S5">
        <v>4194</v>
      </c>
      <c r="T5">
        <v>2695.11669921875</v>
      </c>
      <c r="V5" t="s">
        <v>817</v>
      </c>
      <c r="W5" s="514">
        <v>44260.386608796296</v>
      </c>
      <c r="X5">
        <v>96.875373840332031</v>
      </c>
      <c r="Y5" t="s">
        <v>189</v>
      </c>
      <c r="AF5">
        <v>1.9510289654135704E-2</v>
      </c>
      <c r="AG5" t="s">
        <v>821</v>
      </c>
      <c r="AN5">
        <v>4745</v>
      </c>
      <c r="AS5">
        <v>20</v>
      </c>
      <c r="AT5">
        <v>9.9999999999999982</v>
      </c>
      <c r="AU5">
        <v>8</v>
      </c>
      <c r="AV5">
        <v>-2.3958633905258195</v>
      </c>
      <c r="AW5">
        <v>14.034702295282282</v>
      </c>
      <c r="AX5">
        <v>0</v>
      </c>
      <c r="AY5">
        <v>6160.2666015625</v>
      </c>
      <c r="AZ5">
        <v>274.4638671875</v>
      </c>
      <c r="BA5">
        <v>0</v>
      </c>
      <c r="BB5">
        <v>-1844.8946533203125</v>
      </c>
      <c r="BC5">
        <v>0</v>
      </c>
      <c r="BD5">
        <v>-699.654541015625</v>
      </c>
      <c r="BE5">
        <v>7700.3330078125</v>
      </c>
      <c r="BF5">
        <v>15400.666015625</v>
      </c>
      <c r="BG5">
        <v>0</v>
      </c>
      <c r="BH5">
        <v>5646.9111328125</v>
      </c>
      <c r="BI5">
        <v>10807.1884765625</v>
      </c>
      <c r="BJ5">
        <v>10807.1884765625</v>
      </c>
      <c r="BK5">
        <v>26991.107421875</v>
      </c>
      <c r="BL5">
        <v>26991.107421875</v>
      </c>
      <c r="BM5">
        <v>20.985149383544922</v>
      </c>
      <c r="BN5">
        <v>25.685165405273438</v>
      </c>
      <c r="BP5">
        <v>21</v>
      </c>
      <c r="BQ5">
        <v>25</v>
      </c>
      <c r="BR5">
        <v>-4397.56201171875</v>
      </c>
      <c r="BS5">
        <v>0</v>
      </c>
      <c r="BT5">
        <v>508.57058715820313</v>
      </c>
      <c r="BU5">
        <v>0</v>
      </c>
      <c r="BV5">
        <v>-6918.228515625</v>
      </c>
      <c r="BW5" t="s">
        <v>615</v>
      </c>
      <c r="BX5">
        <v>20.985149383544922</v>
      </c>
      <c r="BY5">
        <v>19.849828720092773</v>
      </c>
      <c r="CB5">
        <v>27.999168395996094</v>
      </c>
      <c r="CC5">
        <v>17.516929626464844</v>
      </c>
      <c r="CD5" t="s">
        <v>822</v>
      </c>
      <c r="CE5" t="s">
        <v>619</v>
      </c>
    </row>
    <row r="6" spans="1:83" ht="12.75" customHeight="1">
      <c r="A6" t="s">
        <v>855</v>
      </c>
      <c r="C6" t="s">
        <v>854</v>
      </c>
      <c r="D6">
        <v>4</v>
      </c>
      <c r="F6">
        <v>11.200000802780535</v>
      </c>
      <c r="G6" t="s">
        <v>812</v>
      </c>
      <c r="H6" t="s">
        <v>813</v>
      </c>
      <c r="I6" t="s">
        <v>814</v>
      </c>
      <c r="J6" t="s">
        <v>815</v>
      </c>
      <c r="K6" t="s">
        <v>816</v>
      </c>
      <c r="L6">
        <v>0.2</v>
      </c>
      <c r="N6">
        <v>500</v>
      </c>
      <c r="R6">
        <v>84.000007629394531</v>
      </c>
      <c r="S6">
        <v>4189</v>
      </c>
      <c r="T6">
        <v>336.00003051757813</v>
      </c>
      <c r="V6" t="s">
        <v>817</v>
      </c>
      <c r="W6" s="514">
        <v>44247.866469907407</v>
      </c>
      <c r="X6">
        <v>79.8955078125</v>
      </c>
      <c r="Y6" t="s">
        <v>189</v>
      </c>
      <c r="Z6" t="s">
        <v>818</v>
      </c>
      <c r="AA6" t="s">
        <v>819</v>
      </c>
      <c r="AB6" t="s">
        <v>820</v>
      </c>
      <c r="AF6">
        <v>1.6205364838242531E-2</v>
      </c>
      <c r="AG6" t="s">
        <v>821</v>
      </c>
      <c r="AN6">
        <v>4745</v>
      </c>
      <c r="AS6">
        <v>20</v>
      </c>
      <c r="AT6">
        <v>10.000000000000002</v>
      </c>
      <c r="AU6">
        <v>8</v>
      </c>
      <c r="AV6">
        <v>-1.9205347769115286</v>
      </c>
      <c r="AW6">
        <v>44.208672277480325</v>
      </c>
      <c r="AX6">
        <v>2777.512939453125</v>
      </c>
      <c r="AY6">
        <v>672.00006103515625</v>
      </c>
      <c r="AZ6">
        <v>-4.7810730934143066</v>
      </c>
      <c r="BA6">
        <v>0</v>
      </c>
      <c r="BB6">
        <v>-161.32493591308594</v>
      </c>
      <c r="BC6">
        <v>-60.373046875</v>
      </c>
      <c r="BD6">
        <v>-1764.927734375</v>
      </c>
      <c r="BE6">
        <v>840.00006103515625</v>
      </c>
      <c r="BF6">
        <v>1680.0001220703125</v>
      </c>
      <c r="BG6">
        <v>0</v>
      </c>
      <c r="BH6">
        <v>616.00006103515625</v>
      </c>
      <c r="BI6">
        <v>3713.52880859375</v>
      </c>
      <c r="BJ6">
        <v>3713.52880859375</v>
      </c>
      <c r="BK6">
        <v>3978.093505859375</v>
      </c>
      <c r="BL6">
        <v>3978.093505859375</v>
      </c>
      <c r="BM6">
        <v>20.996505737304688</v>
      </c>
      <c r="BN6">
        <v>27.065719604492188</v>
      </c>
      <c r="BP6">
        <v>21</v>
      </c>
      <c r="BQ6">
        <v>25</v>
      </c>
      <c r="BR6">
        <v>-548.5032958984375</v>
      </c>
      <c r="BS6">
        <v>0</v>
      </c>
      <c r="BT6">
        <v>168.57992553710938</v>
      </c>
      <c r="BU6">
        <v>-1034.7314453125</v>
      </c>
      <c r="BV6">
        <v>-2298.8701171875</v>
      </c>
      <c r="BW6" t="s">
        <v>615</v>
      </c>
      <c r="BX6">
        <v>20.996505737304688</v>
      </c>
      <c r="BY6">
        <v>18.287223815917969</v>
      </c>
      <c r="CB6">
        <v>27.999231338500977</v>
      </c>
      <c r="CC6">
        <v>16.000553131103516</v>
      </c>
      <c r="CD6" t="s">
        <v>822</v>
      </c>
      <c r="CE6" t="s">
        <v>823</v>
      </c>
    </row>
    <row r="7" spans="1:83" ht="12.75" customHeight="1">
      <c r="A7" t="s">
        <v>856</v>
      </c>
      <c r="C7" t="s">
        <v>854</v>
      </c>
      <c r="D7">
        <v>5</v>
      </c>
      <c r="F7">
        <v>11.200000802780531</v>
      </c>
      <c r="G7" t="s">
        <v>812</v>
      </c>
      <c r="H7" t="s">
        <v>813</v>
      </c>
      <c r="I7" t="s">
        <v>814</v>
      </c>
      <c r="J7" t="s">
        <v>815</v>
      </c>
      <c r="K7" t="s">
        <v>816</v>
      </c>
      <c r="L7">
        <v>0.2</v>
      </c>
      <c r="N7">
        <v>500</v>
      </c>
      <c r="R7">
        <v>84.000007629394531</v>
      </c>
      <c r="S7">
        <v>2150</v>
      </c>
      <c r="T7">
        <v>336.00003051757813</v>
      </c>
      <c r="V7" t="s">
        <v>817</v>
      </c>
      <c r="W7" s="514">
        <v>44247.866493055553</v>
      </c>
      <c r="X7">
        <v>66.21075439453125</v>
      </c>
      <c r="Y7" t="s">
        <v>189</v>
      </c>
      <c r="Z7" t="s">
        <v>818</v>
      </c>
      <c r="AA7" t="s">
        <v>819</v>
      </c>
      <c r="AB7" t="s">
        <v>820</v>
      </c>
      <c r="AF7">
        <v>1.3457486405968666E-2</v>
      </c>
      <c r="AG7" t="s">
        <v>821</v>
      </c>
      <c r="AN7">
        <v>4745</v>
      </c>
      <c r="AS7">
        <v>20</v>
      </c>
      <c r="AT7">
        <v>10.000000000000002</v>
      </c>
      <c r="AU7">
        <v>8</v>
      </c>
      <c r="AV7">
        <v>-11.797835232159276</v>
      </c>
      <c r="AW7">
        <v>44.208666464608832</v>
      </c>
      <c r="AX7">
        <v>7893.07080078125</v>
      </c>
      <c r="AY7">
        <v>672.00006103515625</v>
      </c>
      <c r="AZ7">
        <v>-137.52430725097656</v>
      </c>
      <c r="BA7">
        <v>0</v>
      </c>
      <c r="BB7">
        <v>-991.01824951171875</v>
      </c>
      <c r="BC7">
        <v>-450.97314453125</v>
      </c>
      <c r="BD7">
        <v>-5165.0068359375</v>
      </c>
      <c r="BE7">
        <v>840.00006103515625</v>
      </c>
      <c r="BF7">
        <v>1680.0001220703125</v>
      </c>
      <c r="BG7">
        <v>0</v>
      </c>
      <c r="BH7">
        <v>616.00006103515625</v>
      </c>
      <c r="BI7">
        <v>3713.5283203125</v>
      </c>
      <c r="BJ7">
        <v>3713.5283203125</v>
      </c>
      <c r="BK7">
        <v>4340.5419921875</v>
      </c>
      <c r="BL7">
        <v>4340.5419921875</v>
      </c>
      <c r="BM7">
        <v>20.996505737304688</v>
      </c>
      <c r="BN7">
        <v>27.447265625</v>
      </c>
      <c r="BP7">
        <v>21</v>
      </c>
      <c r="BQ7">
        <v>25</v>
      </c>
      <c r="BR7">
        <v>-548.5032958984375</v>
      </c>
      <c r="BS7">
        <v>0</v>
      </c>
      <c r="BT7">
        <v>168.57803344726563</v>
      </c>
      <c r="BU7">
        <v>-1034.7314453125</v>
      </c>
      <c r="BV7">
        <v>-2298.87060546875</v>
      </c>
      <c r="BW7" t="s">
        <v>615</v>
      </c>
      <c r="BX7">
        <v>20.996505737304688</v>
      </c>
      <c r="BY7">
        <v>18.287223815917969</v>
      </c>
      <c r="CB7">
        <v>32.155937194824219</v>
      </c>
      <c r="CC7">
        <v>16.000581741333008</v>
      </c>
      <c r="CD7" t="s">
        <v>616</v>
      </c>
      <c r="CE7" t="s">
        <v>823</v>
      </c>
    </row>
    <row r="8" spans="1:83" ht="12.75" customHeight="1">
      <c r="A8" t="s">
        <v>811</v>
      </c>
      <c r="C8" t="s">
        <v>829</v>
      </c>
      <c r="D8">
        <v>6</v>
      </c>
      <c r="F8">
        <v>40.533333333333331</v>
      </c>
      <c r="G8" t="s">
        <v>812</v>
      </c>
      <c r="H8" t="s">
        <v>813</v>
      </c>
      <c r="I8" t="s">
        <v>814</v>
      </c>
      <c r="J8" t="s">
        <v>815</v>
      </c>
      <c r="K8" t="s">
        <v>816</v>
      </c>
      <c r="L8">
        <v>0.2</v>
      </c>
      <c r="N8">
        <v>500</v>
      </c>
      <c r="R8">
        <v>304</v>
      </c>
      <c r="S8">
        <v>4189</v>
      </c>
      <c r="T8">
        <v>1216</v>
      </c>
      <c r="V8" t="s">
        <v>817</v>
      </c>
      <c r="W8" s="514">
        <v>44247.865949074076</v>
      </c>
      <c r="X8">
        <v>80.74334716796875</v>
      </c>
      <c r="Y8" t="s">
        <v>189</v>
      </c>
      <c r="Z8" t="s">
        <v>818</v>
      </c>
      <c r="AA8" t="s">
        <v>819</v>
      </c>
      <c r="AB8" t="s">
        <v>820</v>
      </c>
      <c r="AF8">
        <v>1.6205362975597382E-2</v>
      </c>
      <c r="AG8" t="s">
        <v>821</v>
      </c>
      <c r="AN8">
        <v>4745</v>
      </c>
      <c r="AS8">
        <v>20</v>
      </c>
      <c r="AT8">
        <v>10</v>
      </c>
      <c r="AU8">
        <v>8</v>
      </c>
      <c r="AV8">
        <v>2.9890640660336145</v>
      </c>
      <c r="AW8">
        <v>11.607533505088405</v>
      </c>
      <c r="AX8">
        <v>0</v>
      </c>
      <c r="AY8">
        <v>2432</v>
      </c>
      <c r="AZ8">
        <v>-2.6321079730987549</v>
      </c>
      <c r="BA8">
        <v>0</v>
      </c>
      <c r="BB8">
        <v>908.67547607421875</v>
      </c>
      <c r="BC8">
        <v>0</v>
      </c>
      <c r="BD8">
        <v>-367.083984375</v>
      </c>
      <c r="BE8">
        <v>3040</v>
      </c>
      <c r="BF8">
        <v>6080</v>
      </c>
      <c r="BG8">
        <v>0</v>
      </c>
      <c r="BH8">
        <v>2229.33349609375</v>
      </c>
      <c r="BI8">
        <v>3528.690185546875</v>
      </c>
      <c r="BJ8">
        <v>3528.690185546875</v>
      </c>
      <c r="BK8">
        <v>12090.9716796875</v>
      </c>
      <c r="BL8">
        <v>12090.9716796875</v>
      </c>
      <c r="BM8">
        <v>20.977754592895508</v>
      </c>
      <c r="BN8">
        <v>26.120096206665039</v>
      </c>
      <c r="BP8">
        <v>21</v>
      </c>
      <c r="BQ8">
        <v>25</v>
      </c>
      <c r="BR8">
        <v>-1983.50830078125</v>
      </c>
      <c r="BS8">
        <v>0</v>
      </c>
      <c r="BT8">
        <v>-895.411376953125</v>
      </c>
      <c r="BU8">
        <v>0</v>
      </c>
      <c r="BV8">
        <v>-649.7626953125</v>
      </c>
      <c r="BW8" t="s">
        <v>615</v>
      </c>
      <c r="BX8">
        <v>20.977754592895508</v>
      </c>
      <c r="BY8">
        <v>20.331512451171875</v>
      </c>
      <c r="CB8">
        <v>27.999216079711914</v>
      </c>
      <c r="CC8">
        <v>18.129573822021484</v>
      </c>
      <c r="CD8" t="s">
        <v>822</v>
      </c>
      <c r="CE8" t="s">
        <v>619</v>
      </c>
    </row>
    <row r="9" spans="1:83" ht="12.75" customHeight="1">
      <c r="A9" t="s">
        <v>824</v>
      </c>
      <c r="C9" t="s">
        <v>829</v>
      </c>
      <c r="D9">
        <v>7</v>
      </c>
      <c r="F9">
        <v>35.200000000000003</v>
      </c>
      <c r="G9" t="s">
        <v>812</v>
      </c>
      <c r="H9" t="s">
        <v>813</v>
      </c>
      <c r="I9" t="s">
        <v>814</v>
      </c>
      <c r="J9" t="s">
        <v>815</v>
      </c>
      <c r="K9" t="s">
        <v>816</v>
      </c>
      <c r="L9">
        <v>0.2</v>
      </c>
      <c r="N9">
        <v>500</v>
      </c>
      <c r="R9">
        <v>264</v>
      </c>
      <c r="S9">
        <v>4189</v>
      </c>
      <c r="T9">
        <v>1056</v>
      </c>
      <c r="V9" t="s">
        <v>817</v>
      </c>
      <c r="W9" s="514">
        <v>44247.865972222222</v>
      </c>
      <c r="X9">
        <v>79.684188842773438</v>
      </c>
      <c r="Y9" t="s">
        <v>189</v>
      </c>
      <c r="Z9" t="s">
        <v>818</v>
      </c>
      <c r="AA9" t="s">
        <v>819</v>
      </c>
      <c r="AB9" t="s">
        <v>820</v>
      </c>
      <c r="AF9">
        <v>1.6205361112952232E-2</v>
      </c>
      <c r="AG9" t="s">
        <v>821</v>
      </c>
      <c r="AN9">
        <v>4745</v>
      </c>
      <c r="AS9">
        <v>20</v>
      </c>
      <c r="AT9">
        <v>10</v>
      </c>
      <c r="AU9">
        <v>8</v>
      </c>
      <c r="AV9">
        <v>-9.7449544270833339</v>
      </c>
      <c r="AW9">
        <v>21.919661088423297</v>
      </c>
      <c r="AX9">
        <v>6954.1982421875</v>
      </c>
      <c r="AY9">
        <v>2112</v>
      </c>
      <c r="AZ9">
        <v>-18.225114822387695</v>
      </c>
      <c r="BA9">
        <v>0</v>
      </c>
      <c r="BB9">
        <v>-2572.66796875</v>
      </c>
      <c r="BC9">
        <v>-210.0849609375</v>
      </c>
      <c r="BD9">
        <v>-1233.1644287109375</v>
      </c>
      <c r="BE9">
        <v>2640</v>
      </c>
      <c r="BF9">
        <v>5280</v>
      </c>
      <c r="BG9">
        <v>0</v>
      </c>
      <c r="BH9">
        <v>1936</v>
      </c>
      <c r="BI9">
        <v>5786.79052734375</v>
      </c>
      <c r="BJ9">
        <v>5786.79052734375</v>
      </c>
      <c r="BK9">
        <v>12952.0830078125</v>
      </c>
      <c r="BL9">
        <v>12952.0830078125</v>
      </c>
      <c r="BM9">
        <v>20.981185913085938</v>
      </c>
      <c r="BN9">
        <v>27.398469924926758</v>
      </c>
      <c r="BP9">
        <v>21</v>
      </c>
      <c r="BQ9">
        <v>25</v>
      </c>
      <c r="BR9">
        <v>-1722.7669677734375</v>
      </c>
      <c r="BS9">
        <v>0</v>
      </c>
      <c r="BT9">
        <v>249.37921142578125</v>
      </c>
      <c r="BU9">
        <v>-2791.383056640625</v>
      </c>
      <c r="BV9">
        <v>-1522.009033203125</v>
      </c>
      <c r="BW9" t="s">
        <v>615</v>
      </c>
      <c r="BX9">
        <v>20.981185913085938</v>
      </c>
      <c r="BY9">
        <v>19.653160095214844</v>
      </c>
      <c r="CB9">
        <v>27.999195098876953</v>
      </c>
      <c r="CC9">
        <v>16.000982284545898</v>
      </c>
      <c r="CD9" t="s">
        <v>822</v>
      </c>
      <c r="CE9" t="s">
        <v>619</v>
      </c>
    </row>
    <row r="10" spans="1:83" ht="12.75" customHeight="1">
      <c r="A10" t="s">
        <v>825</v>
      </c>
      <c r="C10" t="s">
        <v>829</v>
      </c>
      <c r="D10">
        <v>8</v>
      </c>
      <c r="F10">
        <v>35.200000000000003</v>
      </c>
      <c r="G10" t="s">
        <v>812</v>
      </c>
      <c r="H10" t="s">
        <v>813</v>
      </c>
      <c r="I10" t="s">
        <v>814</v>
      </c>
      <c r="J10" t="s">
        <v>815</v>
      </c>
      <c r="K10" t="s">
        <v>816</v>
      </c>
      <c r="L10">
        <v>0.2</v>
      </c>
      <c r="N10">
        <v>500</v>
      </c>
      <c r="R10">
        <v>264</v>
      </c>
      <c r="S10">
        <v>3181</v>
      </c>
      <c r="T10">
        <v>1056</v>
      </c>
      <c r="V10" t="s">
        <v>817</v>
      </c>
      <c r="W10" s="514">
        <v>44247.865983796299</v>
      </c>
      <c r="X10">
        <v>83.434761047363281</v>
      </c>
      <c r="Y10" t="s">
        <v>189</v>
      </c>
      <c r="Z10" t="s">
        <v>818</v>
      </c>
      <c r="AA10" t="s">
        <v>819</v>
      </c>
      <c r="AB10" t="s">
        <v>820</v>
      </c>
      <c r="AF10">
        <v>1.6891501843929291E-2</v>
      </c>
      <c r="AG10" t="s">
        <v>821</v>
      </c>
      <c r="AN10">
        <v>4745</v>
      </c>
      <c r="AS10">
        <v>20</v>
      </c>
      <c r="AT10">
        <v>10</v>
      </c>
      <c r="AU10">
        <v>8</v>
      </c>
      <c r="AV10">
        <v>-16.979993415601324</v>
      </c>
      <c r="AW10">
        <v>21.919714725378789</v>
      </c>
      <c r="AX10">
        <v>10830.64453125</v>
      </c>
      <c r="AY10">
        <v>2112</v>
      </c>
      <c r="AZ10">
        <v>-248.52828979492188</v>
      </c>
      <c r="BA10">
        <v>0</v>
      </c>
      <c r="BB10">
        <v>-4482.71826171875</v>
      </c>
      <c r="BC10">
        <v>-212.595703125</v>
      </c>
      <c r="BD10">
        <v>-1847.6636962890625</v>
      </c>
      <c r="BE10">
        <v>2640</v>
      </c>
      <c r="BF10">
        <v>5280</v>
      </c>
      <c r="BG10">
        <v>0</v>
      </c>
      <c r="BH10">
        <v>1936</v>
      </c>
      <c r="BI10">
        <v>5786.8046875</v>
      </c>
      <c r="BJ10">
        <v>5786.8046875</v>
      </c>
      <c r="BK10">
        <v>14071.16015625</v>
      </c>
      <c r="BL10">
        <v>14071.16015625</v>
      </c>
      <c r="BM10">
        <v>20.981204986572266</v>
      </c>
      <c r="BN10">
        <v>27.661792755126953</v>
      </c>
      <c r="BP10">
        <v>21</v>
      </c>
      <c r="BQ10">
        <v>25</v>
      </c>
      <c r="BR10">
        <v>-1722.768310546875</v>
      </c>
      <c r="BS10">
        <v>0</v>
      </c>
      <c r="BT10">
        <v>249.37554931640625</v>
      </c>
      <c r="BU10">
        <v>-2791.384521484375</v>
      </c>
      <c r="BV10">
        <v>-1522.010986328125</v>
      </c>
      <c r="BW10" t="s">
        <v>615</v>
      </c>
      <c r="BX10">
        <v>20.981204986572266</v>
      </c>
      <c r="BY10">
        <v>19.653169631958008</v>
      </c>
      <c r="CB10">
        <v>27.999187469482422</v>
      </c>
      <c r="CC10">
        <v>16.275508880615234</v>
      </c>
      <c r="CD10" t="s">
        <v>822</v>
      </c>
      <c r="CE10" t="s">
        <v>823</v>
      </c>
    </row>
    <row r="11" spans="1:83" ht="12.75" customHeight="1">
      <c r="A11" t="s">
        <v>826</v>
      </c>
      <c r="C11" t="s">
        <v>829</v>
      </c>
      <c r="D11">
        <v>9</v>
      </c>
      <c r="F11">
        <v>11.2</v>
      </c>
      <c r="G11" t="s">
        <v>812</v>
      </c>
      <c r="H11" t="s">
        <v>813</v>
      </c>
      <c r="I11" t="s">
        <v>814</v>
      </c>
      <c r="J11" t="s">
        <v>815</v>
      </c>
      <c r="K11" t="s">
        <v>816</v>
      </c>
      <c r="L11">
        <v>0.2</v>
      </c>
      <c r="N11">
        <v>500</v>
      </c>
      <c r="R11">
        <v>84</v>
      </c>
      <c r="S11">
        <v>3201</v>
      </c>
      <c r="T11">
        <v>336</v>
      </c>
      <c r="V11" t="s">
        <v>817</v>
      </c>
      <c r="W11" s="514">
        <v>44247.866006944445</v>
      </c>
      <c r="X11">
        <v>62.160858154296875</v>
      </c>
      <c r="Y11" t="s">
        <v>189</v>
      </c>
      <c r="Z11" t="s">
        <v>818</v>
      </c>
      <c r="AA11" t="s">
        <v>819</v>
      </c>
      <c r="AB11" t="s">
        <v>820</v>
      </c>
      <c r="AF11">
        <v>1.3312509283423424E-2</v>
      </c>
      <c r="AG11" t="s">
        <v>821</v>
      </c>
      <c r="AN11">
        <v>4745</v>
      </c>
      <c r="AS11">
        <v>20</v>
      </c>
      <c r="AT11">
        <v>10</v>
      </c>
      <c r="AU11">
        <v>8</v>
      </c>
      <c r="AV11">
        <v>-31.659156436011905</v>
      </c>
      <c r="AW11">
        <v>26.790103004092263</v>
      </c>
      <c r="AX11">
        <v>6992.08642578125</v>
      </c>
      <c r="AY11">
        <v>672</v>
      </c>
      <c r="AZ11">
        <v>-141.78591918945313</v>
      </c>
      <c r="BA11">
        <v>0</v>
      </c>
      <c r="BB11">
        <v>-2659.369140625</v>
      </c>
      <c r="BC11">
        <v>-75.90234375</v>
      </c>
      <c r="BD11">
        <v>-1695.739013671875</v>
      </c>
      <c r="BE11">
        <v>840</v>
      </c>
      <c r="BF11">
        <v>1680</v>
      </c>
      <c r="BG11">
        <v>0</v>
      </c>
      <c r="BH11">
        <v>616</v>
      </c>
      <c r="BI11">
        <v>2250.36865234375</v>
      </c>
      <c r="BJ11">
        <v>2250.36865234375</v>
      </c>
      <c r="BK11">
        <v>5611.2900390625</v>
      </c>
      <c r="BL11">
        <v>5611.2900390625</v>
      </c>
      <c r="BM11">
        <v>20.981193542480469</v>
      </c>
      <c r="BN11">
        <v>29.222564697265625</v>
      </c>
      <c r="BP11">
        <v>21</v>
      </c>
      <c r="BQ11">
        <v>25</v>
      </c>
      <c r="BR11">
        <v>-548.15325927734375</v>
      </c>
      <c r="BS11">
        <v>0</v>
      </c>
      <c r="BT11">
        <v>151.840576171875</v>
      </c>
      <c r="BU11">
        <v>-1110.0614013671875</v>
      </c>
      <c r="BV11">
        <v>-743.99053955078125</v>
      </c>
      <c r="BW11" t="s">
        <v>615</v>
      </c>
      <c r="BX11">
        <v>20.981193542480469</v>
      </c>
      <c r="BY11">
        <v>19.543972015380859</v>
      </c>
      <c r="CB11">
        <v>28.146535873413086</v>
      </c>
      <c r="CC11">
        <v>16.000955581665039</v>
      </c>
      <c r="CD11" t="s">
        <v>857</v>
      </c>
      <c r="CE11" t="s">
        <v>823</v>
      </c>
    </row>
    <row r="12" spans="1:83" ht="12.75" customHeight="1">
      <c r="A12" t="s">
        <v>827</v>
      </c>
      <c r="C12" t="s">
        <v>829</v>
      </c>
      <c r="D12">
        <v>10</v>
      </c>
      <c r="F12">
        <v>11.2</v>
      </c>
      <c r="G12" t="s">
        <v>812</v>
      </c>
      <c r="H12" t="s">
        <v>813</v>
      </c>
      <c r="I12" t="s">
        <v>814</v>
      </c>
      <c r="J12" t="s">
        <v>815</v>
      </c>
      <c r="K12" t="s">
        <v>816</v>
      </c>
      <c r="L12">
        <v>0.2</v>
      </c>
      <c r="N12">
        <v>500</v>
      </c>
      <c r="R12">
        <v>84</v>
      </c>
      <c r="S12">
        <v>2128</v>
      </c>
      <c r="T12">
        <v>336</v>
      </c>
      <c r="V12" t="s">
        <v>817</v>
      </c>
      <c r="W12" s="514">
        <v>44247.866018518522</v>
      </c>
      <c r="X12">
        <v>65.497802734375</v>
      </c>
      <c r="Y12" t="s">
        <v>189</v>
      </c>
      <c r="Z12" t="s">
        <v>818</v>
      </c>
      <c r="AA12" t="s">
        <v>819</v>
      </c>
      <c r="AB12" t="s">
        <v>820</v>
      </c>
      <c r="AF12">
        <v>1.3246109709143639E-2</v>
      </c>
      <c r="AG12" t="s">
        <v>821</v>
      </c>
      <c r="AN12">
        <v>4745</v>
      </c>
      <c r="AS12">
        <v>20</v>
      </c>
      <c r="AT12">
        <v>10</v>
      </c>
      <c r="AU12">
        <v>8</v>
      </c>
      <c r="AV12">
        <v>-34.235953194754465</v>
      </c>
      <c r="AW12">
        <v>26.790082659040177</v>
      </c>
      <c r="AX12">
        <v>7358.99658203125</v>
      </c>
      <c r="AY12">
        <v>672</v>
      </c>
      <c r="AZ12">
        <v>-252.30155944824219</v>
      </c>
      <c r="BA12">
        <v>0</v>
      </c>
      <c r="BB12">
        <v>-2875.820068359375</v>
      </c>
      <c r="BC12">
        <v>-724.27587890625</v>
      </c>
      <c r="BD12">
        <v>-2106.4453125</v>
      </c>
      <c r="BE12">
        <v>840</v>
      </c>
      <c r="BF12">
        <v>1680</v>
      </c>
      <c r="BG12">
        <v>0</v>
      </c>
      <c r="BH12">
        <v>616</v>
      </c>
      <c r="BI12">
        <v>2250.366943359375</v>
      </c>
      <c r="BJ12">
        <v>2250.366943359375</v>
      </c>
      <c r="BK12">
        <v>4592.1533203125</v>
      </c>
      <c r="BL12">
        <v>4592.1533203125</v>
      </c>
      <c r="BM12">
        <v>20.981189727783203</v>
      </c>
      <c r="BN12">
        <v>27.529485702514648</v>
      </c>
      <c r="BP12">
        <v>21</v>
      </c>
      <c r="BQ12">
        <v>25</v>
      </c>
      <c r="BR12">
        <v>-548.1531982421875</v>
      </c>
      <c r="BS12">
        <v>0</v>
      </c>
      <c r="BT12">
        <v>151.836669921875</v>
      </c>
      <c r="BU12">
        <v>-1110.0616455078125</v>
      </c>
      <c r="BV12">
        <v>-743.9935302734375</v>
      </c>
      <c r="BW12" t="s">
        <v>615</v>
      </c>
      <c r="BX12">
        <v>20.981189727783203</v>
      </c>
      <c r="BY12">
        <v>19.543985366821289</v>
      </c>
      <c r="CB12">
        <v>32.704330444335938</v>
      </c>
      <c r="CC12">
        <v>16.000946044921875</v>
      </c>
      <c r="CD12" t="s">
        <v>617</v>
      </c>
      <c r="CE12" t="s">
        <v>823</v>
      </c>
    </row>
    <row r="13" spans="1:83" ht="12.75" customHeight="1">
      <c r="A13" t="s">
        <v>828</v>
      </c>
      <c r="C13" t="s">
        <v>835</v>
      </c>
      <c r="D13">
        <v>11</v>
      </c>
      <c r="F13">
        <v>40.533333333333331</v>
      </c>
      <c r="G13" t="s">
        <v>812</v>
      </c>
      <c r="H13" t="s">
        <v>813</v>
      </c>
      <c r="I13" t="s">
        <v>814</v>
      </c>
      <c r="J13" t="s">
        <v>815</v>
      </c>
      <c r="K13" t="s">
        <v>816</v>
      </c>
      <c r="L13">
        <v>0.2</v>
      </c>
      <c r="N13">
        <v>500</v>
      </c>
      <c r="R13">
        <v>304</v>
      </c>
      <c r="S13">
        <v>4190</v>
      </c>
      <c r="T13">
        <v>912</v>
      </c>
      <c r="V13" t="s">
        <v>817</v>
      </c>
      <c r="W13" s="514">
        <v>44247.866041666668</v>
      </c>
      <c r="X13">
        <v>95.559730529785156</v>
      </c>
      <c r="Y13" t="s">
        <v>189</v>
      </c>
      <c r="Z13" t="s">
        <v>818</v>
      </c>
      <c r="AA13" t="s">
        <v>819</v>
      </c>
      <c r="AB13" t="s">
        <v>820</v>
      </c>
      <c r="AF13">
        <v>1.9348002970218658E-2</v>
      </c>
      <c r="AG13" t="s">
        <v>821</v>
      </c>
      <c r="AN13">
        <v>4745</v>
      </c>
      <c r="AS13">
        <v>20</v>
      </c>
      <c r="AT13">
        <v>10</v>
      </c>
      <c r="AU13">
        <v>8</v>
      </c>
      <c r="AV13">
        <v>0.76470681240684113</v>
      </c>
      <c r="AW13">
        <v>6.962371826171875</v>
      </c>
      <c r="AX13">
        <v>0</v>
      </c>
      <c r="AY13">
        <v>2432</v>
      </c>
      <c r="AZ13">
        <v>62.251956939697266</v>
      </c>
      <c r="BA13">
        <v>0</v>
      </c>
      <c r="BB13">
        <v>232.47087097167969</v>
      </c>
      <c r="BC13">
        <v>0</v>
      </c>
      <c r="BD13">
        <v>0</v>
      </c>
      <c r="BE13">
        <v>3040</v>
      </c>
      <c r="BF13">
        <v>6080</v>
      </c>
      <c r="BG13">
        <v>0</v>
      </c>
      <c r="BH13">
        <v>2229.33349609375</v>
      </c>
      <c r="BI13">
        <v>2116.56103515625</v>
      </c>
      <c r="BJ13">
        <v>2116.56103515625</v>
      </c>
      <c r="BK13">
        <v>11846.7392578125</v>
      </c>
      <c r="BL13">
        <v>11846.7392578125</v>
      </c>
      <c r="BM13">
        <v>20.968864440917969</v>
      </c>
      <c r="BN13">
        <v>26.198532104492188</v>
      </c>
      <c r="BP13">
        <v>21</v>
      </c>
      <c r="BQ13">
        <v>25</v>
      </c>
      <c r="BR13">
        <v>-1487.079833984375</v>
      </c>
      <c r="BS13">
        <v>0</v>
      </c>
      <c r="BT13">
        <v>-629.489501953125</v>
      </c>
      <c r="BU13">
        <v>0</v>
      </c>
      <c r="BV13">
        <v>0</v>
      </c>
      <c r="BW13" t="s">
        <v>615</v>
      </c>
      <c r="BX13">
        <v>20.968864440917969</v>
      </c>
      <c r="BY13">
        <v>20.603603363037109</v>
      </c>
      <c r="CB13">
        <v>27.999229431152344</v>
      </c>
      <c r="CC13">
        <v>19.823112487792969</v>
      </c>
      <c r="CD13" t="s">
        <v>822</v>
      </c>
      <c r="CE13" t="s">
        <v>619</v>
      </c>
    </row>
    <row r="14" spans="1:83" ht="12.75" customHeight="1">
      <c r="A14" t="s">
        <v>830</v>
      </c>
      <c r="C14" t="s">
        <v>835</v>
      </c>
      <c r="D14">
        <v>12</v>
      </c>
      <c r="F14">
        <v>35.200000000000003</v>
      </c>
      <c r="G14" t="s">
        <v>812</v>
      </c>
      <c r="H14" t="s">
        <v>813</v>
      </c>
      <c r="I14" t="s">
        <v>814</v>
      </c>
      <c r="J14" t="s">
        <v>815</v>
      </c>
      <c r="K14" t="s">
        <v>816</v>
      </c>
      <c r="L14">
        <v>0.2</v>
      </c>
      <c r="N14">
        <v>500</v>
      </c>
      <c r="R14">
        <v>264</v>
      </c>
      <c r="S14">
        <v>4189</v>
      </c>
      <c r="T14">
        <v>792</v>
      </c>
      <c r="V14" t="s">
        <v>817</v>
      </c>
      <c r="W14" s="514">
        <v>44247.866064814814</v>
      </c>
      <c r="X14">
        <v>91.529022216796875</v>
      </c>
      <c r="Y14" t="s">
        <v>189</v>
      </c>
      <c r="Z14" t="s">
        <v>818</v>
      </c>
      <c r="AA14" t="s">
        <v>819</v>
      </c>
      <c r="AB14" t="s">
        <v>820</v>
      </c>
      <c r="AF14">
        <v>1.8647603690624237E-2</v>
      </c>
      <c r="AG14" t="s">
        <v>821</v>
      </c>
      <c r="AN14">
        <v>4745</v>
      </c>
      <c r="AS14">
        <v>20</v>
      </c>
      <c r="AT14">
        <v>10</v>
      </c>
      <c r="AU14">
        <v>8</v>
      </c>
      <c r="AV14">
        <v>-9.5180007472182773</v>
      </c>
      <c r="AW14">
        <v>15.271717418323863</v>
      </c>
      <c r="AX14">
        <v>5149.59375</v>
      </c>
      <c r="AY14">
        <v>2112</v>
      </c>
      <c r="AZ14">
        <v>-11.830464363098145</v>
      </c>
      <c r="BA14">
        <v>0</v>
      </c>
      <c r="BB14">
        <v>-2512.752197265625</v>
      </c>
      <c r="BC14">
        <v>-153.842529296875</v>
      </c>
      <c r="BD14">
        <v>-251.713623046875</v>
      </c>
      <c r="BE14">
        <v>2640</v>
      </c>
      <c r="BF14">
        <v>5280</v>
      </c>
      <c r="BG14">
        <v>0</v>
      </c>
      <c r="BH14">
        <v>1936</v>
      </c>
      <c r="BI14">
        <v>4031.7333984375</v>
      </c>
      <c r="BJ14">
        <v>4031.7333984375</v>
      </c>
      <c r="BK14">
        <v>12251.4599609375</v>
      </c>
      <c r="BL14">
        <v>12251.4599609375</v>
      </c>
      <c r="BM14">
        <v>20.974084854125977</v>
      </c>
      <c r="BN14">
        <v>27.286849975585938</v>
      </c>
      <c r="BP14">
        <v>21</v>
      </c>
      <c r="BQ14">
        <v>25</v>
      </c>
      <c r="BR14">
        <v>-1291.6927490234375</v>
      </c>
      <c r="BS14">
        <v>0</v>
      </c>
      <c r="BT14">
        <v>79.47442626953125</v>
      </c>
      <c r="BU14">
        <v>-2083.012939453125</v>
      </c>
      <c r="BV14">
        <v>-736.49591064453125</v>
      </c>
      <c r="BW14" t="s">
        <v>615</v>
      </c>
      <c r="BX14">
        <v>20.974084854125977</v>
      </c>
      <c r="BY14">
        <v>19.898448944091797</v>
      </c>
      <c r="CB14">
        <v>27.999225616455078</v>
      </c>
      <c r="CC14">
        <v>17.339208602905273</v>
      </c>
      <c r="CD14" t="s">
        <v>822</v>
      </c>
      <c r="CE14" t="s">
        <v>619</v>
      </c>
    </row>
    <row r="15" spans="1:83" ht="12.75" customHeight="1">
      <c r="A15" t="s">
        <v>831</v>
      </c>
      <c r="C15" t="s">
        <v>835</v>
      </c>
      <c r="D15">
        <v>13</v>
      </c>
      <c r="F15">
        <v>35.200000000000003</v>
      </c>
      <c r="G15" t="s">
        <v>812</v>
      </c>
      <c r="H15" t="s">
        <v>813</v>
      </c>
      <c r="I15" t="s">
        <v>814</v>
      </c>
      <c r="J15" t="s">
        <v>815</v>
      </c>
      <c r="K15" t="s">
        <v>816</v>
      </c>
      <c r="L15">
        <v>0.2</v>
      </c>
      <c r="N15">
        <v>500</v>
      </c>
      <c r="R15">
        <v>264</v>
      </c>
      <c r="S15">
        <v>3086</v>
      </c>
      <c r="T15">
        <v>792</v>
      </c>
      <c r="V15" t="s">
        <v>817</v>
      </c>
      <c r="W15" s="514">
        <v>44247.866076388891</v>
      </c>
      <c r="Y15" t="s">
        <v>189</v>
      </c>
      <c r="Z15" t="s">
        <v>818</v>
      </c>
      <c r="AA15" t="s">
        <v>819</v>
      </c>
      <c r="AB15" t="s">
        <v>820</v>
      </c>
      <c r="AF15">
        <v>2.0172914490103722E-2</v>
      </c>
      <c r="AG15" t="s">
        <v>821</v>
      </c>
      <c r="AN15">
        <v>4745</v>
      </c>
      <c r="AS15">
        <v>20</v>
      </c>
      <c r="AT15">
        <v>10</v>
      </c>
      <c r="AU15">
        <v>8</v>
      </c>
      <c r="AV15">
        <v>-13.891641327829072</v>
      </c>
      <c r="AW15">
        <v>15.271717418323863</v>
      </c>
      <c r="AX15">
        <v>7479.32421875</v>
      </c>
      <c r="AY15">
        <v>2112</v>
      </c>
      <c r="AZ15">
        <v>-119.25820922851563</v>
      </c>
      <c r="BA15">
        <v>0</v>
      </c>
      <c r="BB15">
        <v>-3667.393310546875</v>
      </c>
      <c r="BC15">
        <v>-301.14404296875</v>
      </c>
      <c r="BD15">
        <v>-320.3436279296875</v>
      </c>
      <c r="BE15">
        <v>2640</v>
      </c>
      <c r="BF15">
        <v>5280</v>
      </c>
      <c r="BG15">
        <v>0</v>
      </c>
      <c r="BH15">
        <v>1936</v>
      </c>
      <c r="BI15">
        <v>4031.7333984375</v>
      </c>
      <c r="BJ15">
        <v>4031.7333984375</v>
      </c>
      <c r="BK15">
        <v>13103.2109375</v>
      </c>
      <c r="BL15">
        <v>13103.2109375</v>
      </c>
      <c r="BM15">
        <v>20.974084854125977</v>
      </c>
      <c r="BN15">
        <v>27.333343505859375</v>
      </c>
      <c r="BP15">
        <v>21</v>
      </c>
      <c r="BQ15">
        <v>25</v>
      </c>
      <c r="BR15">
        <v>-1291.6927490234375</v>
      </c>
      <c r="BS15">
        <v>0</v>
      </c>
      <c r="BT15">
        <v>79.482025146484375</v>
      </c>
      <c r="BU15">
        <v>-2083.012939453125</v>
      </c>
      <c r="BV15">
        <v>-736.49639892578125</v>
      </c>
      <c r="BW15" t="s">
        <v>615</v>
      </c>
      <c r="BX15">
        <v>20.974084854125977</v>
      </c>
      <c r="BY15">
        <v>19.898448944091797</v>
      </c>
      <c r="CB15">
        <v>27.999217987060547</v>
      </c>
      <c r="CC15">
        <v>17.850309371948242</v>
      </c>
      <c r="CD15" t="s">
        <v>822</v>
      </c>
      <c r="CE15" t="s">
        <v>823</v>
      </c>
    </row>
    <row r="16" spans="1:83" ht="12.75" customHeight="1">
      <c r="A16" t="s">
        <v>832</v>
      </c>
      <c r="C16" t="s">
        <v>835</v>
      </c>
      <c r="D16">
        <v>14</v>
      </c>
      <c r="F16">
        <v>11.2</v>
      </c>
      <c r="G16" t="s">
        <v>812</v>
      </c>
      <c r="H16" t="s">
        <v>813</v>
      </c>
      <c r="I16" t="s">
        <v>814</v>
      </c>
      <c r="J16" t="s">
        <v>815</v>
      </c>
      <c r="K16" t="s">
        <v>816</v>
      </c>
      <c r="L16">
        <v>0.2</v>
      </c>
      <c r="N16">
        <v>500</v>
      </c>
      <c r="R16">
        <v>84</v>
      </c>
      <c r="S16">
        <v>3201</v>
      </c>
      <c r="T16">
        <v>252</v>
      </c>
      <c r="V16" t="s">
        <v>817</v>
      </c>
      <c r="W16" s="514">
        <v>44247.866099537037</v>
      </c>
      <c r="X16">
        <v>66.700775146484375</v>
      </c>
      <c r="Y16" t="s">
        <v>189</v>
      </c>
      <c r="Z16" t="s">
        <v>818</v>
      </c>
      <c r="AA16" t="s">
        <v>819</v>
      </c>
      <c r="AB16" t="s">
        <v>820</v>
      </c>
      <c r="AF16">
        <v>1.4238075353205204E-2</v>
      </c>
      <c r="AG16" t="s">
        <v>821</v>
      </c>
      <c r="AN16">
        <v>4745</v>
      </c>
      <c r="AS16">
        <v>20</v>
      </c>
      <c r="AT16">
        <v>10</v>
      </c>
      <c r="AU16">
        <v>8</v>
      </c>
      <c r="AV16">
        <v>-34.140851702008931</v>
      </c>
      <c r="AW16">
        <v>18.040374755859375</v>
      </c>
      <c r="AX16">
        <v>5170.3037109375</v>
      </c>
      <c r="AY16">
        <v>672</v>
      </c>
      <c r="AZ16">
        <v>-104.96654510498047</v>
      </c>
      <c r="BA16">
        <v>0</v>
      </c>
      <c r="BB16">
        <v>-2867.83154296875</v>
      </c>
      <c r="BC16">
        <v>-54.9708251953125</v>
      </c>
      <c r="BD16">
        <v>-265.80889892578125</v>
      </c>
      <c r="BE16">
        <v>840</v>
      </c>
      <c r="BF16">
        <v>1680</v>
      </c>
      <c r="BG16">
        <v>0</v>
      </c>
      <c r="BH16">
        <v>616</v>
      </c>
      <c r="BI16">
        <v>1515.3914794921875</v>
      </c>
      <c r="BJ16">
        <v>1515.3914794921875</v>
      </c>
      <c r="BK16">
        <v>5068.72607421875</v>
      </c>
      <c r="BL16">
        <v>5068.72607421875</v>
      </c>
      <c r="BM16">
        <v>20.975637435913086</v>
      </c>
      <c r="BN16">
        <v>29.062419891357422</v>
      </c>
      <c r="BP16">
        <v>21</v>
      </c>
      <c r="BQ16">
        <v>25</v>
      </c>
      <c r="BR16">
        <v>-411.01974487304688</v>
      </c>
      <c r="BS16">
        <v>0</v>
      </c>
      <c r="BT16">
        <v>19.712108612060547</v>
      </c>
      <c r="BU16">
        <v>-830.12158203125</v>
      </c>
      <c r="BV16">
        <v>-293.96014404296875</v>
      </c>
      <c r="BW16" t="s">
        <v>615</v>
      </c>
      <c r="BX16">
        <v>20.975637435913086</v>
      </c>
      <c r="BY16">
        <v>19.822414398193359</v>
      </c>
      <c r="CB16">
        <v>27.999408721923828</v>
      </c>
      <c r="CC16">
        <v>17.12701416015625</v>
      </c>
      <c r="CD16" t="s">
        <v>839</v>
      </c>
      <c r="CE16" t="s">
        <v>823</v>
      </c>
    </row>
    <row r="17" spans="1:83" ht="12.75" customHeight="1">
      <c r="A17" t="s">
        <v>833</v>
      </c>
      <c r="C17" t="s">
        <v>835</v>
      </c>
      <c r="D17">
        <v>15</v>
      </c>
      <c r="F17">
        <v>11.2</v>
      </c>
      <c r="G17" t="s">
        <v>812</v>
      </c>
      <c r="H17" t="s">
        <v>813</v>
      </c>
      <c r="I17" t="s">
        <v>814</v>
      </c>
      <c r="J17" t="s">
        <v>815</v>
      </c>
      <c r="K17" t="s">
        <v>816</v>
      </c>
      <c r="L17">
        <v>0.2</v>
      </c>
      <c r="N17">
        <v>500</v>
      </c>
      <c r="R17">
        <v>84</v>
      </c>
      <c r="S17">
        <v>2128</v>
      </c>
      <c r="T17">
        <v>252</v>
      </c>
      <c r="V17" t="s">
        <v>817</v>
      </c>
      <c r="W17" s="514">
        <v>44247.866122685184</v>
      </c>
      <c r="X17">
        <v>79.266151428222656</v>
      </c>
      <c r="Y17" t="s">
        <v>189</v>
      </c>
      <c r="Z17" t="s">
        <v>818</v>
      </c>
      <c r="AA17" t="s">
        <v>819</v>
      </c>
      <c r="AB17" t="s">
        <v>820</v>
      </c>
      <c r="AF17">
        <v>1.6245421022176743E-2</v>
      </c>
      <c r="AG17" t="s">
        <v>821</v>
      </c>
      <c r="AN17">
        <v>4745</v>
      </c>
      <c r="AS17">
        <v>20</v>
      </c>
      <c r="AT17">
        <v>10</v>
      </c>
      <c r="AU17">
        <v>8</v>
      </c>
      <c r="AV17">
        <v>-38.95855712890625</v>
      </c>
      <c r="AW17">
        <v>18.040374755859375</v>
      </c>
      <c r="AX17">
        <v>5441.44384765625</v>
      </c>
      <c r="AY17">
        <v>672</v>
      </c>
      <c r="AZ17">
        <v>-191.707275390625</v>
      </c>
      <c r="BA17">
        <v>0</v>
      </c>
      <c r="BB17">
        <v>-3272.518798828125</v>
      </c>
      <c r="BC17">
        <v>-545.47442626953125</v>
      </c>
      <c r="BD17">
        <v>-336.78985595703125</v>
      </c>
      <c r="BE17">
        <v>840</v>
      </c>
      <c r="BF17">
        <v>1680</v>
      </c>
      <c r="BG17">
        <v>0</v>
      </c>
      <c r="BH17">
        <v>616</v>
      </c>
      <c r="BI17">
        <v>1515.3914794921875</v>
      </c>
      <c r="BJ17">
        <v>1515.3914794921875</v>
      </c>
      <c r="BK17">
        <v>4286.95556640625</v>
      </c>
      <c r="BL17">
        <v>4286.95556640625</v>
      </c>
      <c r="BM17">
        <v>20.975641250610352</v>
      </c>
      <c r="BN17">
        <v>27.711910247802734</v>
      </c>
      <c r="BP17">
        <v>21</v>
      </c>
      <c r="BQ17">
        <v>25</v>
      </c>
      <c r="BR17">
        <v>-411.01980590820313</v>
      </c>
      <c r="BS17">
        <v>0</v>
      </c>
      <c r="BT17">
        <v>19.710887908935547</v>
      </c>
      <c r="BU17">
        <v>-830.12164306640625</v>
      </c>
      <c r="BV17">
        <v>-293.96041870117188</v>
      </c>
      <c r="BW17" t="s">
        <v>615</v>
      </c>
      <c r="BX17">
        <v>20.975641250610352</v>
      </c>
      <c r="BY17">
        <v>19.822414398193359</v>
      </c>
      <c r="CB17">
        <v>32.250068664550781</v>
      </c>
      <c r="CC17">
        <v>17.084903717041016</v>
      </c>
      <c r="CD17" t="s">
        <v>617</v>
      </c>
      <c r="CE17" t="s">
        <v>823</v>
      </c>
    </row>
    <row r="18" spans="1:83" ht="12.75" customHeight="1">
      <c r="A18" t="s">
        <v>834</v>
      </c>
      <c r="C18" t="s">
        <v>842</v>
      </c>
      <c r="D18">
        <v>16</v>
      </c>
      <c r="F18">
        <v>40.533333333333331</v>
      </c>
      <c r="G18" t="s">
        <v>812</v>
      </c>
      <c r="H18" t="s">
        <v>813</v>
      </c>
      <c r="I18" t="s">
        <v>814</v>
      </c>
      <c r="J18" t="s">
        <v>815</v>
      </c>
      <c r="K18" t="s">
        <v>816</v>
      </c>
      <c r="L18">
        <v>0.2</v>
      </c>
      <c r="N18">
        <v>500</v>
      </c>
      <c r="R18">
        <v>304</v>
      </c>
      <c r="S18">
        <v>4189</v>
      </c>
      <c r="T18">
        <v>912</v>
      </c>
      <c r="V18" t="s">
        <v>817</v>
      </c>
      <c r="W18" s="514">
        <v>44247.86613425926</v>
      </c>
      <c r="X18">
        <v>92.688484191894531</v>
      </c>
      <c r="Y18" t="s">
        <v>189</v>
      </c>
      <c r="Z18" t="s">
        <v>818</v>
      </c>
      <c r="AA18" t="s">
        <v>819</v>
      </c>
      <c r="AB18" t="s">
        <v>820</v>
      </c>
      <c r="AF18">
        <v>1.8647601827979088E-2</v>
      </c>
      <c r="AG18" t="s">
        <v>821</v>
      </c>
      <c r="AN18">
        <v>4745</v>
      </c>
      <c r="AS18">
        <v>20</v>
      </c>
      <c r="AT18">
        <v>10</v>
      </c>
      <c r="AU18">
        <v>8</v>
      </c>
      <c r="AV18">
        <v>0.76659122266267476</v>
      </c>
      <c r="AW18">
        <v>6.6408028853567025</v>
      </c>
      <c r="AX18">
        <v>0</v>
      </c>
      <c r="AY18">
        <v>2432</v>
      </c>
      <c r="AZ18">
        <v>-0.50257301330566406</v>
      </c>
      <c r="BA18">
        <v>0</v>
      </c>
      <c r="BB18">
        <v>233.04373168945313</v>
      </c>
      <c r="BC18">
        <v>0</v>
      </c>
      <c r="BD18">
        <v>0</v>
      </c>
      <c r="BE18">
        <v>3040</v>
      </c>
      <c r="BF18">
        <v>6080</v>
      </c>
      <c r="BG18">
        <v>0</v>
      </c>
      <c r="BH18">
        <v>2229.33349609375</v>
      </c>
      <c r="BI18">
        <v>2018.8040771484375</v>
      </c>
      <c r="BJ18">
        <v>2018.8040771484375</v>
      </c>
      <c r="BK18">
        <v>11784.5380859375</v>
      </c>
      <c r="BL18">
        <v>11784.5380859375</v>
      </c>
      <c r="BM18">
        <v>20.963727951049805</v>
      </c>
      <c r="BN18">
        <v>26.107398986816406</v>
      </c>
      <c r="BP18">
        <v>21</v>
      </c>
      <c r="BQ18">
        <v>25</v>
      </c>
      <c r="BR18">
        <v>-1486.76123046875</v>
      </c>
      <c r="BS18">
        <v>0</v>
      </c>
      <c r="BT18">
        <v>-532.0487060546875</v>
      </c>
      <c r="BU18">
        <v>0</v>
      </c>
      <c r="BV18">
        <v>0</v>
      </c>
      <c r="BW18" t="s">
        <v>615</v>
      </c>
      <c r="BX18">
        <v>20.963727951049805</v>
      </c>
      <c r="BY18">
        <v>20.640266418457031</v>
      </c>
      <c r="CB18">
        <v>27.999223709106445</v>
      </c>
      <c r="CC18">
        <v>20.20604133605957</v>
      </c>
      <c r="CD18" t="s">
        <v>822</v>
      </c>
      <c r="CE18" t="s">
        <v>619</v>
      </c>
    </row>
    <row r="19" spans="1:83" ht="12.75" customHeight="1">
      <c r="A19" t="s">
        <v>836</v>
      </c>
      <c r="C19" t="s">
        <v>842</v>
      </c>
      <c r="D19">
        <v>17</v>
      </c>
      <c r="F19">
        <v>35.200000000000003</v>
      </c>
      <c r="G19" t="s">
        <v>812</v>
      </c>
      <c r="H19" t="s">
        <v>813</v>
      </c>
      <c r="I19" t="s">
        <v>814</v>
      </c>
      <c r="J19" t="s">
        <v>815</v>
      </c>
      <c r="K19" t="s">
        <v>816</v>
      </c>
      <c r="L19">
        <v>0.2</v>
      </c>
      <c r="N19">
        <v>500</v>
      </c>
      <c r="R19">
        <v>264</v>
      </c>
      <c r="S19">
        <v>4189</v>
      </c>
      <c r="T19">
        <v>792</v>
      </c>
      <c r="V19" t="s">
        <v>817</v>
      </c>
      <c r="W19" s="514">
        <v>44247.866157407407</v>
      </c>
      <c r="X19">
        <v>91.370468139648438</v>
      </c>
      <c r="Y19" t="s">
        <v>189</v>
      </c>
      <c r="Z19" t="s">
        <v>818</v>
      </c>
      <c r="AA19" t="s">
        <v>819</v>
      </c>
      <c r="AB19" t="s">
        <v>820</v>
      </c>
      <c r="AF19">
        <v>1.8647603690624237E-2</v>
      </c>
      <c r="AG19" t="s">
        <v>821</v>
      </c>
      <c r="AN19">
        <v>4745</v>
      </c>
      <c r="AS19">
        <v>20</v>
      </c>
      <c r="AT19">
        <v>10</v>
      </c>
      <c r="AU19">
        <v>8</v>
      </c>
      <c r="AV19">
        <v>-9.8155092181581445</v>
      </c>
      <c r="AW19">
        <v>14.874402595288826</v>
      </c>
      <c r="AX19">
        <v>5149.59375</v>
      </c>
      <c r="AY19">
        <v>2112</v>
      </c>
      <c r="AZ19">
        <v>-13.401235580444336</v>
      </c>
      <c r="BA19">
        <v>0</v>
      </c>
      <c r="BB19">
        <v>-2591.29443359375</v>
      </c>
      <c r="BC19">
        <v>-154.555419921875</v>
      </c>
      <c r="BD19">
        <v>-247.8524169921875</v>
      </c>
      <c r="BE19">
        <v>2640</v>
      </c>
      <c r="BF19">
        <v>5280</v>
      </c>
      <c r="BG19">
        <v>0</v>
      </c>
      <c r="BH19">
        <v>1936</v>
      </c>
      <c r="BI19">
        <v>3926.84228515625</v>
      </c>
      <c r="BJ19">
        <v>3926.84228515625</v>
      </c>
      <c r="BK19">
        <v>12174.5009765625</v>
      </c>
      <c r="BL19">
        <v>12174.5009765625</v>
      </c>
      <c r="BM19">
        <v>20.969753265380859</v>
      </c>
      <c r="BN19">
        <v>27.300039291381836</v>
      </c>
      <c r="BP19">
        <v>21</v>
      </c>
      <c r="BQ19">
        <v>25</v>
      </c>
      <c r="BR19">
        <v>-1291.4593505859375</v>
      </c>
      <c r="BS19">
        <v>0</v>
      </c>
      <c r="BT19">
        <v>188.825439453125</v>
      </c>
      <c r="BU19">
        <v>-2086.42333984375</v>
      </c>
      <c r="BV19">
        <v>-737.794677734375</v>
      </c>
      <c r="BW19" t="s">
        <v>615</v>
      </c>
      <c r="BX19">
        <v>20.969753265380859</v>
      </c>
      <c r="BY19">
        <v>19.928678512573242</v>
      </c>
      <c r="CB19">
        <v>27.999221801757813</v>
      </c>
      <c r="CC19">
        <v>17.644834518432617</v>
      </c>
      <c r="CD19" t="s">
        <v>822</v>
      </c>
      <c r="CE19" t="s">
        <v>619</v>
      </c>
    </row>
    <row r="20" spans="1:83" ht="12.75" customHeight="1">
      <c r="A20" t="s">
        <v>837</v>
      </c>
      <c r="C20" t="s">
        <v>842</v>
      </c>
      <c r="D20">
        <v>18</v>
      </c>
      <c r="F20">
        <v>35.200000000000003</v>
      </c>
      <c r="G20" t="s">
        <v>812</v>
      </c>
      <c r="H20" t="s">
        <v>813</v>
      </c>
      <c r="I20" t="s">
        <v>814</v>
      </c>
      <c r="J20" t="s">
        <v>815</v>
      </c>
      <c r="K20" t="s">
        <v>816</v>
      </c>
      <c r="L20">
        <v>0.2</v>
      </c>
      <c r="N20">
        <v>500</v>
      </c>
      <c r="R20">
        <v>264</v>
      </c>
      <c r="S20">
        <v>3086</v>
      </c>
      <c r="T20">
        <v>792</v>
      </c>
      <c r="V20" t="s">
        <v>817</v>
      </c>
      <c r="W20" s="514">
        <v>44247.866168981483</v>
      </c>
      <c r="Y20" t="s">
        <v>189</v>
      </c>
      <c r="Z20" t="s">
        <v>818</v>
      </c>
      <c r="AA20" t="s">
        <v>819</v>
      </c>
      <c r="AB20" t="s">
        <v>820</v>
      </c>
      <c r="AF20">
        <v>2.0224498584866524E-2</v>
      </c>
      <c r="AG20" t="s">
        <v>821</v>
      </c>
      <c r="AN20">
        <v>4745</v>
      </c>
      <c r="AS20">
        <v>20</v>
      </c>
      <c r="AT20">
        <v>10</v>
      </c>
      <c r="AU20">
        <v>8</v>
      </c>
      <c r="AV20">
        <v>-14.084259033203125</v>
      </c>
      <c r="AW20">
        <v>14.874386874112217</v>
      </c>
      <c r="AX20">
        <v>7479.32421875</v>
      </c>
      <c r="AY20">
        <v>2112</v>
      </c>
      <c r="AZ20">
        <v>-121.49571990966797</v>
      </c>
      <c r="BA20">
        <v>0</v>
      </c>
      <c r="BB20">
        <v>-3718.244384765625</v>
      </c>
      <c r="BC20">
        <v>-303.905517578125</v>
      </c>
      <c r="BD20">
        <v>-324.805908203125</v>
      </c>
      <c r="BE20">
        <v>2640</v>
      </c>
      <c r="BF20">
        <v>5280</v>
      </c>
      <c r="BG20">
        <v>0</v>
      </c>
      <c r="BH20">
        <v>1936</v>
      </c>
      <c r="BI20">
        <v>3926.838134765625</v>
      </c>
      <c r="BJ20">
        <v>3926.838134765625</v>
      </c>
      <c r="BK20">
        <v>13042.8916015625</v>
      </c>
      <c r="BL20">
        <v>13042.8916015625</v>
      </c>
      <c r="BM20">
        <v>20.969751358032227</v>
      </c>
      <c r="BN20">
        <v>27.367259979248047</v>
      </c>
      <c r="BP20">
        <v>21</v>
      </c>
      <c r="BQ20">
        <v>25</v>
      </c>
      <c r="BR20">
        <v>-1291.459228515625</v>
      </c>
      <c r="BS20">
        <v>0</v>
      </c>
      <c r="BT20">
        <v>188.82313537597656</v>
      </c>
      <c r="BU20">
        <v>-2086.423095703125</v>
      </c>
      <c r="BV20">
        <v>-737.79522705078125</v>
      </c>
      <c r="BW20" t="s">
        <v>615</v>
      </c>
      <c r="BX20">
        <v>20.969751358032227</v>
      </c>
      <c r="BY20">
        <v>19.928676605224609</v>
      </c>
      <c r="CB20">
        <v>27.999212265014648</v>
      </c>
      <c r="CC20">
        <v>18.226255416870117</v>
      </c>
      <c r="CD20" t="s">
        <v>822</v>
      </c>
      <c r="CE20" t="s">
        <v>823</v>
      </c>
    </row>
    <row r="21" spans="1:83" ht="12.75" customHeight="1">
      <c r="A21" t="s">
        <v>838</v>
      </c>
      <c r="C21" t="s">
        <v>842</v>
      </c>
      <c r="D21">
        <v>19</v>
      </c>
      <c r="F21">
        <v>11.2</v>
      </c>
      <c r="G21" t="s">
        <v>812</v>
      </c>
      <c r="H21" t="s">
        <v>813</v>
      </c>
      <c r="I21" t="s">
        <v>814</v>
      </c>
      <c r="J21" t="s">
        <v>815</v>
      </c>
      <c r="K21" t="s">
        <v>816</v>
      </c>
      <c r="L21">
        <v>0.2</v>
      </c>
      <c r="N21">
        <v>500</v>
      </c>
      <c r="R21">
        <v>84</v>
      </c>
      <c r="S21">
        <v>3201</v>
      </c>
      <c r="T21">
        <v>252</v>
      </c>
      <c r="V21" t="s">
        <v>817</v>
      </c>
      <c r="W21" s="514">
        <v>44247.86619212963</v>
      </c>
      <c r="X21">
        <v>66.525787353515625</v>
      </c>
      <c r="Y21" t="s">
        <v>189</v>
      </c>
      <c r="Z21" t="s">
        <v>818</v>
      </c>
      <c r="AA21" t="s">
        <v>819</v>
      </c>
      <c r="AB21" t="s">
        <v>820</v>
      </c>
      <c r="AF21">
        <v>1.4238075353205204E-2</v>
      </c>
      <c r="AG21" t="s">
        <v>821</v>
      </c>
      <c r="AN21">
        <v>4745</v>
      </c>
      <c r="AS21">
        <v>20</v>
      </c>
      <c r="AT21">
        <v>10</v>
      </c>
      <c r="AU21">
        <v>8</v>
      </c>
      <c r="AV21">
        <v>-34.502947126116069</v>
      </c>
      <c r="AW21">
        <v>17.605372837611608</v>
      </c>
      <c r="AX21">
        <v>5170.3037109375</v>
      </c>
      <c r="AY21">
        <v>672</v>
      </c>
      <c r="AZ21">
        <v>-105.72870635986328</v>
      </c>
      <c r="BA21">
        <v>0</v>
      </c>
      <c r="BB21">
        <v>-2898.24755859375</v>
      </c>
      <c r="BC21">
        <v>-55.7635498046875</v>
      </c>
      <c r="BD21">
        <v>-268.62298583984375</v>
      </c>
      <c r="BE21">
        <v>840</v>
      </c>
      <c r="BF21">
        <v>1680</v>
      </c>
      <c r="BG21">
        <v>0</v>
      </c>
      <c r="BH21">
        <v>616</v>
      </c>
      <c r="BI21">
        <v>1478.851318359375</v>
      </c>
      <c r="BJ21">
        <v>1478.851318359375</v>
      </c>
      <c r="BK21">
        <v>5033.9365234375</v>
      </c>
      <c r="BL21">
        <v>5033.9365234375</v>
      </c>
      <c r="BM21">
        <v>20.971822738647461</v>
      </c>
      <c r="BN21">
        <v>29.089347839355469</v>
      </c>
      <c r="BP21">
        <v>21</v>
      </c>
      <c r="BQ21">
        <v>25</v>
      </c>
      <c r="BR21">
        <v>-410.954345703125</v>
      </c>
      <c r="BS21">
        <v>0</v>
      </c>
      <c r="BT21">
        <v>57.933208465576172</v>
      </c>
      <c r="BU21">
        <v>-831.38629150390625</v>
      </c>
      <c r="BV21">
        <v>-294.43930053710938</v>
      </c>
      <c r="BW21" t="s">
        <v>615</v>
      </c>
      <c r="BX21">
        <v>20.971822738647461</v>
      </c>
      <c r="BY21">
        <v>19.850337982177734</v>
      </c>
      <c r="CB21">
        <v>27.99940299987793</v>
      </c>
      <c r="CC21">
        <v>17.418277740478516</v>
      </c>
      <c r="CD21" t="s">
        <v>839</v>
      </c>
      <c r="CE21" t="s">
        <v>823</v>
      </c>
    </row>
    <row r="22" spans="1:83" ht="12.75" customHeight="1">
      <c r="A22" t="s">
        <v>840</v>
      </c>
      <c r="C22" t="s">
        <v>842</v>
      </c>
      <c r="D22">
        <v>20</v>
      </c>
      <c r="F22">
        <v>11.2</v>
      </c>
      <c r="G22" t="s">
        <v>812</v>
      </c>
      <c r="H22" t="s">
        <v>813</v>
      </c>
      <c r="I22" t="s">
        <v>814</v>
      </c>
      <c r="J22" t="s">
        <v>815</v>
      </c>
      <c r="K22" t="s">
        <v>816</v>
      </c>
      <c r="L22">
        <v>0.2</v>
      </c>
      <c r="N22">
        <v>500</v>
      </c>
      <c r="R22">
        <v>84</v>
      </c>
      <c r="S22">
        <v>2128</v>
      </c>
      <c r="T22">
        <v>252</v>
      </c>
      <c r="V22" t="s">
        <v>817</v>
      </c>
      <c r="W22" s="514">
        <v>44247.866215277776</v>
      </c>
      <c r="X22">
        <v>78.518943786621094</v>
      </c>
      <c r="Y22" t="s">
        <v>189</v>
      </c>
      <c r="Z22" t="s">
        <v>818</v>
      </c>
      <c r="AA22" t="s">
        <v>819</v>
      </c>
      <c r="AB22" t="s">
        <v>820</v>
      </c>
      <c r="AF22">
        <v>1.6245421022176743E-2</v>
      </c>
      <c r="AG22" t="s">
        <v>821</v>
      </c>
      <c r="AN22">
        <v>4745</v>
      </c>
      <c r="AS22">
        <v>20</v>
      </c>
      <c r="AT22">
        <v>10</v>
      </c>
      <c r="AU22">
        <v>8</v>
      </c>
      <c r="AV22">
        <v>-39.09391857328869</v>
      </c>
      <c r="AW22">
        <v>17.605372837611608</v>
      </c>
      <c r="AX22">
        <v>5441.44384765625</v>
      </c>
      <c r="AY22">
        <v>672</v>
      </c>
      <c r="AZ22">
        <v>-194.44230651855469</v>
      </c>
      <c r="BA22">
        <v>0</v>
      </c>
      <c r="BB22">
        <v>-3283.88916015625</v>
      </c>
      <c r="BC22">
        <v>-551.305419921875</v>
      </c>
      <c r="BD22">
        <v>-343.465087890625</v>
      </c>
      <c r="BE22">
        <v>840</v>
      </c>
      <c r="BF22">
        <v>1680</v>
      </c>
      <c r="BG22">
        <v>0</v>
      </c>
      <c r="BH22">
        <v>616</v>
      </c>
      <c r="BI22">
        <v>1478.851318359375</v>
      </c>
      <c r="BJ22">
        <v>1478.851318359375</v>
      </c>
      <c r="BK22">
        <v>4260.3486328125</v>
      </c>
      <c r="BL22">
        <v>4260.3486328125</v>
      </c>
      <c r="BM22">
        <v>20.971826553344727</v>
      </c>
      <c r="BN22">
        <v>27.872919082641602</v>
      </c>
      <c r="BP22">
        <v>21</v>
      </c>
      <c r="BQ22">
        <v>25</v>
      </c>
      <c r="BR22">
        <v>-410.95440673828125</v>
      </c>
      <c r="BS22">
        <v>0</v>
      </c>
      <c r="BT22">
        <v>57.930522918701172</v>
      </c>
      <c r="BU22">
        <v>-831.386474609375</v>
      </c>
      <c r="BV22">
        <v>-294.4395751953125</v>
      </c>
      <c r="BW22" t="s">
        <v>615</v>
      </c>
      <c r="BX22">
        <v>20.971826553344727</v>
      </c>
      <c r="BY22">
        <v>19.850337982177734</v>
      </c>
      <c r="CB22">
        <v>32.214996337890625</v>
      </c>
      <c r="CC22">
        <v>17.380922317504883</v>
      </c>
      <c r="CD22" t="s">
        <v>617</v>
      </c>
      <c r="CE22" t="s">
        <v>823</v>
      </c>
    </row>
    <row r="23" spans="1:83" ht="12.75" customHeight="1">
      <c r="A23" t="s">
        <v>841</v>
      </c>
      <c r="C23" t="s">
        <v>848</v>
      </c>
      <c r="D23">
        <v>21</v>
      </c>
      <c r="F23">
        <v>40.533333333333331</v>
      </c>
      <c r="G23" t="s">
        <v>812</v>
      </c>
      <c r="H23" t="s">
        <v>813</v>
      </c>
      <c r="I23" t="s">
        <v>814</v>
      </c>
      <c r="J23" t="s">
        <v>815</v>
      </c>
      <c r="K23" t="s">
        <v>816</v>
      </c>
      <c r="L23">
        <v>0.2</v>
      </c>
      <c r="N23">
        <v>500</v>
      </c>
      <c r="R23">
        <v>304</v>
      </c>
      <c r="S23">
        <v>4190</v>
      </c>
      <c r="T23">
        <v>912</v>
      </c>
      <c r="V23" t="s">
        <v>817</v>
      </c>
      <c r="W23" s="514">
        <v>44247.866226851853</v>
      </c>
      <c r="X23">
        <v>95.550895690917969</v>
      </c>
      <c r="Y23" t="s">
        <v>189</v>
      </c>
      <c r="Z23" t="s">
        <v>818</v>
      </c>
      <c r="AA23" t="s">
        <v>819</v>
      </c>
      <c r="AB23" t="s">
        <v>820</v>
      </c>
      <c r="AF23">
        <v>1.9348002970218658E-2</v>
      </c>
      <c r="AG23" t="s">
        <v>821</v>
      </c>
      <c r="AN23">
        <v>4745</v>
      </c>
      <c r="AS23">
        <v>20</v>
      </c>
      <c r="AT23">
        <v>10</v>
      </c>
      <c r="AU23">
        <v>8</v>
      </c>
      <c r="AV23">
        <v>-0.64350735513787516</v>
      </c>
      <c r="AW23">
        <v>6.6173180028011922</v>
      </c>
      <c r="AX23">
        <v>0</v>
      </c>
      <c r="AY23">
        <v>2432</v>
      </c>
      <c r="AZ23">
        <v>62.155632019042969</v>
      </c>
      <c r="BA23">
        <v>0</v>
      </c>
      <c r="BB23">
        <v>-195.62623596191406</v>
      </c>
      <c r="BC23">
        <v>0</v>
      </c>
      <c r="BD23">
        <v>0</v>
      </c>
      <c r="BE23">
        <v>3040</v>
      </c>
      <c r="BF23">
        <v>6080</v>
      </c>
      <c r="BG23">
        <v>0</v>
      </c>
      <c r="BH23">
        <v>2229.33349609375</v>
      </c>
      <c r="BI23">
        <v>2011.6646728515625</v>
      </c>
      <c r="BJ23">
        <v>2011.6646728515625</v>
      </c>
      <c r="BK23">
        <v>11418.5458984375</v>
      </c>
      <c r="BL23">
        <v>11418.5458984375</v>
      </c>
      <c r="BM23">
        <v>20.962825775146484</v>
      </c>
      <c r="BN23">
        <v>26.063688278198242</v>
      </c>
      <c r="BP23">
        <v>21</v>
      </c>
      <c r="BQ23">
        <v>25</v>
      </c>
      <c r="BR23">
        <v>-1486.7052001953125</v>
      </c>
      <c r="BS23">
        <v>0</v>
      </c>
      <c r="BT23">
        <v>-524.9576416015625</v>
      </c>
      <c r="BU23">
        <v>0</v>
      </c>
      <c r="BV23">
        <v>0</v>
      </c>
      <c r="BW23" t="s">
        <v>615</v>
      </c>
      <c r="BX23">
        <v>20.962825775146484</v>
      </c>
      <c r="BY23">
        <v>20.638349533081055</v>
      </c>
      <c r="CB23">
        <v>27.999208450317383</v>
      </c>
      <c r="CC23">
        <v>20.167224884033203</v>
      </c>
      <c r="CD23" t="s">
        <v>822</v>
      </c>
      <c r="CE23" t="s">
        <v>619</v>
      </c>
    </row>
    <row r="24" spans="1:83" ht="12.75" customHeight="1">
      <c r="A24" t="s">
        <v>843</v>
      </c>
      <c r="C24" t="s">
        <v>848</v>
      </c>
      <c r="D24">
        <v>22</v>
      </c>
      <c r="F24">
        <v>35.200000000000003</v>
      </c>
      <c r="G24" t="s">
        <v>812</v>
      </c>
      <c r="H24" t="s">
        <v>813</v>
      </c>
      <c r="I24" t="s">
        <v>814</v>
      </c>
      <c r="J24" t="s">
        <v>815</v>
      </c>
      <c r="K24" t="s">
        <v>816</v>
      </c>
      <c r="L24">
        <v>0.2</v>
      </c>
      <c r="N24">
        <v>500</v>
      </c>
      <c r="R24">
        <v>264</v>
      </c>
      <c r="S24">
        <v>3230</v>
      </c>
      <c r="T24">
        <v>792</v>
      </c>
      <c r="V24" t="s">
        <v>817</v>
      </c>
      <c r="W24" s="514">
        <v>44247.866249999999</v>
      </c>
      <c r="X24">
        <v>99.999992370605469</v>
      </c>
      <c r="Y24" t="s">
        <v>189</v>
      </c>
      <c r="Z24" t="s">
        <v>818</v>
      </c>
      <c r="AA24" t="s">
        <v>819</v>
      </c>
      <c r="AB24" t="s">
        <v>820</v>
      </c>
      <c r="AF24">
        <v>2.0177874714136124E-2</v>
      </c>
      <c r="AG24" t="s">
        <v>821</v>
      </c>
      <c r="AN24">
        <v>4745</v>
      </c>
      <c r="AS24">
        <v>20</v>
      </c>
      <c r="AT24">
        <v>10</v>
      </c>
      <c r="AU24">
        <v>8</v>
      </c>
      <c r="AV24">
        <v>-9.1131157152580489</v>
      </c>
      <c r="AW24">
        <v>14.499146432587594</v>
      </c>
      <c r="AX24">
        <v>4201.3115234375</v>
      </c>
      <c r="AY24">
        <v>2112</v>
      </c>
      <c r="AZ24">
        <v>74.489761352539063</v>
      </c>
      <c r="BA24">
        <v>0</v>
      </c>
      <c r="BB24">
        <v>-2405.862548828125</v>
      </c>
      <c r="BC24">
        <v>-82.543212890625</v>
      </c>
      <c r="BD24">
        <v>-111.7255859375</v>
      </c>
      <c r="BE24">
        <v>2640</v>
      </c>
      <c r="BF24">
        <v>5280</v>
      </c>
      <c r="BG24">
        <v>0</v>
      </c>
      <c r="BH24">
        <v>1936</v>
      </c>
      <c r="BI24">
        <v>3827.774658203125</v>
      </c>
      <c r="BJ24">
        <v>3827.774658203125</v>
      </c>
      <c r="BK24">
        <v>11707.68359375</v>
      </c>
      <c r="BL24">
        <v>11707.68359375</v>
      </c>
      <c r="BM24">
        <v>20.968423843383789</v>
      </c>
      <c r="BN24">
        <v>26.830032348632813</v>
      </c>
      <c r="BP24">
        <v>21</v>
      </c>
      <c r="BQ24">
        <v>25</v>
      </c>
      <c r="BR24">
        <v>-1291.3876953125</v>
      </c>
      <c r="BS24">
        <v>0</v>
      </c>
      <c r="BT24">
        <v>294.41033935546875</v>
      </c>
      <c r="BU24">
        <v>-2091.205322265625</v>
      </c>
      <c r="BV24">
        <v>-739.58880615234375</v>
      </c>
      <c r="BW24" t="s">
        <v>615</v>
      </c>
      <c r="BX24">
        <v>20.968423843383789</v>
      </c>
      <c r="BY24">
        <v>19.971698760986328</v>
      </c>
      <c r="CB24">
        <v>27.999214172363281</v>
      </c>
      <c r="CC24">
        <v>17.80499267578125</v>
      </c>
      <c r="CD24" t="s">
        <v>822</v>
      </c>
      <c r="CE24" t="s">
        <v>619</v>
      </c>
    </row>
    <row r="25" spans="1:83" ht="12.75" customHeight="1">
      <c r="A25" t="s">
        <v>844</v>
      </c>
      <c r="C25" t="s">
        <v>848</v>
      </c>
      <c r="D25">
        <v>23</v>
      </c>
      <c r="F25">
        <v>35.200000000000003</v>
      </c>
      <c r="G25" t="s">
        <v>812</v>
      </c>
      <c r="H25" t="s">
        <v>813</v>
      </c>
      <c r="I25" t="s">
        <v>814</v>
      </c>
      <c r="J25" t="s">
        <v>815</v>
      </c>
      <c r="K25" t="s">
        <v>816</v>
      </c>
      <c r="L25">
        <v>0.2</v>
      </c>
      <c r="N25">
        <v>500</v>
      </c>
      <c r="R25">
        <v>264</v>
      </c>
      <c r="S25">
        <v>1453</v>
      </c>
      <c r="T25">
        <v>792</v>
      </c>
      <c r="V25" t="s">
        <v>817</v>
      </c>
      <c r="W25" s="514">
        <v>44247.866261574076</v>
      </c>
      <c r="X25">
        <v>63.746402740478516</v>
      </c>
      <c r="Y25" t="s">
        <v>189</v>
      </c>
      <c r="Z25" t="s">
        <v>818</v>
      </c>
      <c r="AA25" t="s">
        <v>819</v>
      </c>
      <c r="AB25" t="s">
        <v>820</v>
      </c>
      <c r="AF25">
        <v>1.2742518447339535E-2</v>
      </c>
      <c r="AG25" t="s">
        <v>821</v>
      </c>
      <c r="AN25">
        <v>4745</v>
      </c>
      <c r="AS25">
        <v>20</v>
      </c>
      <c r="AT25">
        <v>10</v>
      </c>
      <c r="AU25">
        <v>8</v>
      </c>
      <c r="AV25">
        <v>-35.242017341382578</v>
      </c>
      <c r="AW25">
        <v>14.499146432587594</v>
      </c>
      <c r="AX25">
        <v>15662.1005859375</v>
      </c>
      <c r="AY25">
        <v>2112</v>
      </c>
      <c r="AZ25">
        <v>-951.25146484375</v>
      </c>
      <c r="BA25">
        <v>0</v>
      </c>
      <c r="BB25">
        <v>-9303.892578125</v>
      </c>
      <c r="BC25">
        <v>-1805.7008056640625</v>
      </c>
      <c r="BD25">
        <v>-1030.206787109375</v>
      </c>
      <c r="BE25">
        <v>2640</v>
      </c>
      <c r="BF25">
        <v>5280</v>
      </c>
      <c r="BG25">
        <v>0</v>
      </c>
      <c r="BH25">
        <v>1936</v>
      </c>
      <c r="BI25">
        <v>3827.774658203125</v>
      </c>
      <c r="BJ25">
        <v>3827.774658203125</v>
      </c>
      <c r="BK25">
        <v>12603.05078125</v>
      </c>
      <c r="BL25">
        <v>12603.05078125</v>
      </c>
      <c r="BM25">
        <v>20.968421936035156</v>
      </c>
      <c r="BN25">
        <v>27.56053352355957</v>
      </c>
      <c r="BP25">
        <v>21</v>
      </c>
      <c r="BQ25">
        <v>25</v>
      </c>
      <c r="BR25">
        <v>-1291.3875732421875</v>
      </c>
      <c r="BS25">
        <v>0</v>
      </c>
      <c r="BT25">
        <v>294.41348266601563</v>
      </c>
      <c r="BU25">
        <v>-2091.205078125</v>
      </c>
      <c r="BV25">
        <v>-739.588134765625</v>
      </c>
      <c r="BW25" t="s">
        <v>615</v>
      </c>
      <c r="BX25">
        <v>20.968421936035156</v>
      </c>
      <c r="BY25">
        <v>19.971698760986328</v>
      </c>
      <c r="CB25">
        <v>27.999198913574219</v>
      </c>
      <c r="CC25">
        <v>18.310455322265625</v>
      </c>
      <c r="CD25" t="s">
        <v>822</v>
      </c>
      <c r="CE25" t="s">
        <v>823</v>
      </c>
    </row>
    <row r="26" spans="1:83" ht="12.75" customHeight="1">
      <c r="A26" t="s">
        <v>845</v>
      </c>
      <c r="C26" t="s">
        <v>848</v>
      </c>
      <c r="D26">
        <v>24</v>
      </c>
      <c r="F26">
        <v>11.2</v>
      </c>
      <c r="G26" t="s">
        <v>812</v>
      </c>
      <c r="H26" t="s">
        <v>813</v>
      </c>
      <c r="I26" t="s">
        <v>814</v>
      </c>
      <c r="J26" t="s">
        <v>815</v>
      </c>
      <c r="K26" t="s">
        <v>816</v>
      </c>
      <c r="L26">
        <v>0.2</v>
      </c>
      <c r="N26">
        <v>500</v>
      </c>
      <c r="R26">
        <v>84</v>
      </c>
      <c r="S26">
        <v>2409</v>
      </c>
      <c r="T26">
        <v>252</v>
      </c>
      <c r="V26" t="s">
        <v>817</v>
      </c>
      <c r="W26" s="514">
        <v>44247.866284722222</v>
      </c>
      <c r="X26">
        <v>47.624267578125</v>
      </c>
      <c r="Y26" t="s">
        <v>189</v>
      </c>
      <c r="Z26" t="s">
        <v>818</v>
      </c>
      <c r="AA26" t="s">
        <v>819</v>
      </c>
      <c r="AB26" t="s">
        <v>820</v>
      </c>
      <c r="AF26">
        <v>9.4933230429887772E-3</v>
      </c>
      <c r="AG26" t="s">
        <v>821</v>
      </c>
      <c r="AN26">
        <v>4745</v>
      </c>
      <c r="AS26">
        <v>20</v>
      </c>
      <c r="AT26">
        <v>10</v>
      </c>
      <c r="AU26">
        <v>8</v>
      </c>
      <c r="AV26">
        <v>-34.129656110491069</v>
      </c>
      <c r="AW26">
        <v>17.126001267206099</v>
      </c>
      <c r="AX26">
        <v>5507.0048828125</v>
      </c>
      <c r="AY26">
        <v>672</v>
      </c>
      <c r="AZ26">
        <v>-257.0599365234375</v>
      </c>
      <c r="BA26">
        <v>0</v>
      </c>
      <c r="BB26">
        <v>-2866.89111328125</v>
      </c>
      <c r="BC26">
        <v>-367.212646484375</v>
      </c>
      <c r="BD26">
        <v>-384.001220703125</v>
      </c>
      <c r="BE26">
        <v>840</v>
      </c>
      <c r="BF26">
        <v>1680</v>
      </c>
      <c r="BG26">
        <v>0</v>
      </c>
      <c r="BH26">
        <v>616</v>
      </c>
      <c r="BI26">
        <v>1438.5841064453125</v>
      </c>
      <c r="BJ26">
        <v>1438.5841064453125</v>
      </c>
      <c r="BK26">
        <v>4823.8388671875</v>
      </c>
      <c r="BL26">
        <v>4823.8388671875</v>
      </c>
      <c r="BM26">
        <v>20.970375061035156</v>
      </c>
      <c r="BN26">
        <v>27.903270721435547</v>
      </c>
      <c r="BP26">
        <v>21</v>
      </c>
      <c r="BQ26">
        <v>25</v>
      </c>
      <c r="BR26">
        <v>-410.92953491210938</v>
      </c>
      <c r="BS26">
        <v>0</v>
      </c>
      <c r="BT26">
        <v>101.00222015380859</v>
      </c>
      <c r="BU26">
        <v>-833.44281005859375</v>
      </c>
      <c r="BV26">
        <v>-295.20953369140625</v>
      </c>
      <c r="BW26" t="s">
        <v>615</v>
      </c>
      <c r="BX26">
        <v>20.970375061035156</v>
      </c>
      <c r="BY26">
        <v>19.896457672119141</v>
      </c>
      <c r="CB26">
        <v>27.999362945556641</v>
      </c>
      <c r="CC26">
        <v>17.569452285766602</v>
      </c>
      <c r="CD26" t="s">
        <v>839</v>
      </c>
      <c r="CE26" t="s">
        <v>823</v>
      </c>
    </row>
    <row r="27" spans="1:83" ht="12.75" customHeight="1">
      <c r="A27" t="s">
        <v>846</v>
      </c>
      <c r="C27" t="s">
        <v>848</v>
      </c>
      <c r="D27">
        <v>25</v>
      </c>
      <c r="F27">
        <v>11.2</v>
      </c>
      <c r="G27" t="s">
        <v>812</v>
      </c>
      <c r="H27" t="s">
        <v>813</v>
      </c>
      <c r="I27" t="s">
        <v>814</v>
      </c>
      <c r="J27" t="s">
        <v>815</v>
      </c>
      <c r="K27" t="s">
        <v>816</v>
      </c>
      <c r="L27">
        <v>0.2</v>
      </c>
      <c r="N27">
        <v>500</v>
      </c>
      <c r="R27">
        <v>84</v>
      </c>
      <c r="S27">
        <v>2128</v>
      </c>
      <c r="T27">
        <v>252</v>
      </c>
      <c r="V27" t="s">
        <v>817</v>
      </c>
      <c r="W27" s="514">
        <v>44247.866307870368</v>
      </c>
      <c r="X27">
        <v>77.307991027832031</v>
      </c>
      <c r="Y27" t="s">
        <v>189</v>
      </c>
      <c r="Z27" t="s">
        <v>818</v>
      </c>
      <c r="AA27" t="s">
        <v>819</v>
      </c>
      <c r="AB27" t="s">
        <v>820</v>
      </c>
      <c r="AF27">
        <v>1.6245421022176743E-2</v>
      </c>
      <c r="AG27" t="s">
        <v>821</v>
      </c>
      <c r="AN27">
        <v>4745</v>
      </c>
      <c r="AS27">
        <v>20</v>
      </c>
      <c r="AT27">
        <v>10</v>
      </c>
      <c r="AU27">
        <v>8</v>
      </c>
      <c r="AV27">
        <v>-40.827811104910715</v>
      </c>
      <c r="AW27">
        <v>17.125986735026043</v>
      </c>
      <c r="AX27">
        <v>5441.44384765625</v>
      </c>
      <c r="AY27">
        <v>672</v>
      </c>
      <c r="AZ27">
        <v>-198.93771362304688</v>
      </c>
      <c r="BA27">
        <v>0</v>
      </c>
      <c r="BB27">
        <v>-3429.5361328125</v>
      </c>
      <c r="BC27">
        <v>-555.87030029296875</v>
      </c>
      <c r="BD27">
        <v>-356.80169677734375</v>
      </c>
      <c r="BE27">
        <v>840</v>
      </c>
      <c r="BF27">
        <v>1680</v>
      </c>
      <c r="BG27">
        <v>0</v>
      </c>
      <c r="BH27">
        <v>616</v>
      </c>
      <c r="BI27">
        <v>1438.5828857421875</v>
      </c>
      <c r="BJ27">
        <v>1438.5828857421875</v>
      </c>
      <c r="BK27">
        <v>4092.29150390625</v>
      </c>
      <c r="BL27">
        <v>4092.29150390625</v>
      </c>
      <c r="BM27">
        <v>20.970376968383789</v>
      </c>
      <c r="BN27">
        <v>28.029148101806641</v>
      </c>
      <c r="BP27">
        <v>21</v>
      </c>
      <c r="BQ27">
        <v>25</v>
      </c>
      <c r="BR27">
        <v>-410.9295654296875</v>
      </c>
      <c r="BS27">
        <v>0</v>
      </c>
      <c r="BT27">
        <v>101.00009918212891</v>
      </c>
      <c r="BU27">
        <v>-833.44293212890625</v>
      </c>
      <c r="BV27">
        <v>-295.2100830078125</v>
      </c>
      <c r="BW27" t="s">
        <v>615</v>
      </c>
      <c r="BX27">
        <v>20.970376968383789</v>
      </c>
      <c r="BY27">
        <v>19.896457672119141</v>
      </c>
      <c r="CB27">
        <v>31.999828338623047</v>
      </c>
      <c r="CC27">
        <v>17.538267135620117</v>
      </c>
      <c r="CD27" t="s">
        <v>617</v>
      </c>
      <c r="CE27" t="s">
        <v>823</v>
      </c>
    </row>
    <row r="28" spans="1:83" ht="12.75" customHeight="1">
      <c r="A28" t="s">
        <v>847</v>
      </c>
      <c r="C28" t="s">
        <v>853</v>
      </c>
      <c r="D28">
        <v>26</v>
      </c>
      <c r="F28">
        <v>40.533333333333331</v>
      </c>
      <c r="G28" t="s">
        <v>812</v>
      </c>
      <c r="H28" t="s">
        <v>813</v>
      </c>
      <c r="I28" t="s">
        <v>814</v>
      </c>
      <c r="J28" t="s">
        <v>815</v>
      </c>
      <c r="K28" t="s">
        <v>816</v>
      </c>
      <c r="L28">
        <v>0.2</v>
      </c>
      <c r="N28">
        <v>500</v>
      </c>
      <c r="R28">
        <v>304</v>
      </c>
      <c r="S28">
        <v>3232</v>
      </c>
      <c r="T28">
        <v>912</v>
      </c>
      <c r="V28" t="s">
        <v>817</v>
      </c>
      <c r="W28" s="514">
        <v>44247.866319444445</v>
      </c>
      <c r="X28">
        <v>100</v>
      </c>
      <c r="Y28" t="s">
        <v>189</v>
      </c>
      <c r="Z28" t="s">
        <v>818</v>
      </c>
      <c r="AA28" t="s">
        <v>819</v>
      </c>
      <c r="AB28" t="s">
        <v>820</v>
      </c>
      <c r="AF28">
        <v>2.016267366707325E-2</v>
      </c>
      <c r="AG28" t="s">
        <v>821</v>
      </c>
      <c r="AN28">
        <v>4745</v>
      </c>
      <c r="AS28">
        <v>20</v>
      </c>
      <c r="AT28">
        <v>10</v>
      </c>
      <c r="AU28">
        <v>8</v>
      </c>
      <c r="AV28">
        <v>-1.1621242322419818</v>
      </c>
      <c r="AW28">
        <v>7.0511040938527962</v>
      </c>
      <c r="AX28">
        <v>0</v>
      </c>
      <c r="AY28">
        <v>2432</v>
      </c>
      <c r="AZ28">
        <v>36.902729034423828</v>
      </c>
      <c r="BA28">
        <v>0</v>
      </c>
      <c r="BB28">
        <v>-353.2857666015625</v>
      </c>
      <c r="BC28">
        <v>0</v>
      </c>
      <c r="BD28">
        <v>-1037.078125</v>
      </c>
      <c r="BE28">
        <v>3040</v>
      </c>
      <c r="BF28">
        <v>6080</v>
      </c>
      <c r="BG28">
        <v>0</v>
      </c>
      <c r="BH28">
        <v>2229.33349609375</v>
      </c>
      <c r="BI28">
        <v>2143.53564453125</v>
      </c>
      <c r="BJ28">
        <v>2143.53564453125</v>
      </c>
      <c r="BK28">
        <v>10198.5322265625</v>
      </c>
      <c r="BL28">
        <v>10198.5322265625</v>
      </c>
      <c r="BM28">
        <v>20.967037200927734</v>
      </c>
      <c r="BN28">
        <v>25.501394271850586</v>
      </c>
      <c r="BP28">
        <v>21</v>
      </c>
      <c r="BQ28">
        <v>25</v>
      </c>
      <c r="BR28">
        <v>-1486.9664306640625</v>
      </c>
      <c r="BS28">
        <v>0</v>
      </c>
      <c r="BT28">
        <v>-64.039886474609375</v>
      </c>
      <c r="BU28">
        <v>0</v>
      </c>
      <c r="BV28">
        <v>-592.51953125</v>
      </c>
      <c r="BW28" t="s">
        <v>615</v>
      </c>
      <c r="BX28">
        <v>20.967037200927734</v>
      </c>
      <c r="BY28">
        <v>20.53577995300293</v>
      </c>
      <c r="CB28">
        <v>27.999156951904297</v>
      </c>
      <c r="CC28">
        <v>18.258087158203125</v>
      </c>
      <c r="CD28" t="s">
        <v>822</v>
      </c>
      <c r="CE28" t="s">
        <v>619</v>
      </c>
    </row>
    <row r="29" spans="1:83" ht="12.75" customHeight="1">
      <c r="A29" t="s">
        <v>849</v>
      </c>
      <c r="C29" t="s">
        <v>853</v>
      </c>
      <c r="D29">
        <v>27</v>
      </c>
      <c r="F29">
        <v>35.200000000000003</v>
      </c>
      <c r="G29" t="s">
        <v>812</v>
      </c>
      <c r="H29" t="s">
        <v>813</v>
      </c>
      <c r="I29" t="s">
        <v>814</v>
      </c>
      <c r="J29" t="s">
        <v>815</v>
      </c>
      <c r="K29" t="s">
        <v>816</v>
      </c>
      <c r="L29">
        <v>0.2</v>
      </c>
      <c r="N29">
        <v>500</v>
      </c>
      <c r="R29">
        <v>264</v>
      </c>
      <c r="S29">
        <v>3232</v>
      </c>
      <c r="T29">
        <v>792</v>
      </c>
      <c r="V29" t="s">
        <v>817</v>
      </c>
      <c r="W29" s="514">
        <v>44247.866342592592</v>
      </c>
      <c r="Y29" t="s">
        <v>189</v>
      </c>
      <c r="Z29" t="s">
        <v>818</v>
      </c>
      <c r="AA29" t="s">
        <v>819</v>
      </c>
      <c r="AB29" t="s">
        <v>820</v>
      </c>
      <c r="AF29">
        <v>2.0162343978881836E-2</v>
      </c>
      <c r="AG29" t="s">
        <v>821</v>
      </c>
      <c r="AN29">
        <v>4745</v>
      </c>
      <c r="AS29">
        <v>20</v>
      </c>
      <c r="AT29">
        <v>10</v>
      </c>
      <c r="AU29">
        <v>8</v>
      </c>
      <c r="AV29">
        <v>5.4565790927771363E-2</v>
      </c>
      <c r="AW29">
        <v>8.55518965287642</v>
      </c>
      <c r="AX29">
        <v>0</v>
      </c>
      <c r="AY29">
        <v>2112</v>
      </c>
      <c r="AZ29">
        <v>32.061492919921875</v>
      </c>
      <c r="BA29">
        <v>0</v>
      </c>
      <c r="BB29">
        <v>14.405368804931641</v>
      </c>
      <c r="BC29">
        <v>0</v>
      </c>
      <c r="BD29">
        <v>-1407.8525390625</v>
      </c>
      <c r="BE29">
        <v>2640</v>
      </c>
      <c r="BF29">
        <v>5280</v>
      </c>
      <c r="BG29">
        <v>0</v>
      </c>
      <c r="BH29">
        <v>1936</v>
      </c>
      <c r="BI29">
        <v>2258.570068359375</v>
      </c>
      <c r="BJ29">
        <v>2258.570068359375</v>
      </c>
      <c r="BK29">
        <v>8670.603515625</v>
      </c>
      <c r="BL29">
        <v>8670.603515625</v>
      </c>
      <c r="BM29">
        <v>20.969192504882813</v>
      </c>
      <c r="BN29">
        <v>25.376840591430664</v>
      </c>
      <c r="BP29">
        <v>21</v>
      </c>
      <c r="BQ29">
        <v>25</v>
      </c>
      <c r="BR29">
        <v>-1291.4290771484375</v>
      </c>
      <c r="BS29">
        <v>0</v>
      </c>
      <c r="BT29">
        <v>-178.28144836425781</v>
      </c>
      <c r="BU29">
        <v>0</v>
      </c>
      <c r="BV29">
        <v>-788.87109375</v>
      </c>
      <c r="BW29" t="s">
        <v>615</v>
      </c>
      <c r="BX29">
        <v>20.969192504882813</v>
      </c>
      <c r="BY29">
        <v>20.409217834472656</v>
      </c>
      <c r="CB29">
        <v>27.999126434326172</v>
      </c>
      <c r="CC29">
        <v>17.757884979248047</v>
      </c>
      <c r="CD29" t="s">
        <v>822</v>
      </c>
      <c r="CE29" t="s">
        <v>619</v>
      </c>
    </row>
    <row r="30" spans="1:83" ht="12.75" customHeight="1">
      <c r="A30" t="s">
        <v>850</v>
      </c>
      <c r="C30" t="s">
        <v>853</v>
      </c>
      <c r="D30">
        <v>28</v>
      </c>
      <c r="F30">
        <v>35.200000000000003</v>
      </c>
      <c r="G30" t="s">
        <v>812</v>
      </c>
      <c r="H30" t="s">
        <v>813</v>
      </c>
      <c r="I30" t="s">
        <v>814</v>
      </c>
      <c r="J30" t="s">
        <v>815</v>
      </c>
      <c r="K30" t="s">
        <v>816</v>
      </c>
      <c r="L30">
        <v>0.2</v>
      </c>
      <c r="N30">
        <v>500</v>
      </c>
      <c r="R30">
        <v>264</v>
      </c>
      <c r="S30">
        <v>4191</v>
      </c>
      <c r="T30">
        <v>792</v>
      </c>
      <c r="V30" t="s">
        <v>817</v>
      </c>
      <c r="W30" s="514">
        <v>44247.866354166668</v>
      </c>
      <c r="X30">
        <v>99.156227111816406</v>
      </c>
      <c r="Y30" t="s">
        <v>189</v>
      </c>
      <c r="Z30" t="s">
        <v>818</v>
      </c>
      <c r="AA30" t="s">
        <v>819</v>
      </c>
      <c r="AB30" t="s">
        <v>820</v>
      </c>
      <c r="AF30">
        <v>2.0043324679136276E-2</v>
      </c>
      <c r="AG30" t="s">
        <v>821</v>
      </c>
      <c r="AN30">
        <v>4745</v>
      </c>
      <c r="AS30">
        <v>20</v>
      </c>
      <c r="AT30">
        <v>10</v>
      </c>
      <c r="AU30">
        <v>8</v>
      </c>
      <c r="AV30">
        <v>0.16206206697406192</v>
      </c>
      <c r="AW30">
        <v>8.5551656087239589</v>
      </c>
      <c r="AX30">
        <v>0</v>
      </c>
      <c r="AY30">
        <v>2112</v>
      </c>
      <c r="AZ30">
        <v>83.463142395019531</v>
      </c>
      <c r="BA30">
        <v>0</v>
      </c>
      <c r="BB30">
        <v>42.784385681152344</v>
      </c>
      <c r="BC30">
        <v>0</v>
      </c>
      <c r="BD30">
        <v>-1454.431640625</v>
      </c>
      <c r="BE30">
        <v>2640</v>
      </c>
      <c r="BF30">
        <v>5280</v>
      </c>
      <c r="BG30">
        <v>0</v>
      </c>
      <c r="BH30">
        <v>1936</v>
      </c>
      <c r="BI30">
        <v>2258.563720703125</v>
      </c>
      <c r="BJ30">
        <v>2258.563720703125</v>
      </c>
      <c r="BK30">
        <v>8703.8115234375</v>
      </c>
      <c r="BL30">
        <v>8703.8115234375</v>
      </c>
      <c r="BM30">
        <v>20.969175338745117</v>
      </c>
      <c r="BN30">
        <v>25.423982620239258</v>
      </c>
      <c r="BP30">
        <v>21</v>
      </c>
      <c r="BQ30">
        <v>25</v>
      </c>
      <c r="BR30">
        <v>-1291.42822265625</v>
      </c>
      <c r="BS30">
        <v>0</v>
      </c>
      <c r="BT30">
        <v>-178.27484130859375</v>
      </c>
      <c r="BU30">
        <v>0</v>
      </c>
      <c r="BV30">
        <v>-788.8701171875</v>
      </c>
      <c r="BW30" t="s">
        <v>615</v>
      </c>
      <c r="BX30">
        <v>20.969175338745117</v>
      </c>
      <c r="BY30">
        <v>20.409210205078125</v>
      </c>
      <c r="CB30">
        <v>27.999128341674805</v>
      </c>
      <c r="CC30">
        <v>18.05256462097168</v>
      </c>
      <c r="CD30" t="s">
        <v>822</v>
      </c>
      <c r="CE30" t="s">
        <v>823</v>
      </c>
    </row>
    <row r="31" spans="1:83" ht="12.75" customHeight="1">
      <c r="A31" t="s">
        <v>851</v>
      </c>
      <c r="C31" t="s">
        <v>853</v>
      </c>
      <c r="D31">
        <v>29</v>
      </c>
      <c r="F31">
        <v>11.2</v>
      </c>
      <c r="G31" t="s">
        <v>812</v>
      </c>
      <c r="H31" t="s">
        <v>813</v>
      </c>
      <c r="I31" t="s">
        <v>814</v>
      </c>
      <c r="J31" t="s">
        <v>815</v>
      </c>
      <c r="K31" t="s">
        <v>816</v>
      </c>
      <c r="L31">
        <v>0.2</v>
      </c>
      <c r="N31">
        <v>500</v>
      </c>
      <c r="R31">
        <v>84</v>
      </c>
      <c r="S31">
        <v>4190</v>
      </c>
      <c r="T31">
        <v>252</v>
      </c>
      <c r="V31" t="s">
        <v>817</v>
      </c>
      <c r="W31" s="514">
        <v>44247.866377314815</v>
      </c>
      <c r="X31">
        <v>95.593605041503906</v>
      </c>
      <c r="Y31" t="s">
        <v>189</v>
      </c>
      <c r="Z31" t="s">
        <v>818</v>
      </c>
      <c r="AA31" t="s">
        <v>819</v>
      </c>
      <c r="AB31" t="s">
        <v>820</v>
      </c>
      <c r="AF31">
        <v>1.9348008558154106E-2</v>
      </c>
      <c r="AG31" t="s">
        <v>821</v>
      </c>
      <c r="AN31">
        <v>4745</v>
      </c>
      <c r="AS31">
        <v>20</v>
      </c>
      <c r="AT31">
        <v>10</v>
      </c>
      <c r="AU31">
        <v>8</v>
      </c>
      <c r="AV31">
        <v>1.1449547722226097</v>
      </c>
      <c r="AW31">
        <v>9.0762438092912952</v>
      </c>
      <c r="AX31">
        <v>0</v>
      </c>
      <c r="AY31">
        <v>672</v>
      </c>
      <c r="AZ31">
        <v>17.303152084350586</v>
      </c>
      <c r="BA31">
        <v>0</v>
      </c>
      <c r="BB31">
        <v>96.176200866699219</v>
      </c>
      <c r="BC31">
        <v>0</v>
      </c>
      <c r="BD31">
        <v>-523.3486328125</v>
      </c>
      <c r="BE31">
        <v>840</v>
      </c>
      <c r="BF31">
        <v>1680</v>
      </c>
      <c r="BG31">
        <v>0</v>
      </c>
      <c r="BH31">
        <v>616</v>
      </c>
      <c r="BI31">
        <v>762.40447998046875</v>
      </c>
      <c r="BJ31">
        <v>762.40447998046875</v>
      </c>
      <c r="BK31">
        <v>2782.13671875</v>
      </c>
      <c r="BL31">
        <v>2782.13671875</v>
      </c>
      <c r="BM31">
        <v>20.970136642456055</v>
      </c>
      <c r="BN31">
        <v>25.491243362426758</v>
      </c>
      <c r="BP31">
        <v>21</v>
      </c>
      <c r="BQ31">
        <v>25</v>
      </c>
      <c r="BR31">
        <v>-410.92544555664063</v>
      </c>
      <c r="BS31">
        <v>0</v>
      </c>
      <c r="BT31">
        <v>-76.09478759765625</v>
      </c>
      <c r="BU31">
        <v>0</v>
      </c>
      <c r="BV31">
        <v>-275.383056640625</v>
      </c>
      <c r="BW31" t="s">
        <v>615</v>
      </c>
      <c r="BX31">
        <v>20.970136642456055</v>
      </c>
      <c r="BY31">
        <v>20.424125671386719</v>
      </c>
      <c r="CB31">
        <v>27.999109268188477</v>
      </c>
      <c r="CC31">
        <v>17.930173873901367</v>
      </c>
      <c r="CD31" t="s">
        <v>822</v>
      </c>
      <c r="CE31" t="s">
        <v>823</v>
      </c>
    </row>
    <row r="32" spans="1:83" ht="12.75" customHeight="1">
      <c r="A32" t="s">
        <v>852</v>
      </c>
      <c r="C32" t="s">
        <v>853</v>
      </c>
      <c r="D32">
        <v>30</v>
      </c>
      <c r="F32">
        <v>11.2</v>
      </c>
      <c r="G32" t="s">
        <v>812</v>
      </c>
      <c r="H32" t="s">
        <v>813</v>
      </c>
      <c r="I32" t="s">
        <v>814</v>
      </c>
      <c r="J32" t="s">
        <v>815</v>
      </c>
      <c r="K32" t="s">
        <v>816</v>
      </c>
      <c r="L32">
        <v>0.2</v>
      </c>
      <c r="N32">
        <v>500</v>
      </c>
      <c r="R32">
        <v>84</v>
      </c>
      <c r="S32">
        <v>3231</v>
      </c>
      <c r="T32">
        <v>252</v>
      </c>
      <c r="V32" t="s">
        <v>817</v>
      </c>
      <c r="W32" s="514">
        <v>44247.866400462961</v>
      </c>
      <c r="X32">
        <v>99.999984741210938</v>
      </c>
      <c r="Y32" t="s">
        <v>189</v>
      </c>
      <c r="Z32" t="s">
        <v>818</v>
      </c>
      <c r="AA32" t="s">
        <v>819</v>
      </c>
      <c r="AB32" t="s">
        <v>820</v>
      </c>
      <c r="AF32">
        <v>2.0181337371468544E-2</v>
      </c>
      <c r="AG32" t="s">
        <v>821</v>
      </c>
      <c r="AN32">
        <v>4745</v>
      </c>
      <c r="AS32">
        <v>20</v>
      </c>
      <c r="AT32">
        <v>10</v>
      </c>
      <c r="AU32">
        <v>8</v>
      </c>
      <c r="AV32">
        <v>0.46901516687302364</v>
      </c>
      <c r="AW32">
        <v>9.0762597946893599</v>
      </c>
      <c r="AX32">
        <v>0</v>
      </c>
      <c r="AY32">
        <v>672</v>
      </c>
      <c r="AZ32">
        <v>18.510496139526367</v>
      </c>
      <c r="BA32">
        <v>0</v>
      </c>
      <c r="BB32">
        <v>39.397274017333984</v>
      </c>
      <c r="BC32">
        <v>0</v>
      </c>
      <c r="BD32">
        <v>-496.00927734375</v>
      </c>
      <c r="BE32">
        <v>840</v>
      </c>
      <c r="BF32">
        <v>1680</v>
      </c>
      <c r="BG32">
        <v>0</v>
      </c>
      <c r="BH32">
        <v>616</v>
      </c>
      <c r="BI32">
        <v>762.40582275390625</v>
      </c>
      <c r="BJ32">
        <v>762.40582275390625</v>
      </c>
      <c r="BK32">
        <v>2753.89892578125</v>
      </c>
      <c r="BL32">
        <v>2753.89892578125</v>
      </c>
      <c r="BM32">
        <v>20.970146179199219</v>
      </c>
      <c r="BN32">
        <v>25.339391708374023</v>
      </c>
      <c r="BP32">
        <v>21</v>
      </c>
      <c r="BQ32">
        <v>25</v>
      </c>
      <c r="BR32">
        <v>-410.92559814453125</v>
      </c>
      <c r="BS32">
        <v>0</v>
      </c>
      <c r="BT32">
        <v>-76.095436096191406</v>
      </c>
      <c r="BU32">
        <v>0</v>
      </c>
      <c r="BV32">
        <v>-275.38232421875</v>
      </c>
      <c r="BW32" t="s">
        <v>615</v>
      </c>
      <c r="BX32">
        <v>20.970146179199219</v>
      </c>
      <c r="BY32">
        <v>20.424144744873047</v>
      </c>
      <c r="CB32">
        <v>27.999160766601563</v>
      </c>
      <c r="CC32">
        <v>17.909940719604492</v>
      </c>
      <c r="CD32" t="s">
        <v>822</v>
      </c>
      <c r="CE32" t="s">
        <v>823</v>
      </c>
    </row>
    <row r="33" spans="1:83" ht="12.75" customHeight="1">
      <c r="A33" t="s">
        <v>641</v>
      </c>
      <c r="C33" t="s">
        <v>621</v>
      </c>
      <c r="D33">
        <v>31</v>
      </c>
      <c r="F33">
        <v>65535</v>
      </c>
      <c r="I33" t="s">
        <v>641</v>
      </c>
      <c r="W33" s="514"/>
      <c r="AN33">
        <v>0</v>
      </c>
      <c r="AO33">
        <v>0</v>
      </c>
      <c r="AP33">
        <v>0</v>
      </c>
      <c r="AS33">
        <v>65535</v>
      </c>
      <c r="AT33">
        <v>65535</v>
      </c>
      <c r="AU33">
        <v>65535</v>
      </c>
      <c r="BI33">
        <v>0</v>
      </c>
      <c r="BK33">
        <v>0</v>
      </c>
      <c r="BL33">
        <v>0</v>
      </c>
      <c r="BP33">
        <v>65535</v>
      </c>
      <c r="BQ33">
        <v>65535</v>
      </c>
      <c r="CB33">
        <v>18.574638366699219</v>
      </c>
      <c r="CC33">
        <v>7.1292800903320313</v>
      </c>
    </row>
    <row r="34" spans="1:83" ht="12.75" customHeight="1">
      <c r="A34" t="s">
        <v>620</v>
      </c>
      <c r="C34" t="s">
        <v>621</v>
      </c>
      <c r="D34">
        <v>32</v>
      </c>
      <c r="F34">
        <v>65535</v>
      </c>
      <c r="I34" t="s">
        <v>620</v>
      </c>
      <c r="R34">
        <v>7.280001163482666</v>
      </c>
      <c r="T34">
        <v>30.576005935668945</v>
      </c>
      <c r="W34" s="514">
        <v>44245.742905092593</v>
      </c>
      <c r="AN34">
        <v>0</v>
      </c>
      <c r="AO34">
        <v>0</v>
      </c>
      <c r="AP34">
        <v>0</v>
      </c>
      <c r="AS34">
        <v>0</v>
      </c>
      <c r="AT34">
        <v>0</v>
      </c>
      <c r="AU34">
        <v>0</v>
      </c>
      <c r="AW34">
        <v>0</v>
      </c>
      <c r="AZ34">
        <v>0</v>
      </c>
      <c r="BA34">
        <v>-5.4936431115493178E-4</v>
      </c>
      <c r="BB34">
        <v>0</v>
      </c>
      <c r="BC34">
        <v>9.9062042236328125</v>
      </c>
      <c r="BD34">
        <v>-9.9055871963500977</v>
      </c>
      <c r="BI34">
        <v>0</v>
      </c>
      <c r="BJ34">
        <v>0</v>
      </c>
      <c r="BK34">
        <v>0</v>
      </c>
      <c r="BL34">
        <v>0</v>
      </c>
      <c r="BM34">
        <v>2.4326769765270484E-11</v>
      </c>
      <c r="BN34">
        <v>2.3984375</v>
      </c>
      <c r="BP34">
        <v>65535</v>
      </c>
      <c r="BQ34">
        <v>65535</v>
      </c>
      <c r="BR34">
        <v>0</v>
      </c>
      <c r="BS34">
        <v>-5.4936431115493178E-4</v>
      </c>
      <c r="BT34">
        <v>0</v>
      </c>
      <c r="BU34">
        <v>9.9062042236328125</v>
      </c>
      <c r="BV34">
        <v>-9.9055871963500977</v>
      </c>
      <c r="BW34" t="s">
        <v>615</v>
      </c>
      <c r="BX34">
        <v>2.4326769765270484E-11</v>
      </c>
      <c r="BY34">
        <v>2.3984375</v>
      </c>
      <c r="CB34">
        <v>19.745401382446289</v>
      </c>
      <c r="CC34">
        <v>6.2339653968811035</v>
      </c>
      <c r="CD34" t="s">
        <v>622</v>
      </c>
      <c r="CE34" t="s">
        <v>623</v>
      </c>
    </row>
    <row r="35" spans="1:83" ht="12.75" customHeight="1">
      <c r="A35" t="s">
        <v>642</v>
      </c>
      <c r="C35" t="s">
        <v>621</v>
      </c>
      <c r="D35">
        <v>33</v>
      </c>
      <c r="F35">
        <v>65535</v>
      </c>
      <c r="I35" t="s">
        <v>642</v>
      </c>
      <c r="R35">
        <v>7.280001163482666</v>
      </c>
      <c r="T35">
        <v>30.576005935668945</v>
      </c>
      <c r="W35" s="514">
        <v>44245.742905092593</v>
      </c>
      <c r="AN35">
        <v>0</v>
      </c>
      <c r="AO35">
        <v>0</v>
      </c>
      <c r="AP35">
        <v>0</v>
      </c>
      <c r="AS35">
        <v>0</v>
      </c>
      <c r="AT35">
        <v>0</v>
      </c>
      <c r="AU35">
        <v>0</v>
      </c>
      <c r="AW35">
        <v>0</v>
      </c>
      <c r="AZ35">
        <v>0</v>
      </c>
      <c r="BA35">
        <v>-5.4936431115493178E-4</v>
      </c>
      <c r="BB35">
        <v>0</v>
      </c>
      <c r="BC35">
        <v>9.9062042236328125</v>
      </c>
      <c r="BD35">
        <v>-9.9055871963500977</v>
      </c>
      <c r="BI35">
        <v>0</v>
      </c>
      <c r="BJ35">
        <v>0</v>
      </c>
      <c r="BK35">
        <v>0</v>
      </c>
      <c r="BL35">
        <v>0</v>
      </c>
      <c r="BM35">
        <v>2.4326769765270484E-11</v>
      </c>
      <c r="BN35">
        <v>2.3984375</v>
      </c>
      <c r="BP35">
        <v>65535</v>
      </c>
      <c r="BQ35">
        <v>65535</v>
      </c>
      <c r="BR35">
        <v>0</v>
      </c>
      <c r="BS35">
        <v>-5.4936431115493178E-4</v>
      </c>
      <c r="BT35">
        <v>0</v>
      </c>
      <c r="BU35">
        <v>9.9062042236328125</v>
      </c>
      <c r="BV35">
        <v>-9.9055871963500977</v>
      </c>
      <c r="BW35" t="s">
        <v>615</v>
      </c>
      <c r="BX35">
        <v>2.4326769765270484E-11</v>
      </c>
      <c r="BY35">
        <v>2.3984375</v>
      </c>
      <c r="CB35">
        <v>18.805768966674805</v>
      </c>
      <c r="CC35">
        <v>7.0398960113525391</v>
      </c>
      <c r="CD35" t="s">
        <v>617</v>
      </c>
      <c r="CE35" t="s">
        <v>623</v>
      </c>
    </row>
    <row r="36" spans="1:83" ht="12.75" customHeight="1">
      <c r="A36" t="s">
        <v>643</v>
      </c>
      <c r="C36" t="s">
        <v>621</v>
      </c>
      <c r="D36">
        <v>34</v>
      </c>
      <c r="F36">
        <v>65535</v>
      </c>
      <c r="I36" t="s">
        <v>643</v>
      </c>
      <c r="R36">
        <v>7.280001163482666</v>
      </c>
      <c r="T36">
        <v>30.576005935668945</v>
      </c>
      <c r="W36" s="514">
        <v>44245.742905092593</v>
      </c>
      <c r="AN36">
        <v>0</v>
      </c>
      <c r="AO36">
        <v>0</v>
      </c>
      <c r="AP36">
        <v>0</v>
      </c>
      <c r="AS36">
        <v>0</v>
      </c>
      <c r="AT36">
        <v>0</v>
      </c>
      <c r="AU36">
        <v>0</v>
      </c>
      <c r="AW36">
        <v>0</v>
      </c>
      <c r="AZ36">
        <v>0</v>
      </c>
      <c r="BA36">
        <v>-5.4936431115493178E-4</v>
      </c>
      <c r="BB36">
        <v>0</v>
      </c>
      <c r="BC36">
        <v>9.9062042236328125</v>
      </c>
      <c r="BD36">
        <v>-9.9055871963500977</v>
      </c>
      <c r="BI36">
        <v>0</v>
      </c>
      <c r="BJ36">
        <v>0</v>
      </c>
      <c r="BK36">
        <v>0</v>
      </c>
      <c r="BL36">
        <v>0</v>
      </c>
      <c r="BM36">
        <v>2.4326769765270484E-11</v>
      </c>
      <c r="BN36">
        <v>2.3984375</v>
      </c>
      <c r="BP36">
        <v>65535</v>
      </c>
      <c r="BQ36">
        <v>65535</v>
      </c>
      <c r="BR36">
        <v>0</v>
      </c>
      <c r="BS36">
        <v>-5.4936431115493178E-4</v>
      </c>
      <c r="BT36">
        <v>0</v>
      </c>
      <c r="BU36">
        <v>9.9062042236328125</v>
      </c>
      <c r="BV36">
        <v>-9.9055871963500977</v>
      </c>
      <c r="BW36" t="s">
        <v>615</v>
      </c>
      <c r="BX36">
        <v>2.4326769765270484E-11</v>
      </c>
      <c r="BY36">
        <v>2.3984375</v>
      </c>
      <c r="CB36">
        <v>18.492700576782227</v>
      </c>
      <c r="CC36">
        <v>7.2283225059509277</v>
      </c>
    </row>
    <row r="37" spans="1:83" ht="12.75" customHeight="1">
      <c r="A37" t="s">
        <v>644</v>
      </c>
      <c r="C37" t="s">
        <v>621</v>
      </c>
      <c r="D37">
        <v>35</v>
      </c>
      <c r="F37">
        <v>65535</v>
      </c>
      <c r="I37" t="s">
        <v>644</v>
      </c>
      <c r="R37">
        <v>7.280001163482666</v>
      </c>
      <c r="T37">
        <v>30.576005935668945</v>
      </c>
      <c r="W37" s="514">
        <v>44245.742905092593</v>
      </c>
      <c r="AN37">
        <v>0</v>
      </c>
      <c r="AO37">
        <v>0</v>
      </c>
      <c r="AP37">
        <v>0</v>
      </c>
      <c r="AS37">
        <v>0</v>
      </c>
      <c r="AT37">
        <v>0</v>
      </c>
      <c r="AU37">
        <v>0</v>
      </c>
      <c r="AW37">
        <v>0</v>
      </c>
      <c r="AZ37">
        <v>0</v>
      </c>
      <c r="BA37">
        <v>-5.4936431115493178E-4</v>
      </c>
      <c r="BB37">
        <v>0</v>
      </c>
      <c r="BC37">
        <v>9.9062042236328125</v>
      </c>
      <c r="BD37">
        <v>-9.9055871963500977</v>
      </c>
      <c r="BI37">
        <v>0</v>
      </c>
      <c r="BJ37">
        <v>0</v>
      </c>
      <c r="BK37">
        <v>0</v>
      </c>
      <c r="BL37">
        <v>0</v>
      </c>
      <c r="BM37">
        <v>2.4326769765270484E-11</v>
      </c>
      <c r="BN37">
        <v>2.3984375</v>
      </c>
      <c r="BP37">
        <v>65535</v>
      </c>
      <c r="BQ37">
        <v>65535</v>
      </c>
      <c r="BR37">
        <v>0</v>
      </c>
      <c r="BS37">
        <v>-5.4936431115493178E-4</v>
      </c>
      <c r="BT37">
        <v>0</v>
      </c>
      <c r="BU37">
        <v>9.9062042236328125</v>
      </c>
      <c r="BV37">
        <v>-9.9055871963500977</v>
      </c>
      <c r="BW37" t="s">
        <v>615</v>
      </c>
      <c r="BX37">
        <v>2.4326769765270484E-11</v>
      </c>
      <c r="BY37">
        <v>2.3984375</v>
      </c>
      <c r="CB37">
        <v>18.529254913330078</v>
      </c>
      <c r="CC37">
        <v>7.1777396202087402</v>
      </c>
      <c r="CD37" t="s">
        <v>631</v>
      </c>
      <c r="CE37" t="s">
        <v>632</v>
      </c>
    </row>
    <row r="38" spans="1:83" ht="12.75" customHeight="1">
      <c r="A38" t="s">
        <v>644</v>
      </c>
      <c r="C38" t="s">
        <v>621</v>
      </c>
      <c r="D38">
        <v>36</v>
      </c>
      <c r="F38">
        <v>65535</v>
      </c>
      <c r="I38" t="s">
        <v>644</v>
      </c>
      <c r="R38">
        <v>7.280001163482666</v>
      </c>
      <c r="T38">
        <v>30.576005935668945</v>
      </c>
      <c r="W38" s="514">
        <v>44245.742905092593</v>
      </c>
      <c r="AN38">
        <v>0</v>
      </c>
      <c r="AO38">
        <v>0</v>
      </c>
      <c r="AP38">
        <v>0</v>
      </c>
      <c r="AS38">
        <v>0</v>
      </c>
      <c r="AT38">
        <v>0</v>
      </c>
      <c r="AU38">
        <v>0</v>
      </c>
      <c r="AW38">
        <v>0</v>
      </c>
      <c r="AZ38">
        <v>0</v>
      </c>
      <c r="BA38">
        <v>-5.4936431115493178E-4</v>
      </c>
      <c r="BB38">
        <v>0</v>
      </c>
      <c r="BC38">
        <v>9.9062042236328125</v>
      </c>
      <c r="BD38">
        <v>-9.9055871963500977</v>
      </c>
      <c r="BI38">
        <v>0</v>
      </c>
      <c r="BJ38">
        <v>0</v>
      </c>
      <c r="BK38">
        <v>0</v>
      </c>
      <c r="BL38">
        <v>0</v>
      </c>
      <c r="BM38">
        <v>2.4326769765270484E-11</v>
      </c>
      <c r="BN38">
        <v>2.3984375</v>
      </c>
      <c r="BP38">
        <v>65535</v>
      </c>
      <c r="BQ38">
        <v>65535</v>
      </c>
      <c r="BR38">
        <v>0</v>
      </c>
      <c r="BS38">
        <v>-5.4936431115493178E-4</v>
      </c>
      <c r="BT38">
        <v>0</v>
      </c>
      <c r="BU38">
        <v>9.9062042236328125</v>
      </c>
      <c r="BV38">
        <v>-9.9055871963500977</v>
      </c>
      <c r="BW38" t="s">
        <v>615</v>
      </c>
      <c r="BX38">
        <v>2.4326769765270484E-11</v>
      </c>
      <c r="BY38">
        <v>2.3984375</v>
      </c>
      <c r="CB38">
        <v>18.574638366699219</v>
      </c>
      <c r="CC38">
        <v>7.1292800903320313</v>
      </c>
      <c r="CD38" t="s">
        <v>631</v>
      </c>
      <c r="CE38" t="s">
        <v>632</v>
      </c>
    </row>
    <row r="39" spans="1:83" ht="12.75" customHeight="1">
      <c r="A39" t="s">
        <v>645</v>
      </c>
      <c r="C39" t="s">
        <v>621</v>
      </c>
      <c r="D39">
        <v>37</v>
      </c>
      <c r="F39">
        <v>65535</v>
      </c>
      <c r="I39" t="s">
        <v>645</v>
      </c>
      <c r="R39">
        <v>7.280001163482666</v>
      </c>
      <c r="T39">
        <v>30.576005935668945</v>
      </c>
      <c r="W39" s="514">
        <v>44245.742905092593</v>
      </c>
      <c r="AN39">
        <v>0</v>
      </c>
      <c r="AO39">
        <v>0</v>
      </c>
      <c r="AP39">
        <v>0</v>
      </c>
      <c r="AS39">
        <v>0</v>
      </c>
      <c r="AT39">
        <v>0</v>
      </c>
      <c r="AU39">
        <v>0</v>
      </c>
      <c r="AW39">
        <v>0</v>
      </c>
      <c r="AZ39">
        <v>0</v>
      </c>
      <c r="BA39">
        <v>-5.4936431115493178E-4</v>
      </c>
      <c r="BB39">
        <v>0</v>
      </c>
      <c r="BC39">
        <v>9.9062042236328125</v>
      </c>
      <c r="BD39">
        <v>-9.9055871963500977</v>
      </c>
      <c r="BI39">
        <v>0</v>
      </c>
      <c r="BJ39">
        <v>0</v>
      </c>
      <c r="BK39">
        <v>0</v>
      </c>
      <c r="BL39">
        <v>0</v>
      </c>
      <c r="BM39">
        <v>2.4326769765270484E-11</v>
      </c>
      <c r="BN39">
        <v>2.3984375</v>
      </c>
      <c r="BP39">
        <v>65535</v>
      </c>
      <c r="BQ39">
        <v>65535</v>
      </c>
      <c r="BR39">
        <v>0</v>
      </c>
      <c r="BS39">
        <v>-5.4936431115493178E-4</v>
      </c>
      <c r="BT39">
        <v>0</v>
      </c>
      <c r="BU39">
        <v>9.9062042236328125</v>
      </c>
      <c r="BV39">
        <v>-9.9055871963500977</v>
      </c>
      <c r="BW39" t="s">
        <v>615</v>
      </c>
      <c r="BX39">
        <v>2.4326769765270484E-11</v>
      </c>
      <c r="BY39">
        <v>2.3984375</v>
      </c>
      <c r="CB39">
        <v>19.745401382446289</v>
      </c>
      <c r="CC39">
        <v>6.2339653968811035</v>
      </c>
    </row>
    <row r="40" spans="1:83" ht="12.75" customHeight="1">
      <c r="A40" t="s">
        <v>644</v>
      </c>
      <c r="C40" t="s">
        <v>621</v>
      </c>
      <c r="D40">
        <v>38</v>
      </c>
      <c r="F40">
        <v>65535</v>
      </c>
      <c r="I40" t="s">
        <v>644</v>
      </c>
      <c r="R40">
        <v>7.280001163482666</v>
      </c>
      <c r="T40">
        <v>30.576005935668945</v>
      </c>
      <c r="W40" s="514">
        <v>44245.742905092593</v>
      </c>
      <c r="AN40">
        <v>0</v>
      </c>
      <c r="AO40">
        <v>0</v>
      </c>
      <c r="AP40">
        <v>0</v>
      </c>
      <c r="AS40">
        <v>0</v>
      </c>
      <c r="AT40">
        <v>0</v>
      </c>
      <c r="AU40">
        <v>0</v>
      </c>
      <c r="AW40">
        <v>0</v>
      </c>
      <c r="AZ40">
        <v>0</v>
      </c>
      <c r="BA40">
        <v>-5.4936431115493178E-4</v>
      </c>
      <c r="BB40">
        <v>0</v>
      </c>
      <c r="BC40">
        <v>9.9062042236328125</v>
      </c>
      <c r="BD40">
        <v>-9.9055871963500977</v>
      </c>
      <c r="BI40">
        <v>0</v>
      </c>
      <c r="BJ40">
        <v>0</v>
      </c>
      <c r="BK40">
        <v>0</v>
      </c>
      <c r="BL40">
        <v>0</v>
      </c>
      <c r="BM40">
        <v>2.4326769765270484E-11</v>
      </c>
      <c r="BN40">
        <v>2.3984375</v>
      </c>
      <c r="BP40">
        <v>65535</v>
      </c>
      <c r="BQ40">
        <v>65535</v>
      </c>
      <c r="BR40">
        <v>0</v>
      </c>
      <c r="BS40">
        <v>-5.4936431115493178E-4</v>
      </c>
      <c r="BT40">
        <v>0</v>
      </c>
      <c r="BU40">
        <v>9.9062042236328125</v>
      </c>
      <c r="BV40">
        <v>-9.9055871963500977</v>
      </c>
      <c r="BW40" t="s">
        <v>615</v>
      </c>
      <c r="BX40">
        <v>2.4326769765270484E-11</v>
      </c>
      <c r="BY40">
        <v>2.3984375</v>
      </c>
      <c r="CB40">
        <v>18.805768966674805</v>
      </c>
      <c r="CC40">
        <v>7.0398960113525391</v>
      </c>
      <c r="CD40" t="s">
        <v>631</v>
      </c>
      <c r="CE40" t="s">
        <v>632</v>
      </c>
    </row>
    <row r="41" spans="1:83" ht="12.75" customHeight="1">
      <c r="A41" t="s">
        <v>646</v>
      </c>
      <c r="C41" t="s">
        <v>621</v>
      </c>
      <c r="D41">
        <v>39</v>
      </c>
      <c r="F41">
        <v>65535</v>
      </c>
      <c r="I41" t="s">
        <v>646</v>
      </c>
      <c r="R41">
        <v>7.8000001907348633</v>
      </c>
      <c r="T41">
        <v>32.759998321533203</v>
      </c>
      <c r="W41" s="514">
        <v>44245.74291666667</v>
      </c>
      <c r="AN41">
        <v>0</v>
      </c>
      <c r="AO41">
        <v>0</v>
      </c>
      <c r="AP41">
        <v>0</v>
      </c>
      <c r="AS41">
        <v>0</v>
      </c>
      <c r="AT41">
        <v>0</v>
      </c>
      <c r="AU41">
        <v>0</v>
      </c>
      <c r="AW41">
        <v>0</v>
      </c>
      <c r="AZ41">
        <v>0</v>
      </c>
      <c r="BA41">
        <v>-5.4153113160282373E-4</v>
      </c>
      <c r="BB41">
        <v>0</v>
      </c>
      <c r="BC41">
        <v>10.747062683105469</v>
      </c>
      <c r="BD41">
        <v>-10.746562957763672</v>
      </c>
      <c r="BI41">
        <v>0</v>
      </c>
      <c r="BJ41">
        <v>0</v>
      </c>
      <c r="BK41">
        <v>0</v>
      </c>
      <c r="BL41">
        <v>0</v>
      </c>
      <c r="BM41">
        <v>8.7486061058570168E-26</v>
      </c>
      <c r="BN41">
        <v>2.322296142578125</v>
      </c>
      <c r="BP41">
        <v>65535</v>
      </c>
      <c r="BQ41">
        <v>65535</v>
      </c>
      <c r="BR41">
        <v>0</v>
      </c>
      <c r="BS41">
        <v>-5.4153113160282373E-4</v>
      </c>
      <c r="BT41">
        <v>0</v>
      </c>
      <c r="BU41">
        <v>10.747062683105469</v>
      </c>
      <c r="BV41">
        <v>-10.746562957763672</v>
      </c>
      <c r="BW41" t="s">
        <v>615</v>
      </c>
      <c r="BX41">
        <v>8.7486061058570168E-26</v>
      </c>
      <c r="BY41">
        <v>2.322296142578125</v>
      </c>
      <c r="CB41">
        <v>18.492700576782227</v>
      </c>
      <c r="CC41">
        <v>7.2283225059509277</v>
      </c>
    </row>
    <row r="42" spans="1:83" ht="12.75" customHeight="1">
      <c r="A42" t="s">
        <v>647</v>
      </c>
      <c r="C42" t="s">
        <v>621</v>
      </c>
      <c r="D42">
        <v>40</v>
      </c>
      <c r="F42">
        <v>65535</v>
      </c>
      <c r="I42" t="s">
        <v>647</v>
      </c>
      <c r="R42">
        <v>7.8000001907348633</v>
      </c>
      <c r="T42">
        <v>32.759998321533203</v>
      </c>
      <c r="W42" s="514">
        <v>44245.74291666667</v>
      </c>
      <c r="AN42">
        <v>0</v>
      </c>
      <c r="AO42">
        <v>0</v>
      </c>
      <c r="AP42">
        <v>0</v>
      </c>
      <c r="AS42">
        <v>0</v>
      </c>
      <c r="AT42">
        <v>0</v>
      </c>
      <c r="AU42">
        <v>0</v>
      </c>
      <c r="AW42">
        <v>0</v>
      </c>
      <c r="AZ42">
        <v>0</v>
      </c>
      <c r="BA42">
        <v>-5.4153113160282373E-4</v>
      </c>
      <c r="BB42">
        <v>0</v>
      </c>
      <c r="BC42">
        <v>10.747062683105469</v>
      </c>
      <c r="BD42">
        <v>-10.746562957763672</v>
      </c>
      <c r="BI42">
        <v>0</v>
      </c>
      <c r="BJ42">
        <v>0</v>
      </c>
      <c r="BK42">
        <v>0</v>
      </c>
      <c r="BL42">
        <v>0</v>
      </c>
      <c r="BM42">
        <v>8.7486061058570168E-26</v>
      </c>
      <c r="BN42">
        <v>2.322296142578125</v>
      </c>
      <c r="BP42">
        <v>65535</v>
      </c>
      <c r="BQ42">
        <v>65535</v>
      </c>
      <c r="BR42">
        <v>0</v>
      </c>
      <c r="BS42">
        <v>-5.4153113160282373E-4</v>
      </c>
      <c r="BT42">
        <v>0</v>
      </c>
      <c r="BU42">
        <v>10.747062683105469</v>
      </c>
      <c r="BV42">
        <v>-10.746562957763672</v>
      </c>
      <c r="BW42" t="s">
        <v>615</v>
      </c>
      <c r="BX42">
        <v>8.7486061058570168E-26</v>
      </c>
      <c r="BY42">
        <v>2.322296142578125</v>
      </c>
      <c r="CB42">
        <v>18.529254913330078</v>
      </c>
      <c r="CC42">
        <v>7.1777396202087402</v>
      </c>
    </row>
    <row r="43" spans="1:83" ht="12.75" customHeight="1">
      <c r="A43" t="s">
        <v>638</v>
      </c>
      <c r="C43" t="s">
        <v>621</v>
      </c>
      <c r="D43">
        <v>41</v>
      </c>
      <c r="F43">
        <v>65535</v>
      </c>
      <c r="I43" t="s">
        <v>638</v>
      </c>
      <c r="R43">
        <v>7.8000001907348633</v>
      </c>
      <c r="T43">
        <v>32.759998321533203</v>
      </c>
      <c r="W43" s="514">
        <v>44245.74291666667</v>
      </c>
      <c r="AN43">
        <v>0</v>
      </c>
      <c r="AO43">
        <v>0</v>
      </c>
      <c r="AP43">
        <v>0</v>
      </c>
      <c r="AS43">
        <v>0</v>
      </c>
      <c r="AT43">
        <v>0</v>
      </c>
      <c r="AU43">
        <v>0</v>
      </c>
      <c r="AW43">
        <v>0</v>
      </c>
      <c r="AZ43">
        <v>0</v>
      </c>
      <c r="BA43">
        <v>-5.4153113160282373E-4</v>
      </c>
      <c r="BB43">
        <v>0</v>
      </c>
      <c r="BC43">
        <v>10.747062683105469</v>
      </c>
      <c r="BD43">
        <v>-10.746562957763672</v>
      </c>
      <c r="BI43">
        <v>0</v>
      </c>
      <c r="BJ43">
        <v>0</v>
      </c>
      <c r="BK43">
        <v>0</v>
      </c>
      <c r="BL43">
        <v>0</v>
      </c>
      <c r="BM43">
        <v>8.7486061058570168E-26</v>
      </c>
      <c r="BN43">
        <v>2.322296142578125</v>
      </c>
      <c r="BP43">
        <v>65535</v>
      </c>
      <c r="BQ43">
        <v>65535</v>
      </c>
      <c r="BR43">
        <v>0</v>
      </c>
      <c r="BS43">
        <v>-5.4153113160282373E-4</v>
      </c>
      <c r="BT43">
        <v>0</v>
      </c>
      <c r="BU43">
        <v>10.747062683105469</v>
      </c>
      <c r="BV43">
        <v>-10.746562957763672</v>
      </c>
      <c r="BW43" t="s">
        <v>615</v>
      </c>
      <c r="BX43">
        <v>8.7486061058570168E-26</v>
      </c>
      <c r="BY43">
        <v>2.322296142578125</v>
      </c>
      <c r="CB43">
        <v>18.574638366699219</v>
      </c>
      <c r="CC43">
        <v>7.1292800903320313</v>
      </c>
    </row>
    <row r="44" spans="1:83" ht="12.75" customHeight="1">
      <c r="A44" t="s">
        <v>648</v>
      </c>
      <c r="C44" t="s">
        <v>621</v>
      </c>
      <c r="D44">
        <v>42</v>
      </c>
      <c r="F44">
        <v>65535</v>
      </c>
      <c r="I44" t="s">
        <v>648</v>
      </c>
      <c r="R44">
        <v>7.8000001907348633</v>
      </c>
      <c r="T44">
        <v>32.759998321533203</v>
      </c>
      <c r="W44" s="514">
        <v>44245.74291666667</v>
      </c>
      <c r="AN44">
        <v>0</v>
      </c>
      <c r="AO44">
        <v>0</v>
      </c>
      <c r="AP44">
        <v>0</v>
      </c>
      <c r="AS44">
        <v>0</v>
      </c>
      <c r="AT44">
        <v>0</v>
      </c>
      <c r="AU44">
        <v>0</v>
      </c>
      <c r="AW44">
        <v>0</v>
      </c>
      <c r="AZ44">
        <v>0</v>
      </c>
      <c r="BA44">
        <v>-5.4153113160282373E-4</v>
      </c>
      <c r="BB44">
        <v>0</v>
      </c>
      <c r="BC44">
        <v>10.747062683105469</v>
      </c>
      <c r="BD44">
        <v>-10.746562957763672</v>
      </c>
      <c r="BI44">
        <v>0</v>
      </c>
      <c r="BJ44">
        <v>0</v>
      </c>
      <c r="BK44">
        <v>0</v>
      </c>
      <c r="BL44">
        <v>0</v>
      </c>
      <c r="BM44">
        <v>8.7486061058570168E-26</v>
      </c>
      <c r="BN44">
        <v>2.322296142578125</v>
      </c>
      <c r="BP44">
        <v>65535</v>
      </c>
      <c r="BQ44">
        <v>65535</v>
      </c>
      <c r="BR44">
        <v>0</v>
      </c>
      <c r="BS44">
        <v>-5.4153113160282373E-4</v>
      </c>
      <c r="BT44">
        <v>0</v>
      </c>
      <c r="BU44">
        <v>10.747062683105469</v>
      </c>
      <c r="BV44">
        <v>-10.746562957763672</v>
      </c>
      <c r="BW44" t="s">
        <v>615</v>
      </c>
      <c r="BX44">
        <v>8.7486061058570168E-26</v>
      </c>
      <c r="BY44">
        <v>2.322296142578125</v>
      </c>
      <c r="CB44">
        <v>19.745401382446289</v>
      </c>
      <c r="CC44">
        <v>6.2339653968811035</v>
      </c>
    </row>
    <row r="45" spans="1:83" ht="12.75" customHeight="1">
      <c r="A45" t="s">
        <v>649</v>
      </c>
      <c r="C45" t="s">
        <v>621</v>
      </c>
      <c r="D45">
        <v>43</v>
      </c>
      <c r="F45">
        <v>65535</v>
      </c>
      <c r="I45" t="s">
        <v>649</v>
      </c>
      <c r="R45">
        <v>7.8000001907348633</v>
      </c>
      <c r="T45">
        <v>32.759998321533203</v>
      </c>
      <c r="W45" s="514">
        <v>44245.74291666667</v>
      </c>
      <c r="AN45">
        <v>0</v>
      </c>
      <c r="AO45">
        <v>0</v>
      </c>
      <c r="AP45">
        <v>0</v>
      </c>
      <c r="AS45">
        <v>0</v>
      </c>
      <c r="AT45">
        <v>0</v>
      </c>
      <c r="AU45">
        <v>0</v>
      </c>
      <c r="AW45">
        <v>0</v>
      </c>
      <c r="AZ45">
        <v>0</v>
      </c>
      <c r="BA45">
        <v>-5.4153113160282373E-4</v>
      </c>
      <c r="BB45">
        <v>0</v>
      </c>
      <c r="BC45">
        <v>10.747062683105469</v>
      </c>
      <c r="BD45">
        <v>-10.746562957763672</v>
      </c>
      <c r="BI45">
        <v>0</v>
      </c>
      <c r="BJ45">
        <v>0</v>
      </c>
      <c r="BK45">
        <v>0</v>
      </c>
      <c r="BL45">
        <v>0</v>
      </c>
      <c r="BM45">
        <v>8.7486061058570168E-26</v>
      </c>
      <c r="BN45">
        <v>2.322296142578125</v>
      </c>
      <c r="BP45">
        <v>65535</v>
      </c>
      <c r="BQ45">
        <v>65535</v>
      </c>
      <c r="BR45">
        <v>0</v>
      </c>
      <c r="BS45">
        <v>-5.4153113160282373E-4</v>
      </c>
      <c r="BT45">
        <v>0</v>
      </c>
      <c r="BU45">
        <v>10.747062683105469</v>
      </c>
      <c r="BV45">
        <v>-10.746562957763672</v>
      </c>
      <c r="BW45" t="s">
        <v>615</v>
      </c>
      <c r="BX45">
        <v>8.7486061058570168E-26</v>
      </c>
      <c r="BY45">
        <v>2.322296142578125</v>
      </c>
      <c r="CB45">
        <v>18.805768966674805</v>
      </c>
      <c r="CC45">
        <v>7.0398960113525391</v>
      </c>
    </row>
    <row r="46" spans="1:83" ht="12.75" customHeight="1">
      <c r="A46" t="s">
        <v>650</v>
      </c>
      <c r="C46" t="s">
        <v>621</v>
      </c>
      <c r="D46">
        <v>44</v>
      </c>
      <c r="F46">
        <v>65535</v>
      </c>
      <c r="I46" t="s">
        <v>650</v>
      </c>
      <c r="R46">
        <v>7.8000001907348633</v>
      </c>
      <c r="T46">
        <v>32.759998321533203</v>
      </c>
      <c r="W46" s="514">
        <v>44245.74291666667</v>
      </c>
      <c r="AN46">
        <v>0</v>
      </c>
      <c r="AO46">
        <v>0</v>
      </c>
      <c r="AP46">
        <v>0</v>
      </c>
      <c r="AS46">
        <v>0</v>
      </c>
      <c r="AT46">
        <v>0</v>
      </c>
      <c r="AU46">
        <v>0</v>
      </c>
      <c r="AW46">
        <v>0</v>
      </c>
      <c r="AZ46">
        <v>0</v>
      </c>
      <c r="BA46">
        <v>-5.4153113160282373E-4</v>
      </c>
      <c r="BB46">
        <v>0</v>
      </c>
      <c r="BC46">
        <v>10.747062683105469</v>
      </c>
      <c r="BD46">
        <v>-10.746562957763672</v>
      </c>
      <c r="BI46">
        <v>0</v>
      </c>
      <c r="BJ46">
        <v>0</v>
      </c>
      <c r="BK46">
        <v>0</v>
      </c>
      <c r="BL46">
        <v>0</v>
      </c>
      <c r="BM46">
        <v>8.7486061058570168E-26</v>
      </c>
      <c r="BN46">
        <v>2.322296142578125</v>
      </c>
      <c r="BP46">
        <v>65535</v>
      </c>
      <c r="BQ46">
        <v>65535</v>
      </c>
      <c r="BR46">
        <v>0</v>
      </c>
      <c r="BS46">
        <v>-5.4153113160282373E-4</v>
      </c>
      <c r="BT46">
        <v>0</v>
      </c>
      <c r="BU46">
        <v>10.747062683105469</v>
      </c>
      <c r="BV46">
        <v>-10.746562957763672</v>
      </c>
      <c r="BW46" t="s">
        <v>615</v>
      </c>
      <c r="BX46">
        <v>8.7486061058570168E-26</v>
      </c>
      <c r="BY46">
        <v>2.322296142578125</v>
      </c>
      <c r="CB46">
        <v>18.492700576782227</v>
      </c>
      <c r="CC46">
        <v>7.2283225059509277</v>
      </c>
    </row>
    <row r="47" spans="1:83" ht="12.75" customHeight="1">
      <c r="A47" t="s">
        <v>651</v>
      </c>
      <c r="C47" t="s">
        <v>621</v>
      </c>
      <c r="D47">
        <v>45</v>
      </c>
      <c r="F47">
        <v>65535</v>
      </c>
      <c r="I47" t="s">
        <v>651</v>
      </c>
      <c r="R47">
        <v>7.8000001907348633</v>
      </c>
      <c r="T47">
        <v>32.759998321533203</v>
      </c>
      <c r="W47" s="514">
        <v>44245.74291666667</v>
      </c>
      <c r="AN47">
        <v>0</v>
      </c>
      <c r="AO47">
        <v>0</v>
      </c>
      <c r="AP47">
        <v>0</v>
      </c>
      <c r="AS47">
        <v>0</v>
      </c>
      <c r="AT47">
        <v>0</v>
      </c>
      <c r="AU47">
        <v>0</v>
      </c>
      <c r="AW47">
        <v>0</v>
      </c>
      <c r="AZ47">
        <v>0</v>
      </c>
      <c r="BA47">
        <v>-5.4153113160282373E-4</v>
      </c>
      <c r="BB47">
        <v>0</v>
      </c>
      <c r="BC47">
        <v>10.747062683105469</v>
      </c>
      <c r="BD47">
        <v>-10.746562957763672</v>
      </c>
      <c r="BI47">
        <v>0</v>
      </c>
      <c r="BJ47">
        <v>0</v>
      </c>
      <c r="BK47">
        <v>0</v>
      </c>
      <c r="BL47">
        <v>0</v>
      </c>
      <c r="BM47">
        <v>8.7486061058570168E-26</v>
      </c>
      <c r="BN47">
        <v>2.322296142578125</v>
      </c>
      <c r="BP47">
        <v>65535</v>
      </c>
      <c r="BQ47">
        <v>65535</v>
      </c>
      <c r="BR47">
        <v>0</v>
      </c>
      <c r="BS47">
        <v>-5.4153113160282373E-4</v>
      </c>
      <c r="BT47">
        <v>0</v>
      </c>
      <c r="BU47">
        <v>10.747062683105469</v>
      </c>
      <c r="BV47">
        <v>-10.746562957763672</v>
      </c>
      <c r="BW47" t="s">
        <v>615</v>
      </c>
      <c r="BX47">
        <v>8.7486061058570168E-26</v>
      </c>
      <c r="BY47">
        <v>2.322296142578125</v>
      </c>
      <c r="CB47">
        <v>18.529254913330078</v>
      </c>
      <c r="CC47">
        <v>7.1777396202087402</v>
      </c>
    </row>
    <row r="48" spans="1:83" ht="12.75" customHeight="1">
      <c r="A48" t="s">
        <v>652</v>
      </c>
      <c r="C48" t="s">
        <v>621</v>
      </c>
      <c r="D48">
        <v>46</v>
      </c>
      <c r="F48">
        <v>65535</v>
      </c>
      <c r="I48" t="s">
        <v>652</v>
      </c>
      <c r="W48" s="514"/>
      <c r="AN48">
        <v>0</v>
      </c>
      <c r="AO48">
        <v>0</v>
      </c>
      <c r="AP48">
        <v>0</v>
      </c>
      <c r="AS48">
        <v>65535</v>
      </c>
      <c r="AT48">
        <v>65535</v>
      </c>
      <c r="AU48">
        <v>65535</v>
      </c>
      <c r="BI48">
        <v>0</v>
      </c>
      <c r="BK48">
        <v>0</v>
      </c>
      <c r="BL48">
        <v>0</v>
      </c>
      <c r="BP48">
        <v>65535</v>
      </c>
      <c r="BQ48">
        <v>65535</v>
      </c>
      <c r="CB48">
        <v>18.574638366699219</v>
      </c>
      <c r="CC48">
        <v>7.1292800903320313</v>
      </c>
    </row>
    <row r="49" spans="1:81" ht="12.75" customHeight="1">
      <c r="A49" t="s">
        <v>653</v>
      </c>
      <c r="C49" t="s">
        <v>621</v>
      </c>
      <c r="D49">
        <v>47</v>
      </c>
      <c r="F49">
        <v>65535</v>
      </c>
      <c r="I49" t="s">
        <v>653</v>
      </c>
      <c r="W49" s="514"/>
      <c r="AN49">
        <v>0</v>
      </c>
      <c r="AO49">
        <v>0</v>
      </c>
      <c r="AP49">
        <v>0</v>
      </c>
      <c r="AS49">
        <v>65535</v>
      </c>
      <c r="AT49">
        <v>65535</v>
      </c>
      <c r="AU49">
        <v>65535</v>
      </c>
      <c r="BI49">
        <v>0</v>
      </c>
      <c r="BK49">
        <v>0</v>
      </c>
      <c r="BL49">
        <v>0</v>
      </c>
      <c r="BP49">
        <v>65535</v>
      </c>
      <c r="BQ49">
        <v>65535</v>
      </c>
      <c r="CB49">
        <v>18.650167465209961</v>
      </c>
      <c r="CC49">
        <v>7.1862478256225586</v>
      </c>
    </row>
    <row r="50" spans="1:81" ht="12.75" customHeight="1">
      <c r="A50" t="s">
        <v>646</v>
      </c>
      <c r="C50" t="s">
        <v>621</v>
      </c>
      <c r="D50">
        <v>48</v>
      </c>
      <c r="F50">
        <v>65535</v>
      </c>
      <c r="I50" t="s">
        <v>646</v>
      </c>
      <c r="W50" s="514"/>
      <c r="AN50">
        <v>0</v>
      </c>
      <c r="AO50">
        <v>0</v>
      </c>
      <c r="AP50">
        <v>0</v>
      </c>
      <c r="AS50">
        <v>65535</v>
      </c>
      <c r="AT50">
        <v>65535</v>
      </c>
      <c r="AU50">
        <v>65535</v>
      </c>
      <c r="BI50">
        <v>0</v>
      </c>
      <c r="BK50">
        <v>0</v>
      </c>
      <c r="BL50">
        <v>0</v>
      </c>
      <c r="BP50">
        <v>65535</v>
      </c>
      <c r="BQ50">
        <v>65535</v>
      </c>
      <c r="CB50">
        <v>19.24894905090332</v>
      </c>
      <c r="CC50">
        <v>6.8145103454589844</v>
      </c>
    </row>
    <row r="51" spans="1:81" ht="12.75" customHeight="1">
      <c r="A51" t="s">
        <v>648</v>
      </c>
      <c r="C51" t="s">
        <v>621</v>
      </c>
      <c r="D51">
        <v>49</v>
      </c>
      <c r="F51">
        <v>65535</v>
      </c>
      <c r="I51" t="s">
        <v>648</v>
      </c>
      <c r="R51">
        <v>7.280001163482666</v>
      </c>
      <c r="T51">
        <v>30.576005935668945</v>
      </c>
      <c r="W51" s="514">
        <v>44245.742905092593</v>
      </c>
      <c r="AN51">
        <v>0</v>
      </c>
      <c r="AO51">
        <v>0</v>
      </c>
      <c r="AP51">
        <v>0</v>
      </c>
      <c r="AS51">
        <v>0</v>
      </c>
      <c r="AT51">
        <v>0</v>
      </c>
      <c r="AU51">
        <v>0</v>
      </c>
      <c r="AW51">
        <v>0</v>
      </c>
      <c r="AZ51">
        <v>0</v>
      </c>
      <c r="BA51">
        <v>-5.4936431115493178E-4</v>
      </c>
      <c r="BB51">
        <v>0</v>
      </c>
      <c r="BC51">
        <v>9.9062042236328125</v>
      </c>
      <c r="BD51">
        <v>-9.9055871963500977</v>
      </c>
      <c r="BI51">
        <v>0</v>
      </c>
      <c r="BJ51">
        <v>0</v>
      </c>
      <c r="BK51">
        <v>0</v>
      </c>
      <c r="BL51">
        <v>0</v>
      </c>
      <c r="BM51">
        <v>2.4326769765270484E-11</v>
      </c>
      <c r="BN51">
        <v>2.3984375</v>
      </c>
      <c r="BP51">
        <v>65535</v>
      </c>
      <c r="BQ51">
        <v>65535</v>
      </c>
      <c r="BR51">
        <v>0</v>
      </c>
      <c r="BS51">
        <v>-5.4936431115493178E-4</v>
      </c>
      <c r="BT51">
        <v>0</v>
      </c>
      <c r="BU51">
        <v>9.9062042236328125</v>
      </c>
      <c r="BV51">
        <v>-9.9055871963500977</v>
      </c>
      <c r="BW51" t="s">
        <v>615</v>
      </c>
      <c r="BX51">
        <v>2.4326769765270484E-11</v>
      </c>
      <c r="BY51">
        <v>2.3984375</v>
      </c>
      <c r="CB51">
        <v>24.933876037597656</v>
      </c>
      <c r="CC51">
        <v>3.0086116790771484</v>
      </c>
    </row>
    <row r="52" spans="1:81" ht="12.75" customHeight="1">
      <c r="A52" t="s">
        <v>654</v>
      </c>
      <c r="C52" t="s">
        <v>621</v>
      </c>
      <c r="D52">
        <v>50</v>
      </c>
      <c r="F52">
        <v>65535</v>
      </c>
      <c r="I52" t="s">
        <v>654</v>
      </c>
      <c r="R52">
        <v>7.280001163482666</v>
      </c>
      <c r="T52">
        <v>30.576005935668945</v>
      </c>
      <c r="W52" s="514">
        <v>44245.742905092593</v>
      </c>
      <c r="AN52">
        <v>0</v>
      </c>
      <c r="AO52">
        <v>0</v>
      </c>
      <c r="AP52">
        <v>0</v>
      </c>
      <c r="AS52">
        <v>0</v>
      </c>
      <c r="AT52">
        <v>0</v>
      </c>
      <c r="AU52">
        <v>0</v>
      </c>
      <c r="AW52">
        <v>0</v>
      </c>
      <c r="AZ52">
        <v>0</v>
      </c>
      <c r="BA52">
        <v>-5.4936431115493178E-4</v>
      </c>
      <c r="BB52">
        <v>0</v>
      </c>
      <c r="BC52">
        <v>9.9062042236328125</v>
      </c>
      <c r="BD52">
        <v>-9.9055871963500977</v>
      </c>
      <c r="BI52">
        <v>0</v>
      </c>
      <c r="BJ52">
        <v>0</v>
      </c>
      <c r="BK52">
        <v>0</v>
      </c>
      <c r="BL52">
        <v>0</v>
      </c>
      <c r="BM52">
        <v>2.4326769765270484E-11</v>
      </c>
      <c r="BN52">
        <v>2.3984375</v>
      </c>
      <c r="BP52">
        <v>65535</v>
      </c>
      <c r="BQ52">
        <v>65535</v>
      </c>
      <c r="BR52">
        <v>0</v>
      </c>
      <c r="BS52">
        <v>-5.4936431115493178E-4</v>
      </c>
      <c r="BT52">
        <v>0</v>
      </c>
      <c r="BU52">
        <v>9.9062042236328125</v>
      </c>
      <c r="BV52">
        <v>-9.9055871963500977</v>
      </c>
      <c r="BW52" t="s">
        <v>615</v>
      </c>
      <c r="BX52">
        <v>2.4326769765270484E-11</v>
      </c>
      <c r="BY52">
        <v>2.3984375</v>
      </c>
      <c r="CB52">
        <v>19.252382278442383</v>
      </c>
      <c r="CC52">
        <v>6.6991314888000488</v>
      </c>
    </row>
    <row r="53" spans="1:81" ht="12.75" customHeight="1">
      <c r="A53" t="s">
        <v>654</v>
      </c>
      <c r="C53" t="s">
        <v>621</v>
      </c>
      <c r="D53">
        <v>51</v>
      </c>
      <c r="F53">
        <v>65535</v>
      </c>
      <c r="I53" t="s">
        <v>654</v>
      </c>
      <c r="R53">
        <v>7.8000001907348633</v>
      </c>
      <c r="T53">
        <v>32.759998321533203</v>
      </c>
      <c r="W53" s="514">
        <v>44245.74291666667</v>
      </c>
      <c r="AN53">
        <v>0</v>
      </c>
      <c r="AO53">
        <v>0</v>
      </c>
      <c r="AP53">
        <v>0</v>
      </c>
      <c r="AS53">
        <v>0</v>
      </c>
      <c r="AT53">
        <v>0</v>
      </c>
      <c r="AU53">
        <v>0</v>
      </c>
      <c r="AW53">
        <v>0</v>
      </c>
      <c r="AZ53">
        <v>0</v>
      </c>
      <c r="BA53">
        <v>-5.4153113160282373E-4</v>
      </c>
      <c r="BB53">
        <v>0</v>
      </c>
      <c r="BC53">
        <v>10.747062683105469</v>
      </c>
      <c r="BD53">
        <v>-10.746562957763672</v>
      </c>
      <c r="BI53">
        <v>0</v>
      </c>
      <c r="BJ53">
        <v>0</v>
      </c>
      <c r="BK53">
        <v>0</v>
      </c>
      <c r="BL53">
        <v>0</v>
      </c>
      <c r="BM53">
        <v>8.7486061058570168E-26</v>
      </c>
      <c r="BN53">
        <v>2.322296142578125</v>
      </c>
      <c r="BP53">
        <v>65535</v>
      </c>
      <c r="BQ53">
        <v>65535</v>
      </c>
      <c r="BR53">
        <v>0</v>
      </c>
      <c r="BS53">
        <v>-5.4153113160282373E-4</v>
      </c>
      <c r="BT53">
        <v>0</v>
      </c>
      <c r="BU53">
        <v>10.747062683105469</v>
      </c>
      <c r="BV53">
        <v>-10.746562957763672</v>
      </c>
      <c r="BW53" t="s">
        <v>615</v>
      </c>
      <c r="BX53">
        <v>8.7486061058570168E-26</v>
      </c>
      <c r="BY53">
        <v>2.322296142578125</v>
      </c>
      <c r="CB53">
        <v>18.400123596191406</v>
      </c>
      <c r="CC53">
        <v>7.4688544273376465</v>
      </c>
    </row>
    <row r="54" spans="1:81" ht="12.75" customHeight="1">
      <c r="A54" t="s">
        <v>654</v>
      </c>
      <c r="C54" t="s">
        <v>621</v>
      </c>
      <c r="D54">
        <v>52</v>
      </c>
      <c r="F54">
        <v>65535</v>
      </c>
      <c r="I54" t="s">
        <v>654</v>
      </c>
      <c r="R54">
        <v>7.8000001907348633</v>
      </c>
      <c r="T54">
        <v>32.759998321533203</v>
      </c>
      <c r="W54" s="514">
        <v>44245.74291666667</v>
      </c>
      <c r="AN54">
        <v>0</v>
      </c>
      <c r="AO54">
        <v>0</v>
      </c>
      <c r="AP54">
        <v>0</v>
      </c>
      <c r="AS54">
        <v>0</v>
      </c>
      <c r="AT54">
        <v>0</v>
      </c>
      <c r="AU54">
        <v>0</v>
      </c>
      <c r="AW54">
        <v>0</v>
      </c>
      <c r="AZ54">
        <v>0</v>
      </c>
      <c r="BA54">
        <v>-5.4153113160282373E-4</v>
      </c>
      <c r="BB54">
        <v>0</v>
      </c>
      <c r="BC54">
        <v>10.747062683105469</v>
      </c>
      <c r="BD54">
        <v>-10.746562957763672</v>
      </c>
      <c r="BI54">
        <v>0</v>
      </c>
      <c r="BJ54">
        <v>0</v>
      </c>
      <c r="BK54">
        <v>0</v>
      </c>
      <c r="BL54">
        <v>0</v>
      </c>
      <c r="BM54">
        <v>8.7486061058570168E-26</v>
      </c>
      <c r="BN54">
        <v>2.322296142578125</v>
      </c>
      <c r="BP54">
        <v>65535</v>
      </c>
      <c r="BQ54">
        <v>65535</v>
      </c>
      <c r="BR54">
        <v>0</v>
      </c>
      <c r="BS54">
        <v>-5.4153113160282373E-4</v>
      </c>
      <c r="BT54">
        <v>0</v>
      </c>
      <c r="BU54">
        <v>10.747062683105469</v>
      </c>
      <c r="BV54">
        <v>-10.746562957763672</v>
      </c>
      <c r="BW54" t="s">
        <v>615</v>
      </c>
      <c r="BX54">
        <v>8.7486061058570168E-26</v>
      </c>
      <c r="BY54">
        <v>2.322296142578125</v>
      </c>
      <c r="CB54">
        <v>22.04890251159668</v>
      </c>
      <c r="CC54">
        <v>5.0117206573486328</v>
      </c>
    </row>
    <row r="55" spans="1:81" ht="12.75" customHeight="1">
      <c r="A55" t="s">
        <v>655</v>
      </c>
      <c r="C55" t="s">
        <v>621</v>
      </c>
      <c r="D55">
        <v>53</v>
      </c>
      <c r="F55">
        <v>65535</v>
      </c>
      <c r="I55" t="s">
        <v>655</v>
      </c>
      <c r="R55">
        <v>9.3600034713745117</v>
      </c>
      <c r="T55">
        <v>39.31201171875</v>
      </c>
      <c r="W55" s="514">
        <v>44245.742812500001</v>
      </c>
      <c r="AN55">
        <v>0</v>
      </c>
      <c r="AO55">
        <v>0</v>
      </c>
      <c r="AP55">
        <v>0</v>
      </c>
      <c r="AS55">
        <v>0</v>
      </c>
      <c r="AT55">
        <v>0</v>
      </c>
      <c r="AU55">
        <v>0</v>
      </c>
      <c r="AW55">
        <v>0</v>
      </c>
      <c r="AZ55">
        <v>0</v>
      </c>
      <c r="BA55">
        <v>-3.8550273166038096E-4</v>
      </c>
      <c r="BB55">
        <v>0</v>
      </c>
      <c r="BC55">
        <v>15.564014434814453</v>
      </c>
      <c r="BD55">
        <v>-15.563601493835449</v>
      </c>
      <c r="BI55">
        <v>0</v>
      </c>
      <c r="BJ55">
        <v>0</v>
      </c>
      <c r="BK55">
        <v>0</v>
      </c>
      <c r="BL55">
        <v>0</v>
      </c>
      <c r="BM55">
        <v>3.3443017556781179E-28</v>
      </c>
      <c r="BN55">
        <v>0.805908203125</v>
      </c>
      <c r="BP55">
        <v>65535</v>
      </c>
      <c r="BQ55">
        <v>65535</v>
      </c>
      <c r="BR55">
        <v>0</v>
      </c>
      <c r="BS55">
        <v>-3.8550273166038096E-4</v>
      </c>
      <c r="BT55">
        <v>0</v>
      </c>
      <c r="BU55">
        <v>15.564014434814453</v>
      </c>
      <c r="BV55">
        <v>-15.563601493835449</v>
      </c>
      <c r="BW55" t="s">
        <v>615</v>
      </c>
      <c r="BX55">
        <v>3.3443017556781179E-28</v>
      </c>
      <c r="BY55">
        <v>0.805908203125</v>
      </c>
      <c r="CB55">
        <v>22.215604782104492</v>
      </c>
      <c r="CC55">
        <v>4.6069068908691406</v>
      </c>
    </row>
    <row r="56" spans="1:81" ht="12.75" customHeight="1">
      <c r="A56" t="s">
        <v>655</v>
      </c>
      <c r="C56" t="s">
        <v>621</v>
      </c>
      <c r="D56">
        <v>54</v>
      </c>
      <c r="F56">
        <v>65535</v>
      </c>
      <c r="I56" t="s">
        <v>655</v>
      </c>
      <c r="R56">
        <v>9.3600034713745117</v>
      </c>
      <c r="T56">
        <v>39.31201171875</v>
      </c>
      <c r="W56" s="514">
        <v>44245.742812500001</v>
      </c>
      <c r="AN56">
        <v>0</v>
      </c>
      <c r="AO56">
        <v>0</v>
      </c>
      <c r="AP56">
        <v>0</v>
      </c>
      <c r="AS56">
        <v>0</v>
      </c>
      <c r="AT56">
        <v>0</v>
      </c>
      <c r="AU56">
        <v>0</v>
      </c>
      <c r="AW56">
        <v>0</v>
      </c>
      <c r="AZ56">
        <v>0</v>
      </c>
      <c r="BA56">
        <v>-3.8550273166038096E-4</v>
      </c>
      <c r="BB56">
        <v>0</v>
      </c>
      <c r="BC56">
        <v>15.564014434814453</v>
      </c>
      <c r="BD56">
        <v>-15.563601493835449</v>
      </c>
      <c r="BI56">
        <v>0</v>
      </c>
      <c r="BJ56">
        <v>0</v>
      </c>
      <c r="BK56">
        <v>0</v>
      </c>
      <c r="BL56">
        <v>0</v>
      </c>
      <c r="BM56">
        <v>3.3443017556781179E-28</v>
      </c>
      <c r="BN56">
        <v>0.805908203125</v>
      </c>
      <c r="BP56">
        <v>65535</v>
      </c>
      <c r="BQ56">
        <v>65535</v>
      </c>
      <c r="BR56">
        <v>0</v>
      </c>
      <c r="BS56">
        <v>-3.8550273166038096E-4</v>
      </c>
      <c r="BT56">
        <v>0</v>
      </c>
      <c r="BU56">
        <v>15.564014434814453</v>
      </c>
      <c r="BV56">
        <v>-15.563601493835449</v>
      </c>
      <c r="BW56" t="s">
        <v>615</v>
      </c>
      <c r="BX56">
        <v>3.3443017556781179E-28</v>
      </c>
      <c r="BY56">
        <v>0.805908203125</v>
      </c>
      <c r="CB56">
        <v>18.650167465209961</v>
      </c>
      <c r="CC56">
        <v>7.1862478256225586</v>
      </c>
    </row>
    <row r="57" spans="1:81" ht="12.75" customHeight="1">
      <c r="A57" t="s">
        <v>655</v>
      </c>
      <c r="C57" t="s">
        <v>621</v>
      </c>
      <c r="D57">
        <v>55</v>
      </c>
      <c r="F57">
        <v>65535</v>
      </c>
      <c r="I57" t="s">
        <v>655</v>
      </c>
      <c r="R57">
        <v>9.3600034713745117</v>
      </c>
      <c r="T57">
        <v>39.31201171875</v>
      </c>
      <c r="W57" s="514">
        <v>44245.742812500001</v>
      </c>
      <c r="AN57">
        <v>0</v>
      </c>
      <c r="AO57">
        <v>0</v>
      </c>
      <c r="AP57">
        <v>0</v>
      </c>
      <c r="AS57">
        <v>0</v>
      </c>
      <c r="AT57">
        <v>0</v>
      </c>
      <c r="AU57">
        <v>0</v>
      </c>
      <c r="AW57">
        <v>0</v>
      </c>
      <c r="AZ57">
        <v>0</v>
      </c>
      <c r="BA57">
        <v>-3.8550273166038096E-4</v>
      </c>
      <c r="BB57">
        <v>0</v>
      </c>
      <c r="BC57">
        <v>15.564014434814453</v>
      </c>
      <c r="BD57">
        <v>-15.563601493835449</v>
      </c>
      <c r="BI57">
        <v>0</v>
      </c>
      <c r="BJ57">
        <v>0</v>
      </c>
      <c r="BK57">
        <v>0</v>
      </c>
      <c r="BL57">
        <v>0</v>
      </c>
      <c r="BM57">
        <v>3.3443017556781179E-28</v>
      </c>
      <c r="BN57">
        <v>0.805908203125</v>
      </c>
      <c r="BP57">
        <v>65535</v>
      </c>
      <c r="BQ57">
        <v>65535</v>
      </c>
      <c r="BR57">
        <v>0</v>
      </c>
      <c r="BS57">
        <v>-3.8550273166038096E-4</v>
      </c>
      <c r="BT57">
        <v>0</v>
      </c>
      <c r="BU57">
        <v>15.564014434814453</v>
      </c>
      <c r="BV57">
        <v>-15.563601493835449</v>
      </c>
      <c r="BW57" t="s">
        <v>615</v>
      </c>
      <c r="BX57">
        <v>3.3443017556781179E-28</v>
      </c>
      <c r="BY57">
        <v>0.805908203125</v>
      </c>
      <c r="CB57">
        <v>19.24894905090332</v>
      </c>
      <c r="CC57">
        <v>6.8145103454589844</v>
      </c>
    </row>
    <row r="58" spans="1:81" ht="12.75" customHeight="1">
      <c r="A58" t="s">
        <v>655</v>
      </c>
      <c r="C58" t="s">
        <v>621</v>
      </c>
      <c r="D58">
        <v>56</v>
      </c>
      <c r="F58">
        <v>65535</v>
      </c>
      <c r="I58" t="s">
        <v>655</v>
      </c>
      <c r="R58">
        <v>9.3600034713745117</v>
      </c>
      <c r="T58">
        <v>39.31201171875</v>
      </c>
      <c r="W58" s="514">
        <v>44245.742812500001</v>
      </c>
      <c r="AN58">
        <v>0</v>
      </c>
      <c r="AO58">
        <v>0</v>
      </c>
      <c r="AP58">
        <v>0</v>
      </c>
      <c r="AS58">
        <v>0</v>
      </c>
      <c r="AT58">
        <v>0</v>
      </c>
      <c r="AU58">
        <v>0</v>
      </c>
      <c r="AW58">
        <v>0</v>
      </c>
      <c r="AZ58">
        <v>0</v>
      </c>
      <c r="BA58">
        <v>-3.8550273166038096E-4</v>
      </c>
      <c r="BB58">
        <v>0</v>
      </c>
      <c r="BC58">
        <v>15.564014434814453</v>
      </c>
      <c r="BD58">
        <v>-15.563601493835449</v>
      </c>
      <c r="BI58">
        <v>0</v>
      </c>
      <c r="BJ58">
        <v>0</v>
      </c>
      <c r="BK58">
        <v>0</v>
      </c>
      <c r="BL58">
        <v>0</v>
      </c>
      <c r="BM58">
        <v>3.3443017556781179E-28</v>
      </c>
      <c r="BN58">
        <v>0.805908203125</v>
      </c>
      <c r="BP58">
        <v>65535</v>
      </c>
      <c r="BQ58">
        <v>65535</v>
      </c>
      <c r="BR58">
        <v>0</v>
      </c>
      <c r="BS58">
        <v>-3.8550273166038096E-4</v>
      </c>
      <c r="BT58">
        <v>0</v>
      </c>
      <c r="BU58">
        <v>15.564014434814453</v>
      </c>
      <c r="BV58">
        <v>-15.563601493835449</v>
      </c>
      <c r="BW58" t="s">
        <v>615</v>
      </c>
      <c r="BX58">
        <v>3.3443017556781179E-28</v>
      </c>
      <c r="BY58">
        <v>0.805908203125</v>
      </c>
      <c r="CB58">
        <v>24.933876037597656</v>
      </c>
      <c r="CC58">
        <v>3.0086116790771484</v>
      </c>
    </row>
    <row r="59" spans="1:81" ht="12.75" customHeight="1">
      <c r="A59" t="s">
        <v>655</v>
      </c>
      <c r="C59" t="s">
        <v>621</v>
      </c>
      <c r="D59">
        <v>57</v>
      </c>
      <c r="F59">
        <v>65535</v>
      </c>
      <c r="I59" t="s">
        <v>655</v>
      </c>
      <c r="R59">
        <v>9.3600034713745117</v>
      </c>
      <c r="T59">
        <v>39.31201171875</v>
      </c>
      <c r="W59" s="514">
        <v>44245.742812500001</v>
      </c>
      <c r="AN59">
        <v>0</v>
      </c>
      <c r="AO59">
        <v>0</v>
      </c>
      <c r="AP59">
        <v>0</v>
      </c>
      <c r="AS59">
        <v>0</v>
      </c>
      <c r="AT59">
        <v>0</v>
      </c>
      <c r="AU59">
        <v>0</v>
      </c>
      <c r="AW59">
        <v>0</v>
      </c>
      <c r="AZ59">
        <v>0</v>
      </c>
      <c r="BA59">
        <v>-3.8550273166038096E-4</v>
      </c>
      <c r="BB59">
        <v>0</v>
      </c>
      <c r="BC59">
        <v>15.564014434814453</v>
      </c>
      <c r="BD59">
        <v>-15.563601493835449</v>
      </c>
      <c r="BI59">
        <v>0</v>
      </c>
      <c r="BJ59">
        <v>0</v>
      </c>
      <c r="BK59">
        <v>0</v>
      </c>
      <c r="BL59">
        <v>0</v>
      </c>
      <c r="BM59">
        <v>3.3443017556781179E-28</v>
      </c>
      <c r="BN59">
        <v>0.805908203125</v>
      </c>
      <c r="BP59">
        <v>65535</v>
      </c>
      <c r="BQ59">
        <v>65535</v>
      </c>
      <c r="BR59">
        <v>0</v>
      </c>
      <c r="BS59">
        <v>-3.8550273166038096E-4</v>
      </c>
      <c r="BT59">
        <v>0</v>
      </c>
      <c r="BU59">
        <v>15.564014434814453</v>
      </c>
      <c r="BV59">
        <v>-15.563601493835449</v>
      </c>
      <c r="BW59" t="s">
        <v>615</v>
      </c>
      <c r="BX59">
        <v>3.3443017556781179E-28</v>
      </c>
      <c r="BY59">
        <v>0.805908203125</v>
      </c>
      <c r="CB59">
        <v>19.252382278442383</v>
      </c>
      <c r="CC59">
        <v>6.6991314888000488</v>
      </c>
    </row>
    <row r="60" spans="1:81" ht="12.75" customHeight="1">
      <c r="A60" t="s">
        <v>655</v>
      </c>
      <c r="C60" t="s">
        <v>621</v>
      </c>
      <c r="D60">
        <v>58</v>
      </c>
      <c r="F60">
        <v>65535</v>
      </c>
      <c r="I60" t="s">
        <v>655</v>
      </c>
      <c r="R60">
        <v>9.3600034713745117</v>
      </c>
      <c r="T60">
        <v>39.31201171875</v>
      </c>
      <c r="W60" s="514">
        <v>44245.742812500001</v>
      </c>
      <c r="AN60">
        <v>0</v>
      </c>
      <c r="AO60">
        <v>0</v>
      </c>
      <c r="AP60">
        <v>0</v>
      </c>
      <c r="AS60">
        <v>0</v>
      </c>
      <c r="AT60">
        <v>0</v>
      </c>
      <c r="AU60">
        <v>0</v>
      </c>
      <c r="AW60">
        <v>0</v>
      </c>
      <c r="AZ60">
        <v>0</v>
      </c>
      <c r="BA60">
        <v>-3.8550273166038096E-4</v>
      </c>
      <c r="BB60">
        <v>0</v>
      </c>
      <c r="BC60">
        <v>15.564014434814453</v>
      </c>
      <c r="BD60">
        <v>-15.563601493835449</v>
      </c>
      <c r="BI60">
        <v>0</v>
      </c>
      <c r="BJ60">
        <v>0</v>
      </c>
      <c r="BK60">
        <v>0</v>
      </c>
      <c r="BL60">
        <v>0</v>
      </c>
      <c r="BM60">
        <v>3.3443017556781179E-28</v>
      </c>
      <c r="BN60">
        <v>0.805908203125</v>
      </c>
      <c r="BP60">
        <v>65535</v>
      </c>
      <c r="BQ60">
        <v>65535</v>
      </c>
      <c r="BR60">
        <v>0</v>
      </c>
      <c r="BS60">
        <v>-3.8550273166038096E-4</v>
      </c>
      <c r="BT60">
        <v>0</v>
      </c>
      <c r="BU60">
        <v>15.564014434814453</v>
      </c>
      <c r="BV60">
        <v>-15.563601493835449</v>
      </c>
      <c r="BW60" t="s">
        <v>615</v>
      </c>
      <c r="BX60">
        <v>3.3443017556781179E-28</v>
      </c>
      <c r="BY60">
        <v>0.805908203125</v>
      </c>
      <c r="CB60">
        <v>18.400123596191406</v>
      </c>
      <c r="CC60">
        <v>7.4688544273376465</v>
      </c>
    </row>
    <row r="61" spans="1:81" ht="12.75" customHeight="1">
      <c r="A61" t="s">
        <v>655</v>
      </c>
      <c r="C61" t="s">
        <v>621</v>
      </c>
      <c r="D61">
        <v>59</v>
      </c>
      <c r="F61">
        <v>65535</v>
      </c>
      <c r="I61" t="s">
        <v>655</v>
      </c>
      <c r="R61">
        <v>9.3600034713745117</v>
      </c>
      <c r="T61">
        <v>39.31201171875</v>
      </c>
      <c r="W61" s="514">
        <v>44245.742812500001</v>
      </c>
      <c r="AN61">
        <v>0</v>
      </c>
      <c r="AO61">
        <v>0</v>
      </c>
      <c r="AP61">
        <v>0</v>
      </c>
      <c r="AS61">
        <v>0</v>
      </c>
      <c r="AT61">
        <v>0</v>
      </c>
      <c r="AU61">
        <v>0</v>
      </c>
      <c r="AW61">
        <v>0</v>
      </c>
      <c r="AZ61">
        <v>0</v>
      </c>
      <c r="BA61">
        <v>-3.8550273166038096E-4</v>
      </c>
      <c r="BB61">
        <v>0</v>
      </c>
      <c r="BC61">
        <v>15.564014434814453</v>
      </c>
      <c r="BD61">
        <v>-15.563601493835449</v>
      </c>
      <c r="BI61">
        <v>0</v>
      </c>
      <c r="BJ61">
        <v>0</v>
      </c>
      <c r="BK61">
        <v>0</v>
      </c>
      <c r="BL61">
        <v>0</v>
      </c>
      <c r="BM61">
        <v>3.3443017556781179E-28</v>
      </c>
      <c r="BN61">
        <v>0.805908203125</v>
      </c>
      <c r="BP61">
        <v>65535</v>
      </c>
      <c r="BQ61">
        <v>65535</v>
      </c>
      <c r="BR61">
        <v>0</v>
      </c>
      <c r="BS61">
        <v>-3.8550273166038096E-4</v>
      </c>
      <c r="BT61">
        <v>0</v>
      </c>
      <c r="BU61">
        <v>15.564014434814453</v>
      </c>
      <c r="BV61">
        <v>-15.563601493835449</v>
      </c>
      <c r="BW61" t="s">
        <v>615</v>
      </c>
      <c r="BX61">
        <v>3.3443017556781179E-28</v>
      </c>
      <c r="BY61">
        <v>0.805908203125</v>
      </c>
      <c r="CB61">
        <v>22.04890251159668</v>
      </c>
      <c r="CC61">
        <v>5.0117206573486328</v>
      </c>
    </row>
    <row r="62" spans="1:81" ht="12.75" customHeight="1">
      <c r="A62" t="s">
        <v>655</v>
      </c>
      <c r="C62" t="s">
        <v>621</v>
      </c>
      <c r="D62">
        <v>60</v>
      </c>
      <c r="F62">
        <v>65535</v>
      </c>
      <c r="I62" t="s">
        <v>655</v>
      </c>
      <c r="R62">
        <v>7.7999982833862305</v>
      </c>
      <c r="T62">
        <v>32.759994506835938</v>
      </c>
      <c r="W62" s="514">
        <v>44245.742824074077</v>
      </c>
      <c r="AN62">
        <v>0</v>
      </c>
      <c r="AO62">
        <v>0</v>
      </c>
      <c r="AP62">
        <v>0</v>
      </c>
      <c r="AS62">
        <v>0</v>
      </c>
      <c r="AT62">
        <v>0</v>
      </c>
      <c r="AU62">
        <v>0</v>
      </c>
      <c r="AW62">
        <v>0</v>
      </c>
      <c r="AZ62">
        <v>0</v>
      </c>
      <c r="BA62">
        <v>-5.2172329742461443E-4</v>
      </c>
      <c r="BB62">
        <v>0</v>
      </c>
      <c r="BC62">
        <v>11.092475891113281</v>
      </c>
      <c r="BD62">
        <v>-11.091865539550781</v>
      </c>
      <c r="BI62">
        <v>0</v>
      </c>
      <c r="BJ62">
        <v>0</v>
      </c>
      <c r="BK62">
        <v>0</v>
      </c>
      <c r="BL62">
        <v>0</v>
      </c>
      <c r="BM62">
        <v>48622374912</v>
      </c>
      <c r="BN62">
        <v>2.126922607421875</v>
      </c>
      <c r="BP62">
        <v>65535</v>
      </c>
      <c r="BQ62">
        <v>65535</v>
      </c>
      <c r="BR62">
        <v>0</v>
      </c>
      <c r="BS62">
        <v>-5.2172329742461443E-4</v>
      </c>
      <c r="BT62">
        <v>0</v>
      </c>
      <c r="BU62">
        <v>11.092475891113281</v>
      </c>
      <c r="BV62">
        <v>-11.091865539550781</v>
      </c>
      <c r="BW62" t="s">
        <v>615</v>
      </c>
      <c r="BX62">
        <v>48622374912</v>
      </c>
      <c r="BY62">
        <v>2.126922607421875</v>
      </c>
      <c r="CB62">
        <v>22.215604782104492</v>
      </c>
      <c r="CC62">
        <v>4.6069068908691406</v>
      </c>
    </row>
    <row r="63" spans="1:81" ht="12.75" customHeight="1">
      <c r="A63" t="s">
        <v>655</v>
      </c>
      <c r="C63" t="s">
        <v>621</v>
      </c>
      <c r="D63">
        <v>61</v>
      </c>
      <c r="F63">
        <v>65535</v>
      </c>
      <c r="I63" t="s">
        <v>655</v>
      </c>
      <c r="R63">
        <v>7.7999982833862305</v>
      </c>
      <c r="T63">
        <v>32.759994506835938</v>
      </c>
      <c r="W63" s="514">
        <v>44245.742824074077</v>
      </c>
      <c r="AN63">
        <v>0</v>
      </c>
      <c r="AO63">
        <v>0</v>
      </c>
      <c r="AP63">
        <v>0</v>
      </c>
      <c r="AS63">
        <v>0</v>
      </c>
      <c r="AT63">
        <v>0</v>
      </c>
      <c r="AU63">
        <v>0</v>
      </c>
      <c r="AW63">
        <v>0</v>
      </c>
      <c r="AZ63">
        <v>0</v>
      </c>
      <c r="BA63">
        <v>-5.2172329742461443E-4</v>
      </c>
      <c r="BB63">
        <v>0</v>
      </c>
      <c r="BC63">
        <v>11.092475891113281</v>
      </c>
      <c r="BD63">
        <v>-11.091865539550781</v>
      </c>
      <c r="BI63">
        <v>0</v>
      </c>
      <c r="BJ63">
        <v>0</v>
      </c>
      <c r="BK63">
        <v>0</v>
      </c>
      <c r="BL63">
        <v>0</v>
      </c>
      <c r="BM63">
        <v>48622374912</v>
      </c>
      <c r="BN63">
        <v>2.126922607421875</v>
      </c>
      <c r="BP63">
        <v>65535</v>
      </c>
      <c r="BQ63">
        <v>65535</v>
      </c>
      <c r="BR63">
        <v>0</v>
      </c>
      <c r="BS63">
        <v>-5.2172329742461443E-4</v>
      </c>
      <c r="BT63">
        <v>0</v>
      </c>
      <c r="BU63">
        <v>11.092475891113281</v>
      </c>
      <c r="BV63">
        <v>-11.091865539550781</v>
      </c>
      <c r="BW63" t="s">
        <v>615</v>
      </c>
      <c r="BX63">
        <v>48622374912</v>
      </c>
      <c r="BY63">
        <v>2.126922607421875</v>
      </c>
      <c r="CB63">
        <v>23.028108596801758</v>
      </c>
      <c r="CC63">
        <v>3.7910871505737305</v>
      </c>
    </row>
    <row r="64" spans="1:81" ht="12.75" customHeight="1">
      <c r="A64" t="s">
        <v>655</v>
      </c>
      <c r="C64" t="s">
        <v>621</v>
      </c>
      <c r="D64">
        <v>62</v>
      </c>
      <c r="F64">
        <v>65535</v>
      </c>
      <c r="I64" t="s">
        <v>655</v>
      </c>
      <c r="R64">
        <v>7.7999982833862305</v>
      </c>
      <c r="T64">
        <v>32.759994506835938</v>
      </c>
      <c r="W64" s="514">
        <v>44245.742824074077</v>
      </c>
      <c r="AN64">
        <v>0</v>
      </c>
      <c r="AO64">
        <v>0</v>
      </c>
      <c r="AP64">
        <v>0</v>
      </c>
      <c r="AS64">
        <v>0</v>
      </c>
      <c r="AT64">
        <v>0</v>
      </c>
      <c r="AU64">
        <v>0</v>
      </c>
      <c r="AW64">
        <v>0</v>
      </c>
      <c r="AZ64">
        <v>0</v>
      </c>
      <c r="BA64">
        <v>-5.2172329742461443E-4</v>
      </c>
      <c r="BB64">
        <v>0</v>
      </c>
      <c r="BC64">
        <v>11.092475891113281</v>
      </c>
      <c r="BD64">
        <v>-11.091865539550781</v>
      </c>
      <c r="BI64">
        <v>0</v>
      </c>
      <c r="BJ64">
        <v>0</v>
      </c>
      <c r="BK64">
        <v>0</v>
      </c>
      <c r="BL64">
        <v>0</v>
      </c>
      <c r="BM64">
        <v>48622374912</v>
      </c>
      <c r="BN64">
        <v>2.126922607421875</v>
      </c>
      <c r="BP64">
        <v>65535</v>
      </c>
      <c r="BQ64">
        <v>65535</v>
      </c>
      <c r="BR64">
        <v>0</v>
      </c>
      <c r="BS64">
        <v>-5.2172329742461443E-4</v>
      </c>
      <c r="BT64">
        <v>0</v>
      </c>
      <c r="BU64">
        <v>11.092475891113281</v>
      </c>
      <c r="BV64">
        <v>-11.091865539550781</v>
      </c>
      <c r="BW64" t="s">
        <v>615</v>
      </c>
      <c r="BX64">
        <v>48622374912</v>
      </c>
      <c r="BY64">
        <v>2.126922607421875</v>
      </c>
      <c r="CB64">
        <v>23.310371398925781</v>
      </c>
      <c r="CC64">
        <v>3.1227648258209229</v>
      </c>
    </row>
    <row r="65" spans="1:83" ht="12.75" customHeight="1">
      <c r="A65" t="s">
        <v>655</v>
      </c>
      <c r="C65" t="s">
        <v>621</v>
      </c>
      <c r="D65">
        <v>63</v>
      </c>
      <c r="F65">
        <v>65535</v>
      </c>
      <c r="I65" t="s">
        <v>655</v>
      </c>
      <c r="R65">
        <v>7.7999982833862305</v>
      </c>
      <c r="T65">
        <v>32.759994506835938</v>
      </c>
      <c r="W65" s="514">
        <v>44245.742824074077</v>
      </c>
      <c r="AN65">
        <v>0</v>
      </c>
      <c r="AO65">
        <v>0</v>
      </c>
      <c r="AP65">
        <v>0</v>
      </c>
      <c r="AS65">
        <v>0</v>
      </c>
      <c r="AT65">
        <v>0</v>
      </c>
      <c r="AU65">
        <v>0</v>
      </c>
      <c r="AW65">
        <v>0</v>
      </c>
      <c r="AZ65">
        <v>0</v>
      </c>
      <c r="BA65">
        <v>-5.2172329742461443E-4</v>
      </c>
      <c r="BB65">
        <v>0</v>
      </c>
      <c r="BC65">
        <v>11.092475891113281</v>
      </c>
      <c r="BD65">
        <v>-11.091865539550781</v>
      </c>
      <c r="BI65">
        <v>0</v>
      </c>
      <c r="BJ65">
        <v>0</v>
      </c>
      <c r="BK65">
        <v>0</v>
      </c>
      <c r="BL65">
        <v>0</v>
      </c>
      <c r="BM65">
        <v>48622374912</v>
      </c>
      <c r="BN65">
        <v>2.126922607421875</v>
      </c>
      <c r="BP65">
        <v>65535</v>
      </c>
      <c r="BQ65">
        <v>65535</v>
      </c>
      <c r="BR65">
        <v>0</v>
      </c>
      <c r="BS65">
        <v>-5.2172329742461443E-4</v>
      </c>
      <c r="BT65">
        <v>0</v>
      </c>
      <c r="BU65">
        <v>11.092475891113281</v>
      </c>
      <c r="BV65">
        <v>-11.091865539550781</v>
      </c>
      <c r="BW65" t="s">
        <v>615</v>
      </c>
      <c r="BX65">
        <v>48622374912</v>
      </c>
      <c r="BY65">
        <v>2.126922607421875</v>
      </c>
      <c r="CB65">
        <v>23.028108596801758</v>
      </c>
      <c r="CC65">
        <v>3.7910871505737305</v>
      </c>
    </row>
    <row r="66" spans="1:83" ht="12.75" customHeight="1">
      <c r="A66" t="s">
        <v>655</v>
      </c>
      <c r="C66" t="s">
        <v>621</v>
      </c>
      <c r="D66">
        <v>64</v>
      </c>
      <c r="F66">
        <v>65535</v>
      </c>
      <c r="I66" t="s">
        <v>655</v>
      </c>
      <c r="R66">
        <v>7.7999982833862305</v>
      </c>
      <c r="T66">
        <v>32.759994506835938</v>
      </c>
      <c r="W66" s="514">
        <v>44245.742824074077</v>
      </c>
      <c r="AN66">
        <v>0</v>
      </c>
      <c r="AO66">
        <v>0</v>
      </c>
      <c r="AP66">
        <v>0</v>
      </c>
      <c r="AS66">
        <v>0</v>
      </c>
      <c r="AT66">
        <v>0</v>
      </c>
      <c r="AU66">
        <v>0</v>
      </c>
      <c r="AW66">
        <v>0</v>
      </c>
      <c r="AZ66">
        <v>0</v>
      </c>
      <c r="BA66">
        <v>-5.2172329742461443E-4</v>
      </c>
      <c r="BB66">
        <v>0</v>
      </c>
      <c r="BC66">
        <v>11.092475891113281</v>
      </c>
      <c r="BD66">
        <v>-11.091865539550781</v>
      </c>
      <c r="BI66">
        <v>0</v>
      </c>
      <c r="BJ66">
        <v>0</v>
      </c>
      <c r="BK66">
        <v>0</v>
      </c>
      <c r="BL66">
        <v>0</v>
      </c>
      <c r="BM66">
        <v>48622374912</v>
      </c>
      <c r="BN66">
        <v>2.126922607421875</v>
      </c>
      <c r="BP66">
        <v>65535</v>
      </c>
      <c r="BQ66">
        <v>65535</v>
      </c>
      <c r="BR66">
        <v>0</v>
      </c>
      <c r="BS66">
        <v>-5.2172329742461443E-4</v>
      </c>
      <c r="BT66">
        <v>0</v>
      </c>
      <c r="BU66">
        <v>11.092475891113281</v>
      </c>
      <c r="BV66">
        <v>-11.091865539550781</v>
      </c>
      <c r="BW66" t="s">
        <v>615</v>
      </c>
      <c r="BX66">
        <v>48622374912</v>
      </c>
      <c r="BY66">
        <v>2.126922607421875</v>
      </c>
      <c r="CB66">
        <v>23.310371398925781</v>
      </c>
      <c r="CC66">
        <v>3.1227648258209229</v>
      </c>
    </row>
    <row r="67" spans="1:83" ht="12.75" customHeight="1">
      <c r="A67" t="s">
        <v>655</v>
      </c>
      <c r="C67" t="s">
        <v>621</v>
      </c>
      <c r="D67">
        <v>65</v>
      </c>
      <c r="F67">
        <v>65535</v>
      </c>
      <c r="I67" t="s">
        <v>655</v>
      </c>
      <c r="R67">
        <v>7.7999944686889648</v>
      </c>
      <c r="T67">
        <v>32.759975433349609</v>
      </c>
      <c r="W67" s="514">
        <v>44245.742858796293</v>
      </c>
      <c r="AN67">
        <v>0</v>
      </c>
      <c r="AO67">
        <v>0</v>
      </c>
      <c r="AP67">
        <v>0</v>
      </c>
      <c r="AS67">
        <v>0</v>
      </c>
      <c r="AT67">
        <v>0</v>
      </c>
      <c r="AU67">
        <v>0</v>
      </c>
      <c r="AW67">
        <v>0</v>
      </c>
      <c r="AZ67">
        <v>0</v>
      </c>
      <c r="BA67">
        <v>-5.5736274225637317E-4</v>
      </c>
      <c r="BB67">
        <v>0</v>
      </c>
      <c r="BC67">
        <v>10.434837341308594</v>
      </c>
      <c r="BD67">
        <v>-10.434341430664063</v>
      </c>
      <c r="BI67">
        <v>0</v>
      </c>
      <c r="BJ67">
        <v>0</v>
      </c>
      <c r="BK67">
        <v>0</v>
      </c>
      <c r="BL67">
        <v>0</v>
      </c>
      <c r="BM67">
        <v>5.7512407903939759E-22</v>
      </c>
      <c r="BN67">
        <v>2.47845458984375</v>
      </c>
      <c r="BP67">
        <v>65535</v>
      </c>
      <c r="BQ67">
        <v>65535</v>
      </c>
      <c r="BR67">
        <v>0</v>
      </c>
      <c r="BS67">
        <v>-5.5736274225637317E-4</v>
      </c>
      <c r="BT67">
        <v>0</v>
      </c>
      <c r="BU67">
        <v>10.434837341308594</v>
      </c>
      <c r="BV67">
        <v>-10.434341430664063</v>
      </c>
      <c r="BW67" t="s">
        <v>615</v>
      </c>
      <c r="BX67">
        <v>5.7512407903939759E-22</v>
      </c>
      <c r="BY67">
        <v>2.47845458984375</v>
      </c>
      <c r="CB67">
        <v>18.650167465209961</v>
      </c>
      <c r="CC67">
        <v>7.1862478256225586</v>
      </c>
    </row>
    <row r="68" spans="1:83" ht="12.75" customHeight="1">
      <c r="A68" t="s">
        <v>655</v>
      </c>
      <c r="C68" t="s">
        <v>621</v>
      </c>
      <c r="D68">
        <v>66</v>
      </c>
      <c r="F68">
        <v>65535</v>
      </c>
      <c r="I68" t="s">
        <v>655</v>
      </c>
      <c r="R68">
        <v>7.7999944686889648</v>
      </c>
      <c r="T68">
        <v>32.759975433349609</v>
      </c>
      <c r="W68" s="514">
        <v>44245.742858796293</v>
      </c>
      <c r="AN68">
        <v>0</v>
      </c>
      <c r="AO68">
        <v>0</v>
      </c>
      <c r="AP68">
        <v>0</v>
      </c>
      <c r="AS68">
        <v>0</v>
      </c>
      <c r="AT68">
        <v>0</v>
      </c>
      <c r="AU68">
        <v>0</v>
      </c>
      <c r="AW68">
        <v>0</v>
      </c>
      <c r="AZ68">
        <v>0</v>
      </c>
      <c r="BA68">
        <v>-5.5736274225637317E-4</v>
      </c>
      <c r="BB68">
        <v>0</v>
      </c>
      <c r="BC68">
        <v>10.434837341308594</v>
      </c>
      <c r="BD68">
        <v>-10.434341430664063</v>
      </c>
      <c r="BI68">
        <v>0</v>
      </c>
      <c r="BJ68">
        <v>0</v>
      </c>
      <c r="BK68">
        <v>0</v>
      </c>
      <c r="BL68">
        <v>0</v>
      </c>
      <c r="BM68">
        <v>5.7512407903939759E-22</v>
      </c>
      <c r="BN68">
        <v>2.47845458984375</v>
      </c>
      <c r="BP68">
        <v>65535</v>
      </c>
      <c r="BQ68">
        <v>65535</v>
      </c>
      <c r="BR68">
        <v>0</v>
      </c>
      <c r="BS68">
        <v>-5.5736274225637317E-4</v>
      </c>
      <c r="BT68">
        <v>0</v>
      </c>
      <c r="BU68">
        <v>10.434837341308594</v>
      </c>
      <c r="BV68">
        <v>-10.434341430664063</v>
      </c>
      <c r="BW68" t="s">
        <v>615</v>
      </c>
      <c r="BX68">
        <v>5.7512407903939759E-22</v>
      </c>
      <c r="BY68">
        <v>2.47845458984375</v>
      </c>
      <c r="CB68">
        <v>19.24894905090332</v>
      </c>
      <c r="CC68">
        <v>6.8145103454589844</v>
      </c>
    </row>
    <row r="69" spans="1:83" ht="12.75" customHeight="1">
      <c r="A69" t="s">
        <v>655</v>
      </c>
      <c r="C69" t="s">
        <v>621</v>
      </c>
      <c r="D69">
        <v>67</v>
      </c>
      <c r="F69">
        <v>65535</v>
      </c>
      <c r="I69" t="s">
        <v>655</v>
      </c>
      <c r="R69">
        <v>7.7999944686889648</v>
      </c>
      <c r="T69">
        <v>32.759975433349609</v>
      </c>
      <c r="W69" s="514">
        <v>44245.742858796293</v>
      </c>
      <c r="AN69">
        <v>0</v>
      </c>
      <c r="AO69">
        <v>0</v>
      </c>
      <c r="AP69">
        <v>0</v>
      </c>
      <c r="AS69">
        <v>0</v>
      </c>
      <c r="AT69">
        <v>0</v>
      </c>
      <c r="AU69">
        <v>0</v>
      </c>
      <c r="AW69">
        <v>0</v>
      </c>
      <c r="AZ69">
        <v>0</v>
      </c>
      <c r="BA69">
        <v>-5.5736274225637317E-4</v>
      </c>
      <c r="BB69">
        <v>0</v>
      </c>
      <c r="BC69">
        <v>10.434837341308594</v>
      </c>
      <c r="BD69">
        <v>-10.434341430664063</v>
      </c>
      <c r="BI69">
        <v>0</v>
      </c>
      <c r="BJ69">
        <v>0</v>
      </c>
      <c r="BK69">
        <v>0</v>
      </c>
      <c r="BL69">
        <v>0</v>
      </c>
      <c r="BM69">
        <v>5.7512407903939759E-22</v>
      </c>
      <c r="BN69">
        <v>2.47845458984375</v>
      </c>
      <c r="BP69">
        <v>65535</v>
      </c>
      <c r="BQ69">
        <v>65535</v>
      </c>
      <c r="BR69">
        <v>0</v>
      </c>
      <c r="BS69">
        <v>-5.5736274225637317E-4</v>
      </c>
      <c r="BT69">
        <v>0</v>
      </c>
      <c r="BU69">
        <v>10.434837341308594</v>
      </c>
      <c r="BV69">
        <v>-10.434341430664063</v>
      </c>
      <c r="BW69" t="s">
        <v>615</v>
      </c>
      <c r="BX69">
        <v>5.7512407903939759E-22</v>
      </c>
      <c r="BY69">
        <v>2.47845458984375</v>
      </c>
      <c r="CB69">
        <v>24.933876037597656</v>
      </c>
      <c r="CC69">
        <v>3.0086116790771484</v>
      </c>
    </row>
    <row r="70" spans="1:83" ht="12.75" customHeight="1">
      <c r="A70" t="s">
        <v>655</v>
      </c>
      <c r="C70" t="s">
        <v>621</v>
      </c>
      <c r="D70">
        <v>68</v>
      </c>
      <c r="F70">
        <v>65535</v>
      </c>
      <c r="I70" t="s">
        <v>655</v>
      </c>
      <c r="R70">
        <v>7.7999944686889648</v>
      </c>
      <c r="T70">
        <v>32.759975433349609</v>
      </c>
      <c r="W70" s="514">
        <v>44245.742858796293</v>
      </c>
      <c r="AN70">
        <v>0</v>
      </c>
      <c r="AO70">
        <v>0</v>
      </c>
      <c r="AP70">
        <v>0</v>
      </c>
      <c r="AS70">
        <v>0</v>
      </c>
      <c r="AT70">
        <v>0</v>
      </c>
      <c r="AU70">
        <v>0</v>
      </c>
      <c r="AW70">
        <v>0</v>
      </c>
      <c r="AZ70">
        <v>0</v>
      </c>
      <c r="BA70">
        <v>-5.5736274225637317E-4</v>
      </c>
      <c r="BB70">
        <v>0</v>
      </c>
      <c r="BC70">
        <v>10.434837341308594</v>
      </c>
      <c r="BD70">
        <v>-10.434341430664063</v>
      </c>
      <c r="BI70">
        <v>0</v>
      </c>
      <c r="BJ70">
        <v>0</v>
      </c>
      <c r="BK70">
        <v>0</v>
      </c>
      <c r="BL70">
        <v>0</v>
      </c>
      <c r="BM70">
        <v>5.7512407903939759E-22</v>
      </c>
      <c r="BN70">
        <v>2.47845458984375</v>
      </c>
      <c r="BP70">
        <v>65535</v>
      </c>
      <c r="BQ70">
        <v>65535</v>
      </c>
      <c r="BR70">
        <v>0</v>
      </c>
      <c r="BS70">
        <v>-5.5736274225637317E-4</v>
      </c>
      <c r="BT70">
        <v>0</v>
      </c>
      <c r="BU70">
        <v>10.434837341308594</v>
      </c>
      <c r="BV70">
        <v>-10.434341430664063</v>
      </c>
      <c r="BW70" t="s">
        <v>615</v>
      </c>
      <c r="BX70">
        <v>5.7512407903939759E-22</v>
      </c>
      <c r="BY70">
        <v>2.47845458984375</v>
      </c>
      <c r="CB70">
        <v>19.252382278442383</v>
      </c>
      <c r="CC70">
        <v>6.6991314888000488</v>
      </c>
    </row>
    <row r="71" spans="1:83" ht="12.75" customHeight="1">
      <c r="A71" t="s">
        <v>655</v>
      </c>
      <c r="C71" t="s">
        <v>621</v>
      </c>
      <c r="D71">
        <v>69</v>
      </c>
      <c r="F71">
        <v>65535</v>
      </c>
      <c r="I71" t="s">
        <v>655</v>
      </c>
      <c r="R71">
        <v>7.7999944686889648</v>
      </c>
      <c r="T71">
        <v>32.759975433349609</v>
      </c>
      <c r="W71" s="514">
        <v>44245.742858796293</v>
      </c>
      <c r="AN71">
        <v>0</v>
      </c>
      <c r="AO71">
        <v>0</v>
      </c>
      <c r="AP71">
        <v>0</v>
      </c>
      <c r="AS71">
        <v>0</v>
      </c>
      <c r="AT71">
        <v>0</v>
      </c>
      <c r="AU71">
        <v>0</v>
      </c>
      <c r="AW71">
        <v>0</v>
      </c>
      <c r="AZ71">
        <v>0</v>
      </c>
      <c r="BA71">
        <v>-5.5736274225637317E-4</v>
      </c>
      <c r="BB71">
        <v>0</v>
      </c>
      <c r="BC71">
        <v>10.434837341308594</v>
      </c>
      <c r="BD71">
        <v>-10.434341430664063</v>
      </c>
      <c r="BI71">
        <v>0</v>
      </c>
      <c r="BJ71">
        <v>0</v>
      </c>
      <c r="BK71">
        <v>0</v>
      </c>
      <c r="BL71">
        <v>0</v>
      </c>
      <c r="BM71">
        <v>5.7512407903939759E-22</v>
      </c>
      <c r="BN71">
        <v>2.47845458984375</v>
      </c>
      <c r="BP71">
        <v>65535</v>
      </c>
      <c r="BQ71">
        <v>65535</v>
      </c>
      <c r="BR71">
        <v>0</v>
      </c>
      <c r="BS71">
        <v>-5.5736274225637317E-4</v>
      </c>
      <c r="BT71">
        <v>0</v>
      </c>
      <c r="BU71">
        <v>10.434837341308594</v>
      </c>
      <c r="BV71">
        <v>-10.434341430664063</v>
      </c>
      <c r="BW71" t="s">
        <v>615</v>
      </c>
      <c r="BX71">
        <v>5.7512407903939759E-22</v>
      </c>
      <c r="BY71">
        <v>2.47845458984375</v>
      </c>
      <c r="CB71">
        <v>18.400123596191406</v>
      </c>
      <c r="CC71">
        <v>7.4688544273376465</v>
      </c>
    </row>
    <row r="72" spans="1:83" ht="12.75" customHeight="1">
      <c r="A72" t="s">
        <v>655</v>
      </c>
      <c r="C72" t="s">
        <v>621</v>
      </c>
      <c r="D72">
        <v>70</v>
      </c>
      <c r="F72">
        <v>65535</v>
      </c>
      <c r="I72" t="s">
        <v>655</v>
      </c>
      <c r="R72">
        <v>7.280001163482666</v>
      </c>
      <c r="T72">
        <v>30.576005935668945</v>
      </c>
      <c r="W72" s="514">
        <v>44245.742905092593</v>
      </c>
      <c r="AN72">
        <v>0</v>
      </c>
      <c r="AO72">
        <v>0</v>
      </c>
      <c r="AP72">
        <v>0</v>
      </c>
      <c r="AS72">
        <v>0</v>
      </c>
      <c r="AT72">
        <v>0</v>
      </c>
      <c r="AU72">
        <v>0</v>
      </c>
      <c r="AW72">
        <v>0</v>
      </c>
      <c r="AZ72">
        <v>0</v>
      </c>
      <c r="BA72">
        <v>-5.4936431115493178E-4</v>
      </c>
      <c r="BB72">
        <v>0</v>
      </c>
      <c r="BC72">
        <v>9.9062042236328125</v>
      </c>
      <c r="BD72">
        <v>-9.9055871963500977</v>
      </c>
      <c r="BI72">
        <v>0</v>
      </c>
      <c r="BJ72">
        <v>0</v>
      </c>
      <c r="BK72">
        <v>0</v>
      </c>
      <c r="BL72">
        <v>0</v>
      </c>
      <c r="BM72">
        <v>2.4326769765270484E-11</v>
      </c>
      <c r="BN72">
        <v>2.3984375</v>
      </c>
      <c r="BP72">
        <v>65535</v>
      </c>
      <c r="BQ72">
        <v>65535</v>
      </c>
      <c r="BR72">
        <v>0</v>
      </c>
      <c r="BS72">
        <v>-5.4936431115493178E-4</v>
      </c>
      <c r="BT72">
        <v>0</v>
      </c>
      <c r="BU72">
        <v>9.9062042236328125</v>
      </c>
      <c r="BV72">
        <v>-9.9055871963500977</v>
      </c>
      <c r="BW72" t="s">
        <v>615</v>
      </c>
      <c r="BX72">
        <v>2.4326769765270484E-11</v>
      </c>
      <c r="BY72">
        <v>2.3984375</v>
      </c>
      <c r="CB72">
        <v>22.04890251159668</v>
      </c>
      <c r="CC72">
        <v>5.0117206573486328</v>
      </c>
    </row>
    <row r="73" spans="1:83" ht="12.75" customHeight="1">
      <c r="A73" t="s">
        <v>642</v>
      </c>
      <c r="C73" t="s">
        <v>621</v>
      </c>
      <c r="D73">
        <v>71</v>
      </c>
      <c r="F73">
        <v>65535</v>
      </c>
      <c r="I73" t="s">
        <v>642</v>
      </c>
      <c r="R73">
        <v>7.280001163482666</v>
      </c>
      <c r="T73">
        <v>30.576005935668945</v>
      </c>
      <c r="W73" s="514">
        <v>44245.742905092593</v>
      </c>
      <c r="AN73">
        <v>0</v>
      </c>
      <c r="AO73">
        <v>0</v>
      </c>
      <c r="AP73">
        <v>0</v>
      </c>
      <c r="AS73">
        <v>0</v>
      </c>
      <c r="AT73">
        <v>0</v>
      </c>
      <c r="AU73">
        <v>0</v>
      </c>
      <c r="AW73">
        <v>0</v>
      </c>
      <c r="AZ73">
        <v>0</v>
      </c>
      <c r="BA73">
        <v>-5.4936431115493178E-4</v>
      </c>
      <c r="BB73">
        <v>0</v>
      </c>
      <c r="BC73">
        <v>9.9062042236328125</v>
      </c>
      <c r="BD73">
        <v>-9.9055871963500977</v>
      </c>
      <c r="BI73">
        <v>0</v>
      </c>
      <c r="BJ73">
        <v>0</v>
      </c>
      <c r="BK73">
        <v>0</v>
      </c>
      <c r="BL73">
        <v>0</v>
      </c>
      <c r="BM73">
        <v>2.4326769765270484E-11</v>
      </c>
      <c r="BN73">
        <v>2.3984375</v>
      </c>
      <c r="BP73">
        <v>65535</v>
      </c>
      <c r="BQ73">
        <v>65535</v>
      </c>
      <c r="BR73">
        <v>0</v>
      </c>
      <c r="BS73">
        <v>-5.4936431115493178E-4</v>
      </c>
      <c r="BT73">
        <v>0</v>
      </c>
      <c r="BU73">
        <v>9.9062042236328125</v>
      </c>
      <c r="BV73">
        <v>-9.9055871963500977</v>
      </c>
      <c r="BW73" t="s">
        <v>615</v>
      </c>
      <c r="BX73">
        <v>2.4326769765270484E-11</v>
      </c>
      <c r="BY73">
        <v>2.3984375</v>
      </c>
      <c r="CB73">
        <v>22.215604782104492</v>
      </c>
      <c r="CC73">
        <v>4.6069068908691406</v>
      </c>
      <c r="CD73" t="s">
        <v>617</v>
      </c>
      <c r="CE73" t="s">
        <v>623</v>
      </c>
    </row>
    <row r="74" spans="1:83" ht="12.75" customHeight="1">
      <c r="A74" t="s">
        <v>642</v>
      </c>
      <c r="C74" t="s">
        <v>621</v>
      </c>
      <c r="D74">
        <v>72</v>
      </c>
      <c r="F74">
        <v>65535</v>
      </c>
      <c r="I74" t="s">
        <v>642</v>
      </c>
      <c r="R74">
        <v>7.280001163482666</v>
      </c>
      <c r="T74">
        <v>30.576005935668945</v>
      </c>
      <c r="W74" s="514">
        <v>44245.742905092593</v>
      </c>
      <c r="AN74">
        <v>0</v>
      </c>
      <c r="AO74">
        <v>0</v>
      </c>
      <c r="AP74">
        <v>0</v>
      </c>
      <c r="AS74">
        <v>0</v>
      </c>
      <c r="AT74">
        <v>0</v>
      </c>
      <c r="AU74">
        <v>0</v>
      </c>
      <c r="AW74">
        <v>0</v>
      </c>
      <c r="AZ74">
        <v>0</v>
      </c>
      <c r="BA74">
        <v>-5.4936431115493178E-4</v>
      </c>
      <c r="BB74">
        <v>0</v>
      </c>
      <c r="BC74">
        <v>9.9062042236328125</v>
      </c>
      <c r="BD74">
        <v>-9.9055871963500977</v>
      </c>
      <c r="BI74">
        <v>0</v>
      </c>
      <c r="BJ74">
        <v>0</v>
      </c>
      <c r="BK74">
        <v>0</v>
      </c>
      <c r="BL74">
        <v>0</v>
      </c>
      <c r="BM74">
        <v>2.4326769765270484E-11</v>
      </c>
      <c r="BN74">
        <v>2.3984375</v>
      </c>
      <c r="BP74">
        <v>65535</v>
      </c>
      <c r="BQ74">
        <v>65535</v>
      </c>
      <c r="BR74">
        <v>0</v>
      </c>
      <c r="BS74">
        <v>-5.4936431115493178E-4</v>
      </c>
      <c r="BT74">
        <v>0</v>
      </c>
      <c r="BU74">
        <v>9.9062042236328125</v>
      </c>
      <c r="BV74">
        <v>-9.9055871963500977</v>
      </c>
      <c r="BW74" t="s">
        <v>615</v>
      </c>
      <c r="BX74">
        <v>2.4326769765270484E-11</v>
      </c>
      <c r="BY74">
        <v>2.3984375</v>
      </c>
      <c r="CB74">
        <v>19.745401382446289</v>
      </c>
      <c r="CC74">
        <v>6.2339653968811035</v>
      </c>
      <c r="CD74" t="s">
        <v>617</v>
      </c>
      <c r="CE74" t="s">
        <v>623</v>
      </c>
    </row>
    <row r="75" spans="1:83" ht="12.75" customHeight="1">
      <c r="A75" t="s">
        <v>642</v>
      </c>
      <c r="C75" t="s">
        <v>621</v>
      </c>
      <c r="D75">
        <v>73</v>
      </c>
      <c r="F75">
        <v>65535</v>
      </c>
      <c r="I75" t="s">
        <v>642</v>
      </c>
      <c r="R75">
        <v>7.280001163482666</v>
      </c>
      <c r="T75">
        <v>30.576005935668945</v>
      </c>
      <c r="W75" s="514">
        <v>44245.742905092593</v>
      </c>
      <c r="AN75">
        <v>0</v>
      </c>
      <c r="AO75">
        <v>0</v>
      </c>
      <c r="AP75">
        <v>0</v>
      </c>
      <c r="AS75">
        <v>0</v>
      </c>
      <c r="AT75">
        <v>0</v>
      </c>
      <c r="AU75">
        <v>0</v>
      </c>
      <c r="AW75">
        <v>0</v>
      </c>
      <c r="AZ75">
        <v>0</v>
      </c>
      <c r="BA75">
        <v>-5.4936431115493178E-4</v>
      </c>
      <c r="BB75">
        <v>0</v>
      </c>
      <c r="BC75">
        <v>9.9062042236328125</v>
      </c>
      <c r="BD75">
        <v>-9.9055871963500977</v>
      </c>
      <c r="BI75">
        <v>0</v>
      </c>
      <c r="BJ75">
        <v>0</v>
      </c>
      <c r="BK75">
        <v>0</v>
      </c>
      <c r="BL75">
        <v>0</v>
      </c>
      <c r="BM75">
        <v>2.4326769765270484E-11</v>
      </c>
      <c r="BN75">
        <v>2.3984375</v>
      </c>
      <c r="BP75">
        <v>65535</v>
      </c>
      <c r="BQ75">
        <v>65535</v>
      </c>
      <c r="BR75">
        <v>0</v>
      </c>
      <c r="BS75">
        <v>-5.4936431115493178E-4</v>
      </c>
      <c r="BT75">
        <v>0</v>
      </c>
      <c r="BU75">
        <v>9.9062042236328125</v>
      </c>
      <c r="BV75">
        <v>-9.9055871963500977</v>
      </c>
      <c r="BW75" t="s">
        <v>615</v>
      </c>
      <c r="BX75">
        <v>2.4326769765270484E-11</v>
      </c>
      <c r="BY75">
        <v>2.3984375</v>
      </c>
      <c r="CB75">
        <v>18.805768966674805</v>
      </c>
      <c r="CC75">
        <v>7.0398960113525391</v>
      </c>
      <c r="CD75" t="s">
        <v>617</v>
      </c>
      <c r="CE75" t="s">
        <v>623</v>
      </c>
    </row>
    <row r="76" spans="1:83" ht="12.75" customHeight="1">
      <c r="A76" t="s">
        <v>642</v>
      </c>
      <c r="C76" t="s">
        <v>621</v>
      </c>
      <c r="D76">
        <v>74</v>
      </c>
      <c r="F76">
        <v>65535</v>
      </c>
      <c r="I76" t="s">
        <v>642</v>
      </c>
      <c r="R76">
        <v>7.280001163482666</v>
      </c>
      <c r="T76">
        <v>30.576005935668945</v>
      </c>
      <c r="W76" s="514">
        <v>44245.742905092593</v>
      </c>
      <c r="AN76">
        <v>0</v>
      </c>
      <c r="AO76">
        <v>0</v>
      </c>
      <c r="AP76">
        <v>0</v>
      </c>
      <c r="AS76">
        <v>0</v>
      </c>
      <c r="AT76">
        <v>0</v>
      </c>
      <c r="AU76">
        <v>0</v>
      </c>
      <c r="AW76">
        <v>0</v>
      </c>
      <c r="AZ76">
        <v>0</v>
      </c>
      <c r="BA76">
        <v>-5.4936431115493178E-4</v>
      </c>
      <c r="BB76">
        <v>0</v>
      </c>
      <c r="BC76">
        <v>9.9062042236328125</v>
      </c>
      <c r="BD76">
        <v>-9.9055871963500977</v>
      </c>
      <c r="BI76">
        <v>0</v>
      </c>
      <c r="BJ76">
        <v>0</v>
      </c>
      <c r="BK76">
        <v>0</v>
      </c>
      <c r="BL76">
        <v>0</v>
      </c>
      <c r="BM76">
        <v>2.4326769765270484E-11</v>
      </c>
      <c r="BN76">
        <v>2.3984375</v>
      </c>
      <c r="BP76">
        <v>65535</v>
      </c>
      <c r="BQ76">
        <v>65535</v>
      </c>
      <c r="BR76">
        <v>0</v>
      </c>
      <c r="BS76">
        <v>-5.4936431115493178E-4</v>
      </c>
      <c r="BT76">
        <v>0</v>
      </c>
      <c r="BU76">
        <v>9.9062042236328125</v>
      </c>
      <c r="BV76">
        <v>-9.9055871963500977</v>
      </c>
      <c r="BW76" t="s">
        <v>615</v>
      </c>
      <c r="BX76">
        <v>2.4326769765270484E-11</v>
      </c>
      <c r="BY76">
        <v>2.3984375</v>
      </c>
      <c r="CB76">
        <v>18.492700576782227</v>
      </c>
      <c r="CC76">
        <v>7.2283225059509277</v>
      </c>
      <c r="CD76" t="s">
        <v>617</v>
      </c>
      <c r="CE76" t="s">
        <v>623</v>
      </c>
    </row>
    <row r="77" spans="1:83" ht="12.75" customHeight="1">
      <c r="A77" t="s">
        <v>642</v>
      </c>
      <c r="C77" t="s">
        <v>621</v>
      </c>
      <c r="D77">
        <v>75</v>
      </c>
      <c r="F77">
        <v>65535</v>
      </c>
      <c r="I77" t="s">
        <v>642</v>
      </c>
      <c r="R77">
        <v>7.8000001907348633</v>
      </c>
      <c r="T77">
        <v>32.759998321533203</v>
      </c>
      <c r="W77" s="514">
        <v>44245.74291666667</v>
      </c>
      <c r="AN77">
        <v>0</v>
      </c>
      <c r="AO77">
        <v>0</v>
      </c>
      <c r="AP77">
        <v>0</v>
      </c>
      <c r="AS77">
        <v>0</v>
      </c>
      <c r="AT77">
        <v>0</v>
      </c>
      <c r="AU77">
        <v>0</v>
      </c>
      <c r="AW77">
        <v>0</v>
      </c>
      <c r="AZ77">
        <v>0</v>
      </c>
      <c r="BA77">
        <v>-5.4153113160282373E-4</v>
      </c>
      <c r="BB77">
        <v>0</v>
      </c>
      <c r="BC77">
        <v>10.747062683105469</v>
      </c>
      <c r="BD77">
        <v>-10.746562957763672</v>
      </c>
      <c r="BI77">
        <v>0</v>
      </c>
      <c r="BJ77">
        <v>0</v>
      </c>
      <c r="BK77">
        <v>0</v>
      </c>
      <c r="BL77">
        <v>0</v>
      </c>
      <c r="BM77">
        <v>8.7486061058570168E-26</v>
      </c>
      <c r="BN77">
        <v>2.322296142578125</v>
      </c>
      <c r="BP77">
        <v>65535</v>
      </c>
      <c r="BQ77">
        <v>65535</v>
      </c>
      <c r="BR77">
        <v>0</v>
      </c>
      <c r="BS77">
        <v>-5.4153113160282373E-4</v>
      </c>
      <c r="BT77">
        <v>0</v>
      </c>
      <c r="BU77">
        <v>10.747062683105469</v>
      </c>
      <c r="BV77">
        <v>-10.746562957763672</v>
      </c>
      <c r="BW77" t="s">
        <v>615</v>
      </c>
      <c r="BX77">
        <v>8.7486061058570168E-26</v>
      </c>
      <c r="BY77">
        <v>2.322296142578125</v>
      </c>
      <c r="CB77">
        <v>18.529254913330078</v>
      </c>
      <c r="CC77">
        <v>7.1777396202087402</v>
      </c>
      <c r="CD77" t="s">
        <v>617</v>
      </c>
      <c r="CE77" t="s">
        <v>623</v>
      </c>
    </row>
    <row r="78" spans="1:83" ht="12.75" customHeight="1">
      <c r="A78" t="s">
        <v>642</v>
      </c>
      <c r="C78" t="s">
        <v>621</v>
      </c>
      <c r="D78">
        <v>76</v>
      </c>
      <c r="F78">
        <v>65535</v>
      </c>
      <c r="I78" t="s">
        <v>642</v>
      </c>
      <c r="R78">
        <v>7.8000001907348633</v>
      </c>
      <c r="T78">
        <v>32.759998321533203</v>
      </c>
      <c r="W78" s="514">
        <v>44245.74291666667</v>
      </c>
      <c r="AN78">
        <v>0</v>
      </c>
      <c r="AO78">
        <v>0</v>
      </c>
      <c r="AP78">
        <v>0</v>
      </c>
      <c r="AS78">
        <v>0</v>
      </c>
      <c r="AT78">
        <v>0</v>
      </c>
      <c r="AU78">
        <v>0</v>
      </c>
      <c r="AW78">
        <v>0</v>
      </c>
      <c r="AZ78">
        <v>0</v>
      </c>
      <c r="BA78">
        <v>-5.4153113160282373E-4</v>
      </c>
      <c r="BB78">
        <v>0</v>
      </c>
      <c r="BC78">
        <v>10.747062683105469</v>
      </c>
      <c r="BD78">
        <v>-10.746562957763672</v>
      </c>
      <c r="BI78">
        <v>0</v>
      </c>
      <c r="BJ78">
        <v>0</v>
      </c>
      <c r="BK78">
        <v>0</v>
      </c>
      <c r="BL78">
        <v>0</v>
      </c>
      <c r="BM78">
        <v>8.7486061058570168E-26</v>
      </c>
      <c r="BN78">
        <v>2.322296142578125</v>
      </c>
      <c r="BP78">
        <v>65535</v>
      </c>
      <c r="BQ78">
        <v>65535</v>
      </c>
      <c r="BR78">
        <v>0</v>
      </c>
      <c r="BS78">
        <v>-5.4153113160282373E-4</v>
      </c>
      <c r="BT78">
        <v>0</v>
      </c>
      <c r="BU78">
        <v>10.747062683105469</v>
      </c>
      <c r="BV78">
        <v>-10.746562957763672</v>
      </c>
      <c r="BW78" t="s">
        <v>615</v>
      </c>
      <c r="BX78">
        <v>8.7486061058570168E-26</v>
      </c>
      <c r="BY78">
        <v>2.322296142578125</v>
      </c>
      <c r="CB78">
        <v>18.574638366699219</v>
      </c>
      <c r="CC78">
        <v>7.1292800903320313</v>
      </c>
      <c r="CD78" t="s">
        <v>617</v>
      </c>
      <c r="CE78" t="s">
        <v>623</v>
      </c>
    </row>
    <row r="79" spans="1:83" ht="12.75" customHeight="1">
      <c r="A79" t="s">
        <v>656</v>
      </c>
      <c r="C79" t="s">
        <v>621</v>
      </c>
      <c r="D79">
        <v>77</v>
      </c>
      <c r="F79">
        <v>65535</v>
      </c>
      <c r="I79" t="s">
        <v>656</v>
      </c>
      <c r="R79">
        <v>7.8000001907348633</v>
      </c>
      <c r="T79">
        <v>32.759998321533203</v>
      </c>
      <c r="W79" s="514">
        <v>44245.74291666667</v>
      </c>
      <c r="AN79">
        <v>0</v>
      </c>
      <c r="AO79">
        <v>0</v>
      </c>
      <c r="AP79">
        <v>0</v>
      </c>
      <c r="AS79">
        <v>0</v>
      </c>
      <c r="AT79">
        <v>0</v>
      </c>
      <c r="AU79">
        <v>0</v>
      </c>
      <c r="AW79">
        <v>0</v>
      </c>
      <c r="AZ79">
        <v>0</v>
      </c>
      <c r="BA79">
        <v>-5.4153113160282373E-4</v>
      </c>
      <c r="BB79">
        <v>0</v>
      </c>
      <c r="BC79">
        <v>10.747062683105469</v>
      </c>
      <c r="BD79">
        <v>-10.746562957763672</v>
      </c>
      <c r="BI79">
        <v>0</v>
      </c>
      <c r="BJ79">
        <v>0</v>
      </c>
      <c r="BK79">
        <v>0</v>
      </c>
      <c r="BL79">
        <v>0</v>
      </c>
      <c r="BM79">
        <v>8.7486061058570168E-26</v>
      </c>
      <c r="BN79">
        <v>2.322296142578125</v>
      </c>
      <c r="BP79">
        <v>65535</v>
      </c>
      <c r="BQ79">
        <v>65535</v>
      </c>
      <c r="BR79">
        <v>0</v>
      </c>
      <c r="BS79">
        <v>-5.4153113160282373E-4</v>
      </c>
      <c r="BT79">
        <v>0</v>
      </c>
      <c r="BU79">
        <v>10.747062683105469</v>
      </c>
      <c r="BV79">
        <v>-10.746562957763672</v>
      </c>
      <c r="BW79" t="s">
        <v>615</v>
      </c>
      <c r="BX79">
        <v>8.7486061058570168E-26</v>
      </c>
      <c r="BY79">
        <v>2.322296142578125</v>
      </c>
      <c r="CB79">
        <v>19.745401382446289</v>
      </c>
      <c r="CC79">
        <v>6.2339653968811035</v>
      </c>
    </row>
    <row r="80" spans="1:83" ht="12.75" customHeight="1">
      <c r="A80" t="s">
        <v>657</v>
      </c>
      <c r="C80" t="s">
        <v>621</v>
      </c>
      <c r="D80">
        <v>78</v>
      </c>
      <c r="F80">
        <v>65535</v>
      </c>
      <c r="I80" t="s">
        <v>657</v>
      </c>
      <c r="R80">
        <v>7.8000001907348633</v>
      </c>
      <c r="T80">
        <v>32.759998321533203</v>
      </c>
      <c r="W80" s="514">
        <v>44245.74291666667</v>
      </c>
      <c r="AN80">
        <v>0</v>
      </c>
      <c r="AO80">
        <v>0</v>
      </c>
      <c r="AP80">
        <v>0</v>
      </c>
      <c r="AS80">
        <v>0</v>
      </c>
      <c r="AT80">
        <v>0</v>
      </c>
      <c r="AU80">
        <v>0</v>
      </c>
      <c r="AW80">
        <v>0</v>
      </c>
      <c r="AZ80">
        <v>0</v>
      </c>
      <c r="BA80">
        <v>-5.4153113160282373E-4</v>
      </c>
      <c r="BB80">
        <v>0</v>
      </c>
      <c r="BC80">
        <v>10.747062683105469</v>
      </c>
      <c r="BD80">
        <v>-10.746562957763672</v>
      </c>
      <c r="BI80">
        <v>0</v>
      </c>
      <c r="BJ80">
        <v>0</v>
      </c>
      <c r="BK80">
        <v>0</v>
      </c>
      <c r="BL80">
        <v>0</v>
      </c>
      <c r="BM80">
        <v>8.7486061058570168E-26</v>
      </c>
      <c r="BN80">
        <v>2.322296142578125</v>
      </c>
      <c r="BP80">
        <v>65535</v>
      </c>
      <c r="BQ80">
        <v>65535</v>
      </c>
      <c r="BR80">
        <v>0</v>
      </c>
      <c r="BS80">
        <v>-5.4153113160282373E-4</v>
      </c>
      <c r="BT80">
        <v>0</v>
      </c>
      <c r="BU80">
        <v>10.747062683105469</v>
      </c>
      <c r="BV80">
        <v>-10.746562957763672</v>
      </c>
      <c r="BW80" t="s">
        <v>615</v>
      </c>
      <c r="BX80">
        <v>8.7486061058570168E-26</v>
      </c>
      <c r="BY80">
        <v>2.322296142578125</v>
      </c>
      <c r="CB80">
        <v>18.805768966674805</v>
      </c>
      <c r="CC80">
        <v>7.0398960113525391</v>
      </c>
      <c r="CD80" t="s">
        <v>631</v>
      </c>
      <c r="CE80" t="s">
        <v>632</v>
      </c>
    </row>
    <row r="81" spans="1:83" ht="12.75" customHeight="1">
      <c r="A81" t="s">
        <v>657</v>
      </c>
      <c r="C81" t="s">
        <v>621</v>
      </c>
      <c r="D81">
        <v>79</v>
      </c>
      <c r="F81">
        <v>65535</v>
      </c>
      <c r="I81" t="s">
        <v>657</v>
      </c>
      <c r="R81">
        <v>7.8000001907348633</v>
      </c>
      <c r="T81">
        <v>32.759998321533203</v>
      </c>
      <c r="W81" s="514">
        <v>44245.74291666667</v>
      </c>
      <c r="AN81">
        <v>0</v>
      </c>
      <c r="AO81">
        <v>0</v>
      </c>
      <c r="AP81">
        <v>0</v>
      </c>
      <c r="AS81">
        <v>0</v>
      </c>
      <c r="AT81">
        <v>0</v>
      </c>
      <c r="AU81">
        <v>0</v>
      </c>
      <c r="AW81">
        <v>0</v>
      </c>
      <c r="AZ81">
        <v>0</v>
      </c>
      <c r="BA81">
        <v>-5.4153113160282373E-4</v>
      </c>
      <c r="BB81">
        <v>0</v>
      </c>
      <c r="BC81">
        <v>10.747062683105469</v>
      </c>
      <c r="BD81">
        <v>-10.746562957763672</v>
      </c>
      <c r="BI81">
        <v>0</v>
      </c>
      <c r="BJ81">
        <v>0</v>
      </c>
      <c r="BK81">
        <v>0</v>
      </c>
      <c r="BL81">
        <v>0</v>
      </c>
      <c r="BM81">
        <v>8.7486061058570168E-26</v>
      </c>
      <c r="BN81">
        <v>2.322296142578125</v>
      </c>
      <c r="BP81">
        <v>65535</v>
      </c>
      <c r="BQ81">
        <v>65535</v>
      </c>
      <c r="BR81">
        <v>0</v>
      </c>
      <c r="BS81">
        <v>-5.4153113160282373E-4</v>
      </c>
      <c r="BT81">
        <v>0</v>
      </c>
      <c r="BU81">
        <v>10.747062683105469</v>
      </c>
      <c r="BV81">
        <v>-10.746562957763672</v>
      </c>
      <c r="BW81" t="s">
        <v>615</v>
      </c>
      <c r="BX81">
        <v>8.7486061058570168E-26</v>
      </c>
      <c r="BY81">
        <v>2.322296142578125</v>
      </c>
      <c r="CB81">
        <v>18.492700576782227</v>
      </c>
      <c r="CC81">
        <v>7.2283225059509277</v>
      </c>
      <c r="CD81" t="s">
        <v>631</v>
      </c>
      <c r="CE81" t="s">
        <v>632</v>
      </c>
    </row>
    <row r="82" spans="1:83" ht="12.75" customHeight="1">
      <c r="A82" t="s">
        <v>658</v>
      </c>
      <c r="C82" t="s">
        <v>621</v>
      </c>
      <c r="D82">
        <v>80</v>
      </c>
      <c r="F82">
        <v>65535</v>
      </c>
      <c r="I82" t="s">
        <v>658</v>
      </c>
      <c r="R82">
        <v>9.3600034713745117</v>
      </c>
      <c r="T82">
        <v>39.31201171875</v>
      </c>
      <c r="W82" s="514">
        <v>44245.742812500001</v>
      </c>
      <c r="AN82">
        <v>0</v>
      </c>
      <c r="AO82">
        <v>0</v>
      </c>
      <c r="AP82">
        <v>0</v>
      </c>
      <c r="AS82">
        <v>0</v>
      </c>
      <c r="AT82">
        <v>0</v>
      </c>
      <c r="AU82">
        <v>0</v>
      </c>
      <c r="AW82">
        <v>0</v>
      </c>
      <c r="AZ82">
        <v>0</v>
      </c>
      <c r="BA82">
        <v>-3.8550273166038096E-4</v>
      </c>
      <c r="BB82">
        <v>0</v>
      </c>
      <c r="BC82">
        <v>15.564014434814453</v>
      </c>
      <c r="BD82">
        <v>-15.563601493835449</v>
      </c>
      <c r="BI82">
        <v>0</v>
      </c>
      <c r="BJ82">
        <v>0</v>
      </c>
      <c r="BK82">
        <v>0</v>
      </c>
      <c r="BL82">
        <v>0</v>
      </c>
      <c r="BM82">
        <v>3.3443017556781179E-28</v>
      </c>
      <c r="BN82">
        <v>0.805908203125</v>
      </c>
      <c r="BP82">
        <v>65535</v>
      </c>
      <c r="BQ82">
        <v>65535</v>
      </c>
      <c r="BR82">
        <v>0</v>
      </c>
      <c r="BS82">
        <v>-3.8550273166038096E-4</v>
      </c>
      <c r="BT82">
        <v>0</v>
      </c>
      <c r="BU82">
        <v>15.564014434814453</v>
      </c>
      <c r="BV82">
        <v>-15.563601493835449</v>
      </c>
      <c r="BW82" t="s">
        <v>615</v>
      </c>
      <c r="BX82">
        <v>3.3443017556781179E-28</v>
      </c>
      <c r="BY82">
        <v>0.805908203125</v>
      </c>
      <c r="CB82">
        <v>18.529254913330078</v>
      </c>
      <c r="CC82">
        <v>7.1777396202087402</v>
      </c>
    </row>
    <row r="83" spans="1:83" ht="12.75" customHeight="1">
      <c r="A83" t="s">
        <v>659</v>
      </c>
      <c r="C83" t="s">
        <v>621</v>
      </c>
      <c r="D83">
        <v>81</v>
      </c>
      <c r="F83">
        <v>65535</v>
      </c>
      <c r="I83" t="s">
        <v>659</v>
      </c>
      <c r="R83">
        <v>9.3600034713745117</v>
      </c>
      <c r="T83">
        <v>39.31201171875</v>
      </c>
      <c r="W83" s="514">
        <v>44245.742812500001</v>
      </c>
      <c r="AN83">
        <v>0</v>
      </c>
      <c r="AO83">
        <v>0</v>
      </c>
      <c r="AP83">
        <v>0</v>
      </c>
      <c r="AS83">
        <v>0</v>
      </c>
      <c r="AT83">
        <v>0</v>
      </c>
      <c r="AU83">
        <v>0</v>
      </c>
      <c r="AW83">
        <v>0</v>
      </c>
      <c r="AZ83">
        <v>0</v>
      </c>
      <c r="BA83">
        <v>-3.8550273166038096E-4</v>
      </c>
      <c r="BB83">
        <v>0</v>
      </c>
      <c r="BC83">
        <v>15.564014434814453</v>
      </c>
      <c r="BD83">
        <v>-15.563601493835449</v>
      </c>
      <c r="BI83">
        <v>0</v>
      </c>
      <c r="BJ83">
        <v>0</v>
      </c>
      <c r="BK83">
        <v>0</v>
      </c>
      <c r="BL83">
        <v>0</v>
      </c>
      <c r="BM83">
        <v>3.3443017556781179E-28</v>
      </c>
      <c r="BN83">
        <v>0.805908203125</v>
      </c>
      <c r="BP83">
        <v>65535</v>
      </c>
      <c r="BQ83">
        <v>65535</v>
      </c>
      <c r="BR83">
        <v>0</v>
      </c>
      <c r="BS83">
        <v>-3.8550273166038096E-4</v>
      </c>
      <c r="BT83">
        <v>0</v>
      </c>
      <c r="BU83">
        <v>15.564014434814453</v>
      </c>
      <c r="BV83">
        <v>-15.563601493835449</v>
      </c>
      <c r="BW83" t="s">
        <v>615</v>
      </c>
      <c r="BX83">
        <v>3.3443017556781179E-28</v>
      </c>
      <c r="BY83">
        <v>0.805908203125</v>
      </c>
      <c r="CB83">
        <v>18.574638366699219</v>
      </c>
      <c r="CC83">
        <v>7.1292800903320313</v>
      </c>
    </row>
    <row r="84" spans="1:83" ht="12.75" customHeight="1">
      <c r="A84" t="s">
        <v>655</v>
      </c>
      <c r="C84" t="s">
        <v>621</v>
      </c>
      <c r="D84">
        <v>82</v>
      </c>
      <c r="F84">
        <v>65535</v>
      </c>
      <c r="I84" t="s">
        <v>655</v>
      </c>
      <c r="R84">
        <v>9.3600034713745117</v>
      </c>
      <c r="T84">
        <v>39.31201171875</v>
      </c>
      <c r="W84" s="514">
        <v>44245.742812500001</v>
      </c>
      <c r="AN84">
        <v>0</v>
      </c>
      <c r="AO84">
        <v>0</v>
      </c>
      <c r="AP84">
        <v>0</v>
      </c>
      <c r="AS84">
        <v>0</v>
      </c>
      <c r="AT84">
        <v>0</v>
      </c>
      <c r="AU84">
        <v>0</v>
      </c>
      <c r="AW84">
        <v>0</v>
      </c>
      <c r="AZ84">
        <v>0</v>
      </c>
      <c r="BA84">
        <v>-3.8550273166038096E-4</v>
      </c>
      <c r="BB84">
        <v>0</v>
      </c>
      <c r="BC84">
        <v>15.564014434814453</v>
      </c>
      <c r="BD84">
        <v>-15.563601493835449</v>
      </c>
      <c r="BI84">
        <v>0</v>
      </c>
      <c r="BJ84">
        <v>0</v>
      </c>
      <c r="BK84">
        <v>0</v>
      </c>
      <c r="BL84">
        <v>0</v>
      </c>
      <c r="BM84">
        <v>3.3443017556781179E-28</v>
      </c>
      <c r="BN84">
        <v>0.805908203125</v>
      </c>
      <c r="BP84">
        <v>65535</v>
      </c>
      <c r="BQ84">
        <v>65535</v>
      </c>
      <c r="BR84">
        <v>0</v>
      </c>
      <c r="BS84">
        <v>-3.8550273166038096E-4</v>
      </c>
      <c r="BT84">
        <v>0</v>
      </c>
      <c r="BU84">
        <v>15.564014434814453</v>
      </c>
      <c r="BV84">
        <v>-15.563601493835449</v>
      </c>
      <c r="BW84" t="s">
        <v>615</v>
      </c>
      <c r="BX84">
        <v>3.3443017556781179E-28</v>
      </c>
      <c r="BY84">
        <v>0.805908203125</v>
      </c>
      <c r="CB84">
        <v>19.745401382446289</v>
      </c>
      <c r="CC84">
        <v>6.2339653968811035</v>
      </c>
    </row>
    <row r="85" spans="1:83" ht="12.75" customHeight="1">
      <c r="A85" t="s">
        <v>660</v>
      </c>
      <c r="C85" t="s">
        <v>621</v>
      </c>
      <c r="D85">
        <v>83</v>
      </c>
      <c r="F85">
        <v>65535</v>
      </c>
      <c r="I85" t="s">
        <v>660</v>
      </c>
      <c r="R85">
        <v>9.3600034713745117</v>
      </c>
      <c r="T85">
        <v>39.31201171875</v>
      </c>
      <c r="W85" s="514">
        <v>44245.742812500001</v>
      </c>
      <c r="AN85">
        <v>0</v>
      </c>
      <c r="AO85">
        <v>0</v>
      </c>
      <c r="AP85">
        <v>0</v>
      </c>
      <c r="AS85">
        <v>0</v>
      </c>
      <c r="AT85">
        <v>0</v>
      </c>
      <c r="AU85">
        <v>0</v>
      </c>
      <c r="AW85">
        <v>0</v>
      </c>
      <c r="AZ85">
        <v>0</v>
      </c>
      <c r="BA85">
        <v>-3.8550273166038096E-4</v>
      </c>
      <c r="BB85">
        <v>0</v>
      </c>
      <c r="BC85">
        <v>15.564014434814453</v>
      </c>
      <c r="BD85">
        <v>-15.563601493835449</v>
      </c>
      <c r="BI85">
        <v>0</v>
      </c>
      <c r="BJ85">
        <v>0</v>
      </c>
      <c r="BK85">
        <v>0</v>
      </c>
      <c r="BL85">
        <v>0</v>
      </c>
      <c r="BM85">
        <v>3.3443017556781179E-28</v>
      </c>
      <c r="BN85">
        <v>0.805908203125</v>
      </c>
      <c r="BP85">
        <v>65535</v>
      </c>
      <c r="BQ85">
        <v>65535</v>
      </c>
      <c r="BR85">
        <v>0</v>
      </c>
      <c r="BS85">
        <v>-3.8550273166038096E-4</v>
      </c>
      <c r="BT85">
        <v>0</v>
      </c>
      <c r="BU85">
        <v>15.564014434814453</v>
      </c>
      <c r="BV85">
        <v>-15.563601493835449</v>
      </c>
      <c r="BW85" t="s">
        <v>615</v>
      </c>
      <c r="BX85">
        <v>3.3443017556781179E-28</v>
      </c>
      <c r="BY85">
        <v>0.805908203125</v>
      </c>
      <c r="CB85">
        <v>18.805768966674805</v>
      </c>
      <c r="CC85">
        <v>7.0398960113525391</v>
      </c>
      <c r="CD85" t="s">
        <v>616</v>
      </c>
      <c r="CE85" t="s">
        <v>619</v>
      </c>
    </row>
    <row r="86" spans="1:83" ht="12.75" customHeight="1">
      <c r="A86" t="s">
        <v>660</v>
      </c>
      <c r="C86" t="s">
        <v>621</v>
      </c>
      <c r="D86">
        <v>84</v>
      </c>
      <c r="F86">
        <v>65535</v>
      </c>
      <c r="I86" t="s">
        <v>660</v>
      </c>
      <c r="R86">
        <v>9.3600034713745117</v>
      </c>
      <c r="T86">
        <v>39.31201171875</v>
      </c>
      <c r="W86" s="514">
        <v>44245.742812500001</v>
      </c>
      <c r="AN86">
        <v>0</v>
      </c>
      <c r="AO86">
        <v>0</v>
      </c>
      <c r="AP86">
        <v>0</v>
      </c>
      <c r="AS86">
        <v>0</v>
      </c>
      <c r="AT86">
        <v>0</v>
      </c>
      <c r="AU86">
        <v>0</v>
      </c>
      <c r="AW86">
        <v>0</v>
      </c>
      <c r="AZ86">
        <v>0</v>
      </c>
      <c r="BA86">
        <v>-3.8550273166038096E-4</v>
      </c>
      <c r="BB86">
        <v>0</v>
      </c>
      <c r="BC86">
        <v>15.564014434814453</v>
      </c>
      <c r="BD86">
        <v>-15.563601493835449</v>
      </c>
      <c r="BI86">
        <v>0</v>
      </c>
      <c r="BJ86">
        <v>0</v>
      </c>
      <c r="BK86">
        <v>0</v>
      </c>
      <c r="BL86">
        <v>0</v>
      </c>
      <c r="BM86">
        <v>3.3443017556781179E-28</v>
      </c>
      <c r="BN86">
        <v>0.805908203125</v>
      </c>
      <c r="BP86">
        <v>65535</v>
      </c>
      <c r="BQ86">
        <v>65535</v>
      </c>
      <c r="BR86">
        <v>0</v>
      </c>
      <c r="BS86">
        <v>-3.8550273166038096E-4</v>
      </c>
      <c r="BT86">
        <v>0</v>
      </c>
      <c r="BU86">
        <v>15.564014434814453</v>
      </c>
      <c r="BV86">
        <v>-15.563601493835449</v>
      </c>
      <c r="BW86" t="s">
        <v>615</v>
      </c>
      <c r="BX86">
        <v>3.3443017556781179E-28</v>
      </c>
      <c r="BY86">
        <v>0.805908203125</v>
      </c>
      <c r="CB86">
        <v>18.492700576782227</v>
      </c>
      <c r="CC86">
        <v>7.2283225059509277</v>
      </c>
      <c r="CD86" t="s">
        <v>616</v>
      </c>
      <c r="CE86" t="s">
        <v>619</v>
      </c>
    </row>
    <row r="87" spans="1:83" ht="12.75" customHeight="1">
      <c r="A87" t="s">
        <v>657</v>
      </c>
      <c r="C87" t="s">
        <v>621</v>
      </c>
      <c r="D87">
        <v>85</v>
      </c>
      <c r="F87">
        <v>65535</v>
      </c>
      <c r="I87" t="s">
        <v>657</v>
      </c>
      <c r="AN87">
        <v>0</v>
      </c>
      <c r="AO87">
        <v>0</v>
      </c>
      <c r="AP87">
        <v>0</v>
      </c>
      <c r="AS87">
        <v>65535</v>
      </c>
      <c r="AT87">
        <v>65535</v>
      </c>
      <c r="AU87">
        <v>65535</v>
      </c>
      <c r="BI87">
        <v>0</v>
      </c>
      <c r="BK87">
        <v>0</v>
      </c>
      <c r="BL87">
        <v>0</v>
      </c>
      <c r="BP87">
        <v>65535</v>
      </c>
      <c r="BQ87">
        <v>65535</v>
      </c>
      <c r="CB87">
        <v>18.529254913330078</v>
      </c>
      <c r="CC87">
        <v>7.1777396202087402</v>
      </c>
      <c r="CD87" t="s">
        <v>631</v>
      </c>
      <c r="CE87" t="s">
        <v>632</v>
      </c>
    </row>
    <row r="88" spans="1:83" ht="12.75" customHeight="1">
      <c r="A88" t="s">
        <v>642</v>
      </c>
      <c r="C88" t="s">
        <v>621</v>
      </c>
      <c r="D88">
        <v>86</v>
      </c>
      <c r="F88">
        <v>65535</v>
      </c>
      <c r="I88" t="s">
        <v>642</v>
      </c>
      <c r="AN88">
        <v>0</v>
      </c>
      <c r="AO88">
        <v>0</v>
      </c>
      <c r="AP88">
        <v>0</v>
      </c>
      <c r="AS88">
        <v>65535</v>
      </c>
      <c r="AT88">
        <v>65535</v>
      </c>
      <c r="AU88">
        <v>65535</v>
      </c>
      <c r="BI88">
        <v>0</v>
      </c>
      <c r="BK88">
        <v>0</v>
      </c>
      <c r="BL88">
        <v>0</v>
      </c>
      <c r="BP88">
        <v>65535</v>
      </c>
      <c r="BQ88">
        <v>65535</v>
      </c>
      <c r="CB88">
        <v>18.574638366699219</v>
      </c>
      <c r="CC88">
        <v>7.1292800903320313</v>
      </c>
      <c r="CD88" t="s">
        <v>617</v>
      </c>
      <c r="CE88" t="s">
        <v>623</v>
      </c>
    </row>
    <row r="89" spans="1:83" ht="12.75" customHeight="1">
      <c r="A89" t="s">
        <v>642</v>
      </c>
      <c r="C89" t="s">
        <v>621</v>
      </c>
      <c r="D89">
        <v>87</v>
      </c>
      <c r="F89">
        <v>65535</v>
      </c>
      <c r="I89" t="s">
        <v>642</v>
      </c>
      <c r="AN89">
        <v>0</v>
      </c>
      <c r="AO89">
        <v>0</v>
      </c>
      <c r="AP89">
        <v>0</v>
      </c>
      <c r="AS89">
        <v>65535</v>
      </c>
      <c r="AT89">
        <v>65535</v>
      </c>
      <c r="AU89">
        <v>65535</v>
      </c>
      <c r="BI89">
        <v>0</v>
      </c>
      <c r="BK89">
        <v>0</v>
      </c>
      <c r="BL89">
        <v>0</v>
      </c>
      <c r="BP89">
        <v>65535</v>
      </c>
      <c r="BQ89">
        <v>65535</v>
      </c>
      <c r="CB89">
        <v>19.745401382446289</v>
      </c>
      <c r="CC89">
        <v>6.2339653968811035</v>
      </c>
      <c r="CD89" t="s">
        <v>617</v>
      </c>
      <c r="CE89" t="s">
        <v>623</v>
      </c>
    </row>
    <row r="90" spans="1:83" ht="12.75" customHeight="1">
      <c r="A90" t="s">
        <v>642</v>
      </c>
      <c r="C90" t="s">
        <v>621</v>
      </c>
      <c r="D90">
        <v>88</v>
      </c>
      <c r="F90">
        <v>65535</v>
      </c>
      <c r="I90" t="s">
        <v>642</v>
      </c>
      <c r="R90">
        <v>7.8000001907348633</v>
      </c>
      <c r="T90">
        <v>32.759998321533203</v>
      </c>
      <c r="W90" s="514">
        <v>44245.74291666667</v>
      </c>
      <c r="AN90">
        <v>0</v>
      </c>
      <c r="AO90">
        <v>0</v>
      </c>
      <c r="AP90">
        <v>0</v>
      </c>
      <c r="AS90">
        <v>0</v>
      </c>
      <c r="AT90">
        <v>0</v>
      </c>
      <c r="AU90">
        <v>0</v>
      </c>
      <c r="AW90">
        <v>0</v>
      </c>
      <c r="AZ90">
        <v>0</v>
      </c>
      <c r="BA90">
        <v>-5.4153113160282373E-4</v>
      </c>
      <c r="BB90">
        <v>0</v>
      </c>
      <c r="BC90">
        <v>10.747062683105469</v>
      </c>
      <c r="BD90">
        <v>-10.746562957763672</v>
      </c>
      <c r="BI90">
        <v>0</v>
      </c>
      <c r="BJ90">
        <v>0</v>
      </c>
      <c r="BK90">
        <v>0</v>
      </c>
      <c r="BL90">
        <v>0</v>
      </c>
      <c r="BM90">
        <v>8.7486061058570168E-26</v>
      </c>
      <c r="BN90">
        <v>2.322296142578125</v>
      </c>
      <c r="BP90">
        <v>65535</v>
      </c>
      <c r="BQ90">
        <v>65535</v>
      </c>
      <c r="BR90">
        <v>0</v>
      </c>
      <c r="BS90">
        <v>-5.4153113160282373E-4</v>
      </c>
      <c r="BT90">
        <v>0</v>
      </c>
      <c r="BU90">
        <v>10.747062683105469</v>
      </c>
      <c r="BV90">
        <v>-10.746562957763672</v>
      </c>
      <c r="BW90" t="s">
        <v>615</v>
      </c>
      <c r="BX90">
        <v>8.7486061058570168E-26</v>
      </c>
      <c r="BY90">
        <v>2.322296142578125</v>
      </c>
      <c r="CB90">
        <v>18.805768966674805</v>
      </c>
      <c r="CC90">
        <v>7.0398960113525391</v>
      </c>
      <c r="CD90" t="s">
        <v>617</v>
      </c>
      <c r="CE90" t="s">
        <v>623</v>
      </c>
    </row>
    <row r="91" spans="1:83" ht="12.75" customHeight="1">
      <c r="A91" t="s">
        <v>642</v>
      </c>
      <c r="C91" t="s">
        <v>621</v>
      </c>
      <c r="D91">
        <v>89</v>
      </c>
      <c r="F91">
        <v>65535</v>
      </c>
      <c r="I91" t="s">
        <v>642</v>
      </c>
      <c r="R91">
        <v>7.8000001907348633</v>
      </c>
      <c r="T91">
        <v>32.759998321533203</v>
      </c>
      <c r="W91" s="514">
        <v>44245.74291666667</v>
      </c>
      <c r="AN91">
        <v>0</v>
      </c>
      <c r="AO91">
        <v>0</v>
      </c>
      <c r="AP91">
        <v>0</v>
      </c>
      <c r="AS91">
        <v>0</v>
      </c>
      <c r="AT91">
        <v>0</v>
      </c>
      <c r="AU91">
        <v>0</v>
      </c>
      <c r="AW91">
        <v>0</v>
      </c>
      <c r="AZ91">
        <v>0</v>
      </c>
      <c r="BA91">
        <v>-5.4153113160282373E-4</v>
      </c>
      <c r="BB91">
        <v>0</v>
      </c>
      <c r="BC91">
        <v>10.747062683105469</v>
      </c>
      <c r="BD91">
        <v>-10.746562957763672</v>
      </c>
      <c r="BI91">
        <v>0</v>
      </c>
      <c r="BJ91">
        <v>0</v>
      </c>
      <c r="BK91">
        <v>0</v>
      </c>
      <c r="BL91">
        <v>0</v>
      </c>
      <c r="BM91">
        <v>8.7486061058570168E-26</v>
      </c>
      <c r="BN91">
        <v>2.322296142578125</v>
      </c>
      <c r="BP91">
        <v>65535</v>
      </c>
      <c r="BQ91">
        <v>65535</v>
      </c>
      <c r="BR91">
        <v>0</v>
      </c>
      <c r="BS91">
        <v>-5.4153113160282373E-4</v>
      </c>
      <c r="BT91">
        <v>0</v>
      </c>
      <c r="BU91">
        <v>10.747062683105469</v>
      </c>
      <c r="BV91">
        <v>-10.746562957763672</v>
      </c>
      <c r="BW91" t="s">
        <v>615</v>
      </c>
      <c r="BX91">
        <v>8.7486061058570168E-26</v>
      </c>
      <c r="BY91">
        <v>2.322296142578125</v>
      </c>
      <c r="CB91">
        <v>18.492700576782227</v>
      </c>
      <c r="CC91">
        <v>7.2283225059509277</v>
      </c>
      <c r="CD91" t="s">
        <v>617</v>
      </c>
      <c r="CE91" t="s">
        <v>623</v>
      </c>
    </row>
    <row r="92" spans="1:83" ht="12.75" customHeight="1">
      <c r="A92" t="s">
        <v>642</v>
      </c>
      <c r="C92" t="s">
        <v>621</v>
      </c>
      <c r="D92">
        <v>90</v>
      </c>
      <c r="F92">
        <v>65535</v>
      </c>
      <c r="I92" t="s">
        <v>642</v>
      </c>
      <c r="R92">
        <v>7.8000001907348633</v>
      </c>
      <c r="T92">
        <v>32.759998321533203</v>
      </c>
      <c r="W92" s="514">
        <v>44245.74291666667</v>
      </c>
      <c r="AN92">
        <v>0</v>
      </c>
      <c r="AO92">
        <v>0</v>
      </c>
      <c r="AP92">
        <v>0</v>
      </c>
      <c r="AS92">
        <v>0</v>
      </c>
      <c r="AT92">
        <v>0</v>
      </c>
      <c r="AU92">
        <v>0</v>
      </c>
      <c r="AW92">
        <v>0</v>
      </c>
      <c r="AZ92">
        <v>0</v>
      </c>
      <c r="BA92">
        <v>-5.4153113160282373E-4</v>
      </c>
      <c r="BB92">
        <v>0</v>
      </c>
      <c r="BC92">
        <v>10.747062683105469</v>
      </c>
      <c r="BD92">
        <v>-10.746562957763672</v>
      </c>
      <c r="BI92">
        <v>0</v>
      </c>
      <c r="BJ92">
        <v>0</v>
      </c>
      <c r="BK92">
        <v>0</v>
      </c>
      <c r="BL92">
        <v>0</v>
      </c>
      <c r="BM92">
        <v>8.7486061058570168E-26</v>
      </c>
      <c r="BN92">
        <v>2.322296142578125</v>
      </c>
      <c r="BP92">
        <v>65535</v>
      </c>
      <c r="BQ92">
        <v>65535</v>
      </c>
      <c r="BR92">
        <v>0</v>
      </c>
      <c r="BS92">
        <v>-5.4153113160282373E-4</v>
      </c>
      <c r="BT92">
        <v>0</v>
      </c>
      <c r="BU92">
        <v>10.747062683105469</v>
      </c>
      <c r="BV92">
        <v>-10.746562957763672</v>
      </c>
      <c r="BW92" t="s">
        <v>615</v>
      </c>
      <c r="BX92">
        <v>8.7486061058570168E-26</v>
      </c>
      <c r="BY92">
        <v>2.322296142578125</v>
      </c>
      <c r="CB92">
        <v>18.529254913330078</v>
      </c>
      <c r="CC92">
        <v>7.1777396202087402</v>
      </c>
      <c r="CD92" t="s">
        <v>617</v>
      </c>
      <c r="CE92" t="s">
        <v>623</v>
      </c>
    </row>
    <row r="93" spans="1:83" ht="12.75" customHeight="1">
      <c r="A93" t="s">
        <v>661</v>
      </c>
      <c r="C93" t="s">
        <v>621</v>
      </c>
      <c r="D93">
        <v>91</v>
      </c>
      <c r="F93">
        <v>65535</v>
      </c>
      <c r="I93" t="s">
        <v>661</v>
      </c>
      <c r="R93">
        <v>7.8000001907348633</v>
      </c>
      <c r="T93">
        <v>32.759998321533203</v>
      </c>
      <c r="W93" s="514">
        <v>44245.74291666667</v>
      </c>
      <c r="AN93">
        <v>0</v>
      </c>
      <c r="AO93">
        <v>0</v>
      </c>
      <c r="AP93">
        <v>0</v>
      </c>
      <c r="AS93">
        <v>0</v>
      </c>
      <c r="AT93">
        <v>0</v>
      </c>
      <c r="AU93">
        <v>0</v>
      </c>
      <c r="AW93">
        <v>0</v>
      </c>
      <c r="AZ93">
        <v>0</v>
      </c>
      <c r="BA93">
        <v>-5.4153113160282373E-4</v>
      </c>
      <c r="BB93">
        <v>0</v>
      </c>
      <c r="BC93">
        <v>10.747062683105469</v>
      </c>
      <c r="BD93">
        <v>-10.746562957763672</v>
      </c>
      <c r="BI93">
        <v>0</v>
      </c>
      <c r="BJ93">
        <v>0</v>
      </c>
      <c r="BK93">
        <v>0</v>
      </c>
      <c r="BL93">
        <v>0</v>
      </c>
      <c r="BM93">
        <v>8.7486061058570168E-26</v>
      </c>
      <c r="BN93">
        <v>2.322296142578125</v>
      </c>
      <c r="BP93">
        <v>65535</v>
      </c>
      <c r="BQ93">
        <v>65535</v>
      </c>
      <c r="BR93">
        <v>0</v>
      </c>
      <c r="BS93">
        <v>-5.4153113160282373E-4</v>
      </c>
      <c r="BT93">
        <v>0</v>
      </c>
      <c r="BU93">
        <v>10.747062683105469</v>
      </c>
      <c r="BV93">
        <v>-10.746562957763672</v>
      </c>
      <c r="BW93" t="s">
        <v>615</v>
      </c>
      <c r="BX93">
        <v>8.7486061058570168E-26</v>
      </c>
      <c r="BY93">
        <v>2.322296142578125</v>
      </c>
      <c r="CB93">
        <v>18.574638366699219</v>
      </c>
      <c r="CC93">
        <v>7.1292800903320313</v>
      </c>
    </row>
    <row r="94" spans="1:83" ht="12.75" customHeight="1">
      <c r="A94" t="s">
        <v>661</v>
      </c>
      <c r="C94" t="s">
        <v>621</v>
      </c>
      <c r="D94">
        <v>92</v>
      </c>
      <c r="F94">
        <v>65535</v>
      </c>
      <c r="I94" t="s">
        <v>661</v>
      </c>
      <c r="R94">
        <v>7.8000001907348633</v>
      </c>
      <c r="T94">
        <v>32.759998321533203</v>
      </c>
      <c r="W94" s="514">
        <v>44245.74291666667</v>
      </c>
      <c r="AN94">
        <v>0</v>
      </c>
      <c r="AO94">
        <v>0</v>
      </c>
      <c r="AP94">
        <v>0</v>
      </c>
      <c r="AS94">
        <v>0</v>
      </c>
      <c r="AT94">
        <v>0</v>
      </c>
      <c r="AU94">
        <v>0</v>
      </c>
      <c r="AW94">
        <v>0</v>
      </c>
      <c r="AZ94">
        <v>0</v>
      </c>
      <c r="BA94">
        <v>-5.4153113160282373E-4</v>
      </c>
      <c r="BB94">
        <v>0</v>
      </c>
      <c r="BC94">
        <v>10.747062683105469</v>
      </c>
      <c r="BD94">
        <v>-10.746562957763672</v>
      </c>
      <c r="BI94">
        <v>0</v>
      </c>
      <c r="BJ94">
        <v>0</v>
      </c>
      <c r="BK94">
        <v>0</v>
      </c>
      <c r="BL94">
        <v>0</v>
      </c>
      <c r="BM94">
        <v>8.7486061058570168E-26</v>
      </c>
      <c r="BN94">
        <v>2.322296142578125</v>
      </c>
      <c r="BP94">
        <v>65535</v>
      </c>
      <c r="BQ94">
        <v>65535</v>
      </c>
      <c r="BR94">
        <v>0</v>
      </c>
      <c r="BS94">
        <v>-5.4153113160282373E-4</v>
      </c>
      <c r="BT94">
        <v>0</v>
      </c>
      <c r="BU94">
        <v>10.747062683105469</v>
      </c>
      <c r="BV94">
        <v>-10.746562957763672</v>
      </c>
      <c r="BW94" t="s">
        <v>615</v>
      </c>
      <c r="BX94">
        <v>8.7486061058570168E-26</v>
      </c>
      <c r="BY94">
        <v>2.322296142578125</v>
      </c>
      <c r="CB94">
        <v>19.745401382446289</v>
      </c>
      <c r="CC94">
        <v>6.2339653968811035</v>
      </c>
    </row>
    <row r="95" spans="1:83" ht="12.75" customHeight="1">
      <c r="A95" t="s">
        <v>661</v>
      </c>
      <c r="C95" t="s">
        <v>621</v>
      </c>
      <c r="D95">
        <v>93</v>
      </c>
      <c r="F95">
        <v>65535</v>
      </c>
      <c r="I95" t="s">
        <v>661</v>
      </c>
      <c r="R95">
        <v>9.3600034713745117</v>
      </c>
      <c r="T95">
        <v>39.31201171875</v>
      </c>
      <c r="W95" s="514">
        <v>44245.742812500001</v>
      </c>
      <c r="AN95">
        <v>0</v>
      </c>
      <c r="AO95">
        <v>0</v>
      </c>
      <c r="AP95">
        <v>0</v>
      </c>
      <c r="AS95">
        <v>0</v>
      </c>
      <c r="AT95">
        <v>0</v>
      </c>
      <c r="AU95">
        <v>0</v>
      </c>
      <c r="AW95">
        <v>0</v>
      </c>
      <c r="AZ95">
        <v>0</v>
      </c>
      <c r="BA95">
        <v>-3.8550273166038096E-4</v>
      </c>
      <c r="BB95">
        <v>0</v>
      </c>
      <c r="BC95">
        <v>15.564014434814453</v>
      </c>
      <c r="BD95">
        <v>-15.563601493835449</v>
      </c>
      <c r="BI95">
        <v>0</v>
      </c>
      <c r="BJ95">
        <v>0</v>
      </c>
      <c r="BK95">
        <v>0</v>
      </c>
      <c r="BL95">
        <v>0</v>
      </c>
      <c r="BM95">
        <v>3.3443017556781179E-28</v>
      </c>
      <c r="BN95">
        <v>0.805908203125</v>
      </c>
      <c r="BP95">
        <v>65535</v>
      </c>
      <c r="BQ95">
        <v>65535</v>
      </c>
      <c r="BR95">
        <v>0</v>
      </c>
      <c r="BS95">
        <v>-3.8550273166038096E-4</v>
      </c>
      <c r="BT95">
        <v>0</v>
      </c>
      <c r="BU95">
        <v>15.564014434814453</v>
      </c>
      <c r="BV95">
        <v>-15.563601493835449</v>
      </c>
      <c r="BW95" t="s">
        <v>615</v>
      </c>
      <c r="BX95">
        <v>3.3443017556781179E-28</v>
      </c>
      <c r="BY95">
        <v>0.805908203125</v>
      </c>
      <c r="CB95">
        <v>18.805768966674805</v>
      </c>
      <c r="CC95">
        <v>7.0398960113525391</v>
      </c>
    </row>
    <row r="96" spans="1:83" ht="12.75" customHeight="1">
      <c r="A96" t="s">
        <v>642</v>
      </c>
      <c r="C96" t="s">
        <v>621</v>
      </c>
      <c r="D96">
        <v>94</v>
      </c>
      <c r="F96">
        <v>65535</v>
      </c>
      <c r="I96" t="s">
        <v>642</v>
      </c>
      <c r="R96">
        <v>9.3600034713745117</v>
      </c>
      <c r="T96">
        <v>39.31201171875</v>
      </c>
      <c r="W96" s="514">
        <v>44245.742812500001</v>
      </c>
      <c r="AN96">
        <v>0</v>
      </c>
      <c r="AO96">
        <v>0</v>
      </c>
      <c r="AP96">
        <v>0</v>
      </c>
      <c r="AS96">
        <v>0</v>
      </c>
      <c r="AT96">
        <v>0</v>
      </c>
      <c r="AU96">
        <v>0</v>
      </c>
      <c r="AW96">
        <v>0</v>
      </c>
      <c r="AZ96">
        <v>0</v>
      </c>
      <c r="BA96">
        <v>-3.8550273166038096E-4</v>
      </c>
      <c r="BB96">
        <v>0</v>
      </c>
      <c r="BC96">
        <v>15.564014434814453</v>
      </c>
      <c r="BD96">
        <v>-15.563601493835449</v>
      </c>
      <c r="BI96">
        <v>0</v>
      </c>
      <c r="BJ96">
        <v>0</v>
      </c>
      <c r="BK96">
        <v>0</v>
      </c>
      <c r="BL96">
        <v>0</v>
      </c>
      <c r="BM96">
        <v>3.3443017556781179E-28</v>
      </c>
      <c r="BN96">
        <v>0.805908203125</v>
      </c>
      <c r="BP96">
        <v>65535</v>
      </c>
      <c r="BQ96">
        <v>65535</v>
      </c>
      <c r="BR96">
        <v>0</v>
      </c>
      <c r="BS96">
        <v>-3.8550273166038096E-4</v>
      </c>
      <c r="BT96">
        <v>0</v>
      </c>
      <c r="BU96">
        <v>15.564014434814453</v>
      </c>
      <c r="BV96">
        <v>-15.563601493835449</v>
      </c>
      <c r="BW96" t="s">
        <v>615</v>
      </c>
      <c r="BX96">
        <v>3.3443017556781179E-28</v>
      </c>
      <c r="BY96">
        <v>0.805908203125</v>
      </c>
      <c r="CB96">
        <v>18.492700576782227</v>
      </c>
      <c r="CC96">
        <v>7.2283225059509277</v>
      </c>
      <c r="CD96" t="s">
        <v>617</v>
      </c>
      <c r="CE96" t="s">
        <v>623</v>
      </c>
    </row>
    <row r="97" spans="1:83" ht="12.75" customHeight="1">
      <c r="A97" t="s">
        <v>642</v>
      </c>
      <c r="C97" t="s">
        <v>621</v>
      </c>
      <c r="D97">
        <v>95</v>
      </c>
      <c r="F97">
        <v>65535</v>
      </c>
      <c r="I97" t="s">
        <v>642</v>
      </c>
      <c r="R97">
        <v>9.3600034713745117</v>
      </c>
      <c r="T97">
        <v>39.31201171875</v>
      </c>
      <c r="W97" s="514">
        <v>44245.742812500001</v>
      </c>
      <c r="AN97">
        <v>0</v>
      </c>
      <c r="AO97">
        <v>0</v>
      </c>
      <c r="AP97">
        <v>0</v>
      </c>
      <c r="AS97">
        <v>0</v>
      </c>
      <c r="AT97">
        <v>0</v>
      </c>
      <c r="AU97">
        <v>0</v>
      </c>
      <c r="AW97">
        <v>0</v>
      </c>
      <c r="AZ97">
        <v>0</v>
      </c>
      <c r="BA97">
        <v>-3.8550273166038096E-4</v>
      </c>
      <c r="BB97">
        <v>0</v>
      </c>
      <c r="BC97">
        <v>15.564014434814453</v>
      </c>
      <c r="BD97">
        <v>-15.563601493835449</v>
      </c>
      <c r="BI97">
        <v>0</v>
      </c>
      <c r="BJ97">
        <v>0</v>
      </c>
      <c r="BK97">
        <v>0</v>
      </c>
      <c r="BL97">
        <v>0</v>
      </c>
      <c r="BM97">
        <v>3.3443017556781179E-28</v>
      </c>
      <c r="BN97">
        <v>0.805908203125</v>
      </c>
      <c r="BP97">
        <v>65535</v>
      </c>
      <c r="BQ97">
        <v>65535</v>
      </c>
      <c r="BR97">
        <v>0</v>
      </c>
      <c r="BS97">
        <v>-3.8550273166038096E-4</v>
      </c>
      <c r="BT97">
        <v>0</v>
      </c>
      <c r="BU97">
        <v>15.564014434814453</v>
      </c>
      <c r="BV97">
        <v>-15.563601493835449</v>
      </c>
      <c r="BW97" t="s">
        <v>615</v>
      </c>
      <c r="BX97">
        <v>3.3443017556781179E-28</v>
      </c>
      <c r="BY97">
        <v>0.805908203125</v>
      </c>
      <c r="CB97">
        <v>18.529254913330078</v>
      </c>
      <c r="CC97">
        <v>7.1777396202087402</v>
      </c>
      <c r="CD97" t="s">
        <v>617</v>
      </c>
      <c r="CE97" t="s">
        <v>623</v>
      </c>
    </row>
    <row r="98" spans="1:83" ht="12.75" customHeight="1">
      <c r="A98" t="s">
        <v>642</v>
      </c>
      <c r="C98" t="s">
        <v>621</v>
      </c>
      <c r="D98">
        <v>96</v>
      </c>
      <c r="F98">
        <v>65535</v>
      </c>
      <c r="I98" t="s">
        <v>642</v>
      </c>
      <c r="R98">
        <v>9.3600034713745117</v>
      </c>
      <c r="T98">
        <v>39.31201171875</v>
      </c>
      <c r="W98" s="514">
        <v>44245.742812500001</v>
      </c>
      <c r="AN98">
        <v>0</v>
      </c>
      <c r="AO98">
        <v>0</v>
      </c>
      <c r="AP98">
        <v>0</v>
      </c>
      <c r="AS98">
        <v>0</v>
      </c>
      <c r="AT98">
        <v>0</v>
      </c>
      <c r="AU98">
        <v>0</v>
      </c>
      <c r="AW98">
        <v>0</v>
      </c>
      <c r="AZ98">
        <v>0</v>
      </c>
      <c r="BA98">
        <v>-3.8550273166038096E-4</v>
      </c>
      <c r="BB98">
        <v>0</v>
      </c>
      <c r="BC98">
        <v>15.564014434814453</v>
      </c>
      <c r="BD98">
        <v>-15.563601493835449</v>
      </c>
      <c r="BI98">
        <v>0</v>
      </c>
      <c r="BJ98">
        <v>0</v>
      </c>
      <c r="BK98">
        <v>0</v>
      </c>
      <c r="BL98">
        <v>0</v>
      </c>
      <c r="BM98">
        <v>3.3443017556781179E-28</v>
      </c>
      <c r="BN98">
        <v>0.805908203125</v>
      </c>
      <c r="BP98">
        <v>65535</v>
      </c>
      <c r="BQ98">
        <v>65535</v>
      </c>
      <c r="BR98">
        <v>0</v>
      </c>
      <c r="BS98">
        <v>-3.8550273166038096E-4</v>
      </c>
      <c r="BT98">
        <v>0</v>
      </c>
      <c r="BU98">
        <v>15.564014434814453</v>
      </c>
      <c r="BV98">
        <v>-15.563601493835449</v>
      </c>
      <c r="BW98" t="s">
        <v>615</v>
      </c>
      <c r="BX98">
        <v>3.3443017556781179E-28</v>
      </c>
      <c r="BY98">
        <v>0.805908203125</v>
      </c>
      <c r="CB98">
        <v>18.574638366699219</v>
      </c>
      <c r="CC98">
        <v>7.1292800903320313</v>
      </c>
      <c r="CD98" t="s">
        <v>617</v>
      </c>
      <c r="CE98" t="s">
        <v>623</v>
      </c>
    </row>
    <row r="99" spans="1:83" ht="12.75" customHeight="1">
      <c r="A99" t="s">
        <v>642</v>
      </c>
      <c r="C99" t="s">
        <v>621</v>
      </c>
      <c r="D99">
        <v>97</v>
      </c>
      <c r="F99">
        <v>65535</v>
      </c>
      <c r="I99" t="s">
        <v>642</v>
      </c>
      <c r="R99">
        <v>9.3600034713745117</v>
      </c>
      <c r="T99">
        <v>39.31201171875</v>
      </c>
      <c r="W99" s="514">
        <v>44245.742812500001</v>
      </c>
      <c r="AN99">
        <v>0</v>
      </c>
      <c r="AO99">
        <v>0</v>
      </c>
      <c r="AP99">
        <v>0</v>
      </c>
      <c r="AS99">
        <v>0</v>
      </c>
      <c r="AT99">
        <v>0</v>
      </c>
      <c r="AU99">
        <v>0</v>
      </c>
      <c r="AW99">
        <v>0</v>
      </c>
      <c r="AZ99">
        <v>0</v>
      </c>
      <c r="BA99">
        <v>-3.8550273166038096E-4</v>
      </c>
      <c r="BB99">
        <v>0</v>
      </c>
      <c r="BC99">
        <v>15.564014434814453</v>
      </c>
      <c r="BD99">
        <v>-15.563601493835449</v>
      </c>
      <c r="BI99">
        <v>0</v>
      </c>
      <c r="BJ99">
        <v>0</v>
      </c>
      <c r="BK99">
        <v>0</v>
      </c>
      <c r="BL99">
        <v>0</v>
      </c>
      <c r="BM99">
        <v>3.3443017556781179E-28</v>
      </c>
      <c r="BN99">
        <v>0.805908203125</v>
      </c>
      <c r="BP99">
        <v>65535</v>
      </c>
      <c r="BQ99">
        <v>65535</v>
      </c>
      <c r="BR99">
        <v>0</v>
      </c>
      <c r="BS99">
        <v>-3.8550273166038096E-4</v>
      </c>
      <c r="BT99">
        <v>0</v>
      </c>
      <c r="BU99">
        <v>15.564014434814453</v>
      </c>
      <c r="BV99">
        <v>-15.563601493835449</v>
      </c>
      <c r="BW99" t="s">
        <v>615</v>
      </c>
      <c r="BX99">
        <v>3.3443017556781179E-28</v>
      </c>
      <c r="BY99">
        <v>0.805908203125</v>
      </c>
      <c r="CB99">
        <v>19.745401382446289</v>
      </c>
      <c r="CC99">
        <v>6.2339653968811035</v>
      </c>
      <c r="CD99" t="s">
        <v>617</v>
      </c>
      <c r="CE99" t="s">
        <v>623</v>
      </c>
    </row>
    <row r="100" spans="1:83" ht="12.75" customHeight="1">
      <c r="A100" t="s">
        <v>655</v>
      </c>
      <c r="C100" t="s">
        <v>625</v>
      </c>
      <c r="D100">
        <v>98</v>
      </c>
      <c r="F100">
        <v>65535</v>
      </c>
      <c r="I100" t="s">
        <v>655</v>
      </c>
      <c r="R100">
        <v>7.7999982833862305</v>
      </c>
      <c r="T100">
        <v>32.759994506835938</v>
      </c>
      <c r="W100" s="514">
        <v>44245.742824074077</v>
      </c>
      <c r="AN100">
        <v>0</v>
      </c>
      <c r="AO100">
        <v>0</v>
      </c>
      <c r="AP100">
        <v>0</v>
      </c>
      <c r="AS100">
        <v>0</v>
      </c>
      <c r="AT100">
        <v>0</v>
      </c>
      <c r="AU100">
        <v>0</v>
      </c>
      <c r="AW100">
        <v>0</v>
      </c>
      <c r="AZ100">
        <v>0</v>
      </c>
      <c r="BA100">
        <v>-5.2172329742461443E-4</v>
      </c>
      <c r="BB100">
        <v>0</v>
      </c>
      <c r="BC100">
        <v>11.092475891113281</v>
      </c>
      <c r="BD100">
        <v>-11.091865539550781</v>
      </c>
      <c r="BI100">
        <v>0</v>
      </c>
      <c r="BJ100">
        <v>0</v>
      </c>
      <c r="BK100">
        <v>0</v>
      </c>
      <c r="BL100">
        <v>0</v>
      </c>
      <c r="BM100">
        <v>48622374912</v>
      </c>
      <c r="BN100">
        <v>2.126922607421875</v>
      </c>
      <c r="BP100">
        <v>65535</v>
      </c>
      <c r="BQ100">
        <v>65535</v>
      </c>
      <c r="BR100">
        <v>0</v>
      </c>
      <c r="BS100">
        <v>-5.2172329742461443E-4</v>
      </c>
      <c r="BT100">
        <v>0</v>
      </c>
      <c r="BU100">
        <v>11.092475891113281</v>
      </c>
      <c r="BV100">
        <v>-11.091865539550781</v>
      </c>
      <c r="BW100" t="s">
        <v>615</v>
      </c>
      <c r="BX100">
        <v>48622374912</v>
      </c>
      <c r="BY100">
        <v>2.126922607421875</v>
      </c>
      <c r="CB100">
        <v>18.805768966674805</v>
      </c>
      <c r="CC100">
        <v>7.0398960113525391</v>
      </c>
    </row>
    <row r="101" spans="1:83" ht="12.75" customHeight="1">
      <c r="A101" t="s">
        <v>655</v>
      </c>
      <c r="C101" t="s">
        <v>625</v>
      </c>
      <c r="D101">
        <v>99</v>
      </c>
      <c r="F101">
        <v>65535</v>
      </c>
      <c r="I101" t="s">
        <v>655</v>
      </c>
      <c r="R101">
        <v>7.7999982833862305</v>
      </c>
      <c r="T101">
        <v>32.759994506835938</v>
      </c>
      <c r="W101" s="514">
        <v>44245.742824074077</v>
      </c>
      <c r="AN101">
        <v>0</v>
      </c>
      <c r="AO101">
        <v>0</v>
      </c>
      <c r="AP101">
        <v>0</v>
      </c>
      <c r="AS101">
        <v>0</v>
      </c>
      <c r="AT101">
        <v>0</v>
      </c>
      <c r="AU101">
        <v>0</v>
      </c>
      <c r="AW101">
        <v>0</v>
      </c>
      <c r="AZ101">
        <v>0</v>
      </c>
      <c r="BA101">
        <v>-5.2172329742461443E-4</v>
      </c>
      <c r="BB101">
        <v>0</v>
      </c>
      <c r="BC101">
        <v>11.092475891113281</v>
      </c>
      <c r="BD101">
        <v>-11.091865539550781</v>
      </c>
      <c r="BI101">
        <v>0</v>
      </c>
      <c r="BJ101">
        <v>0</v>
      </c>
      <c r="BK101">
        <v>0</v>
      </c>
      <c r="BL101">
        <v>0</v>
      </c>
      <c r="BM101">
        <v>48622374912</v>
      </c>
      <c r="BN101">
        <v>2.126922607421875</v>
      </c>
      <c r="BP101">
        <v>65535</v>
      </c>
      <c r="BQ101">
        <v>65535</v>
      </c>
      <c r="BR101">
        <v>0</v>
      </c>
      <c r="BS101">
        <v>-5.2172329742461443E-4</v>
      </c>
      <c r="BT101">
        <v>0</v>
      </c>
      <c r="BU101">
        <v>11.092475891113281</v>
      </c>
      <c r="BV101">
        <v>-11.091865539550781</v>
      </c>
      <c r="BW101" t="s">
        <v>615</v>
      </c>
      <c r="BX101">
        <v>48622374912</v>
      </c>
      <c r="BY101">
        <v>2.126922607421875</v>
      </c>
      <c r="CB101">
        <v>18.492700576782227</v>
      </c>
      <c r="CC101">
        <v>7.2283225059509277</v>
      </c>
    </row>
    <row r="102" spans="1:83" ht="12.75" customHeight="1">
      <c r="A102" t="s">
        <v>655</v>
      </c>
      <c r="C102" t="s">
        <v>625</v>
      </c>
      <c r="D102">
        <v>100</v>
      </c>
      <c r="F102">
        <v>65535</v>
      </c>
      <c r="I102" t="s">
        <v>655</v>
      </c>
      <c r="R102">
        <v>7.7999982833862305</v>
      </c>
      <c r="T102">
        <v>32.759994506835938</v>
      </c>
      <c r="W102" s="514">
        <v>44245.742824074077</v>
      </c>
      <c r="AN102">
        <v>0</v>
      </c>
      <c r="AO102">
        <v>0</v>
      </c>
      <c r="AP102">
        <v>0</v>
      </c>
      <c r="AS102">
        <v>0</v>
      </c>
      <c r="AT102">
        <v>0</v>
      </c>
      <c r="AU102">
        <v>0</v>
      </c>
      <c r="AW102">
        <v>0</v>
      </c>
      <c r="AZ102">
        <v>0</v>
      </c>
      <c r="BA102">
        <v>-5.2172329742461443E-4</v>
      </c>
      <c r="BB102">
        <v>0</v>
      </c>
      <c r="BC102">
        <v>11.092475891113281</v>
      </c>
      <c r="BD102">
        <v>-11.091865539550781</v>
      </c>
      <c r="BI102">
        <v>0</v>
      </c>
      <c r="BJ102">
        <v>0</v>
      </c>
      <c r="BK102">
        <v>0</v>
      </c>
      <c r="BL102">
        <v>0</v>
      </c>
      <c r="BM102">
        <v>48622374912</v>
      </c>
      <c r="BN102">
        <v>2.126922607421875</v>
      </c>
      <c r="BP102">
        <v>65535</v>
      </c>
      <c r="BQ102">
        <v>65535</v>
      </c>
      <c r="BR102">
        <v>0</v>
      </c>
      <c r="BS102">
        <v>-5.2172329742461443E-4</v>
      </c>
      <c r="BT102">
        <v>0</v>
      </c>
      <c r="BU102">
        <v>11.092475891113281</v>
      </c>
      <c r="BV102">
        <v>-11.091865539550781</v>
      </c>
      <c r="BW102" t="s">
        <v>615</v>
      </c>
      <c r="BX102">
        <v>48622374912</v>
      </c>
      <c r="BY102">
        <v>2.126922607421875</v>
      </c>
      <c r="CB102">
        <v>18.529254913330078</v>
      </c>
      <c r="CC102">
        <v>7.1777396202087402</v>
      </c>
    </row>
    <row r="103" spans="1:83" ht="12.75" customHeight="1">
      <c r="A103" t="s">
        <v>642</v>
      </c>
      <c r="C103" t="s">
        <v>625</v>
      </c>
      <c r="D103">
        <v>101</v>
      </c>
      <c r="F103">
        <v>65535</v>
      </c>
      <c r="I103" t="s">
        <v>642</v>
      </c>
      <c r="R103">
        <v>7.7999982833862305</v>
      </c>
      <c r="T103">
        <v>32.759994506835938</v>
      </c>
      <c r="W103" s="514">
        <v>44245.742824074077</v>
      </c>
      <c r="AN103">
        <v>0</v>
      </c>
      <c r="AO103">
        <v>0</v>
      </c>
      <c r="AP103">
        <v>0</v>
      </c>
      <c r="AS103">
        <v>0</v>
      </c>
      <c r="AT103">
        <v>0</v>
      </c>
      <c r="AU103">
        <v>0</v>
      </c>
      <c r="AW103">
        <v>0</v>
      </c>
      <c r="AZ103">
        <v>0</v>
      </c>
      <c r="BA103">
        <v>-5.2172329742461443E-4</v>
      </c>
      <c r="BB103">
        <v>0</v>
      </c>
      <c r="BC103">
        <v>11.092475891113281</v>
      </c>
      <c r="BD103">
        <v>-11.091865539550781</v>
      </c>
      <c r="BI103">
        <v>0</v>
      </c>
      <c r="BJ103">
        <v>0</v>
      </c>
      <c r="BK103">
        <v>0</v>
      </c>
      <c r="BL103">
        <v>0</v>
      </c>
      <c r="BM103">
        <v>48622374912</v>
      </c>
      <c r="BN103">
        <v>2.126922607421875</v>
      </c>
      <c r="BP103">
        <v>65535</v>
      </c>
      <c r="BQ103">
        <v>65535</v>
      </c>
      <c r="BR103">
        <v>0</v>
      </c>
      <c r="BS103">
        <v>-5.2172329742461443E-4</v>
      </c>
      <c r="BT103">
        <v>0</v>
      </c>
      <c r="BU103">
        <v>11.092475891113281</v>
      </c>
      <c r="BV103">
        <v>-11.091865539550781</v>
      </c>
      <c r="BW103" t="s">
        <v>615</v>
      </c>
      <c r="BX103">
        <v>48622374912</v>
      </c>
      <c r="BY103">
        <v>2.126922607421875</v>
      </c>
      <c r="CB103">
        <v>18.574638366699219</v>
      </c>
      <c r="CC103">
        <v>7.1292800903320313</v>
      </c>
      <c r="CD103" t="s">
        <v>617</v>
      </c>
      <c r="CE103" t="s">
        <v>623</v>
      </c>
    </row>
    <row r="104" spans="1:83" ht="12.75" customHeight="1">
      <c r="A104" t="s">
        <v>642</v>
      </c>
      <c r="C104" t="s">
        <v>625</v>
      </c>
      <c r="D104">
        <v>102</v>
      </c>
      <c r="F104">
        <v>65535</v>
      </c>
      <c r="I104" t="s">
        <v>642</v>
      </c>
      <c r="R104">
        <v>7.7999982833862305</v>
      </c>
      <c r="T104">
        <v>32.759994506835938</v>
      </c>
      <c r="W104" s="514">
        <v>44245.742824074077</v>
      </c>
      <c r="AN104">
        <v>0</v>
      </c>
      <c r="AO104">
        <v>0</v>
      </c>
      <c r="AP104">
        <v>0</v>
      </c>
      <c r="AS104">
        <v>0</v>
      </c>
      <c r="AT104">
        <v>0</v>
      </c>
      <c r="AU104">
        <v>0</v>
      </c>
      <c r="AW104">
        <v>0</v>
      </c>
      <c r="AZ104">
        <v>0</v>
      </c>
      <c r="BA104">
        <v>-5.2172329742461443E-4</v>
      </c>
      <c r="BB104">
        <v>0</v>
      </c>
      <c r="BC104">
        <v>11.092475891113281</v>
      </c>
      <c r="BD104">
        <v>-11.091865539550781</v>
      </c>
      <c r="BI104">
        <v>0</v>
      </c>
      <c r="BJ104">
        <v>0</v>
      </c>
      <c r="BK104">
        <v>0</v>
      </c>
      <c r="BL104">
        <v>0</v>
      </c>
      <c r="BM104">
        <v>48622374912</v>
      </c>
      <c r="BN104">
        <v>2.126922607421875</v>
      </c>
      <c r="BP104">
        <v>65535</v>
      </c>
      <c r="BQ104">
        <v>65535</v>
      </c>
      <c r="BR104">
        <v>0</v>
      </c>
      <c r="BS104">
        <v>-5.2172329742461443E-4</v>
      </c>
      <c r="BT104">
        <v>0</v>
      </c>
      <c r="BU104">
        <v>11.092475891113281</v>
      </c>
      <c r="BV104">
        <v>-11.091865539550781</v>
      </c>
      <c r="BW104" t="s">
        <v>615</v>
      </c>
      <c r="BX104">
        <v>48622374912</v>
      </c>
      <c r="BY104">
        <v>2.126922607421875</v>
      </c>
      <c r="CB104">
        <v>19.745401382446289</v>
      </c>
      <c r="CC104">
        <v>6.2339653968811035</v>
      </c>
      <c r="CD104" t="s">
        <v>617</v>
      </c>
      <c r="CE104" t="s">
        <v>623</v>
      </c>
    </row>
    <row r="105" spans="1:83" ht="12.75" customHeight="1">
      <c r="A105" t="s">
        <v>642</v>
      </c>
      <c r="C105" t="s">
        <v>625</v>
      </c>
      <c r="D105">
        <v>103</v>
      </c>
      <c r="F105">
        <v>65535</v>
      </c>
      <c r="I105" t="s">
        <v>642</v>
      </c>
      <c r="R105">
        <v>7.7999944686889648</v>
      </c>
      <c r="T105">
        <v>32.759975433349609</v>
      </c>
      <c r="W105" s="514">
        <v>44245.742858796293</v>
      </c>
      <c r="AN105">
        <v>0</v>
      </c>
      <c r="AO105">
        <v>0</v>
      </c>
      <c r="AP105">
        <v>0</v>
      </c>
      <c r="AS105">
        <v>0</v>
      </c>
      <c r="AT105">
        <v>0</v>
      </c>
      <c r="AU105">
        <v>0</v>
      </c>
      <c r="AW105">
        <v>0</v>
      </c>
      <c r="AZ105">
        <v>0</v>
      </c>
      <c r="BA105">
        <v>-5.5736274225637317E-4</v>
      </c>
      <c r="BB105">
        <v>0</v>
      </c>
      <c r="BC105">
        <v>10.434837341308594</v>
      </c>
      <c r="BD105">
        <v>-10.434341430664063</v>
      </c>
      <c r="BI105">
        <v>0</v>
      </c>
      <c r="BJ105">
        <v>0</v>
      </c>
      <c r="BK105">
        <v>0</v>
      </c>
      <c r="BL105">
        <v>0</v>
      </c>
      <c r="BM105">
        <v>5.7512407903939759E-22</v>
      </c>
      <c r="BN105">
        <v>2.47845458984375</v>
      </c>
      <c r="BP105">
        <v>65535</v>
      </c>
      <c r="BQ105">
        <v>65535</v>
      </c>
      <c r="BR105">
        <v>0</v>
      </c>
      <c r="BS105">
        <v>-5.5736274225637317E-4</v>
      </c>
      <c r="BT105">
        <v>0</v>
      </c>
      <c r="BU105">
        <v>10.434837341308594</v>
      </c>
      <c r="BV105">
        <v>-10.434341430664063</v>
      </c>
      <c r="BW105" t="s">
        <v>615</v>
      </c>
      <c r="BX105">
        <v>5.7512407903939759E-22</v>
      </c>
      <c r="BY105">
        <v>2.47845458984375</v>
      </c>
      <c r="CB105">
        <v>18.805768966674805</v>
      </c>
      <c r="CC105">
        <v>7.0398960113525391</v>
      </c>
      <c r="CD105" t="s">
        <v>617</v>
      </c>
      <c r="CE105" t="s">
        <v>623</v>
      </c>
    </row>
    <row r="106" spans="1:83" ht="12.75" customHeight="1">
      <c r="A106" t="s">
        <v>628</v>
      </c>
      <c r="C106" t="s">
        <v>625</v>
      </c>
      <c r="D106">
        <v>104</v>
      </c>
      <c r="F106">
        <v>65535</v>
      </c>
      <c r="I106" t="s">
        <v>628</v>
      </c>
      <c r="R106">
        <v>7.7999944686889648</v>
      </c>
      <c r="T106">
        <v>32.759975433349609</v>
      </c>
      <c r="W106" s="514">
        <v>44245.742858796293</v>
      </c>
      <c r="AN106">
        <v>0</v>
      </c>
      <c r="AO106">
        <v>0</v>
      </c>
      <c r="AP106">
        <v>0</v>
      </c>
      <c r="AS106">
        <v>0</v>
      </c>
      <c r="AT106">
        <v>0</v>
      </c>
      <c r="AU106">
        <v>0</v>
      </c>
      <c r="AW106">
        <v>0</v>
      </c>
      <c r="AZ106">
        <v>0</v>
      </c>
      <c r="BA106">
        <v>-5.5736274225637317E-4</v>
      </c>
      <c r="BB106">
        <v>0</v>
      </c>
      <c r="BC106">
        <v>10.434837341308594</v>
      </c>
      <c r="BD106">
        <v>-10.434341430664063</v>
      </c>
      <c r="BI106">
        <v>0</v>
      </c>
      <c r="BJ106">
        <v>0</v>
      </c>
      <c r="BK106">
        <v>0</v>
      </c>
      <c r="BL106">
        <v>0</v>
      </c>
      <c r="BM106">
        <v>5.7512407903939759E-22</v>
      </c>
      <c r="BN106">
        <v>2.47845458984375</v>
      </c>
      <c r="BP106">
        <v>65535</v>
      </c>
      <c r="BQ106">
        <v>65535</v>
      </c>
      <c r="BR106">
        <v>0</v>
      </c>
      <c r="BS106">
        <v>-5.5736274225637317E-4</v>
      </c>
      <c r="BT106">
        <v>0</v>
      </c>
      <c r="BU106">
        <v>10.434837341308594</v>
      </c>
      <c r="BV106">
        <v>-10.434341430664063</v>
      </c>
      <c r="BW106" t="s">
        <v>615</v>
      </c>
      <c r="BX106">
        <v>5.7512407903939759E-22</v>
      </c>
      <c r="BY106">
        <v>2.47845458984375</v>
      </c>
      <c r="CB106">
        <v>18.492700576782227</v>
      </c>
      <c r="CC106">
        <v>7.2283225059509277</v>
      </c>
    </row>
    <row r="107" spans="1:83" ht="12.75" customHeight="1">
      <c r="A107" t="s">
        <v>662</v>
      </c>
      <c r="C107" t="s">
        <v>625</v>
      </c>
      <c r="D107">
        <v>105</v>
      </c>
      <c r="F107">
        <v>65535</v>
      </c>
      <c r="I107" t="s">
        <v>662</v>
      </c>
      <c r="R107">
        <v>7.7999944686889648</v>
      </c>
      <c r="T107">
        <v>32.759975433349609</v>
      </c>
      <c r="W107" s="514">
        <v>44245.742858796293</v>
      </c>
      <c r="AN107">
        <v>0</v>
      </c>
      <c r="AO107">
        <v>0</v>
      </c>
      <c r="AP107">
        <v>0</v>
      </c>
      <c r="AS107">
        <v>0</v>
      </c>
      <c r="AT107">
        <v>0</v>
      </c>
      <c r="AU107">
        <v>0</v>
      </c>
      <c r="AW107">
        <v>0</v>
      </c>
      <c r="AZ107">
        <v>0</v>
      </c>
      <c r="BA107">
        <v>-5.5736274225637317E-4</v>
      </c>
      <c r="BB107">
        <v>0</v>
      </c>
      <c r="BC107">
        <v>10.434837341308594</v>
      </c>
      <c r="BD107">
        <v>-10.434341430664063</v>
      </c>
      <c r="BI107">
        <v>0</v>
      </c>
      <c r="BJ107">
        <v>0</v>
      </c>
      <c r="BK107">
        <v>0</v>
      </c>
      <c r="BL107">
        <v>0</v>
      </c>
      <c r="BM107">
        <v>5.7512407903939759E-22</v>
      </c>
      <c r="BN107">
        <v>2.47845458984375</v>
      </c>
      <c r="BP107">
        <v>65535</v>
      </c>
      <c r="BQ107">
        <v>65535</v>
      </c>
      <c r="BR107">
        <v>0</v>
      </c>
      <c r="BS107">
        <v>-5.5736274225637317E-4</v>
      </c>
      <c r="BT107">
        <v>0</v>
      </c>
      <c r="BU107">
        <v>10.434837341308594</v>
      </c>
      <c r="BV107">
        <v>-10.434341430664063</v>
      </c>
      <c r="BW107" t="s">
        <v>615</v>
      </c>
      <c r="BX107">
        <v>5.7512407903939759E-22</v>
      </c>
      <c r="BY107">
        <v>2.47845458984375</v>
      </c>
      <c r="CB107">
        <v>18.529254913330078</v>
      </c>
      <c r="CC107">
        <v>7.1777396202087402</v>
      </c>
    </row>
    <row r="108" spans="1:83" ht="12.75" customHeight="1">
      <c r="A108" t="s">
        <v>645</v>
      </c>
      <c r="C108" t="s">
        <v>625</v>
      </c>
      <c r="D108">
        <v>106</v>
      </c>
      <c r="F108">
        <v>65535</v>
      </c>
      <c r="I108" t="s">
        <v>645</v>
      </c>
      <c r="R108">
        <v>7.7999944686889648</v>
      </c>
      <c r="T108">
        <v>32.759975433349609</v>
      </c>
      <c r="W108" s="514">
        <v>44245.742858796293</v>
      </c>
      <c r="AN108">
        <v>0</v>
      </c>
      <c r="AO108">
        <v>0</v>
      </c>
      <c r="AP108">
        <v>0</v>
      </c>
      <c r="AS108">
        <v>0</v>
      </c>
      <c r="AT108">
        <v>0</v>
      </c>
      <c r="AU108">
        <v>0</v>
      </c>
      <c r="AW108">
        <v>0</v>
      </c>
      <c r="AZ108">
        <v>0</v>
      </c>
      <c r="BA108">
        <v>-5.5736274225637317E-4</v>
      </c>
      <c r="BB108">
        <v>0</v>
      </c>
      <c r="BC108">
        <v>10.434837341308594</v>
      </c>
      <c r="BD108">
        <v>-10.434341430664063</v>
      </c>
      <c r="BI108">
        <v>0</v>
      </c>
      <c r="BJ108">
        <v>0</v>
      </c>
      <c r="BK108">
        <v>0</v>
      </c>
      <c r="BL108">
        <v>0</v>
      </c>
      <c r="BM108">
        <v>5.7512407903939759E-22</v>
      </c>
      <c r="BN108">
        <v>2.47845458984375</v>
      </c>
      <c r="BP108">
        <v>65535</v>
      </c>
      <c r="BQ108">
        <v>65535</v>
      </c>
      <c r="BR108">
        <v>0</v>
      </c>
      <c r="BS108">
        <v>-5.5736274225637317E-4</v>
      </c>
      <c r="BT108">
        <v>0</v>
      </c>
      <c r="BU108">
        <v>10.434837341308594</v>
      </c>
      <c r="BV108">
        <v>-10.434341430664063</v>
      </c>
      <c r="BW108" t="s">
        <v>615</v>
      </c>
      <c r="BX108">
        <v>5.7512407903939759E-22</v>
      </c>
      <c r="BY108">
        <v>2.47845458984375</v>
      </c>
      <c r="CB108">
        <v>18.574638366699219</v>
      </c>
      <c r="CC108">
        <v>7.1292800903320313</v>
      </c>
    </row>
    <row r="109" spans="1:83" ht="12.75" customHeight="1">
      <c r="A109" t="s">
        <v>663</v>
      </c>
      <c r="C109" t="s">
        <v>625</v>
      </c>
      <c r="D109">
        <v>107</v>
      </c>
      <c r="F109">
        <v>65535</v>
      </c>
      <c r="I109" t="s">
        <v>663</v>
      </c>
      <c r="R109">
        <v>7.7999944686889648</v>
      </c>
      <c r="T109">
        <v>32.759975433349609</v>
      </c>
      <c r="W109" s="514">
        <v>44245.742858796293</v>
      </c>
      <c r="AN109">
        <v>0</v>
      </c>
      <c r="AO109">
        <v>0</v>
      </c>
      <c r="AP109">
        <v>0</v>
      </c>
      <c r="AS109">
        <v>0</v>
      </c>
      <c r="AT109">
        <v>0</v>
      </c>
      <c r="AU109">
        <v>0</v>
      </c>
      <c r="AW109">
        <v>0</v>
      </c>
      <c r="AZ109">
        <v>0</v>
      </c>
      <c r="BA109">
        <v>-5.5736274225637317E-4</v>
      </c>
      <c r="BB109">
        <v>0</v>
      </c>
      <c r="BC109">
        <v>10.434837341308594</v>
      </c>
      <c r="BD109">
        <v>-10.434341430664063</v>
      </c>
      <c r="BI109">
        <v>0</v>
      </c>
      <c r="BJ109">
        <v>0</v>
      </c>
      <c r="BK109">
        <v>0</v>
      </c>
      <c r="BL109">
        <v>0</v>
      </c>
      <c r="BM109">
        <v>5.7512407903939759E-22</v>
      </c>
      <c r="BN109">
        <v>2.47845458984375</v>
      </c>
      <c r="BP109">
        <v>65535</v>
      </c>
      <c r="BQ109">
        <v>65535</v>
      </c>
      <c r="BR109">
        <v>0</v>
      </c>
      <c r="BS109">
        <v>-5.5736274225637317E-4</v>
      </c>
      <c r="BT109">
        <v>0</v>
      </c>
      <c r="BU109">
        <v>10.434837341308594</v>
      </c>
      <c r="BV109">
        <v>-10.434341430664063</v>
      </c>
      <c r="BW109" t="s">
        <v>615</v>
      </c>
      <c r="BX109">
        <v>5.7512407903939759E-22</v>
      </c>
      <c r="BY109">
        <v>2.47845458984375</v>
      </c>
      <c r="CB109">
        <v>19.745401382446289</v>
      </c>
      <c r="CC109">
        <v>6.2339653968811035</v>
      </c>
    </row>
    <row r="110" spans="1:83" ht="12.75" customHeight="1">
      <c r="A110" t="s">
        <v>664</v>
      </c>
      <c r="C110" t="s">
        <v>625</v>
      </c>
      <c r="D110">
        <v>108</v>
      </c>
      <c r="F110">
        <v>65535</v>
      </c>
      <c r="I110" t="s">
        <v>664</v>
      </c>
      <c r="AN110">
        <v>0</v>
      </c>
      <c r="AO110">
        <v>0</v>
      </c>
      <c r="AP110">
        <v>0</v>
      </c>
      <c r="AS110">
        <v>65535</v>
      </c>
      <c r="AT110">
        <v>65535</v>
      </c>
      <c r="AU110">
        <v>65535</v>
      </c>
      <c r="BI110">
        <v>0</v>
      </c>
      <c r="BK110">
        <v>0</v>
      </c>
      <c r="BL110">
        <v>0</v>
      </c>
      <c r="BP110">
        <v>65535</v>
      </c>
      <c r="BQ110">
        <v>65535</v>
      </c>
      <c r="CB110">
        <v>18.805768966674805</v>
      </c>
      <c r="CC110">
        <v>7.0398960113525391</v>
      </c>
    </row>
    <row r="111" spans="1:83" ht="12.75" customHeight="1">
      <c r="A111" t="s">
        <v>665</v>
      </c>
      <c r="C111" t="s">
        <v>625</v>
      </c>
      <c r="D111">
        <v>109</v>
      </c>
      <c r="F111">
        <v>65535</v>
      </c>
      <c r="I111" t="s">
        <v>665</v>
      </c>
      <c r="AN111">
        <v>0</v>
      </c>
      <c r="AO111">
        <v>0</v>
      </c>
      <c r="AP111">
        <v>0</v>
      </c>
      <c r="AS111">
        <v>65535</v>
      </c>
      <c r="AT111">
        <v>65535</v>
      </c>
      <c r="AU111">
        <v>65535</v>
      </c>
      <c r="BI111">
        <v>0</v>
      </c>
      <c r="BK111">
        <v>0</v>
      </c>
      <c r="BL111">
        <v>0</v>
      </c>
      <c r="BP111">
        <v>65535</v>
      </c>
      <c r="BQ111">
        <v>65535</v>
      </c>
      <c r="CB111">
        <v>18.492700576782227</v>
      </c>
      <c r="CC111">
        <v>7.2283225059509277</v>
      </c>
    </row>
    <row r="112" spans="1:83" ht="12.75" customHeight="1">
      <c r="A112" t="s">
        <v>634</v>
      </c>
      <c r="C112" t="s">
        <v>625</v>
      </c>
      <c r="D112">
        <v>110</v>
      </c>
      <c r="F112">
        <v>65535</v>
      </c>
      <c r="I112" t="s">
        <v>634</v>
      </c>
      <c r="AN112">
        <v>0</v>
      </c>
      <c r="AO112">
        <v>0</v>
      </c>
      <c r="AP112">
        <v>0</v>
      </c>
      <c r="AS112">
        <v>65535</v>
      </c>
      <c r="AT112">
        <v>65535</v>
      </c>
      <c r="AU112">
        <v>65535</v>
      </c>
      <c r="BI112">
        <v>0</v>
      </c>
      <c r="BK112">
        <v>0</v>
      </c>
      <c r="BL112">
        <v>0</v>
      </c>
      <c r="BP112">
        <v>65535</v>
      </c>
      <c r="BQ112">
        <v>65535</v>
      </c>
      <c r="CB112">
        <v>18.529254913330078</v>
      </c>
      <c r="CC112">
        <v>7.1777396202087402</v>
      </c>
    </row>
    <row r="113" spans="1:83" ht="12.75" customHeight="1">
      <c r="A113" t="s">
        <v>666</v>
      </c>
      <c r="C113" t="s">
        <v>625</v>
      </c>
      <c r="D113">
        <v>111</v>
      </c>
      <c r="F113">
        <v>65535</v>
      </c>
      <c r="I113" t="s">
        <v>666</v>
      </c>
      <c r="R113">
        <v>7.7999982833862305</v>
      </c>
      <c r="T113">
        <v>32.759994506835938</v>
      </c>
      <c r="W113" s="514">
        <v>44245.742824074077</v>
      </c>
      <c r="AN113">
        <v>0</v>
      </c>
      <c r="AO113">
        <v>0</v>
      </c>
      <c r="AP113">
        <v>0</v>
      </c>
      <c r="AS113">
        <v>0</v>
      </c>
      <c r="AT113">
        <v>0</v>
      </c>
      <c r="AU113">
        <v>0</v>
      </c>
      <c r="AW113">
        <v>0</v>
      </c>
      <c r="AZ113">
        <v>0</v>
      </c>
      <c r="BA113">
        <v>-5.2172329742461443E-4</v>
      </c>
      <c r="BB113">
        <v>0</v>
      </c>
      <c r="BC113">
        <v>11.092475891113281</v>
      </c>
      <c r="BD113">
        <v>-11.091865539550781</v>
      </c>
      <c r="BI113">
        <v>0</v>
      </c>
      <c r="BJ113">
        <v>0</v>
      </c>
      <c r="BK113">
        <v>0</v>
      </c>
      <c r="BL113">
        <v>0</v>
      </c>
      <c r="BM113">
        <v>48622374912</v>
      </c>
      <c r="BN113">
        <v>2.126922607421875</v>
      </c>
      <c r="BP113">
        <v>65535</v>
      </c>
      <c r="BQ113">
        <v>65535</v>
      </c>
      <c r="BR113">
        <v>0</v>
      </c>
      <c r="BS113">
        <v>-5.2172329742461443E-4</v>
      </c>
      <c r="BT113">
        <v>0</v>
      </c>
      <c r="BU113">
        <v>11.092475891113281</v>
      </c>
      <c r="BV113">
        <v>-11.091865539550781</v>
      </c>
      <c r="BW113" t="s">
        <v>615</v>
      </c>
      <c r="BX113">
        <v>48622374912</v>
      </c>
      <c r="BY113">
        <v>2.126922607421875</v>
      </c>
      <c r="CB113">
        <v>18.574638366699219</v>
      </c>
      <c r="CC113">
        <v>7.1292800903320313</v>
      </c>
    </row>
    <row r="114" spans="1:83" ht="12.75" customHeight="1">
      <c r="A114" t="s">
        <v>667</v>
      </c>
      <c r="C114" t="s">
        <v>625</v>
      </c>
      <c r="D114">
        <v>112</v>
      </c>
      <c r="F114">
        <v>65535</v>
      </c>
      <c r="I114" t="s">
        <v>667</v>
      </c>
      <c r="R114">
        <v>7.7999982833862305</v>
      </c>
      <c r="T114">
        <v>32.759994506835938</v>
      </c>
      <c r="W114" s="514">
        <v>44245.742824074077</v>
      </c>
      <c r="AN114">
        <v>0</v>
      </c>
      <c r="AO114">
        <v>0</v>
      </c>
      <c r="AP114">
        <v>0</v>
      </c>
      <c r="AS114">
        <v>0</v>
      </c>
      <c r="AT114">
        <v>0</v>
      </c>
      <c r="AU114">
        <v>0</v>
      </c>
      <c r="AW114">
        <v>0</v>
      </c>
      <c r="AZ114">
        <v>0</v>
      </c>
      <c r="BA114">
        <v>-5.2172329742461443E-4</v>
      </c>
      <c r="BB114">
        <v>0</v>
      </c>
      <c r="BC114">
        <v>11.092475891113281</v>
      </c>
      <c r="BD114">
        <v>-11.091865539550781</v>
      </c>
      <c r="BI114">
        <v>0</v>
      </c>
      <c r="BJ114">
        <v>0</v>
      </c>
      <c r="BK114">
        <v>0</v>
      </c>
      <c r="BL114">
        <v>0</v>
      </c>
      <c r="BM114">
        <v>48622374912</v>
      </c>
      <c r="BN114">
        <v>2.126922607421875</v>
      </c>
      <c r="BP114">
        <v>65535</v>
      </c>
      <c r="BQ114">
        <v>65535</v>
      </c>
      <c r="BR114">
        <v>0</v>
      </c>
      <c r="BS114">
        <v>-5.2172329742461443E-4</v>
      </c>
      <c r="BT114">
        <v>0</v>
      </c>
      <c r="BU114">
        <v>11.092475891113281</v>
      </c>
      <c r="BV114">
        <v>-11.091865539550781</v>
      </c>
      <c r="BW114" t="s">
        <v>615</v>
      </c>
      <c r="BX114">
        <v>48622374912</v>
      </c>
      <c r="BY114">
        <v>2.126922607421875</v>
      </c>
      <c r="CB114">
        <v>19.745401382446289</v>
      </c>
      <c r="CC114">
        <v>6.2339653968811035</v>
      </c>
      <c r="CD114" t="s">
        <v>631</v>
      </c>
      <c r="CE114" t="s">
        <v>632</v>
      </c>
    </row>
    <row r="115" spans="1:83" ht="12.75" customHeight="1">
      <c r="A115" t="s">
        <v>639</v>
      </c>
      <c r="C115" t="s">
        <v>625</v>
      </c>
      <c r="D115">
        <v>113</v>
      </c>
      <c r="F115">
        <v>65535</v>
      </c>
      <c r="I115" t="s">
        <v>639</v>
      </c>
      <c r="R115">
        <v>7.7999982833862305</v>
      </c>
      <c r="T115">
        <v>32.759994506835938</v>
      </c>
      <c r="W115" s="514">
        <v>44245.742824074077</v>
      </c>
      <c r="AN115">
        <v>0</v>
      </c>
      <c r="AO115">
        <v>0</v>
      </c>
      <c r="AP115">
        <v>0</v>
      </c>
      <c r="AS115">
        <v>0</v>
      </c>
      <c r="AT115">
        <v>0</v>
      </c>
      <c r="AU115">
        <v>0</v>
      </c>
      <c r="AW115">
        <v>0</v>
      </c>
      <c r="AZ115">
        <v>0</v>
      </c>
      <c r="BA115">
        <v>-5.2172329742461443E-4</v>
      </c>
      <c r="BB115">
        <v>0</v>
      </c>
      <c r="BC115">
        <v>11.092475891113281</v>
      </c>
      <c r="BD115">
        <v>-11.091865539550781</v>
      </c>
      <c r="BI115">
        <v>0</v>
      </c>
      <c r="BJ115">
        <v>0</v>
      </c>
      <c r="BK115">
        <v>0</v>
      </c>
      <c r="BL115">
        <v>0</v>
      </c>
      <c r="BM115">
        <v>48622374912</v>
      </c>
      <c r="BN115">
        <v>2.126922607421875</v>
      </c>
      <c r="BP115">
        <v>65535</v>
      </c>
      <c r="BQ115">
        <v>65535</v>
      </c>
      <c r="BR115">
        <v>0</v>
      </c>
      <c r="BS115">
        <v>-5.2172329742461443E-4</v>
      </c>
      <c r="BT115">
        <v>0</v>
      </c>
      <c r="BU115">
        <v>11.092475891113281</v>
      </c>
      <c r="BV115">
        <v>-11.091865539550781</v>
      </c>
      <c r="BW115" t="s">
        <v>615</v>
      </c>
      <c r="BX115">
        <v>48622374912</v>
      </c>
      <c r="BY115">
        <v>2.126922607421875</v>
      </c>
      <c r="CB115">
        <v>18.805768966674805</v>
      </c>
      <c r="CC115">
        <v>7.0398960113525391</v>
      </c>
    </row>
    <row r="116" spans="1:83" ht="12.75" customHeight="1">
      <c r="A116" t="s">
        <v>626</v>
      </c>
      <c r="C116" t="s">
        <v>625</v>
      </c>
      <c r="D116">
        <v>114</v>
      </c>
      <c r="F116">
        <v>65535</v>
      </c>
      <c r="I116" t="s">
        <v>626</v>
      </c>
      <c r="R116">
        <v>7.7999982833862305</v>
      </c>
      <c r="T116">
        <v>32.759994506835938</v>
      </c>
      <c r="W116" s="514">
        <v>44245.742824074077</v>
      </c>
      <c r="AN116">
        <v>0</v>
      </c>
      <c r="AO116">
        <v>0</v>
      </c>
      <c r="AP116">
        <v>0</v>
      </c>
      <c r="AS116">
        <v>0</v>
      </c>
      <c r="AT116">
        <v>0</v>
      </c>
      <c r="AU116">
        <v>0</v>
      </c>
      <c r="AW116">
        <v>0</v>
      </c>
      <c r="AZ116">
        <v>0</v>
      </c>
      <c r="BA116">
        <v>-5.2172329742461443E-4</v>
      </c>
      <c r="BB116">
        <v>0</v>
      </c>
      <c r="BC116">
        <v>11.092475891113281</v>
      </c>
      <c r="BD116">
        <v>-11.091865539550781</v>
      </c>
      <c r="BI116">
        <v>0</v>
      </c>
      <c r="BJ116">
        <v>0</v>
      </c>
      <c r="BK116">
        <v>0</v>
      </c>
      <c r="BL116">
        <v>0</v>
      </c>
      <c r="BM116">
        <v>48622374912</v>
      </c>
      <c r="BN116">
        <v>2.126922607421875</v>
      </c>
      <c r="BP116">
        <v>65535</v>
      </c>
      <c r="BQ116">
        <v>65535</v>
      </c>
      <c r="BR116">
        <v>0</v>
      </c>
      <c r="BS116">
        <v>-5.2172329742461443E-4</v>
      </c>
      <c r="BT116">
        <v>0</v>
      </c>
      <c r="BU116">
        <v>11.092475891113281</v>
      </c>
      <c r="BV116">
        <v>-11.091865539550781</v>
      </c>
      <c r="BW116" t="s">
        <v>615</v>
      </c>
      <c r="BX116">
        <v>48622374912</v>
      </c>
      <c r="BY116">
        <v>2.126922607421875</v>
      </c>
      <c r="CB116">
        <v>18.492700576782227</v>
      </c>
      <c r="CC116">
        <v>7.2283225059509277</v>
      </c>
    </row>
    <row r="117" spans="1:83" ht="12.75" customHeight="1">
      <c r="A117" t="s">
        <v>668</v>
      </c>
      <c r="C117" t="s">
        <v>625</v>
      </c>
      <c r="D117">
        <v>115</v>
      </c>
      <c r="F117">
        <v>65535</v>
      </c>
      <c r="I117" t="s">
        <v>668</v>
      </c>
      <c r="R117">
        <v>7.7999982833862305</v>
      </c>
      <c r="T117">
        <v>32.759994506835938</v>
      </c>
      <c r="W117" s="514">
        <v>44245.742824074077</v>
      </c>
      <c r="AN117">
        <v>0</v>
      </c>
      <c r="AO117">
        <v>0</v>
      </c>
      <c r="AP117">
        <v>0</v>
      </c>
      <c r="AS117">
        <v>0</v>
      </c>
      <c r="AT117">
        <v>0</v>
      </c>
      <c r="AU117">
        <v>0</v>
      </c>
      <c r="AW117">
        <v>0</v>
      </c>
      <c r="AZ117">
        <v>0</v>
      </c>
      <c r="BA117">
        <v>-5.2172329742461443E-4</v>
      </c>
      <c r="BB117">
        <v>0</v>
      </c>
      <c r="BC117">
        <v>11.092475891113281</v>
      </c>
      <c r="BD117">
        <v>-11.091865539550781</v>
      </c>
      <c r="BI117">
        <v>0</v>
      </c>
      <c r="BJ117">
        <v>0</v>
      </c>
      <c r="BK117">
        <v>0</v>
      </c>
      <c r="BL117">
        <v>0</v>
      </c>
      <c r="BM117">
        <v>48622374912</v>
      </c>
      <c r="BN117">
        <v>2.126922607421875</v>
      </c>
      <c r="BP117">
        <v>65535</v>
      </c>
      <c r="BQ117">
        <v>65535</v>
      </c>
      <c r="BR117">
        <v>0</v>
      </c>
      <c r="BS117">
        <v>-5.2172329742461443E-4</v>
      </c>
      <c r="BT117">
        <v>0</v>
      </c>
      <c r="BU117">
        <v>11.092475891113281</v>
      </c>
      <c r="BV117">
        <v>-11.091865539550781</v>
      </c>
      <c r="BW117" t="s">
        <v>615</v>
      </c>
      <c r="BX117">
        <v>48622374912</v>
      </c>
      <c r="BY117">
        <v>2.126922607421875</v>
      </c>
      <c r="CB117">
        <v>18.529254913330078</v>
      </c>
      <c r="CC117">
        <v>7.1777396202087402</v>
      </c>
    </row>
    <row r="118" spans="1:83" ht="12.75" customHeight="1">
      <c r="A118" t="s">
        <v>630</v>
      </c>
      <c r="C118" t="s">
        <v>625</v>
      </c>
      <c r="D118">
        <v>116</v>
      </c>
      <c r="F118">
        <v>65535</v>
      </c>
      <c r="I118" t="s">
        <v>630</v>
      </c>
      <c r="R118">
        <v>7.7999944686889648</v>
      </c>
      <c r="T118">
        <v>32.759975433349609</v>
      </c>
      <c r="W118" s="514">
        <v>44245.742858796293</v>
      </c>
      <c r="AN118">
        <v>0</v>
      </c>
      <c r="AO118">
        <v>0</v>
      </c>
      <c r="AP118">
        <v>0</v>
      </c>
      <c r="AS118">
        <v>0</v>
      </c>
      <c r="AT118">
        <v>0</v>
      </c>
      <c r="AU118">
        <v>0</v>
      </c>
      <c r="AW118">
        <v>0</v>
      </c>
      <c r="AZ118">
        <v>0</v>
      </c>
      <c r="BA118">
        <v>-5.5736274225637317E-4</v>
      </c>
      <c r="BB118">
        <v>0</v>
      </c>
      <c r="BC118">
        <v>10.434837341308594</v>
      </c>
      <c r="BD118">
        <v>-10.434341430664063</v>
      </c>
      <c r="BI118">
        <v>0</v>
      </c>
      <c r="BJ118">
        <v>0</v>
      </c>
      <c r="BK118">
        <v>0</v>
      </c>
      <c r="BL118">
        <v>0</v>
      </c>
      <c r="BM118">
        <v>5.7512407903939759E-22</v>
      </c>
      <c r="BN118">
        <v>2.47845458984375</v>
      </c>
      <c r="BP118">
        <v>65535</v>
      </c>
      <c r="BQ118">
        <v>65535</v>
      </c>
      <c r="BR118">
        <v>0</v>
      </c>
      <c r="BS118">
        <v>-5.5736274225637317E-4</v>
      </c>
      <c r="BT118">
        <v>0</v>
      </c>
      <c r="BU118">
        <v>10.434837341308594</v>
      </c>
      <c r="BV118">
        <v>-10.434341430664063</v>
      </c>
      <c r="BW118" t="s">
        <v>615</v>
      </c>
      <c r="BX118">
        <v>5.7512407903939759E-22</v>
      </c>
      <c r="BY118">
        <v>2.47845458984375</v>
      </c>
      <c r="CB118">
        <v>18.574638366699219</v>
      </c>
      <c r="CC118">
        <v>7.1292800903320313</v>
      </c>
      <c r="CD118" t="s">
        <v>631</v>
      </c>
      <c r="CE118" t="s">
        <v>632</v>
      </c>
    </row>
    <row r="119" spans="1:83" ht="12.75" customHeight="1">
      <c r="A119" t="s">
        <v>630</v>
      </c>
      <c r="C119" t="s">
        <v>625</v>
      </c>
      <c r="D119">
        <v>117</v>
      </c>
      <c r="F119">
        <v>65535</v>
      </c>
      <c r="I119" t="s">
        <v>630</v>
      </c>
      <c r="R119">
        <v>7.7999944686889648</v>
      </c>
      <c r="T119">
        <v>32.759975433349609</v>
      </c>
      <c r="W119" s="514">
        <v>44245.742858796293</v>
      </c>
      <c r="AN119">
        <v>0</v>
      </c>
      <c r="AO119">
        <v>0</v>
      </c>
      <c r="AP119">
        <v>0</v>
      </c>
      <c r="AS119">
        <v>0</v>
      </c>
      <c r="AT119">
        <v>0</v>
      </c>
      <c r="AU119">
        <v>0</v>
      </c>
      <c r="AW119">
        <v>0</v>
      </c>
      <c r="AZ119">
        <v>0</v>
      </c>
      <c r="BA119">
        <v>-5.5736274225637317E-4</v>
      </c>
      <c r="BB119">
        <v>0</v>
      </c>
      <c r="BC119">
        <v>10.434837341308594</v>
      </c>
      <c r="BD119">
        <v>-10.434341430664063</v>
      </c>
      <c r="BI119">
        <v>0</v>
      </c>
      <c r="BJ119">
        <v>0</v>
      </c>
      <c r="BK119">
        <v>0</v>
      </c>
      <c r="BL119">
        <v>0</v>
      </c>
      <c r="BM119">
        <v>5.7512407903939759E-22</v>
      </c>
      <c r="BN119">
        <v>2.47845458984375</v>
      </c>
      <c r="BP119">
        <v>65535</v>
      </c>
      <c r="BQ119">
        <v>65535</v>
      </c>
      <c r="BR119">
        <v>0</v>
      </c>
      <c r="BS119">
        <v>-5.5736274225637317E-4</v>
      </c>
      <c r="BT119">
        <v>0</v>
      </c>
      <c r="BU119">
        <v>10.434837341308594</v>
      </c>
      <c r="BV119">
        <v>-10.434341430664063</v>
      </c>
      <c r="BW119" t="s">
        <v>615</v>
      </c>
      <c r="BX119">
        <v>5.7512407903939759E-22</v>
      </c>
      <c r="BY119">
        <v>2.47845458984375</v>
      </c>
      <c r="CB119">
        <v>19.745401382446289</v>
      </c>
      <c r="CC119">
        <v>6.2339653968811035</v>
      </c>
      <c r="CD119" t="s">
        <v>631</v>
      </c>
      <c r="CE119" t="s">
        <v>632</v>
      </c>
    </row>
    <row r="120" spans="1:83" ht="12.75" customHeight="1">
      <c r="A120" t="s">
        <v>620</v>
      </c>
      <c r="C120" t="s">
        <v>625</v>
      </c>
      <c r="D120">
        <v>118</v>
      </c>
      <c r="F120">
        <v>65535</v>
      </c>
      <c r="I120" t="s">
        <v>620</v>
      </c>
      <c r="R120">
        <v>7.7999944686889648</v>
      </c>
      <c r="T120">
        <v>32.759975433349609</v>
      </c>
      <c r="W120" s="514">
        <v>44245.742858796293</v>
      </c>
      <c r="AN120">
        <v>0</v>
      </c>
      <c r="AO120">
        <v>0</v>
      </c>
      <c r="AP120">
        <v>0</v>
      </c>
      <c r="AS120">
        <v>0</v>
      </c>
      <c r="AT120">
        <v>0</v>
      </c>
      <c r="AU120">
        <v>0</v>
      </c>
      <c r="AW120">
        <v>0</v>
      </c>
      <c r="AZ120">
        <v>0</v>
      </c>
      <c r="BA120">
        <v>-5.5736274225637317E-4</v>
      </c>
      <c r="BB120">
        <v>0</v>
      </c>
      <c r="BC120">
        <v>10.434837341308594</v>
      </c>
      <c r="BD120">
        <v>-10.434341430664063</v>
      </c>
      <c r="BI120">
        <v>0</v>
      </c>
      <c r="BJ120">
        <v>0</v>
      </c>
      <c r="BK120">
        <v>0</v>
      </c>
      <c r="BL120">
        <v>0</v>
      </c>
      <c r="BM120">
        <v>5.7512407903939759E-22</v>
      </c>
      <c r="BN120">
        <v>2.47845458984375</v>
      </c>
      <c r="BP120">
        <v>65535</v>
      </c>
      <c r="BQ120">
        <v>65535</v>
      </c>
      <c r="BR120">
        <v>0</v>
      </c>
      <c r="BS120">
        <v>-5.5736274225637317E-4</v>
      </c>
      <c r="BT120">
        <v>0</v>
      </c>
      <c r="BU120">
        <v>10.434837341308594</v>
      </c>
      <c r="BV120">
        <v>-10.434341430664063</v>
      </c>
      <c r="BW120" t="s">
        <v>615</v>
      </c>
      <c r="BX120">
        <v>5.7512407903939759E-22</v>
      </c>
      <c r="BY120">
        <v>2.47845458984375</v>
      </c>
      <c r="CB120">
        <v>18.805768966674805</v>
      </c>
      <c r="CC120">
        <v>7.0398960113525391</v>
      </c>
      <c r="CD120" t="s">
        <v>622</v>
      </c>
      <c r="CE120" t="s">
        <v>623</v>
      </c>
    </row>
    <row r="121" spans="1:83" ht="12.75" customHeight="1">
      <c r="A121" t="s">
        <v>648</v>
      </c>
      <c r="C121" t="s">
        <v>625</v>
      </c>
      <c r="D121">
        <v>119</v>
      </c>
      <c r="F121">
        <v>65535</v>
      </c>
      <c r="I121" t="s">
        <v>648</v>
      </c>
      <c r="R121">
        <v>7.7999944686889648</v>
      </c>
      <c r="T121">
        <v>32.759975433349609</v>
      </c>
      <c r="W121" s="514">
        <v>44245.742858796293</v>
      </c>
      <c r="AN121">
        <v>0</v>
      </c>
      <c r="AO121">
        <v>0</v>
      </c>
      <c r="AP121">
        <v>0</v>
      </c>
      <c r="AS121">
        <v>0</v>
      </c>
      <c r="AT121">
        <v>0</v>
      </c>
      <c r="AU121">
        <v>0</v>
      </c>
      <c r="AW121">
        <v>0</v>
      </c>
      <c r="AZ121">
        <v>0</v>
      </c>
      <c r="BA121">
        <v>-5.5736274225637317E-4</v>
      </c>
      <c r="BB121">
        <v>0</v>
      </c>
      <c r="BC121">
        <v>10.434837341308594</v>
      </c>
      <c r="BD121">
        <v>-10.434341430664063</v>
      </c>
      <c r="BI121">
        <v>0</v>
      </c>
      <c r="BJ121">
        <v>0</v>
      </c>
      <c r="BK121">
        <v>0</v>
      </c>
      <c r="BL121">
        <v>0</v>
      </c>
      <c r="BM121">
        <v>5.7512407903939759E-22</v>
      </c>
      <c r="BN121">
        <v>2.47845458984375</v>
      </c>
      <c r="BP121">
        <v>65535</v>
      </c>
      <c r="BQ121">
        <v>65535</v>
      </c>
      <c r="BR121">
        <v>0</v>
      </c>
      <c r="BS121">
        <v>-5.5736274225637317E-4</v>
      </c>
      <c r="BT121">
        <v>0</v>
      </c>
      <c r="BU121">
        <v>10.434837341308594</v>
      </c>
      <c r="BV121">
        <v>-10.434341430664063</v>
      </c>
      <c r="BW121" t="s">
        <v>615</v>
      </c>
      <c r="BX121">
        <v>5.7512407903939759E-22</v>
      </c>
      <c r="BY121">
        <v>2.47845458984375</v>
      </c>
      <c r="CB121">
        <v>18.492700576782227</v>
      </c>
      <c r="CC121">
        <v>7.2283225059509277</v>
      </c>
    </row>
    <row r="122" spans="1:83" ht="12.75" customHeight="1">
      <c r="A122" t="s">
        <v>648</v>
      </c>
      <c r="C122" t="s">
        <v>625</v>
      </c>
      <c r="D122">
        <v>120</v>
      </c>
      <c r="F122">
        <v>65535</v>
      </c>
      <c r="I122" t="s">
        <v>648</v>
      </c>
      <c r="R122">
        <v>7.7999944686889648</v>
      </c>
      <c r="T122">
        <v>32.759975433349609</v>
      </c>
      <c r="W122" s="514">
        <v>44245.742858796293</v>
      </c>
      <c r="AN122">
        <v>0</v>
      </c>
      <c r="AO122">
        <v>0</v>
      </c>
      <c r="AP122">
        <v>0</v>
      </c>
      <c r="AS122">
        <v>0</v>
      </c>
      <c r="AT122">
        <v>0</v>
      </c>
      <c r="AU122">
        <v>0</v>
      </c>
      <c r="AW122">
        <v>0</v>
      </c>
      <c r="AZ122">
        <v>0</v>
      </c>
      <c r="BA122">
        <v>-5.5736274225637317E-4</v>
      </c>
      <c r="BB122">
        <v>0</v>
      </c>
      <c r="BC122">
        <v>10.434837341308594</v>
      </c>
      <c r="BD122">
        <v>-10.434341430664063</v>
      </c>
      <c r="BI122">
        <v>0</v>
      </c>
      <c r="BJ122">
        <v>0</v>
      </c>
      <c r="BK122">
        <v>0</v>
      </c>
      <c r="BL122">
        <v>0</v>
      </c>
      <c r="BM122">
        <v>5.7512407903939759E-22</v>
      </c>
      <c r="BN122">
        <v>2.47845458984375</v>
      </c>
      <c r="BP122">
        <v>65535</v>
      </c>
      <c r="BQ122">
        <v>65535</v>
      </c>
      <c r="BR122">
        <v>0</v>
      </c>
      <c r="BS122">
        <v>-5.5736274225637317E-4</v>
      </c>
      <c r="BT122">
        <v>0</v>
      </c>
      <c r="BU122">
        <v>10.434837341308594</v>
      </c>
      <c r="BV122">
        <v>-10.434341430664063</v>
      </c>
      <c r="BW122" t="s">
        <v>615</v>
      </c>
      <c r="BX122">
        <v>5.7512407903939759E-22</v>
      </c>
      <c r="BY122">
        <v>2.47845458984375</v>
      </c>
      <c r="CB122">
        <v>18.529254913330078</v>
      </c>
      <c r="CC122">
        <v>7.1777396202087402</v>
      </c>
    </row>
    <row r="123" spans="1:83" ht="12.75" customHeight="1">
      <c r="A123" t="s">
        <v>669</v>
      </c>
      <c r="C123" t="s">
        <v>625</v>
      </c>
      <c r="D123">
        <v>121</v>
      </c>
      <c r="F123">
        <v>65535</v>
      </c>
      <c r="I123" t="s">
        <v>669</v>
      </c>
      <c r="R123">
        <v>7.280001163482666</v>
      </c>
      <c r="T123">
        <v>30.576005935668945</v>
      </c>
      <c r="W123" s="514">
        <v>44245.742905092593</v>
      </c>
      <c r="AN123">
        <v>0</v>
      </c>
      <c r="AO123">
        <v>0</v>
      </c>
      <c r="AP123">
        <v>0</v>
      </c>
      <c r="AS123">
        <v>0</v>
      </c>
      <c r="AT123">
        <v>0</v>
      </c>
      <c r="AU123">
        <v>0</v>
      </c>
      <c r="AW123">
        <v>0</v>
      </c>
      <c r="AZ123">
        <v>0</v>
      </c>
      <c r="BA123">
        <v>-5.4936431115493178E-4</v>
      </c>
      <c r="BB123">
        <v>0</v>
      </c>
      <c r="BC123">
        <v>9.9062042236328125</v>
      </c>
      <c r="BD123">
        <v>-9.9055871963500977</v>
      </c>
      <c r="BI123">
        <v>0</v>
      </c>
      <c r="BJ123">
        <v>0</v>
      </c>
      <c r="BK123">
        <v>0</v>
      </c>
      <c r="BL123">
        <v>0</v>
      </c>
      <c r="BM123">
        <v>2.4326769765270484E-11</v>
      </c>
      <c r="BN123">
        <v>2.3984375</v>
      </c>
      <c r="BP123">
        <v>65535</v>
      </c>
      <c r="BQ123">
        <v>65535</v>
      </c>
      <c r="BR123">
        <v>0</v>
      </c>
      <c r="BS123">
        <v>-5.4936431115493178E-4</v>
      </c>
      <c r="BT123">
        <v>0</v>
      </c>
      <c r="BU123">
        <v>9.9062042236328125</v>
      </c>
      <c r="BV123">
        <v>-9.9055871963500977</v>
      </c>
      <c r="BW123" t="s">
        <v>615</v>
      </c>
      <c r="BX123">
        <v>2.4326769765270484E-11</v>
      </c>
      <c r="BY123">
        <v>2.3984375</v>
      </c>
      <c r="CB123">
        <v>18.574638366699219</v>
      </c>
      <c r="CC123">
        <v>7.1292800903320313</v>
      </c>
    </row>
    <row r="124" spans="1:83" ht="12.75" customHeight="1">
      <c r="A124" t="s">
        <v>634</v>
      </c>
      <c r="C124" t="s">
        <v>625</v>
      </c>
      <c r="D124">
        <v>122</v>
      </c>
      <c r="F124">
        <v>65535</v>
      </c>
      <c r="I124" t="s">
        <v>634</v>
      </c>
      <c r="R124">
        <v>7.280001163482666</v>
      </c>
      <c r="T124">
        <v>30.576005935668945</v>
      </c>
      <c r="W124" s="514">
        <v>44245.742905092593</v>
      </c>
      <c r="AN124">
        <v>0</v>
      </c>
      <c r="AO124">
        <v>0</v>
      </c>
      <c r="AP124">
        <v>0</v>
      </c>
      <c r="AS124">
        <v>0</v>
      </c>
      <c r="AT124">
        <v>0</v>
      </c>
      <c r="AU124">
        <v>0</v>
      </c>
      <c r="AW124">
        <v>0</v>
      </c>
      <c r="AZ124">
        <v>0</v>
      </c>
      <c r="BA124">
        <v>-5.4936431115493178E-4</v>
      </c>
      <c r="BB124">
        <v>0</v>
      </c>
      <c r="BC124">
        <v>9.9062042236328125</v>
      </c>
      <c r="BD124">
        <v>-9.9055871963500977</v>
      </c>
      <c r="BI124">
        <v>0</v>
      </c>
      <c r="BJ124">
        <v>0</v>
      </c>
      <c r="BK124">
        <v>0</v>
      </c>
      <c r="BL124">
        <v>0</v>
      </c>
      <c r="BM124">
        <v>2.4326769765270484E-11</v>
      </c>
      <c r="BN124">
        <v>2.3984375</v>
      </c>
      <c r="BP124">
        <v>65535</v>
      </c>
      <c r="BQ124">
        <v>65535</v>
      </c>
      <c r="BR124">
        <v>0</v>
      </c>
      <c r="BS124">
        <v>-5.4936431115493178E-4</v>
      </c>
      <c r="BT124">
        <v>0</v>
      </c>
      <c r="BU124">
        <v>9.9062042236328125</v>
      </c>
      <c r="BV124">
        <v>-9.9055871963500977</v>
      </c>
      <c r="BW124" t="s">
        <v>615</v>
      </c>
      <c r="BX124">
        <v>2.4326769765270484E-11</v>
      </c>
      <c r="BY124">
        <v>2.3984375</v>
      </c>
      <c r="CB124">
        <v>19.745401382446289</v>
      </c>
      <c r="CC124">
        <v>6.2339653968811035</v>
      </c>
    </row>
    <row r="125" spans="1:83" ht="12.75" customHeight="1">
      <c r="A125" t="s">
        <v>640</v>
      </c>
      <c r="C125" t="s">
        <v>625</v>
      </c>
      <c r="D125">
        <v>123</v>
      </c>
      <c r="F125">
        <v>65535</v>
      </c>
      <c r="I125" t="s">
        <v>640</v>
      </c>
      <c r="R125">
        <v>7.280001163482666</v>
      </c>
      <c r="T125">
        <v>30.576005935668945</v>
      </c>
      <c r="W125" s="514">
        <v>44245.742905092593</v>
      </c>
      <c r="AN125">
        <v>0</v>
      </c>
      <c r="AO125">
        <v>0</v>
      </c>
      <c r="AP125">
        <v>0</v>
      </c>
      <c r="AS125">
        <v>0</v>
      </c>
      <c r="AT125">
        <v>0</v>
      </c>
      <c r="AU125">
        <v>0</v>
      </c>
      <c r="AW125">
        <v>0</v>
      </c>
      <c r="AZ125">
        <v>0</v>
      </c>
      <c r="BA125">
        <v>-5.4936431115493178E-4</v>
      </c>
      <c r="BB125">
        <v>0</v>
      </c>
      <c r="BC125">
        <v>9.9062042236328125</v>
      </c>
      <c r="BD125">
        <v>-9.9055871963500977</v>
      </c>
      <c r="BI125">
        <v>0</v>
      </c>
      <c r="BJ125">
        <v>0</v>
      </c>
      <c r="BK125">
        <v>0</v>
      </c>
      <c r="BL125">
        <v>0</v>
      </c>
      <c r="BM125">
        <v>2.4326769765270484E-11</v>
      </c>
      <c r="BN125">
        <v>2.3984375</v>
      </c>
      <c r="BP125">
        <v>65535</v>
      </c>
      <c r="BQ125">
        <v>65535</v>
      </c>
      <c r="BR125">
        <v>0</v>
      </c>
      <c r="BS125">
        <v>-5.4936431115493178E-4</v>
      </c>
      <c r="BT125">
        <v>0</v>
      </c>
      <c r="BU125">
        <v>9.9062042236328125</v>
      </c>
      <c r="BV125">
        <v>-9.9055871963500977</v>
      </c>
      <c r="BW125" t="s">
        <v>615</v>
      </c>
      <c r="BX125">
        <v>2.4326769765270484E-11</v>
      </c>
      <c r="BY125">
        <v>2.3984375</v>
      </c>
      <c r="CB125">
        <v>18.805768966674805</v>
      </c>
      <c r="CC125">
        <v>7.0398960113525391</v>
      </c>
      <c r="CD125" t="s">
        <v>616</v>
      </c>
      <c r="CE125" t="s">
        <v>619</v>
      </c>
    </row>
    <row r="126" spans="1:83" ht="12.75" customHeight="1">
      <c r="A126" t="s">
        <v>670</v>
      </c>
      <c r="C126" t="s">
        <v>625</v>
      </c>
      <c r="D126">
        <v>124</v>
      </c>
      <c r="F126">
        <v>65535</v>
      </c>
      <c r="I126" t="s">
        <v>670</v>
      </c>
      <c r="R126">
        <v>7.280001163482666</v>
      </c>
      <c r="T126">
        <v>30.576005935668945</v>
      </c>
      <c r="W126" s="514">
        <v>44245.742905092593</v>
      </c>
      <c r="AN126">
        <v>0</v>
      </c>
      <c r="AO126">
        <v>0</v>
      </c>
      <c r="AP126">
        <v>0</v>
      </c>
      <c r="AS126">
        <v>0</v>
      </c>
      <c r="AT126">
        <v>0</v>
      </c>
      <c r="AU126">
        <v>0</v>
      </c>
      <c r="AW126">
        <v>0</v>
      </c>
      <c r="AZ126">
        <v>0</v>
      </c>
      <c r="BA126">
        <v>-5.4936431115493178E-4</v>
      </c>
      <c r="BB126">
        <v>0</v>
      </c>
      <c r="BC126">
        <v>9.9062042236328125</v>
      </c>
      <c r="BD126">
        <v>-9.9055871963500977</v>
      </c>
      <c r="BI126">
        <v>0</v>
      </c>
      <c r="BJ126">
        <v>0</v>
      </c>
      <c r="BK126">
        <v>0</v>
      </c>
      <c r="BL126">
        <v>0</v>
      </c>
      <c r="BM126">
        <v>2.4326769765270484E-11</v>
      </c>
      <c r="BN126">
        <v>2.3984375</v>
      </c>
      <c r="BP126">
        <v>65535</v>
      </c>
      <c r="BQ126">
        <v>65535</v>
      </c>
      <c r="BR126">
        <v>0</v>
      </c>
      <c r="BS126">
        <v>-5.4936431115493178E-4</v>
      </c>
      <c r="BT126">
        <v>0</v>
      </c>
      <c r="BU126">
        <v>9.9062042236328125</v>
      </c>
      <c r="BV126">
        <v>-9.9055871963500977</v>
      </c>
      <c r="BW126" t="s">
        <v>615</v>
      </c>
      <c r="BX126">
        <v>2.4326769765270484E-11</v>
      </c>
      <c r="BY126">
        <v>2.3984375</v>
      </c>
      <c r="CB126">
        <v>18.492700576782227</v>
      </c>
      <c r="CC126">
        <v>7.2283225059509277</v>
      </c>
    </row>
    <row r="127" spans="1:83" ht="12.75" customHeight="1">
      <c r="A127" t="s">
        <v>670</v>
      </c>
      <c r="C127" t="s">
        <v>625</v>
      </c>
      <c r="D127">
        <v>125</v>
      </c>
      <c r="F127">
        <v>65535</v>
      </c>
      <c r="I127" t="s">
        <v>670</v>
      </c>
      <c r="R127">
        <v>7.280001163482666</v>
      </c>
      <c r="T127">
        <v>30.576005935668945</v>
      </c>
      <c r="W127" s="514">
        <v>44245.742905092593</v>
      </c>
      <c r="AN127">
        <v>0</v>
      </c>
      <c r="AO127">
        <v>0</v>
      </c>
      <c r="AP127">
        <v>0</v>
      </c>
      <c r="AS127">
        <v>0</v>
      </c>
      <c r="AT127">
        <v>0</v>
      </c>
      <c r="AU127">
        <v>0</v>
      </c>
      <c r="AW127">
        <v>0</v>
      </c>
      <c r="AZ127">
        <v>0</v>
      </c>
      <c r="BA127">
        <v>-5.4936431115493178E-4</v>
      </c>
      <c r="BB127">
        <v>0</v>
      </c>
      <c r="BC127">
        <v>9.9062042236328125</v>
      </c>
      <c r="BD127">
        <v>-9.9055871963500977</v>
      </c>
      <c r="BI127">
        <v>0</v>
      </c>
      <c r="BJ127">
        <v>0</v>
      </c>
      <c r="BK127">
        <v>0</v>
      </c>
      <c r="BL127">
        <v>0</v>
      </c>
      <c r="BM127">
        <v>2.4326769765270484E-11</v>
      </c>
      <c r="BN127">
        <v>2.3984375</v>
      </c>
      <c r="BP127">
        <v>65535</v>
      </c>
      <c r="BQ127">
        <v>65535</v>
      </c>
      <c r="BR127">
        <v>0</v>
      </c>
      <c r="BS127">
        <v>-5.4936431115493178E-4</v>
      </c>
      <c r="BT127">
        <v>0</v>
      </c>
      <c r="BU127">
        <v>9.9062042236328125</v>
      </c>
      <c r="BV127">
        <v>-9.9055871963500977</v>
      </c>
      <c r="BW127" t="s">
        <v>615</v>
      </c>
      <c r="BX127">
        <v>2.4326769765270484E-11</v>
      </c>
      <c r="BY127">
        <v>2.3984375</v>
      </c>
      <c r="CB127">
        <v>18.529254913330078</v>
      </c>
      <c r="CC127">
        <v>7.1777396202087402</v>
      </c>
    </row>
    <row r="128" spans="1:83" ht="12.75" customHeight="1">
      <c r="A128" t="s">
        <v>624</v>
      </c>
      <c r="C128" t="s">
        <v>625</v>
      </c>
      <c r="D128">
        <v>126</v>
      </c>
      <c r="F128">
        <v>65535</v>
      </c>
      <c r="I128" t="s">
        <v>624</v>
      </c>
      <c r="AN128">
        <v>0</v>
      </c>
      <c r="AO128">
        <v>0</v>
      </c>
      <c r="AP128">
        <v>0</v>
      </c>
      <c r="AS128">
        <v>65535</v>
      </c>
      <c r="AT128">
        <v>65535</v>
      </c>
      <c r="AU128">
        <v>65535</v>
      </c>
      <c r="BI128">
        <v>0</v>
      </c>
      <c r="BK128">
        <v>0</v>
      </c>
      <c r="BL128">
        <v>0</v>
      </c>
      <c r="BP128">
        <v>65535</v>
      </c>
      <c r="BQ128">
        <v>65535</v>
      </c>
      <c r="CB128">
        <v>18.574638366699219</v>
      </c>
      <c r="CC128">
        <v>7.1292800903320313</v>
      </c>
    </row>
    <row r="129" spans="1:83" ht="12.75" customHeight="1">
      <c r="A129" t="s">
        <v>671</v>
      </c>
      <c r="C129" t="s">
        <v>625</v>
      </c>
      <c r="D129">
        <v>127</v>
      </c>
      <c r="F129">
        <v>65535</v>
      </c>
      <c r="I129" t="s">
        <v>671</v>
      </c>
      <c r="AN129">
        <v>0</v>
      </c>
      <c r="AO129">
        <v>0</v>
      </c>
      <c r="AP129">
        <v>0</v>
      </c>
      <c r="AS129">
        <v>65535</v>
      </c>
      <c r="AT129">
        <v>65535</v>
      </c>
      <c r="AU129">
        <v>65535</v>
      </c>
      <c r="BI129">
        <v>0</v>
      </c>
      <c r="BK129">
        <v>0</v>
      </c>
      <c r="BL129">
        <v>0</v>
      </c>
      <c r="BP129">
        <v>65535</v>
      </c>
      <c r="BQ129">
        <v>65535</v>
      </c>
      <c r="CB129">
        <v>19.745401382446289</v>
      </c>
      <c r="CC129">
        <v>6.2339653968811035</v>
      </c>
    </row>
    <row r="130" spans="1:83" ht="12.75" customHeight="1">
      <c r="A130" t="s">
        <v>672</v>
      </c>
      <c r="C130" t="s">
        <v>625</v>
      </c>
      <c r="D130">
        <v>128</v>
      </c>
      <c r="F130">
        <v>65535</v>
      </c>
      <c r="I130" t="s">
        <v>672</v>
      </c>
      <c r="AN130">
        <v>0</v>
      </c>
      <c r="AO130">
        <v>0</v>
      </c>
      <c r="AP130">
        <v>0</v>
      </c>
      <c r="AS130">
        <v>65535</v>
      </c>
      <c r="AT130">
        <v>65535</v>
      </c>
      <c r="AU130">
        <v>65535</v>
      </c>
      <c r="BI130">
        <v>0</v>
      </c>
      <c r="BK130">
        <v>0</v>
      </c>
      <c r="BL130">
        <v>0</v>
      </c>
      <c r="BP130">
        <v>65535</v>
      </c>
      <c r="BQ130">
        <v>65535</v>
      </c>
      <c r="CB130">
        <v>18.805768966674805</v>
      </c>
      <c r="CC130">
        <v>7.0398960113525391</v>
      </c>
    </row>
    <row r="131" spans="1:83" ht="12.75" customHeight="1">
      <c r="A131" t="s">
        <v>671</v>
      </c>
      <c r="C131" t="s">
        <v>625</v>
      </c>
      <c r="D131">
        <v>129</v>
      </c>
      <c r="F131">
        <v>65535</v>
      </c>
      <c r="I131" t="s">
        <v>671</v>
      </c>
      <c r="AN131">
        <v>0</v>
      </c>
      <c r="AO131">
        <v>0</v>
      </c>
      <c r="AP131">
        <v>0</v>
      </c>
      <c r="AS131">
        <v>65535</v>
      </c>
      <c r="AT131">
        <v>65535</v>
      </c>
      <c r="AU131">
        <v>65535</v>
      </c>
      <c r="BI131">
        <v>0</v>
      </c>
      <c r="BK131">
        <v>0</v>
      </c>
      <c r="BL131">
        <v>0</v>
      </c>
      <c r="BP131">
        <v>65535</v>
      </c>
      <c r="BQ131">
        <v>65535</v>
      </c>
      <c r="CB131">
        <v>18.492700576782227</v>
      </c>
      <c r="CC131">
        <v>7.2283225059509277</v>
      </c>
    </row>
    <row r="132" spans="1:83" ht="12.75" customHeight="1">
      <c r="A132" t="s">
        <v>672</v>
      </c>
      <c r="C132" t="s">
        <v>625</v>
      </c>
      <c r="D132">
        <v>130</v>
      </c>
      <c r="F132">
        <v>65535</v>
      </c>
      <c r="I132" t="s">
        <v>672</v>
      </c>
      <c r="AN132">
        <v>0</v>
      </c>
      <c r="AO132">
        <v>0</v>
      </c>
      <c r="AP132">
        <v>0</v>
      </c>
      <c r="AS132">
        <v>65535</v>
      </c>
      <c r="AT132">
        <v>65535</v>
      </c>
      <c r="AU132">
        <v>65535</v>
      </c>
      <c r="BI132">
        <v>0</v>
      </c>
      <c r="BK132">
        <v>0</v>
      </c>
      <c r="BL132">
        <v>0</v>
      </c>
      <c r="BP132">
        <v>65535</v>
      </c>
      <c r="BQ132">
        <v>65535</v>
      </c>
      <c r="CB132">
        <v>18.529254913330078</v>
      </c>
      <c r="CC132">
        <v>7.1777396202087402</v>
      </c>
    </row>
    <row r="133" spans="1:83" ht="12.75" customHeight="1">
      <c r="A133" t="s">
        <v>673</v>
      </c>
      <c r="C133" t="s">
        <v>635</v>
      </c>
      <c r="D133">
        <v>131</v>
      </c>
      <c r="F133">
        <v>65535</v>
      </c>
      <c r="I133" t="s">
        <v>673</v>
      </c>
      <c r="AN133">
        <v>0</v>
      </c>
      <c r="AO133">
        <v>0</v>
      </c>
      <c r="AP133">
        <v>0</v>
      </c>
      <c r="AS133">
        <v>65535</v>
      </c>
      <c r="AT133">
        <v>65535</v>
      </c>
      <c r="AU133">
        <v>65535</v>
      </c>
      <c r="BI133">
        <v>0</v>
      </c>
      <c r="BK133">
        <v>0</v>
      </c>
      <c r="BL133">
        <v>0</v>
      </c>
      <c r="BP133">
        <v>65535</v>
      </c>
      <c r="BQ133">
        <v>65535</v>
      </c>
      <c r="CB133">
        <v>18.574638366699219</v>
      </c>
      <c r="CC133">
        <v>7.1292800903320313</v>
      </c>
      <c r="CD133" t="s">
        <v>622</v>
      </c>
      <c r="CE133" t="s">
        <v>623</v>
      </c>
    </row>
    <row r="134" spans="1:83" ht="12.75" customHeight="1">
      <c r="A134" t="s">
        <v>674</v>
      </c>
      <c r="C134" t="s">
        <v>635</v>
      </c>
      <c r="D134">
        <v>132</v>
      </c>
      <c r="F134">
        <v>65535</v>
      </c>
      <c r="I134" t="s">
        <v>674</v>
      </c>
      <c r="AN134">
        <v>0</v>
      </c>
      <c r="AO134">
        <v>0</v>
      </c>
      <c r="AP134">
        <v>0</v>
      </c>
      <c r="AS134">
        <v>65535</v>
      </c>
      <c r="AT134">
        <v>65535</v>
      </c>
      <c r="AU134">
        <v>65535</v>
      </c>
      <c r="BI134">
        <v>0</v>
      </c>
      <c r="BK134">
        <v>0</v>
      </c>
      <c r="BL134">
        <v>0</v>
      </c>
      <c r="BP134">
        <v>65535</v>
      </c>
      <c r="BQ134">
        <v>65535</v>
      </c>
      <c r="CB134">
        <v>18.637947082519531</v>
      </c>
      <c r="CC134">
        <v>7.255988597869873</v>
      </c>
      <c r="CD134" t="s">
        <v>616</v>
      </c>
      <c r="CE134" t="s">
        <v>619</v>
      </c>
    </row>
    <row r="135" spans="1:83" ht="12.75" customHeight="1">
      <c r="A135" t="s">
        <v>675</v>
      </c>
      <c r="C135" t="s">
        <v>635</v>
      </c>
      <c r="D135">
        <v>133</v>
      </c>
      <c r="F135">
        <v>65535</v>
      </c>
      <c r="I135" t="s">
        <v>675</v>
      </c>
      <c r="R135">
        <v>30.079996109008789</v>
      </c>
      <c r="T135">
        <v>126.33598327636719</v>
      </c>
      <c r="W135" s="514">
        <v>44245.743391203701</v>
      </c>
      <c r="AN135">
        <v>0</v>
      </c>
      <c r="AO135">
        <v>0</v>
      </c>
      <c r="AP135">
        <v>0</v>
      </c>
      <c r="AS135">
        <v>0</v>
      </c>
      <c r="AT135">
        <v>0</v>
      </c>
      <c r="AU135">
        <v>0</v>
      </c>
      <c r="AW135">
        <v>0</v>
      </c>
      <c r="AZ135">
        <v>0</v>
      </c>
      <c r="BA135">
        <v>-2.2061812342144549E-4</v>
      </c>
      <c r="BB135">
        <v>0</v>
      </c>
      <c r="BC135">
        <v>-34.158714294433594</v>
      </c>
      <c r="BD135">
        <v>34.158973693847656</v>
      </c>
      <c r="BI135">
        <v>0</v>
      </c>
      <c r="BJ135">
        <v>0</v>
      </c>
      <c r="BK135">
        <v>0</v>
      </c>
      <c r="BL135">
        <v>0</v>
      </c>
      <c r="BM135">
        <v>9.0470535995045372E-34</v>
      </c>
      <c r="BN135">
        <v>-0.820587158203125</v>
      </c>
      <c r="BP135">
        <v>65535</v>
      </c>
      <c r="BQ135">
        <v>65535</v>
      </c>
      <c r="BR135">
        <v>0</v>
      </c>
      <c r="BS135">
        <v>-2.2061812342144549E-4</v>
      </c>
      <c r="BT135">
        <v>0</v>
      </c>
      <c r="BU135">
        <v>-34.158714294433594</v>
      </c>
      <c r="BV135">
        <v>34.158973693847656</v>
      </c>
      <c r="BW135" t="s">
        <v>615</v>
      </c>
      <c r="BX135">
        <v>9.0470535995045372E-34</v>
      </c>
      <c r="BY135">
        <v>-0.820587158203125</v>
      </c>
      <c r="CB135">
        <v>20.659940719604492</v>
      </c>
      <c r="CC135">
        <v>5.4541282653808594</v>
      </c>
    </row>
    <row r="136" spans="1:83" ht="12.75" customHeight="1">
      <c r="A136" t="s">
        <v>676</v>
      </c>
      <c r="C136" t="s">
        <v>635</v>
      </c>
      <c r="D136">
        <v>134</v>
      </c>
      <c r="F136">
        <v>65535</v>
      </c>
      <c r="I136" t="s">
        <v>676</v>
      </c>
      <c r="R136">
        <v>30.079996109008789</v>
      </c>
      <c r="T136">
        <v>126.33598327636719</v>
      </c>
      <c r="W136" s="514">
        <v>44245.743391203701</v>
      </c>
      <c r="AN136">
        <v>0</v>
      </c>
      <c r="AO136">
        <v>0</v>
      </c>
      <c r="AP136">
        <v>0</v>
      </c>
      <c r="AS136">
        <v>0</v>
      </c>
      <c r="AT136">
        <v>0</v>
      </c>
      <c r="AU136">
        <v>0</v>
      </c>
      <c r="AW136">
        <v>0</v>
      </c>
      <c r="AZ136">
        <v>0</v>
      </c>
      <c r="BA136">
        <v>-2.2061812342144549E-4</v>
      </c>
      <c r="BB136">
        <v>0</v>
      </c>
      <c r="BC136">
        <v>-34.158714294433594</v>
      </c>
      <c r="BD136">
        <v>34.158973693847656</v>
      </c>
      <c r="BI136">
        <v>0</v>
      </c>
      <c r="BJ136">
        <v>0</v>
      </c>
      <c r="BK136">
        <v>0</v>
      </c>
      <c r="BL136">
        <v>0</v>
      </c>
      <c r="BM136">
        <v>9.0470535995045372E-34</v>
      </c>
      <c r="BN136">
        <v>-0.820587158203125</v>
      </c>
      <c r="BP136">
        <v>65535</v>
      </c>
      <c r="BQ136">
        <v>65535</v>
      </c>
      <c r="BR136">
        <v>0</v>
      </c>
      <c r="BS136">
        <v>-2.2061812342144549E-4</v>
      </c>
      <c r="BT136">
        <v>0</v>
      </c>
      <c r="BU136">
        <v>-34.158714294433594</v>
      </c>
      <c r="BV136">
        <v>34.158973693847656</v>
      </c>
      <c r="BW136" t="s">
        <v>615</v>
      </c>
      <c r="BX136">
        <v>9.0470535995045372E-34</v>
      </c>
      <c r="BY136">
        <v>-0.820587158203125</v>
      </c>
      <c r="CB136">
        <v>18.707109451293945</v>
      </c>
      <c r="CC136">
        <v>7.1428737640380859</v>
      </c>
      <c r="CD136" t="s">
        <v>616</v>
      </c>
      <c r="CE136" t="s">
        <v>619</v>
      </c>
    </row>
    <row r="137" spans="1:83" ht="12.75" customHeight="1">
      <c r="A137" t="s">
        <v>677</v>
      </c>
      <c r="C137" t="s">
        <v>635</v>
      </c>
      <c r="D137">
        <v>135</v>
      </c>
      <c r="F137">
        <v>65535</v>
      </c>
      <c r="I137" t="s">
        <v>677</v>
      </c>
      <c r="AN137">
        <v>0</v>
      </c>
      <c r="AO137">
        <v>0</v>
      </c>
      <c r="AP137">
        <v>0</v>
      </c>
      <c r="AS137">
        <v>65535</v>
      </c>
      <c r="AT137">
        <v>65535</v>
      </c>
      <c r="AU137">
        <v>65535</v>
      </c>
      <c r="BI137">
        <v>0</v>
      </c>
      <c r="BK137">
        <v>0</v>
      </c>
      <c r="BL137">
        <v>0</v>
      </c>
      <c r="BP137">
        <v>65535</v>
      </c>
      <c r="BQ137">
        <v>65535</v>
      </c>
      <c r="CB137">
        <v>18.707109451293945</v>
      </c>
      <c r="CC137">
        <v>7.1428737640380859</v>
      </c>
      <c r="CD137" t="s">
        <v>678</v>
      </c>
      <c r="CE137" t="s">
        <v>679</v>
      </c>
    </row>
    <row r="138" spans="1:83" ht="12.75" customHeight="1">
      <c r="A138" t="s">
        <v>680</v>
      </c>
      <c r="C138" t="s">
        <v>635</v>
      </c>
      <c r="D138">
        <v>136</v>
      </c>
      <c r="F138">
        <v>65535</v>
      </c>
      <c r="I138" t="s">
        <v>680</v>
      </c>
      <c r="AN138">
        <v>0</v>
      </c>
      <c r="AO138">
        <v>0</v>
      </c>
      <c r="AP138">
        <v>0</v>
      </c>
      <c r="AS138">
        <v>65535</v>
      </c>
      <c r="AT138">
        <v>65535</v>
      </c>
      <c r="AU138">
        <v>65535</v>
      </c>
      <c r="BI138">
        <v>0</v>
      </c>
      <c r="BK138">
        <v>0</v>
      </c>
      <c r="BL138">
        <v>0</v>
      </c>
      <c r="BP138">
        <v>65535</v>
      </c>
      <c r="BQ138">
        <v>65535</v>
      </c>
      <c r="CB138">
        <v>19.343687057495117</v>
      </c>
      <c r="CC138">
        <v>6.5684771537780762</v>
      </c>
      <c r="CD138" t="s">
        <v>617</v>
      </c>
      <c r="CE138" t="s">
        <v>623</v>
      </c>
    </row>
    <row r="139" spans="1:83" ht="12.75" customHeight="1">
      <c r="A139" t="s">
        <v>681</v>
      </c>
      <c r="C139" t="s">
        <v>625</v>
      </c>
      <c r="D139">
        <v>137</v>
      </c>
      <c r="F139">
        <v>65535</v>
      </c>
      <c r="I139" t="s">
        <v>681</v>
      </c>
      <c r="AN139">
        <v>0</v>
      </c>
      <c r="AO139">
        <v>0</v>
      </c>
      <c r="AP139">
        <v>0</v>
      </c>
      <c r="AS139">
        <v>65535</v>
      </c>
      <c r="AT139">
        <v>65535</v>
      </c>
      <c r="AU139">
        <v>65535</v>
      </c>
      <c r="BI139">
        <v>0</v>
      </c>
      <c r="BK139">
        <v>0</v>
      </c>
      <c r="BL139">
        <v>0</v>
      </c>
      <c r="BP139">
        <v>65535</v>
      </c>
      <c r="BQ139">
        <v>65535</v>
      </c>
      <c r="CB139">
        <v>25.7955322265625</v>
      </c>
      <c r="CC139">
        <v>2.8672349452972412</v>
      </c>
    </row>
    <row r="140" spans="1:83" ht="12.75" customHeight="1">
      <c r="A140" t="s">
        <v>682</v>
      </c>
      <c r="C140" t="s">
        <v>625</v>
      </c>
      <c r="D140">
        <v>138</v>
      </c>
      <c r="F140">
        <v>65535</v>
      </c>
      <c r="I140" t="s">
        <v>682</v>
      </c>
      <c r="R140">
        <v>18</v>
      </c>
      <c r="T140">
        <v>75.599998474121094</v>
      </c>
      <c r="W140" s="514">
        <v>44245.743090277778</v>
      </c>
      <c r="AN140">
        <v>0</v>
      </c>
      <c r="AO140">
        <v>0</v>
      </c>
      <c r="AP140">
        <v>0</v>
      </c>
      <c r="AS140">
        <v>0</v>
      </c>
      <c r="AT140">
        <v>0</v>
      </c>
      <c r="AU140">
        <v>0</v>
      </c>
      <c r="AW140">
        <v>0</v>
      </c>
      <c r="AZ140">
        <v>0</v>
      </c>
      <c r="BA140">
        <v>-4.9571704585105181E-4</v>
      </c>
      <c r="BB140">
        <v>0</v>
      </c>
      <c r="BC140">
        <v>-7.852081298828125</v>
      </c>
      <c r="BD140">
        <v>7.8524293899536133</v>
      </c>
      <c r="BI140">
        <v>0</v>
      </c>
      <c r="BJ140">
        <v>0</v>
      </c>
      <c r="BK140">
        <v>0</v>
      </c>
      <c r="BL140">
        <v>0</v>
      </c>
      <c r="BM140">
        <v>6.5315257853116672E+30</v>
      </c>
      <c r="BN140">
        <v>1.883636474609375</v>
      </c>
      <c r="BP140">
        <v>65535</v>
      </c>
      <c r="BQ140">
        <v>65535</v>
      </c>
      <c r="BR140">
        <v>0</v>
      </c>
      <c r="BS140">
        <v>-4.9571704585105181E-4</v>
      </c>
      <c r="BT140">
        <v>0</v>
      </c>
      <c r="BU140">
        <v>-7.852081298828125</v>
      </c>
      <c r="BV140">
        <v>7.8524293899536133</v>
      </c>
      <c r="BW140" t="s">
        <v>615</v>
      </c>
      <c r="BX140">
        <v>6.5315257853116672E+30</v>
      </c>
      <c r="BY140">
        <v>1.883636474609375</v>
      </c>
      <c r="CB140">
        <v>20.942314147949219</v>
      </c>
      <c r="CC140">
        <v>5.654355525970459</v>
      </c>
    </row>
    <row r="141" spans="1:83" ht="12.75" customHeight="1">
      <c r="A141" t="s">
        <v>683</v>
      </c>
      <c r="C141" t="s">
        <v>625</v>
      </c>
      <c r="D141">
        <v>139</v>
      </c>
      <c r="F141">
        <v>65535</v>
      </c>
      <c r="I141" t="s">
        <v>683</v>
      </c>
      <c r="R141">
        <v>111.59999847412109</v>
      </c>
      <c r="T141">
        <v>468.72000122070313</v>
      </c>
      <c r="W141" s="514">
        <v>44245.743125000001</v>
      </c>
      <c r="AN141">
        <v>0</v>
      </c>
      <c r="AO141">
        <v>0</v>
      </c>
      <c r="AP141">
        <v>0</v>
      </c>
      <c r="AS141">
        <v>0</v>
      </c>
      <c r="AT141">
        <v>0</v>
      </c>
      <c r="AU141">
        <v>0</v>
      </c>
      <c r="AW141">
        <v>0</v>
      </c>
      <c r="AZ141">
        <v>0</v>
      </c>
      <c r="BA141">
        <v>-5.9618806699290872E-4</v>
      </c>
      <c r="BB141">
        <v>0</v>
      </c>
      <c r="BC141">
        <v>132.8204345703125</v>
      </c>
      <c r="BD141">
        <v>-132.81906127929688</v>
      </c>
      <c r="BI141">
        <v>0</v>
      </c>
      <c r="BJ141">
        <v>0</v>
      </c>
      <c r="BK141">
        <v>0</v>
      </c>
      <c r="BL141">
        <v>0</v>
      </c>
      <c r="BM141">
        <v>-8.2094338249068583E+30</v>
      </c>
      <c r="BN141">
        <v>2.88531494140625</v>
      </c>
      <c r="BP141">
        <v>65535</v>
      </c>
      <c r="BQ141">
        <v>65535</v>
      </c>
      <c r="BR141">
        <v>0</v>
      </c>
      <c r="BS141">
        <v>-5.9618806699290872E-4</v>
      </c>
      <c r="BT141">
        <v>0</v>
      </c>
      <c r="BU141">
        <v>132.8204345703125</v>
      </c>
      <c r="BV141">
        <v>-132.81906127929688</v>
      </c>
      <c r="BW141" t="s">
        <v>615</v>
      </c>
      <c r="BX141">
        <v>-8.2094338249068583E+30</v>
      </c>
      <c r="BY141">
        <v>2.88531494140625</v>
      </c>
      <c r="CB141">
        <v>23.971769332885742</v>
      </c>
      <c r="CC141">
        <v>3.9166152477264404</v>
      </c>
    </row>
    <row r="142" spans="1:83" ht="12.75" customHeight="1">
      <c r="A142" t="s">
        <v>684</v>
      </c>
      <c r="C142" t="s">
        <v>625</v>
      </c>
      <c r="D142">
        <v>140</v>
      </c>
      <c r="F142">
        <v>65535</v>
      </c>
      <c r="I142" t="s">
        <v>684</v>
      </c>
      <c r="R142">
        <v>22.560001373291016</v>
      </c>
      <c r="T142">
        <v>94.752006530761719</v>
      </c>
      <c r="W142" s="514">
        <v>44245.743206018517</v>
      </c>
      <c r="AN142">
        <v>0</v>
      </c>
      <c r="AO142">
        <v>0</v>
      </c>
      <c r="AP142">
        <v>0</v>
      </c>
      <c r="AS142">
        <v>0</v>
      </c>
      <c r="AT142">
        <v>0</v>
      </c>
      <c r="AU142">
        <v>0</v>
      </c>
      <c r="AW142">
        <v>0</v>
      </c>
      <c r="AZ142">
        <v>0</v>
      </c>
      <c r="BA142">
        <v>-3.052213869523257E-4</v>
      </c>
      <c r="BB142">
        <v>0</v>
      </c>
      <c r="BC142">
        <v>-63.912063598632813</v>
      </c>
      <c r="BD142">
        <v>63.912380218505859</v>
      </c>
      <c r="BI142">
        <v>0</v>
      </c>
      <c r="BJ142">
        <v>0</v>
      </c>
      <c r="BK142">
        <v>0</v>
      </c>
      <c r="BL142">
        <v>0</v>
      </c>
      <c r="BM142">
        <v>2.4941507192899337E-10</v>
      </c>
      <c r="BN142">
        <v>4.6142578125E-2</v>
      </c>
      <c r="BP142">
        <v>65535</v>
      </c>
      <c r="BQ142">
        <v>65535</v>
      </c>
      <c r="BR142">
        <v>0</v>
      </c>
      <c r="BS142">
        <v>-3.052213869523257E-4</v>
      </c>
      <c r="BT142">
        <v>0</v>
      </c>
      <c r="BU142">
        <v>-63.912063598632813</v>
      </c>
      <c r="BV142">
        <v>63.912380218505859</v>
      </c>
      <c r="BW142" t="s">
        <v>615</v>
      </c>
      <c r="BX142">
        <v>2.4941507192899337E-10</v>
      </c>
      <c r="BY142">
        <v>4.6142578125E-2</v>
      </c>
      <c r="CB142">
        <v>21.819248199462891</v>
      </c>
      <c r="CC142">
        <v>5.4208102226257324</v>
      </c>
      <c r="CD142" t="s">
        <v>617</v>
      </c>
      <c r="CE142" t="s">
        <v>623</v>
      </c>
    </row>
    <row r="143" spans="1:83" ht="12.75" customHeight="1">
      <c r="A143" t="s">
        <v>636</v>
      </c>
      <c r="C143" t="s">
        <v>625</v>
      </c>
      <c r="D143">
        <v>141</v>
      </c>
      <c r="F143">
        <v>65535</v>
      </c>
      <c r="I143" t="s">
        <v>636</v>
      </c>
      <c r="AN143">
        <v>0</v>
      </c>
      <c r="AO143">
        <v>0</v>
      </c>
      <c r="AP143">
        <v>0</v>
      </c>
      <c r="AS143">
        <v>65535</v>
      </c>
      <c r="AT143">
        <v>65535</v>
      </c>
      <c r="AU143">
        <v>65535</v>
      </c>
      <c r="BI143">
        <v>0</v>
      </c>
      <c r="BK143">
        <v>0</v>
      </c>
      <c r="BL143">
        <v>0</v>
      </c>
      <c r="BP143">
        <v>65535</v>
      </c>
      <c r="BQ143">
        <v>65535</v>
      </c>
      <c r="CB143">
        <v>18.333803176879883</v>
      </c>
      <c r="CC143">
        <v>7.596900463104248</v>
      </c>
    </row>
    <row r="144" spans="1:83" ht="12.75" customHeight="1">
      <c r="A144" t="s">
        <v>685</v>
      </c>
      <c r="C144" t="s">
        <v>625</v>
      </c>
      <c r="D144">
        <v>142</v>
      </c>
      <c r="F144">
        <v>65535</v>
      </c>
      <c r="I144" t="s">
        <v>685</v>
      </c>
      <c r="R144">
        <v>29.919998168945313</v>
      </c>
      <c r="T144">
        <v>125.66399383544922</v>
      </c>
      <c r="W144" s="514">
        <v>44245.742974537039</v>
      </c>
      <c r="AN144">
        <v>0</v>
      </c>
      <c r="AO144">
        <v>0</v>
      </c>
      <c r="AP144">
        <v>0</v>
      </c>
      <c r="AS144">
        <v>0</v>
      </c>
      <c r="AT144">
        <v>0</v>
      </c>
      <c r="AU144">
        <v>0</v>
      </c>
      <c r="AW144">
        <v>0</v>
      </c>
      <c r="AZ144">
        <v>0</v>
      </c>
      <c r="BA144">
        <v>-9.8132732091471553E-5</v>
      </c>
      <c r="BB144">
        <v>0</v>
      </c>
      <c r="BC144">
        <v>-33.136451721191406</v>
      </c>
      <c r="BD144">
        <v>33.036540985107422</v>
      </c>
      <c r="BI144">
        <v>0</v>
      </c>
      <c r="BJ144">
        <v>0</v>
      </c>
      <c r="BK144">
        <v>0</v>
      </c>
      <c r="BL144">
        <v>0</v>
      </c>
      <c r="BM144">
        <v>-345273120</v>
      </c>
      <c r="BN144">
        <v>-2.03753662109375</v>
      </c>
      <c r="BP144">
        <v>65535</v>
      </c>
      <c r="BQ144">
        <v>65535</v>
      </c>
      <c r="BR144">
        <v>0</v>
      </c>
      <c r="BS144">
        <v>-9.8132732091471553E-5</v>
      </c>
      <c r="BT144">
        <v>0</v>
      </c>
      <c r="BU144">
        <v>-33.136451721191406</v>
      </c>
      <c r="BV144">
        <v>33.036540985107422</v>
      </c>
      <c r="BW144" t="s">
        <v>615</v>
      </c>
      <c r="BX144">
        <v>-345273120</v>
      </c>
      <c r="BY144">
        <v>-2.03753662109375</v>
      </c>
      <c r="CB144">
        <v>19.141769409179688</v>
      </c>
      <c r="CC144">
        <v>6.892298698425293</v>
      </c>
    </row>
    <row r="145" spans="1:83" ht="12.75" customHeight="1">
      <c r="A145" t="s">
        <v>686</v>
      </c>
      <c r="C145" t="s">
        <v>635</v>
      </c>
      <c r="D145">
        <v>143</v>
      </c>
      <c r="F145">
        <v>65535</v>
      </c>
      <c r="I145" t="s">
        <v>686</v>
      </c>
      <c r="AN145">
        <v>0</v>
      </c>
      <c r="AO145">
        <v>0</v>
      </c>
      <c r="AP145">
        <v>0</v>
      </c>
      <c r="AS145">
        <v>65535</v>
      </c>
      <c r="AT145">
        <v>65535</v>
      </c>
      <c r="AU145">
        <v>65535</v>
      </c>
      <c r="BI145">
        <v>0</v>
      </c>
      <c r="BK145">
        <v>0</v>
      </c>
      <c r="BL145">
        <v>0</v>
      </c>
      <c r="BP145">
        <v>65535</v>
      </c>
      <c r="BQ145">
        <v>65535</v>
      </c>
      <c r="CB145">
        <v>19.778478622436523</v>
      </c>
      <c r="CC145">
        <v>6.1792669296264648</v>
      </c>
      <c r="CD145" t="s">
        <v>622</v>
      </c>
      <c r="CE145" t="s">
        <v>623</v>
      </c>
    </row>
    <row r="146" spans="1:83" ht="12.75" customHeight="1">
      <c r="A146" t="s">
        <v>686</v>
      </c>
      <c r="C146" t="s">
        <v>635</v>
      </c>
      <c r="D146">
        <v>144</v>
      </c>
      <c r="F146">
        <v>65535</v>
      </c>
      <c r="I146" t="s">
        <v>686</v>
      </c>
      <c r="AN146">
        <v>0</v>
      </c>
      <c r="AO146">
        <v>0</v>
      </c>
      <c r="AP146">
        <v>0</v>
      </c>
      <c r="AS146">
        <v>65535</v>
      </c>
      <c r="AT146">
        <v>65535</v>
      </c>
      <c r="AU146">
        <v>65535</v>
      </c>
      <c r="BI146">
        <v>0</v>
      </c>
      <c r="BK146">
        <v>0</v>
      </c>
      <c r="BL146">
        <v>0</v>
      </c>
      <c r="BP146">
        <v>65535</v>
      </c>
      <c r="BQ146">
        <v>65535</v>
      </c>
      <c r="CB146">
        <v>20.840654373168945</v>
      </c>
      <c r="CC146">
        <v>5.6806502342224121</v>
      </c>
      <c r="CD146" t="s">
        <v>622</v>
      </c>
      <c r="CE146" t="s">
        <v>623</v>
      </c>
    </row>
    <row r="147" spans="1:83" ht="12.75" customHeight="1">
      <c r="A147" t="s">
        <v>687</v>
      </c>
      <c r="C147" t="s">
        <v>625</v>
      </c>
      <c r="D147">
        <v>145</v>
      </c>
      <c r="F147">
        <v>65535</v>
      </c>
      <c r="I147" t="s">
        <v>687</v>
      </c>
      <c r="AN147">
        <v>0</v>
      </c>
      <c r="AO147">
        <v>0</v>
      </c>
      <c r="AP147">
        <v>0</v>
      </c>
      <c r="AS147">
        <v>65535</v>
      </c>
      <c r="AT147">
        <v>65535</v>
      </c>
      <c r="AU147">
        <v>65535</v>
      </c>
      <c r="BI147">
        <v>0</v>
      </c>
      <c r="BK147">
        <v>0</v>
      </c>
      <c r="BL147">
        <v>0</v>
      </c>
      <c r="BP147">
        <v>65535</v>
      </c>
      <c r="BQ147">
        <v>65535</v>
      </c>
      <c r="CB147">
        <v>26.173185348510742</v>
      </c>
      <c r="CC147">
        <v>2.6861469745635986</v>
      </c>
    </row>
    <row r="148" spans="1:83" ht="12.75" customHeight="1">
      <c r="A148" t="s">
        <v>688</v>
      </c>
      <c r="C148" t="s">
        <v>625</v>
      </c>
      <c r="D148">
        <v>146</v>
      </c>
      <c r="F148">
        <v>65535</v>
      </c>
      <c r="I148" t="s">
        <v>688</v>
      </c>
      <c r="AN148">
        <v>0</v>
      </c>
      <c r="AO148">
        <v>0</v>
      </c>
      <c r="AP148">
        <v>0</v>
      </c>
      <c r="AS148">
        <v>65535</v>
      </c>
      <c r="AT148">
        <v>65535</v>
      </c>
      <c r="AU148">
        <v>65535</v>
      </c>
      <c r="BI148">
        <v>0</v>
      </c>
      <c r="BK148">
        <v>0</v>
      </c>
      <c r="BL148">
        <v>0</v>
      </c>
      <c r="BP148">
        <v>65535</v>
      </c>
      <c r="BQ148">
        <v>65535</v>
      </c>
      <c r="CB148">
        <v>20.840654373168945</v>
      </c>
      <c r="CC148">
        <v>5.6806502342224121</v>
      </c>
    </row>
    <row r="149" spans="1:83" ht="12.75" customHeight="1">
      <c r="A149" t="s">
        <v>689</v>
      </c>
      <c r="C149" t="s">
        <v>625</v>
      </c>
      <c r="D149">
        <v>147</v>
      </c>
      <c r="F149">
        <v>65535</v>
      </c>
      <c r="I149" t="s">
        <v>689</v>
      </c>
      <c r="AN149">
        <v>0</v>
      </c>
      <c r="AO149">
        <v>0</v>
      </c>
      <c r="AP149">
        <v>0</v>
      </c>
      <c r="AS149">
        <v>65535</v>
      </c>
      <c r="AT149">
        <v>65535</v>
      </c>
      <c r="AU149">
        <v>65535</v>
      </c>
      <c r="BI149">
        <v>0</v>
      </c>
      <c r="BK149">
        <v>0</v>
      </c>
      <c r="BL149">
        <v>0</v>
      </c>
      <c r="BP149">
        <v>65535</v>
      </c>
      <c r="BQ149">
        <v>65535</v>
      </c>
      <c r="CB149">
        <v>26.173185348510742</v>
      </c>
      <c r="CC149">
        <v>2.6861469745635986</v>
      </c>
    </row>
    <row r="150" spans="1:83" ht="12.75" customHeight="1">
      <c r="A150" t="s">
        <v>690</v>
      </c>
      <c r="C150" t="s">
        <v>635</v>
      </c>
      <c r="D150">
        <v>148</v>
      </c>
      <c r="F150">
        <v>65535</v>
      </c>
      <c r="I150" t="s">
        <v>690</v>
      </c>
      <c r="AN150">
        <v>0</v>
      </c>
      <c r="AO150">
        <v>0</v>
      </c>
      <c r="AP150">
        <v>0</v>
      </c>
      <c r="AS150">
        <v>65535</v>
      </c>
      <c r="AT150">
        <v>65535</v>
      </c>
      <c r="AU150">
        <v>65535</v>
      </c>
      <c r="BI150">
        <v>0</v>
      </c>
      <c r="BK150">
        <v>0</v>
      </c>
      <c r="BL150">
        <v>0</v>
      </c>
      <c r="BP150">
        <v>65535</v>
      </c>
      <c r="BQ150">
        <v>65535</v>
      </c>
      <c r="CB150">
        <v>18.741931915283203</v>
      </c>
      <c r="CC150">
        <v>7.2761774063110352</v>
      </c>
    </row>
    <row r="151" spans="1:83" ht="12.75" customHeight="1">
      <c r="A151" t="s">
        <v>691</v>
      </c>
      <c r="C151" t="s">
        <v>635</v>
      </c>
      <c r="D151">
        <v>149</v>
      </c>
      <c r="F151">
        <v>65535</v>
      </c>
      <c r="I151" t="s">
        <v>691</v>
      </c>
      <c r="AN151">
        <v>0</v>
      </c>
      <c r="AO151">
        <v>0</v>
      </c>
      <c r="AP151">
        <v>0</v>
      </c>
      <c r="AS151">
        <v>65535</v>
      </c>
      <c r="AT151">
        <v>65535</v>
      </c>
      <c r="AU151">
        <v>65535</v>
      </c>
      <c r="BI151">
        <v>0</v>
      </c>
      <c r="BK151">
        <v>0</v>
      </c>
      <c r="BL151">
        <v>0</v>
      </c>
      <c r="BP151">
        <v>65535</v>
      </c>
      <c r="BQ151">
        <v>65535</v>
      </c>
      <c r="CB151">
        <v>21.926904678344727</v>
      </c>
      <c r="CC151">
        <v>4.6111984252929688</v>
      </c>
      <c r="CD151" t="s">
        <v>622</v>
      </c>
      <c r="CE151" t="s">
        <v>623</v>
      </c>
    </row>
    <row r="152" spans="1:83" ht="12.75" customHeight="1">
      <c r="A152" t="s">
        <v>633</v>
      </c>
      <c r="C152" t="s">
        <v>625</v>
      </c>
      <c r="D152">
        <v>150</v>
      </c>
      <c r="F152">
        <v>65535</v>
      </c>
      <c r="I152" t="s">
        <v>633</v>
      </c>
      <c r="R152">
        <v>111.59999847412109</v>
      </c>
      <c r="T152">
        <v>468.72000122070313</v>
      </c>
      <c r="W152" s="514">
        <v>44245.743125000001</v>
      </c>
      <c r="AN152">
        <v>0</v>
      </c>
      <c r="AO152">
        <v>0</v>
      </c>
      <c r="AP152">
        <v>0</v>
      </c>
      <c r="AS152">
        <v>0</v>
      </c>
      <c r="AT152">
        <v>0</v>
      </c>
      <c r="AU152">
        <v>0</v>
      </c>
      <c r="AW152">
        <v>0</v>
      </c>
      <c r="AZ152">
        <v>0</v>
      </c>
      <c r="BA152">
        <v>-5.9618806699290872E-4</v>
      </c>
      <c r="BB152">
        <v>0</v>
      </c>
      <c r="BC152">
        <v>132.8204345703125</v>
      </c>
      <c r="BD152">
        <v>-132.81906127929688</v>
      </c>
      <c r="BI152">
        <v>0</v>
      </c>
      <c r="BJ152">
        <v>0</v>
      </c>
      <c r="BK152">
        <v>0</v>
      </c>
      <c r="BL152">
        <v>0</v>
      </c>
      <c r="BM152">
        <v>-8.2094338249068583E+30</v>
      </c>
      <c r="BN152">
        <v>2.88531494140625</v>
      </c>
      <c r="BP152">
        <v>65535</v>
      </c>
      <c r="BQ152">
        <v>65535</v>
      </c>
      <c r="BR152">
        <v>0</v>
      </c>
      <c r="BS152">
        <v>-5.9618806699290872E-4</v>
      </c>
      <c r="BT152">
        <v>0</v>
      </c>
      <c r="BU152">
        <v>132.8204345703125</v>
      </c>
      <c r="BV152">
        <v>-132.81906127929688</v>
      </c>
      <c r="BW152" t="s">
        <v>615</v>
      </c>
      <c r="BX152">
        <v>-8.2094338249068583E+30</v>
      </c>
      <c r="BY152">
        <v>2.88531494140625</v>
      </c>
      <c r="CB152">
        <v>18.650167465209961</v>
      </c>
      <c r="CC152">
        <v>7.1862478256225586</v>
      </c>
      <c r="CD152" t="s">
        <v>622</v>
      </c>
      <c r="CE152" t="s">
        <v>623</v>
      </c>
    </row>
    <row r="153" spans="1:83" ht="12.75" customHeight="1">
      <c r="A153" t="s">
        <v>657</v>
      </c>
      <c r="C153" t="s">
        <v>625</v>
      </c>
      <c r="D153">
        <v>151</v>
      </c>
      <c r="F153">
        <v>65535</v>
      </c>
      <c r="I153" t="s">
        <v>657</v>
      </c>
      <c r="R153">
        <v>22.560001373291016</v>
      </c>
      <c r="T153">
        <v>94.752006530761719</v>
      </c>
      <c r="W153" s="514">
        <v>44245.743206018517</v>
      </c>
      <c r="AN153">
        <v>0</v>
      </c>
      <c r="AO153">
        <v>0</v>
      </c>
      <c r="AP153">
        <v>0</v>
      </c>
      <c r="AS153">
        <v>0</v>
      </c>
      <c r="AT153">
        <v>0</v>
      </c>
      <c r="AU153">
        <v>0</v>
      </c>
      <c r="AW153">
        <v>0</v>
      </c>
      <c r="AZ153">
        <v>0</v>
      </c>
      <c r="BA153">
        <v>-3.052213869523257E-4</v>
      </c>
      <c r="BB153">
        <v>0</v>
      </c>
      <c r="BC153">
        <v>-63.912063598632813</v>
      </c>
      <c r="BD153">
        <v>63.912380218505859</v>
      </c>
      <c r="BI153">
        <v>0</v>
      </c>
      <c r="BJ153">
        <v>0</v>
      </c>
      <c r="BK153">
        <v>0</v>
      </c>
      <c r="BL153">
        <v>0</v>
      </c>
      <c r="BM153">
        <v>2.4941507192899337E-10</v>
      </c>
      <c r="BN153">
        <v>4.6142578125E-2</v>
      </c>
      <c r="BP153">
        <v>65535</v>
      </c>
      <c r="BQ153">
        <v>65535</v>
      </c>
      <c r="BR153">
        <v>0</v>
      </c>
      <c r="BS153">
        <v>-3.052213869523257E-4</v>
      </c>
      <c r="BT153">
        <v>0</v>
      </c>
      <c r="BU153">
        <v>-63.912063598632813</v>
      </c>
      <c r="BV153">
        <v>63.912380218505859</v>
      </c>
      <c r="BW153" t="s">
        <v>615</v>
      </c>
      <c r="BX153">
        <v>2.4941507192899337E-10</v>
      </c>
      <c r="BY153">
        <v>4.6142578125E-2</v>
      </c>
      <c r="CB153">
        <v>19.24894905090332</v>
      </c>
      <c r="CC153">
        <v>6.8145103454589844</v>
      </c>
      <c r="CD153" t="s">
        <v>631</v>
      </c>
      <c r="CE153" t="s">
        <v>632</v>
      </c>
    </row>
    <row r="154" spans="1:83" ht="12.75" customHeight="1">
      <c r="A154" t="s">
        <v>657</v>
      </c>
      <c r="C154" t="s">
        <v>625</v>
      </c>
      <c r="D154">
        <v>152</v>
      </c>
      <c r="F154">
        <v>65535</v>
      </c>
      <c r="I154" t="s">
        <v>657</v>
      </c>
      <c r="AN154">
        <v>0</v>
      </c>
      <c r="AO154">
        <v>0</v>
      </c>
      <c r="AP154">
        <v>0</v>
      </c>
      <c r="AS154">
        <v>65535</v>
      </c>
      <c r="AT154">
        <v>65535</v>
      </c>
      <c r="AU154">
        <v>65535</v>
      </c>
      <c r="BI154">
        <v>0</v>
      </c>
      <c r="BK154">
        <v>0</v>
      </c>
      <c r="BL154">
        <v>0</v>
      </c>
      <c r="BP154">
        <v>65535</v>
      </c>
      <c r="BQ154">
        <v>65535</v>
      </c>
      <c r="CB154">
        <v>24.933876037597656</v>
      </c>
      <c r="CC154">
        <v>3.0086116790771484</v>
      </c>
      <c r="CD154" t="s">
        <v>631</v>
      </c>
      <c r="CE154" t="s">
        <v>632</v>
      </c>
    </row>
    <row r="155" spans="1:83" ht="12.75" customHeight="1">
      <c r="A155" t="s">
        <v>692</v>
      </c>
      <c r="C155" t="s">
        <v>625</v>
      </c>
      <c r="D155">
        <v>153</v>
      </c>
      <c r="F155">
        <v>65535</v>
      </c>
      <c r="I155" t="s">
        <v>692</v>
      </c>
      <c r="R155">
        <v>9.3600034713745117</v>
      </c>
      <c r="T155">
        <v>39.31201171875</v>
      </c>
      <c r="W155" s="514">
        <v>44245.742812500001</v>
      </c>
      <c r="AN155">
        <v>0</v>
      </c>
      <c r="AO155">
        <v>0</v>
      </c>
      <c r="AP155">
        <v>0</v>
      </c>
      <c r="AS155">
        <v>0</v>
      </c>
      <c r="AT155">
        <v>0</v>
      </c>
      <c r="AU155">
        <v>0</v>
      </c>
      <c r="AW155">
        <v>0</v>
      </c>
      <c r="AZ155">
        <v>0</v>
      </c>
      <c r="BA155">
        <v>-3.8550273166038096E-4</v>
      </c>
      <c r="BB155">
        <v>0</v>
      </c>
      <c r="BC155">
        <v>15.564014434814453</v>
      </c>
      <c r="BD155">
        <v>-15.563601493835449</v>
      </c>
      <c r="BI155">
        <v>0</v>
      </c>
      <c r="BJ155">
        <v>0</v>
      </c>
      <c r="BK155">
        <v>0</v>
      </c>
      <c r="BL155">
        <v>0</v>
      </c>
      <c r="BM155">
        <v>3.3443017556781179E-28</v>
      </c>
      <c r="BN155">
        <v>0.805908203125</v>
      </c>
      <c r="BP155">
        <v>65535</v>
      </c>
      <c r="BQ155">
        <v>65535</v>
      </c>
      <c r="BR155">
        <v>0</v>
      </c>
      <c r="BS155">
        <v>-3.8550273166038096E-4</v>
      </c>
      <c r="BT155">
        <v>0</v>
      </c>
      <c r="BU155">
        <v>15.564014434814453</v>
      </c>
      <c r="BV155">
        <v>-15.563601493835449</v>
      </c>
      <c r="BW155" t="s">
        <v>615</v>
      </c>
      <c r="BX155">
        <v>3.3443017556781179E-28</v>
      </c>
      <c r="BY155">
        <v>0.805908203125</v>
      </c>
      <c r="CB155">
        <v>19.252382278442383</v>
      </c>
      <c r="CC155">
        <v>6.6991314888000488</v>
      </c>
    </row>
    <row r="156" spans="1:83" ht="12.75" customHeight="1">
      <c r="A156" t="s">
        <v>624</v>
      </c>
      <c r="C156" t="s">
        <v>625</v>
      </c>
      <c r="D156">
        <v>154</v>
      </c>
      <c r="F156">
        <v>65535</v>
      </c>
      <c r="I156" t="s">
        <v>624</v>
      </c>
      <c r="R156">
        <v>7.7999982833862305</v>
      </c>
      <c r="T156">
        <v>32.759994506835938</v>
      </c>
      <c r="W156" s="514">
        <v>44245.742824074077</v>
      </c>
      <c r="AN156">
        <v>0</v>
      </c>
      <c r="AO156">
        <v>0</v>
      </c>
      <c r="AP156">
        <v>0</v>
      </c>
      <c r="AS156">
        <v>0</v>
      </c>
      <c r="AT156">
        <v>0</v>
      </c>
      <c r="AU156">
        <v>0</v>
      </c>
      <c r="AW156">
        <v>0</v>
      </c>
      <c r="AZ156">
        <v>0</v>
      </c>
      <c r="BA156">
        <v>-5.2172329742461443E-4</v>
      </c>
      <c r="BB156">
        <v>0</v>
      </c>
      <c r="BC156">
        <v>11.092475891113281</v>
      </c>
      <c r="BD156">
        <v>-11.091865539550781</v>
      </c>
      <c r="BI156">
        <v>0</v>
      </c>
      <c r="BJ156">
        <v>0</v>
      </c>
      <c r="BK156">
        <v>0</v>
      </c>
      <c r="BL156">
        <v>0</v>
      </c>
      <c r="BM156">
        <v>48622374912</v>
      </c>
      <c r="BN156">
        <v>2.126922607421875</v>
      </c>
      <c r="BP156">
        <v>65535</v>
      </c>
      <c r="BQ156">
        <v>65535</v>
      </c>
      <c r="BR156">
        <v>0</v>
      </c>
      <c r="BS156">
        <v>-5.2172329742461443E-4</v>
      </c>
      <c r="BT156">
        <v>0</v>
      </c>
      <c r="BU156">
        <v>11.092475891113281</v>
      </c>
      <c r="BV156">
        <v>-11.091865539550781</v>
      </c>
      <c r="BW156" t="s">
        <v>615</v>
      </c>
      <c r="BX156">
        <v>48622374912</v>
      </c>
      <c r="BY156">
        <v>2.126922607421875</v>
      </c>
      <c r="CB156">
        <v>18.400123596191406</v>
      </c>
      <c r="CC156">
        <v>7.4688544273376465</v>
      </c>
    </row>
    <row r="157" spans="1:83" ht="12.75" customHeight="1">
      <c r="A157" t="s">
        <v>671</v>
      </c>
      <c r="C157" t="s">
        <v>625</v>
      </c>
      <c r="D157">
        <v>155</v>
      </c>
      <c r="F157">
        <v>65535</v>
      </c>
      <c r="I157" t="s">
        <v>671</v>
      </c>
      <c r="R157">
        <v>7.7999944686889648</v>
      </c>
      <c r="T157">
        <v>32.759975433349609</v>
      </c>
      <c r="W157" s="514">
        <v>44245.742858796293</v>
      </c>
      <c r="AN157">
        <v>0</v>
      </c>
      <c r="AO157">
        <v>0</v>
      </c>
      <c r="AP157">
        <v>0</v>
      </c>
      <c r="AS157">
        <v>0</v>
      </c>
      <c r="AT157">
        <v>0</v>
      </c>
      <c r="AU157">
        <v>0</v>
      </c>
      <c r="AW157">
        <v>0</v>
      </c>
      <c r="AZ157">
        <v>0</v>
      </c>
      <c r="BA157">
        <v>-5.5736274225637317E-4</v>
      </c>
      <c r="BB157">
        <v>0</v>
      </c>
      <c r="BC157">
        <v>10.434837341308594</v>
      </c>
      <c r="BD157">
        <v>-10.434341430664063</v>
      </c>
      <c r="BI157">
        <v>0</v>
      </c>
      <c r="BJ157">
        <v>0</v>
      </c>
      <c r="BK157">
        <v>0</v>
      </c>
      <c r="BL157">
        <v>0</v>
      </c>
      <c r="BM157">
        <v>5.7512407903939759E-22</v>
      </c>
      <c r="BN157">
        <v>2.47845458984375</v>
      </c>
      <c r="BP157">
        <v>65535</v>
      </c>
      <c r="BQ157">
        <v>65535</v>
      </c>
      <c r="BR157">
        <v>0</v>
      </c>
      <c r="BS157">
        <v>-5.5736274225637317E-4</v>
      </c>
      <c r="BT157">
        <v>0</v>
      </c>
      <c r="BU157">
        <v>10.434837341308594</v>
      </c>
      <c r="BV157">
        <v>-10.434341430664063</v>
      </c>
      <c r="BW157" t="s">
        <v>615</v>
      </c>
      <c r="BX157">
        <v>5.7512407903939759E-22</v>
      </c>
      <c r="BY157">
        <v>2.47845458984375</v>
      </c>
      <c r="CB157">
        <v>22.04890251159668</v>
      </c>
      <c r="CC157">
        <v>5.0117206573486328</v>
      </c>
    </row>
    <row r="158" spans="1:83" ht="12.75" customHeight="1">
      <c r="A158" t="s">
        <v>672</v>
      </c>
      <c r="C158" t="s">
        <v>625</v>
      </c>
      <c r="D158">
        <v>156</v>
      </c>
      <c r="F158">
        <v>65535</v>
      </c>
      <c r="I158" t="s">
        <v>672</v>
      </c>
      <c r="AN158">
        <v>0</v>
      </c>
      <c r="AO158">
        <v>0</v>
      </c>
      <c r="AP158">
        <v>0</v>
      </c>
      <c r="AS158">
        <v>65535</v>
      </c>
      <c r="AT158">
        <v>65535</v>
      </c>
      <c r="AU158">
        <v>65535</v>
      </c>
      <c r="BI158">
        <v>0</v>
      </c>
      <c r="BK158">
        <v>0</v>
      </c>
      <c r="BL158">
        <v>0</v>
      </c>
      <c r="BP158">
        <v>65535</v>
      </c>
      <c r="BQ158">
        <v>65535</v>
      </c>
      <c r="CB158">
        <v>22.215604782104492</v>
      </c>
      <c r="CC158">
        <v>4.6069068908691406</v>
      </c>
    </row>
    <row r="159" spans="1:83" ht="12.75" customHeight="1">
      <c r="A159" t="s">
        <v>689</v>
      </c>
      <c r="C159" t="s">
        <v>625</v>
      </c>
      <c r="D159">
        <v>157</v>
      </c>
      <c r="F159">
        <v>65535</v>
      </c>
      <c r="I159" t="s">
        <v>689</v>
      </c>
      <c r="AN159">
        <v>0</v>
      </c>
      <c r="AO159">
        <v>0</v>
      </c>
      <c r="AP159">
        <v>0</v>
      </c>
      <c r="AS159">
        <v>65535</v>
      </c>
      <c r="AT159">
        <v>65535</v>
      </c>
      <c r="AU159">
        <v>65535</v>
      </c>
      <c r="BI159">
        <v>0</v>
      </c>
      <c r="BK159">
        <v>0</v>
      </c>
      <c r="BL159">
        <v>0</v>
      </c>
      <c r="BP159">
        <v>65535</v>
      </c>
      <c r="BQ159">
        <v>65535</v>
      </c>
      <c r="CB159">
        <v>18.650167465209961</v>
      </c>
      <c r="CC159">
        <v>7.1862478256225586</v>
      </c>
    </row>
    <row r="160" spans="1:83" ht="12.75" customHeight="1">
      <c r="A160" t="s">
        <v>693</v>
      </c>
      <c r="C160" t="s">
        <v>625</v>
      </c>
      <c r="D160">
        <v>158</v>
      </c>
      <c r="F160">
        <v>65535</v>
      </c>
      <c r="I160" t="s">
        <v>693</v>
      </c>
      <c r="AN160">
        <v>0</v>
      </c>
      <c r="AO160">
        <v>0</v>
      </c>
      <c r="AP160">
        <v>0</v>
      </c>
      <c r="AS160">
        <v>65535</v>
      </c>
      <c r="AT160">
        <v>65535</v>
      </c>
      <c r="AU160">
        <v>65535</v>
      </c>
      <c r="BI160">
        <v>0</v>
      </c>
      <c r="BK160">
        <v>0</v>
      </c>
      <c r="BL160">
        <v>0</v>
      </c>
      <c r="BP160">
        <v>65535</v>
      </c>
      <c r="BQ160">
        <v>65535</v>
      </c>
      <c r="CB160">
        <v>19.24894905090332</v>
      </c>
      <c r="CC160">
        <v>6.8145103454589844</v>
      </c>
    </row>
    <row r="161" spans="1:83" ht="12.75" customHeight="1">
      <c r="A161" t="s">
        <v>655</v>
      </c>
      <c r="C161" t="s">
        <v>625</v>
      </c>
      <c r="D161">
        <v>159</v>
      </c>
      <c r="F161">
        <v>65535</v>
      </c>
      <c r="I161" t="s">
        <v>655</v>
      </c>
      <c r="R161">
        <v>7.7999982833862305</v>
      </c>
      <c r="T161">
        <v>32.759994506835938</v>
      </c>
      <c r="W161" s="514">
        <v>44245.742824074077</v>
      </c>
      <c r="AN161">
        <v>0</v>
      </c>
      <c r="AO161">
        <v>0</v>
      </c>
      <c r="AP161">
        <v>0</v>
      </c>
      <c r="AS161">
        <v>0</v>
      </c>
      <c r="AT161">
        <v>0</v>
      </c>
      <c r="AU161">
        <v>0</v>
      </c>
      <c r="AW161">
        <v>0</v>
      </c>
      <c r="AZ161">
        <v>0</v>
      </c>
      <c r="BA161">
        <v>-5.2172329742461443E-4</v>
      </c>
      <c r="BB161">
        <v>0</v>
      </c>
      <c r="BC161">
        <v>11.092475891113281</v>
      </c>
      <c r="BD161">
        <v>-11.091865539550781</v>
      </c>
      <c r="BI161">
        <v>0</v>
      </c>
      <c r="BJ161">
        <v>0</v>
      </c>
      <c r="BK161">
        <v>0</v>
      </c>
      <c r="BL161">
        <v>0</v>
      </c>
      <c r="BM161">
        <v>48622374912</v>
      </c>
      <c r="BN161">
        <v>2.126922607421875</v>
      </c>
      <c r="BP161">
        <v>65535</v>
      </c>
      <c r="BQ161">
        <v>65535</v>
      </c>
      <c r="BR161">
        <v>0</v>
      </c>
      <c r="BS161">
        <v>-5.2172329742461443E-4</v>
      </c>
      <c r="BT161">
        <v>0</v>
      </c>
      <c r="BU161">
        <v>11.092475891113281</v>
      </c>
      <c r="BV161">
        <v>-11.091865539550781</v>
      </c>
      <c r="BW161" t="s">
        <v>615</v>
      </c>
      <c r="BX161">
        <v>48622374912</v>
      </c>
      <c r="BY161">
        <v>2.126922607421875</v>
      </c>
      <c r="CB161">
        <v>24.933876037597656</v>
      </c>
      <c r="CC161">
        <v>3.0086116790771484</v>
      </c>
    </row>
    <row r="162" spans="1:83" ht="12.75" customHeight="1">
      <c r="A162" t="s">
        <v>642</v>
      </c>
      <c r="C162" t="s">
        <v>625</v>
      </c>
      <c r="D162">
        <v>160</v>
      </c>
      <c r="F162">
        <v>65535</v>
      </c>
      <c r="I162" t="s">
        <v>642</v>
      </c>
      <c r="AN162">
        <v>0</v>
      </c>
      <c r="AO162">
        <v>0</v>
      </c>
      <c r="AP162">
        <v>0</v>
      </c>
      <c r="AS162">
        <v>65535</v>
      </c>
      <c r="AT162">
        <v>65535</v>
      </c>
      <c r="AU162">
        <v>65535</v>
      </c>
      <c r="BI162">
        <v>0</v>
      </c>
      <c r="BK162">
        <v>0</v>
      </c>
      <c r="BL162">
        <v>0</v>
      </c>
      <c r="BP162">
        <v>65535</v>
      </c>
      <c r="BQ162">
        <v>65535</v>
      </c>
      <c r="CB162">
        <v>19.252382278442383</v>
      </c>
      <c r="CC162">
        <v>6.6991314888000488</v>
      </c>
      <c r="CD162" t="s">
        <v>617</v>
      </c>
      <c r="CE162" t="s">
        <v>623</v>
      </c>
    </row>
    <row r="163" spans="1:83" ht="12.75" customHeight="1">
      <c r="A163" t="s">
        <v>655</v>
      </c>
      <c r="C163" t="s">
        <v>625</v>
      </c>
      <c r="D163">
        <v>161</v>
      </c>
      <c r="F163">
        <v>65535</v>
      </c>
      <c r="I163" t="s">
        <v>655</v>
      </c>
      <c r="AN163">
        <v>0</v>
      </c>
      <c r="AO163">
        <v>0</v>
      </c>
      <c r="AP163">
        <v>0</v>
      </c>
      <c r="AS163">
        <v>65535</v>
      </c>
      <c r="AT163">
        <v>65535</v>
      </c>
      <c r="AU163">
        <v>65535</v>
      </c>
      <c r="BI163">
        <v>0</v>
      </c>
      <c r="BK163">
        <v>0</v>
      </c>
      <c r="BL163">
        <v>0</v>
      </c>
      <c r="BP163">
        <v>65535</v>
      </c>
      <c r="BQ163">
        <v>65535</v>
      </c>
      <c r="CB163">
        <v>18.400123596191406</v>
      </c>
      <c r="CC163">
        <v>7.4688544273376465</v>
      </c>
    </row>
    <row r="164" spans="1:83" ht="12.75" customHeight="1">
      <c r="A164" t="s">
        <v>642</v>
      </c>
      <c r="C164" t="s">
        <v>625</v>
      </c>
      <c r="D164">
        <v>162</v>
      </c>
      <c r="F164">
        <v>65535</v>
      </c>
      <c r="I164" t="s">
        <v>642</v>
      </c>
      <c r="R164">
        <v>7.8000001907348633</v>
      </c>
      <c r="T164">
        <v>32.759998321533203</v>
      </c>
      <c r="W164" s="514">
        <v>44245.74291666667</v>
      </c>
      <c r="AN164">
        <v>0</v>
      </c>
      <c r="AO164">
        <v>0</v>
      </c>
      <c r="AP164">
        <v>0</v>
      </c>
      <c r="AS164">
        <v>0</v>
      </c>
      <c r="AT164">
        <v>0</v>
      </c>
      <c r="AU164">
        <v>0</v>
      </c>
      <c r="AW164">
        <v>0</v>
      </c>
      <c r="AZ164">
        <v>0</v>
      </c>
      <c r="BA164">
        <v>-5.4153113160282373E-4</v>
      </c>
      <c r="BB164">
        <v>0</v>
      </c>
      <c r="BC164">
        <v>10.747062683105469</v>
      </c>
      <c r="BD164">
        <v>-10.746562957763672</v>
      </c>
      <c r="BI164">
        <v>0</v>
      </c>
      <c r="BJ164">
        <v>0</v>
      </c>
      <c r="BK164">
        <v>0</v>
      </c>
      <c r="BL164">
        <v>0</v>
      </c>
      <c r="BM164">
        <v>8.7486061058570168E-26</v>
      </c>
      <c r="BN164">
        <v>2.322296142578125</v>
      </c>
      <c r="BP164">
        <v>65535</v>
      </c>
      <c r="BQ164">
        <v>65535</v>
      </c>
      <c r="BR164">
        <v>0</v>
      </c>
      <c r="BS164">
        <v>-5.4153113160282373E-4</v>
      </c>
      <c r="BT164">
        <v>0</v>
      </c>
      <c r="BU164">
        <v>10.747062683105469</v>
      </c>
      <c r="BV164">
        <v>-10.746562957763672</v>
      </c>
      <c r="BW164" t="s">
        <v>615</v>
      </c>
      <c r="BX164">
        <v>8.7486061058570168E-26</v>
      </c>
      <c r="BY164">
        <v>2.322296142578125</v>
      </c>
      <c r="CB164">
        <v>22.04890251159668</v>
      </c>
      <c r="CC164">
        <v>5.0117206573486328</v>
      </c>
      <c r="CD164" t="s">
        <v>617</v>
      </c>
      <c r="CE164" t="s">
        <v>623</v>
      </c>
    </row>
    <row r="165" spans="1:83" ht="12.75" customHeight="1">
      <c r="A165" t="s">
        <v>655</v>
      </c>
      <c r="C165" t="s">
        <v>625</v>
      </c>
      <c r="D165">
        <v>163</v>
      </c>
      <c r="F165">
        <v>65535</v>
      </c>
      <c r="I165" t="s">
        <v>655</v>
      </c>
      <c r="R165">
        <v>7.8000001907348633</v>
      </c>
      <c r="T165">
        <v>32.759998321533203</v>
      </c>
      <c r="W165" s="514">
        <v>44245.74291666667</v>
      </c>
      <c r="AN165">
        <v>0</v>
      </c>
      <c r="AO165">
        <v>0</v>
      </c>
      <c r="AP165">
        <v>0</v>
      </c>
      <c r="AS165">
        <v>0</v>
      </c>
      <c r="AT165">
        <v>0</v>
      </c>
      <c r="AU165">
        <v>0</v>
      </c>
      <c r="AW165">
        <v>0</v>
      </c>
      <c r="AZ165">
        <v>0</v>
      </c>
      <c r="BA165">
        <v>-5.4153113160282373E-4</v>
      </c>
      <c r="BB165">
        <v>0</v>
      </c>
      <c r="BC165">
        <v>10.747062683105469</v>
      </c>
      <c r="BD165">
        <v>-10.746562957763672</v>
      </c>
      <c r="BI165">
        <v>0</v>
      </c>
      <c r="BJ165">
        <v>0</v>
      </c>
      <c r="BK165">
        <v>0</v>
      </c>
      <c r="BL165">
        <v>0</v>
      </c>
      <c r="BM165">
        <v>8.7486061058570168E-26</v>
      </c>
      <c r="BN165">
        <v>2.322296142578125</v>
      </c>
      <c r="BP165">
        <v>65535</v>
      </c>
      <c r="BQ165">
        <v>65535</v>
      </c>
      <c r="BR165">
        <v>0</v>
      </c>
      <c r="BS165">
        <v>-5.4153113160282373E-4</v>
      </c>
      <c r="BT165">
        <v>0</v>
      </c>
      <c r="BU165">
        <v>10.747062683105469</v>
      </c>
      <c r="BV165">
        <v>-10.746562957763672</v>
      </c>
      <c r="BW165" t="s">
        <v>615</v>
      </c>
      <c r="BX165">
        <v>8.7486061058570168E-26</v>
      </c>
      <c r="BY165">
        <v>2.322296142578125</v>
      </c>
      <c r="CB165">
        <v>22.215604782104492</v>
      </c>
      <c r="CC165">
        <v>4.6069068908691406</v>
      </c>
    </row>
    <row r="166" spans="1:83" ht="12.75" customHeight="1">
      <c r="A166" t="s">
        <v>642</v>
      </c>
      <c r="C166" t="s">
        <v>625</v>
      </c>
      <c r="D166">
        <v>164</v>
      </c>
      <c r="F166">
        <v>65535</v>
      </c>
      <c r="I166" t="s">
        <v>642</v>
      </c>
      <c r="R166">
        <v>9.3600034713745117</v>
      </c>
      <c r="T166">
        <v>39.31201171875</v>
      </c>
      <c r="W166" s="514">
        <v>44245.742812500001</v>
      </c>
      <c r="AN166">
        <v>0</v>
      </c>
      <c r="AO166">
        <v>0</v>
      </c>
      <c r="AP166">
        <v>0</v>
      </c>
      <c r="AS166">
        <v>0</v>
      </c>
      <c r="AT166">
        <v>0</v>
      </c>
      <c r="AU166">
        <v>0</v>
      </c>
      <c r="AW166">
        <v>0</v>
      </c>
      <c r="AZ166">
        <v>0</v>
      </c>
      <c r="BA166">
        <v>-3.8550273166038096E-4</v>
      </c>
      <c r="BB166">
        <v>0</v>
      </c>
      <c r="BC166">
        <v>15.564014434814453</v>
      </c>
      <c r="BD166">
        <v>-15.563601493835449</v>
      </c>
      <c r="BI166">
        <v>0</v>
      </c>
      <c r="BJ166">
        <v>0</v>
      </c>
      <c r="BK166">
        <v>0</v>
      </c>
      <c r="BL166">
        <v>0</v>
      </c>
      <c r="BM166">
        <v>3.3443017556781179E-28</v>
      </c>
      <c r="BN166">
        <v>0.805908203125</v>
      </c>
      <c r="BP166">
        <v>65535</v>
      </c>
      <c r="BQ166">
        <v>65535</v>
      </c>
      <c r="BR166">
        <v>0</v>
      </c>
      <c r="BS166">
        <v>-3.8550273166038096E-4</v>
      </c>
      <c r="BT166">
        <v>0</v>
      </c>
      <c r="BU166">
        <v>15.564014434814453</v>
      </c>
      <c r="BV166">
        <v>-15.563601493835449</v>
      </c>
      <c r="BW166" t="s">
        <v>615</v>
      </c>
      <c r="BX166">
        <v>3.3443017556781179E-28</v>
      </c>
      <c r="BY166">
        <v>0.805908203125</v>
      </c>
      <c r="CB166">
        <v>19.745401382446289</v>
      </c>
      <c r="CC166">
        <v>6.2339653968811035</v>
      </c>
      <c r="CD166" t="s">
        <v>617</v>
      </c>
      <c r="CE166" t="s">
        <v>623</v>
      </c>
    </row>
    <row r="167" spans="1:83" ht="12.75" customHeight="1">
      <c r="A167" t="s">
        <v>655</v>
      </c>
      <c r="C167" t="s">
        <v>625</v>
      </c>
      <c r="D167">
        <v>165</v>
      </c>
      <c r="F167">
        <v>65535</v>
      </c>
      <c r="I167" t="s">
        <v>655</v>
      </c>
      <c r="R167">
        <v>9.3600034713745117</v>
      </c>
      <c r="T167">
        <v>39.31201171875</v>
      </c>
      <c r="W167" s="514">
        <v>44245.742812500001</v>
      </c>
      <c r="AN167">
        <v>0</v>
      </c>
      <c r="AO167">
        <v>0</v>
      </c>
      <c r="AP167">
        <v>0</v>
      </c>
      <c r="AS167">
        <v>0</v>
      </c>
      <c r="AT167">
        <v>0</v>
      </c>
      <c r="AU167">
        <v>0</v>
      </c>
      <c r="AW167">
        <v>0</v>
      </c>
      <c r="AZ167">
        <v>0</v>
      </c>
      <c r="BA167">
        <v>-3.8550273166038096E-4</v>
      </c>
      <c r="BB167">
        <v>0</v>
      </c>
      <c r="BC167">
        <v>15.564014434814453</v>
      </c>
      <c r="BD167">
        <v>-15.563601493835449</v>
      </c>
      <c r="BI167">
        <v>0</v>
      </c>
      <c r="BJ167">
        <v>0</v>
      </c>
      <c r="BK167">
        <v>0</v>
      </c>
      <c r="BL167">
        <v>0</v>
      </c>
      <c r="BM167">
        <v>3.3443017556781179E-28</v>
      </c>
      <c r="BN167">
        <v>0.805908203125</v>
      </c>
      <c r="BP167">
        <v>65535</v>
      </c>
      <c r="BQ167">
        <v>65535</v>
      </c>
      <c r="BR167">
        <v>0</v>
      </c>
      <c r="BS167">
        <v>-3.8550273166038096E-4</v>
      </c>
      <c r="BT167">
        <v>0</v>
      </c>
      <c r="BU167">
        <v>15.564014434814453</v>
      </c>
      <c r="BV167">
        <v>-15.563601493835449</v>
      </c>
      <c r="BW167" t="s">
        <v>615</v>
      </c>
      <c r="BX167">
        <v>3.3443017556781179E-28</v>
      </c>
      <c r="BY167">
        <v>0.805908203125</v>
      </c>
      <c r="CB167">
        <v>18.805768966674805</v>
      </c>
      <c r="CC167">
        <v>7.0398960113525391</v>
      </c>
    </row>
    <row r="168" spans="1:83" ht="12.75" customHeight="1">
      <c r="A168" t="s">
        <v>642</v>
      </c>
      <c r="C168" t="s">
        <v>625</v>
      </c>
      <c r="D168">
        <v>166</v>
      </c>
      <c r="F168">
        <v>65535</v>
      </c>
      <c r="I168" t="s">
        <v>642</v>
      </c>
      <c r="AN168">
        <v>0</v>
      </c>
      <c r="AO168">
        <v>0</v>
      </c>
      <c r="AP168">
        <v>0</v>
      </c>
      <c r="AS168">
        <v>65535</v>
      </c>
      <c r="AT168">
        <v>65535</v>
      </c>
      <c r="AU168">
        <v>65535</v>
      </c>
      <c r="BI168">
        <v>0</v>
      </c>
      <c r="BK168">
        <v>0</v>
      </c>
      <c r="BL168">
        <v>0</v>
      </c>
      <c r="BP168">
        <v>65535</v>
      </c>
      <c r="BQ168">
        <v>65535</v>
      </c>
      <c r="CB168">
        <v>18.492700576782227</v>
      </c>
      <c r="CC168">
        <v>7.2283225059509277</v>
      </c>
      <c r="CD168" t="s">
        <v>617</v>
      </c>
      <c r="CE168" t="s">
        <v>623</v>
      </c>
    </row>
    <row r="169" spans="1:83" ht="12.75" customHeight="1">
      <c r="A169" t="s">
        <v>655</v>
      </c>
      <c r="C169" t="s">
        <v>694</v>
      </c>
      <c r="D169">
        <v>167</v>
      </c>
      <c r="F169">
        <v>65535</v>
      </c>
      <c r="I169" t="s">
        <v>655</v>
      </c>
      <c r="AN169">
        <v>0</v>
      </c>
      <c r="AO169">
        <v>0</v>
      </c>
      <c r="AP169">
        <v>0</v>
      </c>
      <c r="AS169">
        <v>65535</v>
      </c>
      <c r="AT169">
        <v>65535</v>
      </c>
      <c r="AU169">
        <v>65535</v>
      </c>
      <c r="BI169">
        <v>0</v>
      </c>
      <c r="BK169">
        <v>0</v>
      </c>
      <c r="BL169">
        <v>0</v>
      </c>
      <c r="BP169">
        <v>65535</v>
      </c>
      <c r="BQ169">
        <v>65535</v>
      </c>
      <c r="CB169">
        <v>18.529254913330078</v>
      </c>
      <c r="CC169">
        <v>7.1777396202087402</v>
      </c>
    </row>
    <row r="170" spans="1:83" ht="12.75" customHeight="1">
      <c r="A170" t="s">
        <v>642</v>
      </c>
      <c r="C170" t="s">
        <v>694</v>
      </c>
      <c r="D170">
        <v>168</v>
      </c>
      <c r="F170">
        <v>65535</v>
      </c>
      <c r="I170" t="s">
        <v>642</v>
      </c>
      <c r="AN170">
        <v>0</v>
      </c>
      <c r="AO170">
        <v>0</v>
      </c>
      <c r="AP170">
        <v>0</v>
      </c>
      <c r="AS170">
        <v>65535</v>
      </c>
      <c r="AT170">
        <v>65535</v>
      </c>
      <c r="AU170">
        <v>65535</v>
      </c>
      <c r="BI170">
        <v>0</v>
      </c>
      <c r="BK170">
        <v>0</v>
      </c>
      <c r="BL170">
        <v>0</v>
      </c>
      <c r="BP170">
        <v>65535</v>
      </c>
      <c r="BQ170">
        <v>65535</v>
      </c>
      <c r="CB170">
        <v>18.574638366699219</v>
      </c>
      <c r="CC170">
        <v>7.1292800903320313</v>
      </c>
      <c r="CD170" t="s">
        <v>617</v>
      </c>
      <c r="CE170" t="s">
        <v>623</v>
      </c>
    </row>
    <row r="171" spans="1:83" ht="12.75" customHeight="1">
      <c r="A171" t="s">
        <v>655</v>
      </c>
      <c r="C171" t="s">
        <v>694</v>
      </c>
      <c r="D171">
        <v>169</v>
      </c>
      <c r="F171">
        <v>65535</v>
      </c>
      <c r="I171" t="s">
        <v>655</v>
      </c>
      <c r="AN171">
        <v>0</v>
      </c>
      <c r="AO171">
        <v>0</v>
      </c>
      <c r="AP171">
        <v>0</v>
      </c>
      <c r="AS171">
        <v>65535</v>
      </c>
      <c r="AT171">
        <v>65535</v>
      </c>
      <c r="AU171">
        <v>65535</v>
      </c>
      <c r="BI171">
        <v>0</v>
      </c>
      <c r="BK171">
        <v>0</v>
      </c>
      <c r="BL171">
        <v>0</v>
      </c>
      <c r="BP171">
        <v>65535</v>
      </c>
      <c r="BQ171">
        <v>65535</v>
      </c>
      <c r="CB171">
        <v>19.745401382446289</v>
      </c>
      <c r="CC171">
        <v>6.2339653968811035</v>
      </c>
    </row>
    <row r="172" spans="1:83" ht="12.75" customHeight="1">
      <c r="A172" t="s">
        <v>642</v>
      </c>
      <c r="C172" t="s">
        <v>694</v>
      </c>
      <c r="D172">
        <v>170</v>
      </c>
      <c r="F172">
        <v>65535</v>
      </c>
      <c r="I172" t="s">
        <v>642</v>
      </c>
      <c r="R172">
        <v>9.3600034713745117</v>
      </c>
      <c r="T172">
        <v>39.31201171875</v>
      </c>
      <c r="W172" s="514">
        <v>44245.742812500001</v>
      </c>
      <c r="AN172">
        <v>0</v>
      </c>
      <c r="AO172">
        <v>0</v>
      </c>
      <c r="AP172">
        <v>0</v>
      </c>
      <c r="AS172">
        <v>0</v>
      </c>
      <c r="AT172">
        <v>0</v>
      </c>
      <c r="AU172">
        <v>0</v>
      </c>
      <c r="AW172">
        <v>0</v>
      </c>
      <c r="AZ172">
        <v>0</v>
      </c>
      <c r="BA172">
        <v>-3.8550273166038096E-4</v>
      </c>
      <c r="BB172">
        <v>0</v>
      </c>
      <c r="BC172">
        <v>15.564014434814453</v>
      </c>
      <c r="BD172">
        <v>-15.563601493835449</v>
      </c>
      <c r="BI172">
        <v>0</v>
      </c>
      <c r="BJ172">
        <v>0</v>
      </c>
      <c r="BK172">
        <v>0</v>
      </c>
      <c r="BL172">
        <v>0</v>
      </c>
      <c r="BM172">
        <v>3.3443017556781179E-28</v>
      </c>
      <c r="BN172">
        <v>0.805908203125</v>
      </c>
      <c r="BP172">
        <v>65535</v>
      </c>
      <c r="BQ172">
        <v>65535</v>
      </c>
      <c r="BR172">
        <v>0</v>
      </c>
      <c r="BS172">
        <v>-3.8550273166038096E-4</v>
      </c>
      <c r="BT172">
        <v>0</v>
      </c>
      <c r="BU172">
        <v>15.564014434814453</v>
      </c>
      <c r="BV172">
        <v>-15.563601493835449</v>
      </c>
      <c r="BW172" t="s">
        <v>615</v>
      </c>
      <c r="BX172">
        <v>3.3443017556781179E-28</v>
      </c>
      <c r="BY172">
        <v>0.805908203125</v>
      </c>
      <c r="CB172">
        <v>18.805768966674805</v>
      </c>
      <c r="CC172">
        <v>7.0398960113525391</v>
      </c>
      <c r="CD172" t="s">
        <v>617</v>
      </c>
      <c r="CE172" t="s">
        <v>623</v>
      </c>
    </row>
    <row r="173" spans="1:83" ht="12.75" customHeight="1">
      <c r="A173" t="s">
        <v>655</v>
      </c>
      <c r="C173" t="s">
        <v>694</v>
      </c>
      <c r="D173">
        <v>171</v>
      </c>
      <c r="F173">
        <v>65535</v>
      </c>
      <c r="I173" t="s">
        <v>655</v>
      </c>
      <c r="R173">
        <v>7.7999982833862305</v>
      </c>
      <c r="T173">
        <v>32.759994506835938</v>
      </c>
      <c r="W173" s="514">
        <v>44245.742824074077</v>
      </c>
      <c r="AN173">
        <v>0</v>
      </c>
      <c r="AO173">
        <v>0</v>
      </c>
      <c r="AP173">
        <v>0</v>
      </c>
      <c r="AS173">
        <v>0</v>
      </c>
      <c r="AT173">
        <v>0</v>
      </c>
      <c r="AU173">
        <v>0</v>
      </c>
      <c r="AW173">
        <v>0</v>
      </c>
      <c r="AZ173">
        <v>0</v>
      </c>
      <c r="BA173">
        <v>-5.2172329742461443E-4</v>
      </c>
      <c r="BB173">
        <v>0</v>
      </c>
      <c r="BC173">
        <v>11.092475891113281</v>
      </c>
      <c r="BD173">
        <v>-11.091865539550781</v>
      </c>
      <c r="BI173">
        <v>0</v>
      </c>
      <c r="BJ173">
        <v>0</v>
      </c>
      <c r="BK173">
        <v>0</v>
      </c>
      <c r="BL173">
        <v>0</v>
      </c>
      <c r="BM173">
        <v>48622374912</v>
      </c>
      <c r="BN173">
        <v>2.126922607421875</v>
      </c>
      <c r="BP173">
        <v>65535</v>
      </c>
      <c r="BQ173">
        <v>65535</v>
      </c>
      <c r="BR173">
        <v>0</v>
      </c>
      <c r="BS173">
        <v>-5.2172329742461443E-4</v>
      </c>
      <c r="BT173">
        <v>0</v>
      </c>
      <c r="BU173">
        <v>11.092475891113281</v>
      </c>
      <c r="BV173">
        <v>-11.091865539550781</v>
      </c>
      <c r="BW173" t="s">
        <v>615</v>
      </c>
      <c r="BX173">
        <v>48622374912</v>
      </c>
      <c r="BY173">
        <v>2.126922607421875</v>
      </c>
      <c r="CB173">
        <v>18.492700576782227</v>
      </c>
      <c r="CC173">
        <v>7.2283225059509277</v>
      </c>
    </row>
    <row r="174" spans="1:83" ht="12.75" customHeight="1">
      <c r="A174" t="s">
        <v>642</v>
      </c>
      <c r="C174" t="s">
        <v>694</v>
      </c>
      <c r="D174">
        <v>172</v>
      </c>
      <c r="F174">
        <v>65535</v>
      </c>
      <c r="I174" t="s">
        <v>642</v>
      </c>
      <c r="R174">
        <v>7.7999944686889648</v>
      </c>
      <c r="T174">
        <v>32.759975433349609</v>
      </c>
      <c r="W174" s="514">
        <v>44245.742858796293</v>
      </c>
      <c r="AN174">
        <v>0</v>
      </c>
      <c r="AO174">
        <v>0</v>
      </c>
      <c r="AP174">
        <v>0</v>
      </c>
      <c r="AS174">
        <v>0</v>
      </c>
      <c r="AT174">
        <v>0</v>
      </c>
      <c r="AU174">
        <v>0</v>
      </c>
      <c r="AW174">
        <v>0</v>
      </c>
      <c r="AZ174">
        <v>0</v>
      </c>
      <c r="BA174">
        <v>-5.5736274225637317E-4</v>
      </c>
      <c r="BB174">
        <v>0</v>
      </c>
      <c r="BC174">
        <v>10.434837341308594</v>
      </c>
      <c r="BD174">
        <v>-10.434341430664063</v>
      </c>
      <c r="BI174">
        <v>0</v>
      </c>
      <c r="BJ174">
        <v>0</v>
      </c>
      <c r="BK174">
        <v>0</v>
      </c>
      <c r="BL174">
        <v>0</v>
      </c>
      <c r="BM174">
        <v>5.7512407903939759E-22</v>
      </c>
      <c r="BN174">
        <v>2.47845458984375</v>
      </c>
      <c r="BP174">
        <v>65535</v>
      </c>
      <c r="BQ174">
        <v>65535</v>
      </c>
      <c r="BR174">
        <v>0</v>
      </c>
      <c r="BS174">
        <v>-5.5736274225637317E-4</v>
      </c>
      <c r="BT174">
        <v>0</v>
      </c>
      <c r="BU174">
        <v>10.434837341308594</v>
      </c>
      <c r="BV174">
        <v>-10.434341430664063</v>
      </c>
      <c r="BW174" t="s">
        <v>615</v>
      </c>
      <c r="BX174">
        <v>5.7512407903939759E-22</v>
      </c>
      <c r="BY174">
        <v>2.47845458984375</v>
      </c>
      <c r="CB174">
        <v>18.529254913330078</v>
      </c>
      <c r="CC174">
        <v>7.1777396202087402</v>
      </c>
      <c r="CD174" t="s">
        <v>617</v>
      </c>
      <c r="CE174" t="s">
        <v>623</v>
      </c>
    </row>
    <row r="175" spans="1:83" ht="12.75" customHeight="1">
      <c r="A175" t="s">
        <v>655</v>
      </c>
      <c r="C175" t="s">
        <v>694</v>
      </c>
      <c r="D175">
        <v>173</v>
      </c>
      <c r="F175">
        <v>65535</v>
      </c>
      <c r="I175" t="s">
        <v>655</v>
      </c>
      <c r="R175">
        <v>7.7999944686889648</v>
      </c>
      <c r="T175">
        <v>32.759975433349609</v>
      </c>
      <c r="W175" s="514">
        <v>44245.742858796293</v>
      </c>
      <c r="AN175">
        <v>0</v>
      </c>
      <c r="AO175">
        <v>0</v>
      </c>
      <c r="AP175">
        <v>0</v>
      </c>
      <c r="AS175">
        <v>0</v>
      </c>
      <c r="AT175">
        <v>0</v>
      </c>
      <c r="AU175">
        <v>0</v>
      </c>
      <c r="AW175">
        <v>0</v>
      </c>
      <c r="AZ175">
        <v>0</v>
      </c>
      <c r="BA175">
        <v>-5.5736274225637317E-4</v>
      </c>
      <c r="BB175">
        <v>0</v>
      </c>
      <c r="BC175">
        <v>10.434837341308594</v>
      </c>
      <c r="BD175">
        <v>-10.434341430664063</v>
      </c>
      <c r="BI175">
        <v>0</v>
      </c>
      <c r="BJ175">
        <v>0</v>
      </c>
      <c r="BK175">
        <v>0</v>
      </c>
      <c r="BL175">
        <v>0</v>
      </c>
      <c r="BM175">
        <v>5.7512407903939759E-22</v>
      </c>
      <c r="BN175">
        <v>2.47845458984375</v>
      </c>
      <c r="BP175">
        <v>65535</v>
      </c>
      <c r="BQ175">
        <v>65535</v>
      </c>
      <c r="BR175">
        <v>0</v>
      </c>
      <c r="BS175">
        <v>-5.5736274225637317E-4</v>
      </c>
      <c r="BT175">
        <v>0</v>
      </c>
      <c r="BU175">
        <v>10.434837341308594</v>
      </c>
      <c r="BV175">
        <v>-10.434341430664063</v>
      </c>
      <c r="BW175" t="s">
        <v>615</v>
      </c>
      <c r="BX175">
        <v>5.7512407903939759E-22</v>
      </c>
      <c r="BY175">
        <v>2.47845458984375</v>
      </c>
      <c r="CB175">
        <v>18.574638366699219</v>
      </c>
      <c r="CC175">
        <v>7.1292800903320313</v>
      </c>
    </row>
    <row r="176" spans="1:83" ht="12.75" customHeight="1">
      <c r="A176" t="s">
        <v>642</v>
      </c>
      <c r="C176" t="s">
        <v>694</v>
      </c>
      <c r="D176">
        <v>174</v>
      </c>
      <c r="F176">
        <v>65535</v>
      </c>
      <c r="I176" t="s">
        <v>642</v>
      </c>
      <c r="R176">
        <v>7.7999944686889648</v>
      </c>
      <c r="T176">
        <v>32.759975433349609</v>
      </c>
      <c r="W176" s="514">
        <v>44245.742858796293</v>
      </c>
      <c r="AN176">
        <v>0</v>
      </c>
      <c r="AO176">
        <v>0</v>
      </c>
      <c r="AP176">
        <v>0</v>
      </c>
      <c r="AS176">
        <v>0</v>
      </c>
      <c r="AT176">
        <v>0</v>
      </c>
      <c r="AU176">
        <v>0</v>
      </c>
      <c r="AW176">
        <v>0</v>
      </c>
      <c r="AZ176">
        <v>0</v>
      </c>
      <c r="BA176">
        <v>-5.5736274225637317E-4</v>
      </c>
      <c r="BB176">
        <v>0</v>
      </c>
      <c r="BC176">
        <v>10.434837341308594</v>
      </c>
      <c r="BD176">
        <v>-10.434341430664063</v>
      </c>
      <c r="BI176">
        <v>0</v>
      </c>
      <c r="BJ176">
        <v>0</v>
      </c>
      <c r="BK176">
        <v>0</v>
      </c>
      <c r="BL176">
        <v>0</v>
      </c>
      <c r="BM176">
        <v>5.7512407903939759E-22</v>
      </c>
      <c r="BN176">
        <v>2.47845458984375</v>
      </c>
      <c r="BP176">
        <v>65535</v>
      </c>
      <c r="BQ176">
        <v>65535</v>
      </c>
      <c r="BR176">
        <v>0</v>
      </c>
      <c r="BS176">
        <v>-5.5736274225637317E-4</v>
      </c>
      <c r="BT176">
        <v>0</v>
      </c>
      <c r="BU176">
        <v>10.434837341308594</v>
      </c>
      <c r="BV176">
        <v>-10.434341430664063</v>
      </c>
      <c r="BW176" t="s">
        <v>615</v>
      </c>
      <c r="BX176">
        <v>5.7512407903939759E-22</v>
      </c>
      <c r="BY176">
        <v>2.47845458984375</v>
      </c>
      <c r="CB176">
        <v>19.745401382446289</v>
      </c>
      <c r="CC176">
        <v>6.2339653968811035</v>
      </c>
      <c r="CD176" t="s">
        <v>617</v>
      </c>
      <c r="CE176" t="s">
        <v>623</v>
      </c>
    </row>
    <row r="177" spans="1:83" ht="12.75" customHeight="1">
      <c r="A177" t="s">
        <v>655</v>
      </c>
      <c r="C177" t="s">
        <v>694</v>
      </c>
      <c r="D177">
        <v>175</v>
      </c>
      <c r="F177">
        <v>65535</v>
      </c>
      <c r="I177" t="s">
        <v>655</v>
      </c>
      <c r="R177">
        <v>7.7999944686889648</v>
      </c>
      <c r="T177">
        <v>32.759975433349609</v>
      </c>
      <c r="W177" s="514">
        <v>44245.742858796293</v>
      </c>
      <c r="AN177">
        <v>0</v>
      </c>
      <c r="AO177">
        <v>0</v>
      </c>
      <c r="AP177">
        <v>0</v>
      </c>
      <c r="AS177">
        <v>0</v>
      </c>
      <c r="AT177">
        <v>0</v>
      </c>
      <c r="AU177">
        <v>0</v>
      </c>
      <c r="AW177">
        <v>0</v>
      </c>
      <c r="AZ177">
        <v>0</v>
      </c>
      <c r="BA177">
        <v>-5.5736274225637317E-4</v>
      </c>
      <c r="BB177">
        <v>0</v>
      </c>
      <c r="BC177">
        <v>10.434837341308594</v>
      </c>
      <c r="BD177">
        <v>-10.434341430664063</v>
      </c>
      <c r="BI177">
        <v>0</v>
      </c>
      <c r="BJ177">
        <v>0</v>
      </c>
      <c r="BK177">
        <v>0</v>
      </c>
      <c r="BL177">
        <v>0</v>
      </c>
      <c r="BM177">
        <v>5.7512407903939759E-22</v>
      </c>
      <c r="BN177">
        <v>2.47845458984375</v>
      </c>
      <c r="BP177">
        <v>65535</v>
      </c>
      <c r="BQ177">
        <v>65535</v>
      </c>
      <c r="BR177">
        <v>0</v>
      </c>
      <c r="BS177">
        <v>-5.5736274225637317E-4</v>
      </c>
      <c r="BT177">
        <v>0</v>
      </c>
      <c r="BU177">
        <v>10.434837341308594</v>
      </c>
      <c r="BV177">
        <v>-10.434341430664063</v>
      </c>
      <c r="BW177" t="s">
        <v>615</v>
      </c>
      <c r="BX177">
        <v>5.7512407903939759E-22</v>
      </c>
      <c r="BY177">
        <v>2.47845458984375</v>
      </c>
      <c r="CB177">
        <v>18.805768966674805</v>
      </c>
      <c r="CC177">
        <v>7.0398960113525391</v>
      </c>
    </row>
    <row r="178" spans="1:83" ht="12.75" customHeight="1">
      <c r="A178" t="s">
        <v>642</v>
      </c>
      <c r="C178" t="s">
        <v>694</v>
      </c>
      <c r="D178">
        <v>176</v>
      </c>
      <c r="F178">
        <v>65535</v>
      </c>
      <c r="I178" t="s">
        <v>642</v>
      </c>
      <c r="R178">
        <v>7.7999944686889648</v>
      </c>
      <c r="T178">
        <v>32.759975433349609</v>
      </c>
      <c r="W178" s="514">
        <v>44245.742858796293</v>
      </c>
      <c r="AN178">
        <v>0</v>
      </c>
      <c r="AO178">
        <v>0</v>
      </c>
      <c r="AP178">
        <v>0</v>
      </c>
      <c r="AS178">
        <v>0</v>
      </c>
      <c r="AT178">
        <v>0</v>
      </c>
      <c r="AU178">
        <v>0</v>
      </c>
      <c r="AW178">
        <v>0</v>
      </c>
      <c r="AZ178">
        <v>0</v>
      </c>
      <c r="BA178">
        <v>-5.5736274225637317E-4</v>
      </c>
      <c r="BB178">
        <v>0</v>
      </c>
      <c r="BC178">
        <v>10.434837341308594</v>
      </c>
      <c r="BD178">
        <v>-10.434341430664063</v>
      </c>
      <c r="BI178">
        <v>0</v>
      </c>
      <c r="BJ178">
        <v>0</v>
      </c>
      <c r="BK178">
        <v>0</v>
      </c>
      <c r="BL178">
        <v>0</v>
      </c>
      <c r="BM178">
        <v>5.7512407903939759E-22</v>
      </c>
      <c r="BN178">
        <v>2.47845458984375</v>
      </c>
      <c r="BP178">
        <v>65535</v>
      </c>
      <c r="BQ178">
        <v>65535</v>
      </c>
      <c r="BR178">
        <v>0</v>
      </c>
      <c r="BS178">
        <v>-5.5736274225637317E-4</v>
      </c>
      <c r="BT178">
        <v>0</v>
      </c>
      <c r="BU178">
        <v>10.434837341308594</v>
      </c>
      <c r="BV178">
        <v>-10.434341430664063</v>
      </c>
      <c r="BW178" t="s">
        <v>615</v>
      </c>
      <c r="BX178">
        <v>5.7512407903939759E-22</v>
      </c>
      <c r="BY178">
        <v>2.47845458984375</v>
      </c>
      <c r="CB178">
        <v>18.492700576782227</v>
      </c>
      <c r="CC178">
        <v>7.2283225059509277</v>
      </c>
      <c r="CD178" t="s">
        <v>617</v>
      </c>
      <c r="CE178" t="s">
        <v>623</v>
      </c>
    </row>
    <row r="179" spans="1:83" ht="12.75" customHeight="1">
      <c r="A179" t="s">
        <v>624</v>
      </c>
      <c r="C179" t="s">
        <v>694</v>
      </c>
      <c r="D179">
        <v>177</v>
      </c>
      <c r="F179">
        <v>65535</v>
      </c>
      <c r="I179" t="s">
        <v>624</v>
      </c>
      <c r="R179">
        <v>7.7999944686889648</v>
      </c>
      <c r="T179">
        <v>32.759975433349609</v>
      </c>
      <c r="W179" s="514">
        <v>44245.742858796293</v>
      </c>
      <c r="AN179">
        <v>0</v>
      </c>
      <c r="AO179">
        <v>0</v>
      </c>
      <c r="AP179">
        <v>0</v>
      </c>
      <c r="AS179">
        <v>0</v>
      </c>
      <c r="AT179">
        <v>0</v>
      </c>
      <c r="AU179">
        <v>0</v>
      </c>
      <c r="AW179">
        <v>0</v>
      </c>
      <c r="AZ179">
        <v>0</v>
      </c>
      <c r="BA179">
        <v>-5.5736274225637317E-4</v>
      </c>
      <c r="BB179">
        <v>0</v>
      </c>
      <c r="BC179">
        <v>10.434837341308594</v>
      </c>
      <c r="BD179">
        <v>-10.434341430664063</v>
      </c>
      <c r="BI179">
        <v>0</v>
      </c>
      <c r="BJ179">
        <v>0</v>
      </c>
      <c r="BK179">
        <v>0</v>
      </c>
      <c r="BL179">
        <v>0</v>
      </c>
      <c r="BM179">
        <v>5.7512407903939759E-22</v>
      </c>
      <c r="BN179">
        <v>2.47845458984375</v>
      </c>
      <c r="BP179">
        <v>65535</v>
      </c>
      <c r="BQ179">
        <v>65535</v>
      </c>
      <c r="BR179">
        <v>0</v>
      </c>
      <c r="BS179">
        <v>-5.5736274225637317E-4</v>
      </c>
      <c r="BT179">
        <v>0</v>
      </c>
      <c r="BU179">
        <v>10.434837341308594</v>
      </c>
      <c r="BV179">
        <v>-10.434341430664063</v>
      </c>
      <c r="BW179" t="s">
        <v>615</v>
      </c>
      <c r="BX179">
        <v>5.7512407903939759E-22</v>
      </c>
      <c r="BY179">
        <v>2.47845458984375</v>
      </c>
      <c r="CB179">
        <v>18.529254913330078</v>
      </c>
      <c r="CC179">
        <v>7.1777396202087402</v>
      </c>
    </row>
    <row r="180" spans="1:83" ht="12.75" customHeight="1">
      <c r="A180" t="s">
        <v>695</v>
      </c>
      <c r="C180" t="s">
        <v>694</v>
      </c>
      <c r="D180">
        <v>178</v>
      </c>
      <c r="F180">
        <v>65535</v>
      </c>
      <c r="I180" t="s">
        <v>695</v>
      </c>
      <c r="R180">
        <v>7.7999944686889648</v>
      </c>
      <c r="T180">
        <v>32.759975433349609</v>
      </c>
      <c r="W180" s="514">
        <v>44245.742858796293</v>
      </c>
      <c r="AN180">
        <v>0</v>
      </c>
      <c r="AO180">
        <v>0</v>
      </c>
      <c r="AP180">
        <v>0</v>
      </c>
      <c r="AS180">
        <v>0</v>
      </c>
      <c r="AT180">
        <v>0</v>
      </c>
      <c r="AU180">
        <v>0</v>
      </c>
      <c r="AW180">
        <v>0</v>
      </c>
      <c r="AZ180">
        <v>0</v>
      </c>
      <c r="BA180">
        <v>-5.5736274225637317E-4</v>
      </c>
      <c r="BB180">
        <v>0</v>
      </c>
      <c r="BC180">
        <v>10.434837341308594</v>
      </c>
      <c r="BD180">
        <v>-10.434341430664063</v>
      </c>
      <c r="BI180">
        <v>0</v>
      </c>
      <c r="BJ180">
        <v>0</v>
      </c>
      <c r="BK180">
        <v>0</v>
      </c>
      <c r="BL180">
        <v>0</v>
      </c>
      <c r="BM180">
        <v>5.7512407903939759E-22</v>
      </c>
      <c r="BN180">
        <v>2.47845458984375</v>
      </c>
      <c r="BP180">
        <v>65535</v>
      </c>
      <c r="BQ180">
        <v>65535</v>
      </c>
      <c r="BR180">
        <v>0</v>
      </c>
      <c r="BS180">
        <v>-5.5736274225637317E-4</v>
      </c>
      <c r="BT180">
        <v>0</v>
      </c>
      <c r="BU180">
        <v>10.434837341308594</v>
      </c>
      <c r="BV180">
        <v>-10.434341430664063</v>
      </c>
      <c r="BW180" t="s">
        <v>615</v>
      </c>
      <c r="BX180">
        <v>5.7512407903939759E-22</v>
      </c>
      <c r="BY180">
        <v>2.47845458984375</v>
      </c>
      <c r="CB180">
        <v>18.574638366699219</v>
      </c>
      <c r="CC180">
        <v>7.1292800903320313</v>
      </c>
    </row>
    <row r="181" spans="1:83" ht="12.75" customHeight="1">
      <c r="A181" t="s">
        <v>696</v>
      </c>
      <c r="C181" t="s">
        <v>694</v>
      </c>
      <c r="D181">
        <v>179</v>
      </c>
      <c r="F181">
        <v>65535</v>
      </c>
      <c r="I181" t="s">
        <v>696</v>
      </c>
      <c r="R181">
        <v>7.280001163482666</v>
      </c>
      <c r="T181">
        <v>30.576005935668945</v>
      </c>
      <c r="W181" s="514">
        <v>44245.742905092593</v>
      </c>
      <c r="AN181">
        <v>0</v>
      </c>
      <c r="AO181">
        <v>0</v>
      </c>
      <c r="AP181">
        <v>0</v>
      </c>
      <c r="AS181">
        <v>0</v>
      </c>
      <c r="AT181">
        <v>0</v>
      </c>
      <c r="AU181">
        <v>0</v>
      </c>
      <c r="AW181">
        <v>0</v>
      </c>
      <c r="AZ181">
        <v>0</v>
      </c>
      <c r="BA181">
        <v>-5.4936431115493178E-4</v>
      </c>
      <c r="BB181">
        <v>0</v>
      </c>
      <c r="BC181">
        <v>9.9062042236328125</v>
      </c>
      <c r="BD181">
        <v>-9.9055871963500977</v>
      </c>
      <c r="BI181">
        <v>0</v>
      </c>
      <c r="BJ181">
        <v>0</v>
      </c>
      <c r="BK181">
        <v>0</v>
      </c>
      <c r="BL181">
        <v>0</v>
      </c>
      <c r="BM181">
        <v>2.4326769765270484E-11</v>
      </c>
      <c r="BN181">
        <v>2.3984375</v>
      </c>
      <c r="BP181">
        <v>65535</v>
      </c>
      <c r="BQ181">
        <v>65535</v>
      </c>
      <c r="BR181">
        <v>0</v>
      </c>
      <c r="BS181">
        <v>-5.4936431115493178E-4</v>
      </c>
      <c r="BT181">
        <v>0</v>
      </c>
      <c r="BU181">
        <v>9.9062042236328125</v>
      </c>
      <c r="BV181">
        <v>-9.9055871963500977</v>
      </c>
      <c r="BW181" t="s">
        <v>615</v>
      </c>
      <c r="BX181">
        <v>2.4326769765270484E-11</v>
      </c>
      <c r="BY181">
        <v>2.3984375</v>
      </c>
      <c r="CB181">
        <v>19.745401382446289</v>
      </c>
      <c r="CC181">
        <v>6.2339653968811035</v>
      </c>
    </row>
    <row r="182" spans="1:83" ht="12.75" customHeight="1">
      <c r="A182" t="s">
        <v>687</v>
      </c>
      <c r="C182" t="s">
        <v>694</v>
      </c>
      <c r="D182">
        <v>180</v>
      </c>
      <c r="F182">
        <v>65535</v>
      </c>
      <c r="I182" t="s">
        <v>687</v>
      </c>
      <c r="R182">
        <v>7.280001163482666</v>
      </c>
      <c r="T182">
        <v>30.576005935668945</v>
      </c>
      <c r="W182" s="514">
        <v>44245.742905092593</v>
      </c>
      <c r="AN182">
        <v>0</v>
      </c>
      <c r="AO182">
        <v>0</v>
      </c>
      <c r="AP182">
        <v>0</v>
      </c>
      <c r="AS182">
        <v>0</v>
      </c>
      <c r="AT182">
        <v>0</v>
      </c>
      <c r="AU182">
        <v>0</v>
      </c>
      <c r="AW182">
        <v>0</v>
      </c>
      <c r="AZ182">
        <v>0</v>
      </c>
      <c r="BA182">
        <v>-5.4936431115493178E-4</v>
      </c>
      <c r="BB182">
        <v>0</v>
      </c>
      <c r="BC182">
        <v>9.9062042236328125</v>
      </c>
      <c r="BD182">
        <v>-9.9055871963500977</v>
      </c>
      <c r="BI182">
        <v>0</v>
      </c>
      <c r="BJ182">
        <v>0</v>
      </c>
      <c r="BK182">
        <v>0</v>
      </c>
      <c r="BL182">
        <v>0</v>
      </c>
      <c r="BM182">
        <v>2.4326769765270484E-11</v>
      </c>
      <c r="BN182">
        <v>2.3984375</v>
      </c>
      <c r="BP182">
        <v>65535</v>
      </c>
      <c r="BQ182">
        <v>65535</v>
      </c>
      <c r="BR182">
        <v>0</v>
      </c>
      <c r="BS182">
        <v>-5.4936431115493178E-4</v>
      </c>
      <c r="BT182">
        <v>0</v>
      </c>
      <c r="BU182">
        <v>9.9062042236328125</v>
      </c>
      <c r="BV182">
        <v>-9.9055871963500977</v>
      </c>
      <c r="BW182" t="s">
        <v>615</v>
      </c>
      <c r="BX182">
        <v>2.4326769765270484E-11</v>
      </c>
      <c r="BY182">
        <v>2.3984375</v>
      </c>
      <c r="CB182">
        <v>18.805768966674805</v>
      </c>
      <c r="CC182">
        <v>7.0398960113525391</v>
      </c>
    </row>
    <row r="183" spans="1:83" ht="12.75" customHeight="1">
      <c r="A183" t="s">
        <v>687</v>
      </c>
      <c r="C183" t="s">
        <v>694</v>
      </c>
      <c r="D183">
        <v>181</v>
      </c>
      <c r="F183">
        <v>65535</v>
      </c>
      <c r="I183" t="s">
        <v>687</v>
      </c>
      <c r="R183">
        <v>7.280001163482666</v>
      </c>
      <c r="T183">
        <v>30.576005935668945</v>
      </c>
      <c r="W183" s="514">
        <v>44245.742905092593</v>
      </c>
      <c r="AN183">
        <v>0</v>
      </c>
      <c r="AO183">
        <v>0</v>
      </c>
      <c r="AP183">
        <v>0</v>
      </c>
      <c r="AS183">
        <v>0</v>
      </c>
      <c r="AT183">
        <v>0</v>
      </c>
      <c r="AU183">
        <v>0</v>
      </c>
      <c r="AW183">
        <v>0</v>
      </c>
      <c r="AZ183">
        <v>0</v>
      </c>
      <c r="BA183">
        <v>-5.4936431115493178E-4</v>
      </c>
      <c r="BB183">
        <v>0</v>
      </c>
      <c r="BC183">
        <v>9.9062042236328125</v>
      </c>
      <c r="BD183">
        <v>-9.9055871963500977</v>
      </c>
      <c r="BI183">
        <v>0</v>
      </c>
      <c r="BJ183">
        <v>0</v>
      </c>
      <c r="BK183">
        <v>0</v>
      </c>
      <c r="BL183">
        <v>0</v>
      </c>
      <c r="BM183">
        <v>2.4326769765270484E-11</v>
      </c>
      <c r="BN183">
        <v>2.3984375</v>
      </c>
      <c r="BP183">
        <v>65535</v>
      </c>
      <c r="BQ183">
        <v>65535</v>
      </c>
      <c r="BR183">
        <v>0</v>
      </c>
      <c r="BS183">
        <v>-5.4936431115493178E-4</v>
      </c>
      <c r="BT183">
        <v>0</v>
      </c>
      <c r="BU183">
        <v>9.9062042236328125</v>
      </c>
      <c r="BV183">
        <v>-9.9055871963500977</v>
      </c>
      <c r="BW183" t="s">
        <v>615</v>
      </c>
      <c r="BX183">
        <v>2.4326769765270484E-11</v>
      </c>
      <c r="BY183">
        <v>2.3984375</v>
      </c>
      <c r="CB183">
        <v>18.492700576782227</v>
      </c>
      <c r="CC183">
        <v>7.2283225059509277</v>
      </c>
    </row>
    <row r="184" spans="1:83" ht="12.75" customHeight="1">
      <c r="A184" t="s">
        <v>688</v>
      </c>
      <c r="C184" t="s">
        <v>694</v>
      </c>
      <c r="D184">
        <v>182</v>
      </c>
      <c r="F184">
        <v>65535</v>
      </c>
      <c r="I184" t="s">
        <v>688</v>
      </c>
      <c r="R184">
        <v>7.280001163482666</v>
      </c>
      <c r="T184">
        <v>30.576005935668945</v>
      </c>
      <c r="W184" s="514">
        <v>44245.742905092593</v>
      </c>
      <c r="AN184">
        <v>0</v>
      </c>
      <c r="AO184">
        <v>0</v>
      </c>
      <c r="AP184">
        <v>0</v>
      </c>
      <c r="AS184">
        <v>0</v>
      </c>
      <c r="AT184">
        <v>0</v>
      </c>
      <c r="AU184">
        <v>0</v>
      </c>
      <c r="AW184">
        <v>0</v>
      </c>
      <c r="AZ184">
        <v>0</v>
      </c>
      <c r="BA184">
        <v>-5.4936431115493178E-4</v>
      </c>
      <c r="BB184">
        <v>0</v>
      </c>
      <c r="BC184">
        <v>9.9062042236328125</v>
      </c>
      <c r="BD184">
        <v>-9.9055871963500977</v>
      </c>
      <c r="BI184">
        <v>0</v>
      </c>
      <c r="BJ184">
        <v>0</v>
      </c>
      <c r="BK184">
        <v>0</v>
      </c>
      <c r="BL184">
        <v>0</v>
      </c>
      <c r="BM184">
        <v>2.4326769765270484E-11</v>
      </c>
      <c r="BN184">
        <v>2.3984375</v>
      </c>
      <c r="BP184">
        <v>65535</v>
      </c>
      <c r="BQ184">
        <v>65535</v>
      </c>
      <c r="BR184">
        <v>0</v>
      </c>
      <c r="BS184">
        <v>-5.4936431115493178E-4</v>
      </c>
      <c r="BT184">
        <v>0</v>
      </c>
      <c r="BU184">
        <v>9.9062042236328125</v>
      </c>
      <c r="BV184">
        <v>-9.9055871963500977</v>
      </c>
      <c r="BW184" t="s">
        <v>615</v>
      </c>
      <c r="BX184">
        <v>2.4326769765270484E-11</v>
      </c>
      <c r="BY184">
        <v>2.3984375</v>
      </c>
      <c r="CB184">
        <v>18.529254913330078</v>
      </c>
      <c r="CC184">
        <v>7.1777396202087402</v>
      </c>
    </row>
    <row r="185" spans="1:83" ht="12.75" customHeight="1">
      <c r="A185" t="s">
        <v>688</v>
      </c>
      <c r="C185" t="s">
        <v>694</v>
      </c>
      <c r="D185">
        <v>183</v>
      </c>
      <c r="F185">
        <v>65535</v>
      </c>
      <c r="I185" t="s">
        <v>688</v>
      </c>
      <c r="R185">
        <v>7.280001163482666</v>
      </c>
      <c r="T185">
        <v>30.576005935668945</v>
      </c>
      <c r="W185" s="514">
        <v>44245.742905092593</v>
      </c>
      <c r="AN185">
        <v>0</v>
      </c>
      <c r="AO185">
        <v>0</v>
      </c>
      <c r="AP185">
        <v>0</v>
      </c>
      <c r="AS185">
        <v>0</v>
      </c>
      <c r="AT185">
        <v>0</v>
      </c>
      <c r="AU185">
        <v>0</v>
      </c>
      <c r="AW185">
        <v>0</v>
      </c>
      <c r="AZ185">
        <v>0</v>
      </c>
      <c r="BA185">
        <v>-5.4936431115493178E-4</v>
      </c>
      <c r="BB185">
        <v>0</v>
      </c>
      <c r="BC185">
        <v>9.9062042236328125</v>
      </c>
      <c r="BD185">
        <v>-9.9055871963500977</v>
      </c>
      <c r="BI185">
        <v>0</v>
      </c>
      <c r="BJ185">
        <v>0</v>
      </c>
      <c r="BK185">
        <v>0</v>
      </c>
      <c r="BL185">
        <v>0</v>
      </c>
      <c r="BM185">
        <v>2.4326769765270484E-11</v>
      </c>
      <c r="BN185">
        <v>2.3984375</v>
      </c>
      <c r="BP185">
        <v>65535</v>
      </c>
      <c r="BQ185">
        <v>65535</v>
      </c>
      <c r="BR185">
        <v>0</v>
      </c>
      <c r="BS185">
        <v>-5.4936431115493178E-4</v>
      </c>
      <c r="BT185">
        <v>0</v>
      </c>
      <c r="BU185">
        <v>9.9062042236328125</v>
      </c>
      <c r="BV185">
        <v>-9.9055871963500977</v>
      </c>
      <c r="BW185" t="s">
        <v>615</v>
      </c>
      <c r="BX185">
        <v>2.4326769765270484E-11</v>
      </c>
      <c r="BY185">
        <v>2.3984375</v>
      </c>
      <c r="CB185">
        <v>18.574638366699219</v>
      </c>
      <c r="CC185">
        <v>7.1292800903320313</v>
      </c>
    </row>
    <row r="186" spans="1:83" ht="12.75" customHeight="1">
      <c r="A186" t="s">
        <v>685</v>
      </c>
      <c r="C186" t="s">
        <v>694</v>
      </c>
      <c r="D186">
        <v>184</v>
      </c>
      <c r="F186">
        <v>65535</v>
      </c>
      <c r="I186" t="s">
        <v>685</v>
      </c>
      <c r="R186">
        <v>7.280001163482666</v>
      </c>
      <c r="T186">
        <v>30.576005935668945</v>
      </c>
      <c r="W186" s="514">
        <v>44245.742905092593</v>
      </c>
      <c r="AN186">
        <v>0</v>
      </c>
      <c r="AO186">
        <v>0</v>
      </c>
      <c r="AP186">
        <v>0</v>
      </c>
      <c r="AS186">
        <v>0</v>
      </c>
      <c r="AT186">
        <v>0</v>
      </c>
      <c r="AU186">
        <v>0</v>
      </c>
      <c r="AW186">
        <v>0</v>
      </c>
      <c r="AZ186">
        <v>0</v>
      </c>
      <c r="BA186">
        <v>-5.4936431115493178E-4</v>
      </c>
      <c r="BB186">
        <v>0</v>
      </c>
      <c r="BC186">
        <v>9.9062042236328125</v>
      </c>
      <c r="BD186">
        <v>-9.9055871963500977</v>
      </c>
      <c r="BI186">
        <v>0</v>
      </c>
      <c r="BJ186">
        <v>0</v>
      </c>
      <c r="BK186">
        <v>0</v>
      </c>
      <c r="BL186">
        <v>0</v>
      </c>
      <c r="BM186">
        <v>2.4326769765270484E-11</v>
      </c>
      <c r="BN186">
        <v>2.3984375</v>
      </c>
      <c r="BP186">
        <v>65535</v>
      </c>
      <c r="BQ186">
        <v>65535</v>
      </c>
      <c r="BR186">
        <v>0</v>
      </c>
      <c r="BS186">
        <v>-5.4936431115493178E-4</v>
      </c>
      <c r="BT186">
        <v>0</v>
      </c>
      <c r="BU186">
        <v>9.9062042236328125</v>
      </c>
      <c r="BV186">
        <v>-9.9055871963500977</v>
      </c>
      <c r="BW186" t="s">
        <v>615</v>
      </c>
      <c r="BX186">
        <v>2.4326769765270484E-11</v>
      </c>
      <c r="BY186">
        <v>2.3984375</v>
      </c>
      <c r="CB186">
        <v>19.745401382446289</v>
      </c>
      <c r="CC186">
        <v>6.2339653968811035</v>
      </c>
    </row>
    <row r="187" spans="1:83" ht="12.75" customHeight="1">
      <c r="A187" t="s">
        <v>683</v>
      </c>
      <c r="C187" t="s">
        <v>694</v>
      </c>
      <c r="D187">
        <v>185</v>
      </c>
      <c r="F187">
        <v>65535</v>
      </c>
      <c r="I187" t="s">
        <v>683</v>
      </c>
      <c r="R187">
        <v>7.280001163482666</v>
      </c>
      <c r="T187">
        <v>30.576005935668945</v>
      </c>
      <c r="W187" s="514">
        <v>44245.742905092593</v>
      </c>
      <c r="AN187">
        <v>0</v>
      </c>
      <c r="AO187">
        <v>0</v>
      </c>
      <c r="AP187">
        <v>0</v>
      </c>
      <c r="AS187">
        <v>0</v>
      </c>
      <c r="AT187">
        <v>0</v>
      </c>
      <c r="AU187">
        <v>0</v>
      </c>
      <c r="AW187">
        <v>0</v>
      </c>
      <c r="AZ187">
        <v>0</v>
      </c>
      <c r="BA187">
        <v>-5.4936431115493178E-4</v>
      </c>
      <c r="BB187">
        <v>0</v>
      </c>
      <c r="BC187">
        <v>9.9062042236328125</v>
      </c>
      <c r="BD187">
        <v>-9.9055871963500977</v>
      </c>
      <c r="BI187">
        <v>0</v>
      </c>
      <c r="BJ187">
        <v>0</v>
      </c>
      <c r="BK187">
        <v>0</v>
      </c>
      <c r="BL187">
        <v>0</v>
      </c>
      <c r="BM187">
        <v>2.4326769765270484E-11</v>
      </c>
      <c r="BN187">
        <v>2.3984375</v>
      </c>
      <c r="BP187">
        <v>65535</v>
      </c>
      <c r="BQ187">
        <v>65535</v>
      </c>
      <c r="BR187">
        <v>0</v>
      </c>
      <c r="BS187">
        <v>-5.4936431115493178E-4</v>
      </c>
      <c r="BT187">
        <v>0</v>
      </c>
      <c r="BU187">
        <v>9.9062042236328125</v>
      </c>
      <c r="BV187">
        <v>-9.9055871963500977</v>
      </c>
      <c r="BW187" t="s">
        <v>615</v>
      </c>
      <c r="BX187">
        <v>2.4326769765270484E-11</v>
      </c>
      <c r="BY187">
        <v>2.3984375</v>
      </c>
      <c r="CB187">
        <v>18.805768966674805</v>
      </c>
      <c r="CC187">
        <v>7.0398960113525391</v>
      </c>
    </row>
    <row r="188" spans="1:83" ht="12.75" customHeight="1">
      <c r="A188" t="s">
        <v>697</v>
      </c>
      <c r="C188" t="s">
        <v>694</v>
      </c>
      <c r="D188">
        <v>186</v>
      </c>
      <c r="F188">
        <v>65535</v>
      </c>
      <c r="I188" t="s">
        <v>697</v>
      </c>
      <c r="AN188">
        <v>0</v>
      </c>
      <c r="AO188">
        <v>0</v>
      </c>
      <c r="AP188">
        <v>0</v>
      </c>
      <c r="AS188">
        <v>65535</v>
      </c>
      <c r="AT188">
        <v>65535</v>
      </c>
      <c r="AU188">
        <v>65535</v>
      </c>
      <c r="BI188">
        <v>0</v>
      </c>
      <c r="BK188">
        <v>0</v>
      </c>
      <c r="BL188">
        <v>0</v>
      </c>
      <c r="BP188">
        <v>65535</v>
      </c>
      <c r="BQ188">
        <v>65535</v>
      </c>
      <c r="CB188">
        <v>18.492700576782227</v>
      </c>
      <c r="CC188">
        <v>7.2283225059509277</v>
      </c>
    </row>
    <row r="189" spans="1:83" ht="12.75" customHeight="1">
      <c r="A189" t="s">
        <v>698</v>
      </c>
      <c r="C189" t="s">
        <v>694</v>
      </c>
      <c r="D189">
        <v>187</v>
      </c>
      <c r="F189">
        <v>65535</v>
      </c>
      <c r="I189" t="s">
        <v>698</v>
      </c>
      <c r="AN189">
        <v>0</v>
      </c>
      <c r="AO189">
        <v>0</v>
      </c>
      <c r="AP189">
        <v>0</v>
      </c>
      <c r="AS189">
        <v>65535</v>
      </c>
      <c r="AT189">
        <v>65535</v>
      </c>
      <c r="AU189">
        <v>65535</v>
      </c>
      <c r="BI189">
        <v>0</v>
      </c>
      <c r="BK189">
        <v>0</v>
      </c>
      <c r="BL189">
        <v>0</v>
      </c>
      <c r="BP189">
        <v>65535</v>
      </c>
      <c r="BQ189">
        <v>65535</v>
      </c>
      <c r="CB189">
        <v>18.529254913330078</v>
      </c>
      <c r="CC189">
        <v>7.1777396202087402</v>
      </c>
    </row>
    <row r="190" spans="1:83" ht="12.75" customHeight="1">
      <c r="A190" t="s">
        <v>698</v>
      </c>
      <c r="C190" t="s">
        <v>694</v>
      </c>
      <c r="D190">
        <v>188</v>
      </c>
      <c r="F190">
        <v>65535</v>
      </c>
      <c r="I190" t="s">
        <v>698</v>
      </c>
      <c r="AN190">
        <v>0</v>
      </c>
      <c r="AO190">
        <v>0</v>
      </c>
      <c r="AP190">
        <v>0</v>
      </c>
      <c r="AS190">
        <v>65535</v>
      </c>
      <c r="AT190">
        <v>65535</v>
      </c>
      <c r="AU190">
        <v>65535</v>
      </c>
      <c r="BI190">
        <v>0</v>
      </c>
      <c r="BK190">
        <v>0</v>
      </c>
      <c r="BL190">
        <v>0</v>
      </c>
      <c r="BP190">
        <v>65535</v>
      </c>
      <c r="BQ190">
        <v>65535</v>
      </c>
      <c r="CB190">
        <v>18.574638366699219</v>
      </c>
      <c r="CC190">
        <v>7.1292800903320313</v>
      </c>
    </row>
    <row r="191" spans="1:83" ht="12.75" customHeight="1">
      <c r="A191" t="s">
        <v>698</v>
      </c>
      <c r="C191" t="s">
        <v>694</v>
      </c>
      <c r="D191">
        <v>189</v>
      </c>
      <c r="F191">
        <v>65535</v>
      </c>
      <c r="I191" t="s">
        <v>698</v>
      </c>
      <c r="AN191">
        <v>0</v>
      </c>
      <c r="AO191">
        <v>0</v>
      </c>
      <c r="AP191">
        <v>0</v>
      </c>
      <c r="AS191">
        <v>65535</v>
      </c>
      <c r="AT191">
        <v>65535</v>
      </c>
      <c r="AU191">
        <v>65535</v>
      </c>
      <c r="BI191">
        <v>0</v>
      </c>
      <c r="BK191">
        <v>0</v>
      </c>
      <c r="BL191">
        <v>0</v>
      </c>
      <c r="BP191">
        <v>65535</v>
      </c>
      <c r="BQ191">
        <v>65535</v>
      </c>
      <c r="CB191">
        <v>19.745401382446289</v>
      </c>
      <c r="CC191">
        <v>6.2339653968811035</v>
      </c>
    </row>
    <row r="192" spans="1:83" ht="12.75" customHeight="1">
      <c r="A192" t="s">
        <v>629</v>
      </c>
      <c r="C192" t="s">
        <v>694</v>
      </c>
      <c r="D192">
        <v>190</v>
      </c>
      <c r="F192">
        <v>65535</v>
      </c>
      <c r="I192" t="s">
        <v>629</v>
      </c>
      <c r="AN192">
        <v>0</v>
      </c>
      <c r="AO192">
        <v>0</v>
      </c>
      <c r="AP192">
        <v>0</v>
      </c>
      <c r="AS192">
        <v>65535</v>
      </c>
      <c r="AT192">
        <v>65535</v>
      </c>
      <c r="AU192">
        <v>65535</v>
      </c>
      <c r="BI192">
        <v>0</v>
      </c>
      <c r="BK192">
        <v>0</v>
      </c>
      <c r="BL192">
        <v>0</v>
      </c>
      <c r="BP192">
        <v>65535</v>
      </c>
      <c r="BQ192">
        <v>65535</v>
      </c>
      <c r="CB192">
        <v>18.805768966674805</v>
      </c>
      <c r="CC192">
        <v>7.0398960113525391</v>
      </c>
    </row>
    <row r="193" spans="1:83" ht="12.75" customHeight="1">
      <c r="A193" t="s">
        <v>699</v>
      </c>
      <c r="C193" t="s">
        <v>694</v>
      </c>
      <c r="D193">
        <v>191</v>
      </c>
      <c r="F193">
        <v>65535</v>
      </c>
      <c r="I193" t="s">
        <v>699</v>
      </c>
      <c r="AN193">
        <v>0</v>
      </c>
      <c r="AO193">
        <v>0</v>
      </c>
      <c r="AP193">
        <v>0</v>
      </c>
      <c r="AS193">
        <v>65535</v>
      </c>
      <c r="AT193">
        <v>65535</v>
      </c>
      <c r="AU193">
        <v>65535</v>
      </c>
      <c r="BI193">
        <v>0</v>
      </c>
      <c r="BK193">
        <v>0</v>
      </c>
      <c r="BL193">
        <v>0</v>
      </c>
      <c r="BP193">
        <v>65535</v>
      </c>
      <c r="BQ193">
        <v>65535</v>
      </c>
      <c r="CB193">
        <v>18.492700576782227</v>
      </c>
      <c r="CC193">
        <v>7.2283225059509277</v>
      </c>
    </row>
    <row r="194" spans="1:83" ht="12.75" customHeight="1">
      <c r="A194" t="s">
        <v>687</v>
      </c>
      <c r="C194" t="s">
        <v>694</v>
      </c>
      <c r="D194">
        <v>192</v>
      </c>
      <c r="F194">
        <v>65535</v>
      </c>
      <c r="I194" t="s">
        <v>687</v>
      </c>
      <c r="R194">
        <v>9.3600034713745117</v>
      </c>
      <c r="T194">
        <v>39.31201171875</v>
      </c>
      <c r="W194" s="514">
        <v>44245.742812500001</v>
      </c>
      <c r="AN194">
        <v>0</v>
      </c>
      <c r="AO194">
        <v>0</v>
      </c>
      <c r="AP194">
        <v>0</v>
      </c>
      <c r="AS194">
        <v>0</v>
      </c>
      <c r="AT194">
        <v>0</v>
      </c>
      <c r="AU194">
        <v>0</v>
      </c>
      <c r="AW194">
        <v>0</v>
      </c>
      <c r="AZ194">
        <v>0</v>
      </c>
      <c r="BA194">
        <v>-3.8550273166038096E-4</v>
      </c>
      <c r="BB194">
        <v>0</v>
      </c>
      <c r="BC194">
        <v>15.564014434814453</v>
      </c>
      <c r="BD194">
        <v>-15.563601493835449</v>
      </c>
      <c r="BI194">
        <v>0</v>
      </c>
      <c r="BJ194">
        <v>0</v>
      </c>
      <c r="BK194">
        <v>0</v>
      </c>
      <c r="BL194">
        <v>0</v>
      </c>
      <c r="BM194">
        <v>3.3443017556781179E-28</v>
      </c>
      <c r="BN194">
        <v>0.805908203125</v>
      </c>
      <c r="BP194">
        <v>65535</v>
      </c>
      <c r="BQ194">
        <v>65535</v>
      </c>
      <c r="BR194">
        <v>0</v>
      </c>
      <c r="BS194">
        <v>-3.8550273166038096E-4</v>
      </c>
      <c r="BT194">
        <v>0</v>
      </c>
      <c r="BU194">
        <v>15.564014434814453</v>
      </c>
      <c r="BV194">
        <v>-15.563601493835449</v>
      </c>
      <c r="BW194" t="s">
        <v>615</v>
      </c>
      <c r="BX194">
        <v>3.3443017556781179E-28</v>
      </c>
      <c r="BY194">
        <v>0.805908203125</v>
      </c>
      <c r="CB194">
        <v>18.529254913330078</v>
      </c>
      <c r="CC194">
        <v>7.1777396202087402</v>
      </c>
    </row>
    <row r="195" spans="1:83" ht="12.75" customHeight="1">
      <c r="A195" t="s">
        <v>668</v>
      </c>
      <c r="C195" t="s">
        <v>694</v>
      </c>
      <c r="D195">
        <v>193</v>
      </c>
      <c r="F195">
        <v>65535</v>
      </c>
      <c r="I195" t="s">
        <v>668</v>
      </c>
      <c r="R195">
        <v>9.3600034713745117</v>
      </c>
      <c r="T195">
        <v>39.31201171875</v>
      </c>
      <c r="W195" s="514">
        <v>44245.742812500001</v>
      </c>
      <c r="AN195">
        <v>0</v>
      </c>
      <c r="AO195">
        <v>0</v>
      </c>
      <c r="AP195">
        <v>0</v>
      </c>
      <c r="AS195">
        <v>0</v>
      </c>
      <c r="AT195">
        <v>0</v>
      </c>
      <c r="AU195">
        <v>0</v>
      </c>
      <c r="AW195">
        <v>0</v>
      </c>
      <c r="AZ195">
        <v>0</v>
      </c>
      <c r="BA195">
        <v>-3.8550273166038096E-4</v>
      </c>
      <c r="BB195">
        <v>0</v>
      </c>
      <c r="BC195">
        <v>15.564014434814453</v>
      </c>
      <c r="BD195">
        <v>-15.563601493835449</v>
      </c>
      <c r="BI195">
        <v>0</v>
      </c>
      <c r="BJ195">
        <v>0</v>
      </c>
      <c r="BK195">
        <v>0</v>
      </c>
      <c r="BL195">
        <v>0</v>
      </c>
      <c r="BM195">
        <v>3.3443017556781179E-28</v>
      </c>
      <c r="BN195">
        <v>0.805908203125</v>
      </c>
      <c r="BP195">
        <v>65535</v>
      </c>
      <c r="BQ195">
        <v>65535</v>
      </c>
      <c r="BR195">
        <v>0</v>
      </c>
      <c r="BS195">
        <v>-3.8550273166038096E-4</v>
      </c>
      <c r="BT195">
        <v>0</v>
      </c>
      <c r="BU195">
        <v>15.564014434814453</v>
      </c>
      <c r="BV195">
        <v>-15.563601493835449</v>
      </c>
      <c r="BW195" t="s">
        <v>615</v>
      </c>
      <c r="BX195">
        <v>3.3443017556781179E-28</v>
      </c>
      <c r="BY195">
        <v>0.805908203125</v>
      </c>
      <c r="CB195">
        <v>18.574638366699219</v>
      </c>
      <c r="CC195">
        <v>7.1292800903320313</v>
      </c>
    </row>
    <row r="196" spans="1:83" ht="12.75" customHeight="1">
      <c r="A196" t="s">
        <v>642</v>
      </c>
      <c r="C196" t="s">
        <v>694</v>
      </c>
      <c r="D196">
        <v>194</v>
      </c>
      <c r="F196">
        <v>65535</v>
      </c>
      <c r="I196" t="s">
        <v>642</v>
      </c>
      <c r="R196">
        <v>9.3600034713745117</v>
      </c>
      <c r="T196">
        <v>39.31201171875</v>
      </c>
      <c r="W196" s="514">
        <v>44245.742812500001</v>
      </c>
      <c r="AN196">
        <v>0</v>
      </c>
      <c r="AO196">
        <v>0</v>
      </c>
      <c r="AP196">
        <v>0</v>
      </c>
      <c r="AS196">
        <v>0</v>
      </c>
      <c r="AT196">
        <v>0</v>
      </c>
      <c r="AU196">
        <v>0</v>
      </c>
      <c r="AW196">
        <v>0</v>
      </c>
      <c r="AZ196">
        <v>0</v>
      </c>
      <c r="BA196">
        <v>-3.8550273166038096E-4</v>
      </c>
      <c r="BB196">
        <v>0</v>
      </c>
      <c r="BC196">
        <v>15.564014434814453</v>
      </c>
      <c r="BD196">
        <v>-15.563601493835449</v>
      </c>
      <c r="BI196">
        <v>0</v>
      </c>
      <c r="BJ196">
        <v>0</v>
      </c>
      <c r="BK196">
        <v>0</v>
      </c>
      <c r="BL196">
        <v>0</v>
      </c>
      <c r="BM196">
        <v>3.3443017556781179E-28</v>
      </c>
      <c r="BN196">
        <v>0.805908203125</v>
      </c>
      <c r="BP196">
        <v>65535</v>
      </c>
      <c r="BQ196">
        <v>65535</v>
      </c>
      <c r="BR196">
        <v>0</v>
      </c>
      <c r="BS196">
        <v>-3.8550273166038096E-4</v>
      </c>
      <c r="BT196">
        <v>0</v>
      </c>
      <c r="BU196">
        <v>15.564014434814453</v>
      </c>
      <c r="BV196">
        <v>-15.563601493835449</v>
      </c>
      <c r="BW196" t="s">
        <v>615</v>
      </c>
      <c r="BX196">
        <v>3.3443017556781179E-28</v>
      </c>
      <c r="BY196">
        <v>0.805908203125</v>
      </c>
      <c r="CB196">
        <v>19.745401382446289</v>
      </c>
      <c r="CC196">
        <v>6.2339653968811035</v>
      </c>
      <c r="CD196" t="s">
        <v>617</v>
      </c>
      <c r="CE196" t="s">
        <v>623</v>
      </c>
    </row>
    <row r="197" spans="1:83" ht="12.75" customHeight="1">
      <c r="A197" t="s">
        <v>681</v>
      </c>
      <c r="C197" t="s">
        <v>625</v>
      </c>
      <c r="D197">
        <v>195</v>
      </c>
      <c r="F197">
        <v>65535</v>
      </c>
      <c r="I197" t="s">
        <v>681</v>
      </c>
      <c r="R197">
        <v>9.3600034713745117</v>
      </c>
      <c r="T197">
        <v>39.31201171875</v>
      </c>
      <c r="W197" s="514">
        <v>44245.742812500001</v>
      </c>
      <c r="AN197">
        <v>0</v>
      </c>
      <c r="AO197">
        <v>0</v>
      </c>
      <c r="AP197">
        <v>0</v>
      </c>
      <c r="AS197">
        <v>0</v>
      </c>
      <c r="AT197">
        <v>0</v>
      </c>
      <c r="AU197">
        <v>0</v>
      </c>
      <c r="AW197">
        <v>0</v>
      </c>
      <c r="AZ197">
        <v>0</v>
      </c>
      <c r="BA197">
        <v>-3.8550273166038096E-4</v>
      </c>
      <c r="BB197">
        <v>0</v>
      </c>
      <c r="BC197">
        <v>15.564014434814453</v>
      </c>
      <c r="BD197">
        <v>-15.563601493835449</v>
      </c>
      <c r="BI197">
        <v>0</v>
      </c>
      <c r="BJ197">
        <v>0</v>
      </c>
      <c r="BK197">
        <v>0</v>
      </c>
      <c r="BL197">
        <v>0</v>
      </c>
      <c r="BM197">
        <v>3.3443017556781179E-28</v>
      </c>
      <c r="BN197">
        <v>0.805908203125</v>
      </c>
      <c r="BP197">
        <v>65535</v>
      </c>
      <c r="BQ197">
        <v>65535</v>
      </c>
      <c r="BR197">
        <v>0</v>
      </c>
      <c r="BS197">
        <v>-3.8550273166038096E-4</v>
      </c>
      <c r="BT197">
        <v>0</v>
      </c>
      <c r="BU197">
        <v>15.564014434814453</v>
      </c>
      <c r="BV197">
        <v>-15.563601493835449</v>
      </c>
      <c r="BW197" t="s">
        <v>615</v>
      </c>
      <c r="BX197">
        <v>3.3443017556781179E-28</v>
      </c>
      <c r="BY197">
        <v>0.805908203125</v>
      </c>
      <c r="CB197">
        <v>18.805768966674805</v>
      </c>
      <c r="CC197">
        <v>7.0398960113525391</v>
      </c>
    </row>
    <row r="198" spans="1:83" ht="12.75" customHeight="1">
      <c r="A198" t="s">
        <v>700</v>
      </c>
      <c r="C198" t="s">
        <v>625</v>
      </c>
      <c r="D198">
        <v>196</v>
      </c>
      <c r="F198">
        <v>65535</v>
      </c>
      <c r="I198" t="s">
        <v>700</v>
      </c>
      <c r="R198">
        <v>9.3600034713745117</v>
      </c>
      <c r="T198">
        <v>39.31201171875</v>
      </c>
      <c r="W198" s="514">
        <v>44245.742812500001</v>
      </c>
      <c r="AN198">
        <v>0</v>
      </c>
      <c r="AO198">
        <v>0</v>
      </c>
      <c r="AP198">
        <v>0</v>
      </c>
      <c r="AS198">
        <v>0</v>
      </c>
      <c r="AT198">
        <v>0</v>
      </c>
      <c r="AU198">
        <v>0</v>
      </c>
      <c r="AW198">
        <v>0</v>
      </c>
      <c r="AZ198">
        <v>0</v>
      </c>
      <c r="BA198">
        <v>-3.8550273166038096E-4</v>
      </c>
      <c r="BB198">
        <v>0</v>
      </c>
      <c r="BC198">
        <v>15.564014434814453</v>
      </c>
      <c r="BD198">
        <v>-15.563601493835449</v>
      </c>
      <c r="BI198">
        <v>0</v>
      </c>
      <c r="BJ198">
        <v>0</v>
      </c>
      <c r="BK198">
        <v>0</v>
      </c>
      <c r="BL198">
        <v>0</v>
      </c>
      <c r="BM198">
        <v>3.3443017556781179E-28</v>
      </c>
      <c r="BN198">
        <v>0.805908203125</v>
      </c>
      <c r="BP198">
        <v>65535</v>
      </c>
      <c r="BQ198">
        <v>65535</v>
      </c>
      <c r="BR198">
        <v>0</v>
      </c>
      <c r="BS198">
        <v>-3.8550273166038096E-4</v>
      </c>
      <c r="BT198">
        <v>0</v>
      </c>
      <c r="BU198">
        <v>15.564014434814453</v>
      </c>
      <c r="BV198">
        <v>-15.563601493835449</v>
      </c>
      <c r="BW198" t="s">
        <v>615</v>
      </c>
      <c r="BX198">
        <v>3.3443017556781179E-28</v>
      </c>
      <c r="BY198">
        <v>0.805908203125</v>
      </c>
      <c r="CB198">
        <v>18.492700576782227</v>
      </c>
      <c r="CC198">
        <v>7.2283225059509277</v>
      </c>
    </row>
    <row r="199" spans="1:83" ht="12.75" customHeight="1">
      <c r="A199" t="s">
        <v>670</v>
      </c>
      <c r="C199" t="s">
        <v>694</v>
      </c>
      <c r="D199">
        <v>197</v>
      </c>
      <c r="F199">
        <v>65535</v>
      </c>
      <c r="I199" t="s">
        <v>670</v>
      </c>
      <c r="AN199">
        <v>0</v>
      </c>
      <c r="AO199">
        <v>0</v>
      </c>
      <c r="AP199">
        <v>0</v>
      </c>
      <c r="AS199">
        <v>65535</v>
      </c>
      <c r="AT199">
        <v>65535</v>
      </c>
      <c r="AU199">
        <v>65535</v>
      </c>
      <c r="BI199">
        <v>0</v>
      </c>
      <c r="BK199">
        <v>0</v>
      </c>
      <c r="BL199">
        <v>0</v>
      </c>
      <c r="BP199">
        <v>65535</v>
      </c>
      <c r="BQ199">
        <v>65535</v>
      </c>
      <c r="CB199">
        <v>18.529254913330078</v>
      </c>
      <c r="CC199">
        <v>7.1777396202087402</v>
      </c>
    </row>
    <row r="200" spans="1:83" ht="12.75" customHeight="1">
      <c r="A200" t="s">
        <v>669</v>
      </c>
      <c r="C200" t="s">
        <v>694</v>
      </c>
      <c r="D200">
        <v>198</v>
      </c>
      <c r="F200">
        <v>65535</v>
      </c>
      <c r="I200" t="s">
        <v>669</v>
      </c>
      <c r="R200">
        <v>7.7999944686889648</v>
      </c>
      <c r="T200">
        <v>32.759975433349609</v>
      </c>
      <c r="W200" s="514">
        <v>44245.742858796293</v>
      </c>
      <c r="AN200">
        <v>0</v>
      </c>
      <c r="AO200">
        <v>0</v>
      </c>
      <c r="AP200">
        <v>0</v>
      </c>
      <c r="AS200">
        <v>0</v>
      </c>
      <c r="AT200">
        <v>0</v>
      </c>
      <c r="AU200">
        <v>0</v>
      </c>
      <c r="AW200">
        <v>0</v>
      </c>
      <c r="AZ200">
        <v>0</v>
      </c>
      <c r="BA200">
        <v>-5.5736274225637317E-4</v>
      </c>
      <c r="BB200">
        <v>0</v>
      </c>
      <c r="BC200">
        <v>10.434837341308594</v>
      </c>
      <c r="BD200">
        <v>-10.434341430664063</v>
      </c>
      <c r="BI200">
        <v>0</v>
      </c>
      <c r="BJ200">
        <v>0</v>
      </c>
      <c r="BK200">
        <v>0</v>
      </c>
      <c r="BL200">
        <v>0</v>
      </c>
      <c r="BM200">
        <v>5.7512407903939759E-22</v>
      </c>
      <c r="BN200">
        <v>2.47845458984375</v>
      </c>
      <c r="BP200">
        <v>65535</v>
      </c>
      <c r="BQ200">
        <v>65535</v>
      </c>
      <c r="BR200">
        <v>0</v>
      </c>
      <c r="BS200">
        <v>-5.5736274225637317E-4</v>
      </c>
      <c r="BT200">
        <v>0</v>
      </c>
      <c r="BU200">
        <v>10.434837341308594</v>
      </c>
      <c r="BV200">
        <v>-10.434341430664063</v>
      </c>
      <c r="BW200" t="s">
        <v>615</v>
      </c>
      <c r="BX200">
        <v>5.7512407903939759E-22</v>
      </c>
      <c r="BY200">
        <v>2.47845458984375</v>
      </c>
      <c r="CB200">
        <v>18.574638366699219</v>
      </c>
      <c r="CC200">
        <v>7.1292800903320313</v>
      </c>
    </row>
    <row r="201" spans="1:83" ht="12.75" customHeight="1">
      <c r="A201" t="s">
        <v>640</v>
      </c>
      <c r="C201" t="s">
        <v>694</v>
      </c>
      <c r="D201">
        <v>199</v>
      </c>
      <c r="F201">
        <v>65535</v>
      </c>
      <c r="I201" t="s">
        <v>640</v>
      </c>
      <c r="R201">
        <v>7.7999944686889648</v>
      </c>
      <c r="T201">
        <v>32.759975433349609</v>
      </c>
      <c r="W201" s="514">
        <v>44245.742858796293</v>
      </c>
      <c r="AN201">
        <v>0</v>
      </c>
      <c r="AO201">
        <v>0</v>
      </c>
      <c r="AP201">
        <v>0</v>
      </c>
      <c r="AS201">
        <v>0</v>
      </c>
      <c r="AT201">
        <v>0</v>
      </c>
      <c r="AU201">
        <v>0</v>
      </c>
      <c r="AW201">
        <v>0</v>
      </c>
      <c r="AZ201">
        <v>0</v>
      </c>
      <c r="BA201">
        <v>-5.5736274225637317E-4</v>
      </c>
      <c r="BB201">
        <v>0</v>
      </c>
      <c r="BC201">
        <v>10.434837341308594</v>
      </c>
      <c r="BD201">
        <v>-10.434341430664063</v>
      </c>
      <c r="BI201">
        <v>0</v>
      </c>
      <c r="BJ201">
        <v>0</v>
      </c>
      <c r="BK201">
        <v>0</v>
      </c>
      <c r="BL201">
        <v>0</v>
      </c>
      <c r="BM201">
        <v>5.7512407903939759E-22</v>
      </c>
      <c r="BN201">
        <v>2.47845458984375</v>
      </c>
      <c r="BP201">
        <v>65535</v>
      </c>
      <c r="BQ201">
        <v>65535</v>
      </c>
      <c r="BR201">
        <v>0</v>
      </c>
      <c r="BS201">
        <v>-5.5736274225637317E-4</v>
      </c>
      <c r="BT201">
        <v>0</v>
      </c>
      <c r="BU201">
        <v>10.434837341308594</v>
      </c>
      <c r="BV201">
        <v>-10.434341430664063</v>
      </c>
      <c r="BW201" t="s">
        <v>615</v>
      </c>
      <c r="BX201">
        <v>5.7512407903939759E-22</v>
      </c>
      <c r="BY201">
        <v>2.47845458984375</v>
      </c>
      <c r="CB201">
        <v>19.745401382446289</v>
      </c>
      <c r="CC201">
        <v>6.2339653968811035</v>
      </c>
      <c r="CD201" t="s">
        <v>616</v>
      </c>
      <c r="CE201" t="s">
        <v>619</v>
      </c>
    </row>
    <row r="202" spans="1:83" ht="12.75" customHeight="1">
      <c r="A202" t="s">
        <v>699</v>
      </c>
      <c r="C202" t="s">
        <v>625</v>
      </c>
      <c r="D202">
        <v>200</v>
      </c>
      <c r="F202">
        <v>65535</v>
      </c>
      <c r="I202" t="s">
        <v>699</v>
      </c>
      <c r="R202">
        <v>7.7999944686889648</v>
      </c>
      <c r="T202">
        <v>32.759975433349609</v>
      </c>
      <c r="W202" s="514">
        <v>44245.742858796293</v>
      </c>
      <c r="AN202">
        <v>0</v>
      </c>
      <c r="AO202">
        <v>0</v>
      </c>
      <c r="AP202">
        <v>0</v>
      </c>
      <c r="AS202">
        <v>0</v>
      </c>
      <c r="AT202">
        <v>0</v>
      </c>
      <c r="AU202">
        <v>0</v>
      </c>
      <c r="AW202">
        <v>0</v>
      </c>
      <c r="AZ202">
        <v>0</v>
      </c>
      <c r="BA202">
        <v>-5.5736274225637317E-4</v>
      </c>
      <c r="BB202">
        <v>0</v>
      </c>
      <c r="BC202">
        <v>10.434837341308594</v>
      </c>
      <c r="BD202">
        <v>-10.434341430664063</v>
      </c>
      <c r="BI202">
        <v>0</v>
      </c>
      <c r="BJ202">
        <v>0</v>
      </c>
      <c r="BK202">
        <v>0</v>
      </c>
      <c r="BL202">
        <v>0</v>
      </c>
      <c r="BM202">
        <v>5.7512407903939759E-22</v>
      </c>
      <c r="BN202">
        <v>2.47845458984375</v>
      </c>
      <c r="BP202">
        <v>65535</v>
      </c>
      <c r="BQ202">
        <v>65535</v>
      </c>
      <c r="BR202">
        <v>0</v>
      </c>
      <c r="BS202">
        <v>-5.5736274225637317E-4</v>
      </c>
      <c r="BT202">
        <v>0</v>
      </c>
      <c r="BU202">
        <v>10.434837341308594</v>
      </c>
      <c r="BV202">
        <v>-10.434341430664063</v>
      </c>
      <c r="BW202" t="s">
        <v>615</v>
      </c>
      <c r="BX202">
        <v>5.7512407903939759E-22</v>
      </c>
      <c r="BY202">
        <v>2.47845458984375</v>
      </c>
      <c r="CB202">
        <v>18.805768966674805</v>
      </c>
      <c r="CC202">
        <v>7.0398960113525391</v>
      </c>
    </row>
    <row r="203" spans="1:83" ht="12.75" customHeight="1">
      <c r="A203" t="s">
        <v>663</v>
      </c>
      <c r="C203" t="s">
        <v>625</v>
      </c>
      <c r="D203">
        <v>201</v>
      </c>
      <c r="F203">
        <v>65535</v>
      </c>
      <c r="I203" t="s">
        <v>663</v>
      </c>
      <c r="R203">
        <v>7.7999944686889648</v>
      </c>
      <c r="T203">
        <v>32.759975433349609</v>
      </c>
      <c r="W203" s="514">
        <v>44245.742858796293</v>
      </c>
      <c r="AN203">
        <v>0</v>
      </c>
      <c r="AO203">
        <v>0</v>
      </c>
      <c r="AP203">
        <v>0</v>
      </c>
      <c r="AS203">
        <v>0</v>
      </c>
      <c r="AT203">
        <v>0</v>
      </c>
      <c r="AU203">
        <v>0</v>
      </c>
      <c r="AW203">
        <v>0</v>
      </c>
      <c r="AZ203">
        <v>0</v>
      </c>
      <c r="BA203">
        <v>-5.5736274225637317E-4</v>
      </c>
      <c r="BB203">
        <v>0</v>
      </c>
      <c r="BC203">
        <v>10.434837341308594</v>
      </c>
      <c r="BD203">
        <v>-10.434341430664063</v>
      </c>
      <c r="BI203">
        <v>0</v>
      </c>
      <c r="BJ203">
        <v>0</v>
      </c>
      <c r="BK203">
        <v>0</v>
      </c>
      <c r="BL203">
        <v>0</v>
      </c>
      <c r="BM203">
        <v>5.7512407903939759E-22</v>
      </c>
      <c r="BN203">
        <v>2.47845458984375</v>
      </c>
      <c r="BP203">
        <v>65535</v>
      </c>
      <c r="BQ203">
        <v>65535</v>
      </c>
      <c r="BR203">
        <v>0</v>
      </c>
      <c r="BS203">
        <v>-5.5736274225637317E-4</v>
      </c>
      <c r="BT203">
        <v>0</v>
      </c>
      <c r="BU203">
        <v>10.434837341308594</v>
      </c>
      <c r="BV203">
        <v>-10.434341430664063</v>
      </c>
      <c r="BW203" t="s">
        <v>615</v>
      </c>
      <c r="BX203">
        <v>5.7512407903939759E-22</v>
      </c>
      <c r="BY203">
        <v>2.47845458984375</v>
      </c>
      <c r="CB203">
        <v>18.492700576782227</v>
      </c>
      <c r="CC203">
        <v>7.2283225059509277</v>
      </c>
    </row>
    <row r="204" spans="1:83" ht="12.75" customHeight="1">
      <c r="A204" t="s">
        <v>655</v>
      </c>
      <c r="C204" t="s">
        <v>625</v>
      </c>
      <c r="D204">
        <v>202</v>
      </c>
      <c r="F204">
        <v>65535</v>
      </c>
      <c r="I204" t="s">
        <v>655</v>
      </c>
      <c r="R204">
        <v>7.7999944686889648</v>
      </c>
      <c r="T204">
        <v>32.759975433349609</v>
      </c>
      <c r="W204" s="514">
        <v>44245.742858796293</v>
      </c>
      <c r="AN204">
        <v>0</v>
      </c>
      <c r="AO204">
        <v>0</v>
      </c>
      <c r="AP204">
        <v>0</v>
      </c>
      <c r="AS204">
        <v>0</v>
      </c>
      <c r="AT204">
        <v>0</v>
      </c>
      <c r="AU204">
        <v>0</v>
      </c>
      <c r="AW204">
        <v>0</v>
      </c>
      <c r="AZ204">
        <v>0</v>
      </c>
      <c r="BA204">
        <v>-5.5736274225637317E-4</v>
      </c>
      <c r="BB204">
        <v>0</v>
      </c>
      <c r="BC204">
        <v>10.434837341308594</v>
      </c>
      <c r="BD204">
        <v>-10.434341430664063</v>
      </c>
      <c r="BI204">
        <v>0</v>
      </c>
      <c r="BJ204">
        <v>0</v>
      </c>
      <c r="BK204">
        <v>0</v>
      </c>
      <c r="BL204">
        <v>0</v>
      </c>
      <c r="BM204">
        <v>5.7512407903939759E-22</v>
      </c>
      <c r="BN204">
        <v>2.47845458984375</v>
      </c>
      <c r="BP204">
        <v>65535</v>
      </c>
      <c r="BQ204">
        <v>65535</v>
      </c>
      <c r="BR204">
        <v>0</v>
      </c>
      <c r="BS204">
        <v>-5.5736274225637317E-4</v>
      </c>
      <c r="BT204">
        <v>0</v>
      </c>
      <c r="BU204">
        <v>10.434837341308594</v>
      </c>
      <c r="BV204">
        <v>-10.434341430664063</v>
      </c>
      <c r="BW204" t="s">
        <v>615</v>
      </c>
      <c r="BX204">
        <v>5.7512407903939759E-22</v>
      </c>
      <c r="BY204">
        <v>2.47845458984375</v>
      </c>
      <c r="CB204">
        <v>18.529254913330078</v>
      </c>
      <c r="CC204">
        <v>7.1777396202087402</v>
      </c>
    </row>
    <row r="205" spans="1:83" ht="12.75" customHeight="1">
      <c r="A205" t="s">
        <v>624</v>
      </c>
      <c r="C205" t="s">
        <v>625</v>
      </c>
      <c r="D205">
        <v>203</v>
      </c>
      <c r="F205">
        <v>65535</v>
      </c>
      <c r="I205" t="s">
        <v>624</v>
      </c>
      <c r="AN205">
        <v>0</v>
      </c>
      <c r="AO205">
        <v>0</v>
      </c>
      <c r="AP205">
        <v>0</v>
      </c>
      <c r="AS205">
        <v>65535</v>
      </c>
      <c r="AT205">
        <v>65535</v>
      </c>
      <c r="AU205">
        <v>65535</v>
      </c>
      <c r="BI205">
        <v>0</v>
      </c>
      <c r="BK205">
        <v>0</v>
      </c>
      <c r="BL205">
        <v>0</v>
      </c>
      <c r="BP205">
        <v>65535</v>
      </c>
      <c r="BQ205">
        <v>65535</v>
      </c>
      <c r="CB205">
        <v>18.574638366699219</v>
      </c>
      <c r="CC205">
        <v>7.1292800903320313</v>
      </c>
    </row>
    <row r="206" spans="1:83" ht="12.75" customHeight="1">
      <c r="A206" t="s">
        <v>624</v>
      </c>
      <c r="C206" t="s">
        <v>625</v>
      </c>
      <c r="D206">
        <v>204</v>
      </c>
      <c r="F206">
        <v>65535</v>
      </c>
      <c r="I206" t="s">
        <v>624</v>
      </c>
      <c r="R206">
        <v>7.8000001907348633</v>
      </c>
      <c r="T206">
        <v>32.759998321533203</v>
      </c>
      <c r="W206" s="514">
        <v>44245.74291666667</v>
      </c>
      <c r="AN206">
        <v>0</v>
      </c>
      <c r="AO206">
        <v>0</v>
      </c>
      <c r="AP206">
        <v>0</v>
      </c>
      <c r="AS206">
        <v>0</v>
      </c>
      <c r="AT206">
        <v>0</v>
      </c>
      <c r="AU206">
        <v>0</v>
      </c>
      <c r="AW206">
        <v>0</v>
      </c>
      <c r="AZ206">
        <v>0</v>
      </c>
      <c r="BA206">
        <v>-5.4153113160282373E-4</v>
      </c>
      <c r="BB206">
        <v>0</v>
      </c>
      <c r="BC206">
        <v>10.747062683105469</v>
      </c>
      <c r="BD206">
        <v>-10.746562957763672</v>
      </c>
      <c r="BI206">
        <v>0</v>
      </c>
      <c r="BJ206">
        <v>0</v>
      </c>
      <c r="BK206">
        <v>0</v>
      </c>
      <c r="BL206">
        <v>0</v>
      </c>
      <c r="BM206">
        <v>8.7486061058570168E-26</v>
      </c>
      <c r="BN206">
        <v>2.322296142578125</v>
      </c>
      <c r="BP206">
        <v>65535</v>
      </c>
      <c r="BQ206">
        <v>65535</v>
      </c>
      <c r="BR206">
        <v>0</v>
      </c>
      <c r="BS206">
        <v>-5.4153113160282373E-4</v>
      </c>
      <c r="BT206">
        <v>0</v>
      </c>
      <c r="BU206">
        <v>10.747062683105469</v>
      </c>
      <c r="BV206">
        <v>-10.746562957763672</v>
      </c>
      <c r="BW206" t="s">
        <v>615</v>
      </c>
      <c r="BX206">
        <v>8.7486061058570168E-26</v>
      </c>
      <c r="BY206">
        <v>2.322296142578125</v>
      </c>
      <c r="CB206">
        <v>19.745401382446289</v>
      </c>
      <c r="CC206">
        <v>6.2339653968811035</v>
      </c>
    </row>
    <row r="207" spans="1:83" ht="12.75" customHeight="1">
      <c r="A207" t="s">
        <v>684</v>
      </c>
      <c r="C207" t="s">
        <v>625</v>
      </c>
      <c r="D207">
        <v>205</v>
      </c>
      <c r="F207">
        <v>65535</v>
      </c>
      <c r="I207" t="s">
        <v>684</v>
      </c>
      <c r="R207">
        <v>7.8000001907348633</v>
      </c>
      <c r="T207">
        <v>32.759998321533203</v>
      </c>
      <c r="W207" s="514">
        <v>44245.74291666667</v>
      </c>
      <c r="AN207">
        <v>0</v>
      </c>
      <c r="AO207">
        <v>0</v>
      </c>
      <c r="AP207">
        <v>0</v>
      </c>
      <c r="AS207">
        <v>0</v>
      </c>
      <c r="AT207">
        <v>0</v>
      </c>
      <c r="AU207">
        <v>0</v>
      </c>
      <c r="AW207">
        <v>0</v>
      </c>
      <c r="AZ207">
        <v>0</v>
      </c>
      <c r="BA207">
        <v>-5.4153113160282373E-4</v>
      </c>
      <c r="BB207">
        <v>0</v>
      </c>
      <c r="BC207">
        <v>10.747062683105469</v>
      </c>
      <c r="BD207">
        <v>-10.746562957763672</v>
      </c>
      <c r="BI207">
        <v>0</v>
      </c>
      <c r="BJ207">
        <v>0</v>
      </c>
      <c r="BK207">
        <v>0</v>
      </c>
      <c r="BL207">
        <v>0</v>
      </c>
      <c r="BM207">
        <v>8.7486061058570168E-26</v>
      </c>
      <c r="BN207">
        <v>2.322296142578125</v>
      </c>
      <c r="BP207">
        <v>65535</v>
      </c>
      <c r="BQ207">
        <v>65535</v>
      </c>
      <c r="BR207">
        <v>0</v>
      </c>
      <c r="BS207">
        <v>-5.4153113160282373E-4</v>
      </c>
      <c r="BT207">
        <v>0</v>
      </c>
      <c r="BU207">
        <v>10.747062683105469</v>
      </c>
      <c r="BV207">
        <v>-10.746562957763672</v>
      </c>
      <c r="BW207" t="s">
        <v>615</v>
      </c>
      <c r="BX207">
        <v>8.7486061058570168E-26</v>
      </c>
      <c r="BY207">
        <v>2.322296142578125</v>
      </c>
      <c r="CB207">
        <v>18.805768966674805</v>
      </c>
      <c r="CC207">
        <v>7.0398960113525391</v>
      </c>
      <c r="CD207" t="s">
        <v>617</v>
      </c>
      <c r="CE207" t="s">
        <v>623</v>
      </c>
    </row>
    <row r="208" spans="1:83" ht="12.75" customHeight="1">
      <c r="A208" t="s">
        <v>701</v>
      </c>
      <c r="C208" t="s">
        <v>635</v>
      </c>
      <c r="D208">
        <v>206</v>
      </c>
      <c r="F208">
        <v>65535</v>
      </c>
      <c r="I208" t="s">
        <v>701</v>
      </c>
      <c r="R208">
        <v>7.8000001907348633</v>
      </c>
      <c r="T208">
        <v>32.759998321533203</v>
      </c>
      <c r="W208" s="514">
        <v>44245.74291666667</v>
      </c>
      <c r="AN208">
        <v>0</v>
      </c>
      <c r="AO208">
        <v>0</v>
      </c>
      <c r="AP208">
        <v>0</v>
      </c>
      <c r="AS208">
        <v>0</v>
      </c>
      <c r="AT208">
        <v>0</v>
      </c>
      <c r="AU208">
        <v>0</v>
      </c>
      <c r="AW208">
        <v>0</v>
      </c>
      <c r="AZ208">
        <v>0</v>
      </c>
      <c r="BA208">
        <v>-5.4153113160282373E-4</v>
      </c>
      <c r="BB208">
        <v>0</v>
      </c>
      <c r="BC208">
        <v>10.747062683105469</v>
      </c>
      <c r="BD208">
        <v>-10.746562957763672</v>
      </c>
      <c r="BI208">
        <v>0</v>
      </c>
      <c r="BJ208">
        <v>0</v>
      </c>
      <c r="BK208">
        <v>0</v>
      </c>
      <c r="BL208">
        <v>0</v>
      </c>
      <c r="BM208">
        <v>8.7486061058570168E-26</v>
      </c>
      <c r="BN208">
        <v>2.322296142578125</v>
      </c>
      <c r="BP208">
        <v>65535</v>
      </c>
      <c r="BQ208">
        <v>65535</v>
      </c>
      <c r="BR208">
        <v>0</v>
      </c>
      <c r="BS208">
        <v>-5.4153113160282373E-4</v>
      </c>
      <c r="BT208">
        <v>0</v>
      </c>
      <c r="BU208">
        <v>10.747062683105469</v>
      </c>
      <c r="BV208">
        <v>-10.746562957763672</v>
      </c>
      <c r="BW208" t="s">
        <v>615</v>
      </c>
      <c r="BX208">
        <v>8.7486061058570168E-26</v>
      </c>
      <c r="BY208">
        <v>2.322296142578125</v>
      </c>
      <c r="CB208">
        <v>18.492700576782227</v>
      </c>
      <c r="CC208">
        <v>7.2283225059509277</v>
      </c>
      <c r="CD208" t="s">
        <v>622</v>
      </c>
      <c r="CE208" t="s">
        <v>623</v>
      </c>
    </row>
    <row r="209" spans="1:83" ht="12.75" customHeight="1">
      <c r="A209" t="s">
        <v>701</v>
      </c>
      <c r="C209" t="s">
        <v>635</v>
      </c>
      <c r="D209">
        <v>207</v>
      </c>
      <c r="F209">
        <v>65535</v>
      </c>
      <c r="I209" t="s">
        <v>701</v>
      </c>
      <c r="R209">
        <v>7.8000001907348633</v>
      </c>
      <c r="T209">
        <v>32.759998321533203</v>
      </c>
      <c r="W209" s="514">
        <v>44245.74291666667</v>
      </c>
      <c r="AN209">
        <v>0</v>
      </c>
      <c r="AO209">
        <v>0</v>
      </c>
      <c r="AP209">
        <v>0</v>
      </c>
      <c r="AS209">
        <v>0</v>
      </c>
      <c r="AT209">
        <v>0</v>
      </c>
      <c r="AU209">
        <v>0</v>
      </c>
      <c r="AW209">
        <v>0</v>
      </c>
      <c r="AZ209">
        <v>0</v>
      </c>
      <c r="BA209">
        <v>-5.4153113160282373E-4</v>
      </c>
      <c r="BB209">
        <v>0</v>
      </c>
      <c r="BC209">
        <v>10.747062683105469</v>
      </c>
      <c r="BD209">
        <v>-10.746562957763672</v>
      </c>
      <c r="BI209">
        <v>0</v>
      </c>
      <c r="BJ209">
        <v>0</v>
      </c>
      <c r="BK209">
        <v>0</v>
      </c>
      <c r="BL209">
        <v>0</v>
      </c>
      <c r="BM209">
        <v>8.7486061058570168E-26</v>
      </c>
      <c r="BN209">
        <v>2.322296142578125</v>
      </c>
      <c r="BP209">
        <v>65535</v>
      </c>
      <c r="BQ209">
        <v>65535</v>
      </c>
      <c r="BR209">
        <v>0</v>
      </c>
      <c r="BS209">
        <v>-5.4153113160282373E-4</v>
      </c>
      <c r="BT209">
        <v>0</v>
      </c>
      <c r="BU209">
        <v>10.747062683105469</v>
      </c>
      <c r="BV209">
        <v>-10.746562957763672</v>
      </c>
      <c r="BW209" t="s">
        <v>615</v>
      </c>
      <c r="BX209">
        <v>8.7486061058570168E-26</v>
      </c>
      <c r="BY209">
        <v>2.322296142578125</v>
      </c>
      <c r="CB209">
        <v>18.529254913330078</v>
      </c>
      <c r="CC209">
        <v>7.1777396202087402</v>
      </c>
      <c r="CD209" t="s">
        <v>622</v>
      </c>
      <c r="CE209" t="s">
        <v>623</v>
      </c>
    </row>
    <row r="210" spans="1:83" ht="12.75" customHeight="1">
      <c r="A210" t="s">
        <v>702</v>
      </c>
      <c r="C210" t="s">
        <v>635</v>
      </c>
      <c r="D210">
        <v>208</v>
      </c>
      <c r="F210">
        <v>65535</v>
      </c>
      <c r="I210" t="s">
        <v>702</v>
      </c>
      <c r="R210">
        <v>7.8000001907348633</v>
      </c>
      <c r="T210">
        <v>32.759998321533203</v>
      </c>
      <c r="W210" s="514">
        <v>44245.74291666667</v>
      </c>
      <c r="AN210">
        <v>0</v>
      </c>
      <c r="AO210">
        <v>0</v>
      </c>
      <c r="AP210">
        <v>0</v>
      </c>
      <c r="AS210">
        <v>0</v>
      </c>
      <c r="AT210">
        <v>0</v>
      </c>
      <c r="AU210">
        <v>0</v>
      </c>
      <c r="AW210">
        <v>0</v>
      </c>
      <c r="AZ210">
        <v>0</v>
      </c>
      <c r="BA210">
        <v>-5.4153113160282373E-4</v>
      </c>
      <c r="BB210">
        <v>0</v>
      </c>
      <c r="BC210">
        <v>10.747062683105469</v>
      </c>
      <c r="BD210">
        <v>-10.746562957763672</v>
      </c>
      <c r="BI210">
        <v>0</v>
      </c>
      <c r="BJ210">
        <v>0</v>
      </c>
      <c r="BK210">
        <v>0</v>
      </c>
      <c r="BL210">
        <v>0</v>
      </c>
      <c r="BM210">
        <v>8.7486061058570168E-26</v>
      </c>
      <c r="BN210">
        <v>2.322296142578125</v>
      </c>
      <c r="BP210">
        <v>65535</v>
      </c>
      <c r="BQ210">
        <v>65535</v>
      </c>
      <c r="BR210">
        <v>0</v>
      </c>
      <c r="BS210">
        <v>-5.4153113160282373E-4</v>
      </c>
      <c r="BT210">
        <v>0</v>
      </c>
      <c r="BU210">
        <v>10.747062683105469</v>
      </c>
      <c r="BV210">
        <v>-10.746562957763672</v>
      </c>
      <c r="BW210" t="s">
        <v>615</v>
      </c>
      <c r="BX210">
        <v>8.7486061058570168E-26</v>
      </c>
      <c r="BY210">
        <v>2.322296142578125</v>
      </c>
      <c r="CB210">
        <v>18.574638366699219</v>
      </c>
      <c r="CC210">
        <v>7.1292800903320313</v>
      </c>
      <c r="CD210" t="s">
        <v>622</v>
      </c>
      <c r="CE210" t="s">
        <v>623</v>
      </c>
    </row>
    <row r="211" spans="1:83" ht="12.75" customHeight="1">
      <c r="A211" t="s">
        <v>703</v>
      </c>
      <c r="C211" t="s">
        <v>635</v>
      </c>
      <c r="D211">
        <v>209</v>
      </c>
      <c r="F211">
        <v>65535</v>
      </c>
      <c r="I211" t="s">
        <v>703</v>
      </c>
      <c r="AN211">
        <v>0</v>
      </c>
      <c r="AO211">
        <v>0</v>
      </c>
      <c r="AP211">
        <v>0</v>
      </c>
      <c r="AS211">
        <v>65535</v>
      </c>
      <c r="AT211">
        <v>65535</v>
      </c>
      <c r="AU211">
        <v>65535</v>
      </c>
      <c r="BI211">
        <v>0</v>
      </c>
      <c r="BK211">
        <v>0</v>
      </c>
      <c r="BL211">
        <v>0</v>
      </c>
      <c r="BP211">
        <v>65535</v>
      </c>
      <c r="BQ211">
        <v>65535</v>
      </c>
      <c r="CB211">
        <v>19.745401382446289</v>
      </c>
      <c r="CC211">
        <v>6.2339653968811035</v>
      </c>
      <c r="CD211" t="s">
        <v>622</v>
      </c>
      <c r="CE211" t="s">
        <v>623</v>
      </c>
    </row>
    <row r="212" spans="1:83" ht="12.75" customHeight="1">
      <c r="A212" t="s">
        <v>704</v>
      </c>
      <c r="C212" t="s">
        <v>635</v>
      </c>
      <c r="D212">
        <v>210</v>
      </c>
      <c r="F212">
        <v>65535</v>
      </c>
      <c r="I212" t="s">
        <v>704</v>
      </c>
      <c r="R212">
        <v>7.7999982833862305</v>
      </c>
      <c r="T212">
        <v>32.759994506835938</v>
      </c>
      <c r="W212" s="514">
        <v>44245.742824074077</v>
      </c>
      <c r="AN212">
        <v>0</v>
      </c>
      <c r="AO212">
        <v>0</v>
      </c>
      <c r="AP212">
        <v>0</v>
      </c>
      <c r="AS212">
        <v>0</v>
      </c>
      <c r="AT212">
        <v>0</v>
      </c>
      <c r="AU212">
        <v>0</v>
      </c>
      <c r="AW212">
        <v>0</v>
      </c>
      <c r="AZ212">
        <v>0</v>
      </c>
      <c r="BA212">
        <v>-5.2172329742461443E-4</v>
      </c>
      <c r="BB212">
        <v>0</v>
      </c>
      <c r="BC212">
        <v>11.092475891113281</v>
      </c>
      <c r="BD212">
        <v>-11.091865539550781</v>
      </c>
      <c r="BI212">
        <v>0</v>
      </c>
      <c r="BJ212">
        <v>0</v>
      </c>
      <c r="BK212">
        <v>0</v>
      </c>
      <c r="BL212">
        <v>0</v>
      </c>
      <c r="BM212">
        <v>48622374912</v>
      </c>
      <c r="BN212">
        <v>2.126922607421875</v>
      </c>
      <c r="BP212">
        <v>65535</v>
      </c>
      <c r="BQ212">
        <v>65535</v>
      </c>
      <c r="BR212">
        <v>0</v>
      </c>
      <c r="BS212">
        <v>-5.2172329742461443E-4</v>
      </c>
      <c r="BT212">
        <v>0</v>
      </c>
      <c r="BU212">
        <v>11.092475891113281</v>
      </c>
      <c r="BV212">
        <v>-11.091865539550781</v>
      </c>
      <c r="BW212" t="s">
        <v>615</v>
      </c>
      <c r="BX212">
        <v>48622374912</v>
      </c>
      <c r="BY212">
        <v>2.126922607421875</v>
      </c>
      <c r="CB212">
        <v>18.805768966674805</v>
      </c>
      <c r="CC212">
        <v>7.0398960113525391</v>
      </c>
    </row>
    <row r="213" spans="1:83" ht="12.75" customHeight="1">
      <c r="A213" t="s">
        <v>705</v>
      </c>
      <c r="C213" t="s">
        <v>635</v>
      </c>
      <c r="D213">
        <v>211</v>
      </c>
      <c r="F213">
        <v>65535</v>
      </c>
      <c r="I213" t="s">
        <v>705</v>
      </c>
      <c r="R213">
        <v>7.7999982833862305</v>
      </c>
      <c r="T213">
        <v>32.759994506835938</v>
      </c>
      <c r="W213" s="514">
        <v>44245.742824074077</v>
      </c>
      <c r="AN213">
        <v>0</v>
      </c>
      <c r="AO213">
        <v>0</v>
      </c>
      <c r="AP213">
        <v>0</v>
      </c>
      <c r="AS213">
        <v>0</v>
      </c>
      <c r="AT213">
        <v>0</v>
      </c>
      <c r="AU213">
        <v>0</v>
      </c>
      <c r="AW213">
        <v>0</v>
      </c>
      <c r="AZ213">
        <v>0</v>
      </c>
      <c r="BA213">
        <v>-5.2172329742461443E-4</v>
      </c>
      <c r="BB213">
        <v>0</v>
      </c>
      <c r="BC213">
        <v>11.092475891113281</v>
      </c>
      <c r="BD213">
        <v>-11.091865539550781</v>
      </c>
      <c r="BI213">
        <v>0</v>
      </c>
      <c r="BJ213">
        <v>0</v>
      </c>
      <c r="BK213">
        <v>0</v>
      </c>
      <c r="BL213">
        <v>0</v>
      </c>
      <c r="BM213">
        <v>48622374912</v>
      </c>
      <c r="BN213">
        <v>2.126922607421875</v>
      </c>
      <c r="BP213">
        <v>65535</v>
      </c>
      <c r="BQ213">
        <v>65535</v>
      </c>
      <c r="BR213">
        <v>0</v>
      </c>
      <c r="BS213">
        <v>-5.2172329742461443E-4</v>
      </c>
      <c r="BT213">
        <v>0</v>
      </c>
      <c r="BU213">
        <v>11.092475891113281</v>
      </c>
      <c r="BV213">
        <v>-11.091865539550781</v>
      </c>
      <c r="BW213" t="s">
        <v>615</v>
      </c>
      <c r="BX213">
        <v>48622374912</v>
      </c>
      <c r="BY213">
        <v>2.126922607421875</v>
      </c>
      <c r="CB213">
        <v>18.492700576782227</v>
      </c>
      <c r="CC213">
        <v>7.2283225059509277</v>
      </c>
    </row>
    <row r="214" spans="1:83" ht="12.75" customHeight="1">
      <c r="A214" t="s">
        <v>630</v>
      </c>
      <c r="C214" t="s">
        <v>635</v>
      </c>
      <c r="D214">
        <v>212</v>
      </c>
      <c r="F214">
        <v>65535</v>
      </c>
      <c r="I214" t="s">
        <v>630</v>
      </c>
      <c r="R214">
        <v>7.7999982833862305</v>
      </c>
      <c r="T214">
        <v>32.759994506835938</v>
      </c>
      <c r="W214" s="514">
        <v>44245.742824074077</v>
      </c>
      <c r="AN214">
        <v>0</v>
      </c>
      <c r="AO214">
        <v>0</v>
      </c>
      <c r="AP214">
        <v>0</v>
      </c>
      <c r="AS214">
        <v>0</v>
      </c>
      <c r="AT214">
        <v>0</v>
      </c>
      <c r="AU214">
        <v>0</v>
      </c>
      <c r="AW214">
        <v>0</v>
      </c>
      <c r="AZ214">
        <v>0</v>
      </c>
      <c r="BA214">
        <v>-5.2172329742461443E-4</v>
      </c>
      <c r="BB214">
        <v>0</v>
      </c>
      <c r="BC214">
        <v>11.092475891113281</v>
      </c>
      <c r="BD214">
        <v>-11.091865539550781</v>
      </c>
      <c r="BI214">
        <v>0</v>
      </c>
      <c r="BJ214">
        <v>0</v>
      </c>
      <c r="BK214">
        <v>0</v>
      </c>
      <c r="BL214">
        <v>0</v>
      </c>
      <c r="BM214">
        <v>48622374912</v>
      </c>
      <c r="BN214">
        <v>2.126922607421875</v>
      </c>
      <c r="BP214">
        <v>65535</v>
      </c>
      <c r="BQ214">
        <v>65535</v>
      </c>
      <c r="BR214">
        <v>0</v>
      </c>
      <c r="BS214">
        <v>-5.2172329742461443E-4</v>
      </c>
      <c r="BT214">
        <v>0</v>
      </c>
      <c r="BU214">
        <v>11.092475891113281</v>
      </c>
      <c r="BV214">
        <v>-11.091865539550781</v>
      </c>
      <c r="BW214" t="s">
        <v>615</v>
      </c>
      <c r="BX214">
        <v>48622374912</v>
      </c>
      <c r="BY214">
        <v>2.126922607421875</v>
      </c>
      <c r="CB214">
        <v>18.529254913330078</v>
      </c>
      <c r="CC214">
        <v>7.1777396202087402</v>
      </c>
      <c r="CD214" t="s">
        <v>631</v>
      </c>
      <c r="CE214" t="s">
        <v>632</v>
      </c>
    </row>
    <row r="215" spans="1:83" ht="12.75" customHeight="1">
      <c r="A215" t="s">
        <v>706</v>
      </c>
      <c r="C215" t="s">
        <v>635</v>
      </c>
      <c r="D215">
        <v>213</v>
      </c>
      <c r="F215">
        <v>65535</v>
      </c>
      <c r="I215" t="s">
        <v>706</v>
      </c>
      <c r="R215">
        <v>7.7999982833862305</v>
      </c>
      <c r="T215">
        <v>32.759994506835938</v>
      </c>
      <c r="W215" s="514">
        <v>44245.742824074077</v>
      </c>
      <c r="AN215">
        <v>0</v>
      </c>
      <c r="AO215">
        <v>0</v>
      </c>
      <c r="AP215">
        <v>0</v>
      </c>
      <c r="AS215">
        <v>0</v>
      </c>
      <c r="AT215">
        <v>0</v>
      </c>
      <c r="AU215">
        <v>0</v>
      </c>
      <c r="AW215">
        <v>0</v>
      </c>
      <c r="AZ215">
        <v>0</v>
      </c>
      <c r="BA215">
        <v>-5.2172329742461443E-4</v>
      </c>
      <c r="BB215">
        <v>0</v>
      </c>
      <c r="BC215">
        <v>11.092475891113281</v>
      </c>
      <c r="BD215">
        <v>-11.091865539550781</v>
      </c>
      <c r="BI215">
        <v>0</v>
      </c>
      <c r="BJ215">
        <v>0</v>
      </c>
      <c r="BK215">
        <v>0</v>
      </c>
      <c r="BL215">
        <v>0</v>
      </c>
      <c r="BM215">
        <v>48622374912</v>
      </c>
      <c r="BN215">
        <v>2.126922607421875</v>
      </c>
      <c r="BP215">
        <v>65535</v>
      </c>
      <c r="BQ215">
        <v>65535</v>
      </c>
      <c r="BR215">
        <v>0</v>
      </c>
      <c r="BS215">
        <v>-5.2172329742461443E-4</v>
      </c>
      <c r="BT215">
        <v>0</v>
      </c>
      <c r="BU215">
        <v>11.092475891113281</v>
      </c>
      <c r="BV215">
        <v>-11.091865539550781</v>
      </c>
      <c r="BW215" t="s">
        <v>615</v>
      </c>
      <c r="BX215">
        <v>48622374912</v>
      </c>
      <c r="BY215">
        <v>2.126922607421875</v>
      </c>
      <c r="CB215">
        <v>18.574638366699219</v>
      </c>
      <c r="CC215">
        <v>7.1292800903320313</v>
      </c>
      <c r="CD215" t="s">
        <v>631</v>
      </c>
      <c r="CE215" t="s">
        <v>632</v>
      </c>
    </row>
    <row r="216" spans="1:83" ht="12.75" customHeight="1">
      <c r="A216" t="s">
        <v>707</v>
      </c>
      <c r="C216" t="s">
        <v>635</v>
      </c>
      <c r="D216">
        <v>214</v>
      </c>
      <c r="F216">
        <v>65535</v>
      </c>
      <c r="I216" t="s">
        <v>707</v>
      </c>
      <c r="R216">
        <v>7.7999982833862305</v>
      </c>
      <c r="T216">
        <v>32.759994506835938</v>
      </c>
      <c r="W216" s="514">
        <v>44245.742824074077</v>
      </c>
      <c r="AN216">
        <v>0</v>
      </c>
      <c r="AO216">
        <v>0</v>
      </c>
      <c r="AP216">
        <v>0</v>
      </c>
      <c r="AS216">
        <v>0</v>
      </c>
      <c r="AT216">
        <v>0</v>
      </c>
      <c r="AU216">
        <v>0</v>
      </c>
      <c r="AW216">
        <v>0</v>
      </c>
      <c r="AZ216">
        <v>0</v>
      </c>
      <c r="BA216">
        <v>-5.2172329742461443E-4</v>
      </c>
      <c r="BB216">
        <v>0</v>
      </c>
      <c r="BC216">
        <v>11.092475891113281</v>
      </c>
      <c r="BD216">
        <v>-11.091865539550781</v>
      </c>
      <c r="BI216">
        <v>0</v>
      </c>
      <c r="BJ216">
        <v>0</v>
      </c>
      <c r="BK216">
        <v>0</v>
      </c>
      <c r="BL216">
        <v>0</v>
      </c>
      <c r="BM216">
        <v>48622374912</v>
      </c>
      <c r="BN216">
        <v>2.126922607421875</v>
      </c>
      <c r="BP216">
        <v>65535</v>
      </c>
      <c r="BQ216">
        <v>65535</v>
      </c>
      <c r="BR216">
        <v>0</v>
      </c>
      <c r="BS216">
        <v>-5.2172329742461443E-4</v>
      </c>
      <c r="BT216">
        <v>0</v>
      </c>
      <c r="BU216">
        <v>11.092475891113281</v>
      </c>
      <c r="BV216">
        <v>-11.091865539550781</v>
      </c>
      <c r="BW216" t="s">
        <v>615</v>
      </c>
      <c r="BX216">
        <v>48622374912</v>
      </c>
      <c r="BY216">
        <v>2.126922607421875</v>
      </c>
      <c r="CB216">
        <v>25.7955322265625</v>
      </c>
      <c r="CC216">
        <v>2.8672349452972412</v>
      </c>
      <c r="CD216" t="s">
        <v>617</v>
      </c>
      <c r="CE216" t="s">
        <v>623</v>
      </c>
    </row>
    <row r="217" spans="1:83" ht="12.75" customHeight="1">
      <c r="A217" t="s">
        <v>708</v>
      </c>
      <c r="C217" t="s">
        <v>635</v>
      </c>
      <c r="D217">
        <v>215</v>
      </c>
      <c r="F217">
        <v>65535</v>
      </c>
      <c r="I217" t="s">
        <v>708</v>
      </c>
      <c r="AN217">
        <v>0</v>
      </c>
      <c r="AO217">
        <v>0</v>
      </c>
      <c r="AP217">
        <v>0</v>
      </c>
      <c r="AS217">
        <v>65535</v>
      </c>
      <c r="AT217">
        <v>65535</v>
      </c>
      <c r="AU217">
        <v>65535</v>
      </c>
      <c r="BI217">
        <v>0</v>
      </c>
      <c r="BK217">
        <v>0</v>
      </c>
      <c r="BL217">
        <v>0</v>
      </c>
      <c r="BP217">
        <v>65535</v>
      </c>
      <c r="BQ217">
        <v>65535</v>
      </c>
      <c r="CB217">
        <v>19.778478622436523</v>
      </c>
      <c r="CC217">
        <v>6.1792669296264648</v>
      </c>
      <c r="CD217" t="s">
        <v>709</v>
      </c>
      <c r="CE217" t="s">
        <v>710</v>
      </c>
    </row>
    <row r="218" spans="1:83" ht="12.75" customHeight="1">
      <c r="A218" t="s">
        <v>711</v>
      </c>
      <c r="C218" t="s">
        <v>635</v>
      </c>
      <c r="D218">
        <v>216</v>
      </c>
      <c r="F218">
        <v>65535</v>
      </c>
      <c r="I218" t="s">
        <v>711</v>
      </c>
      <c r="R218">
        <v>7.280001163482666</v>
      </c>
      <c r="T218">
        <v>30.576005935668945</v>
      </c>
      <c r="W218" s="514">
        <v>44245.742905092593</v>
      </c>
      <c r="AN218">
        <v>0</v>
      </c>
      <c r="AO218">
        <v>0</v>
      </c>
      <c r="AP218">
        <v>0</v>
      </c>
      <c r="AS218">
        <v>0</v>
      </c>
      <c r="AT218">
        <v>0</v>
      </c>
      <c r="AU218">
        <v>0</v>
      </c>
      <c r="AW218">
        <v>0</v>
      </c>
      <c r="AZ218">
        <v>0</v>
      </c>
      <c r="BA218">
        <v>-5.4936431115493178E-4</v>
      </c>
      <c r="BB218">
        <v>0</v>
      </c>
      <c r="BC218">
        <v>9.9062042236328125</v>
      </c>
      <c r="BD218">
        <v>-9.9055871963500977</v>
      </c>
      <c r="BI218">
        <v>0</v>
      </c>
      <c r="BJ218">
        <v>0</v>
      </c>
      <c r="BK218">
        <v>0</v>
      </c>
      <c r="BL218">
        <v>0</v>
      </c>
      <c r="BM218">
        <v>2.4326769765270484E-11</v>
      </c>
      <c r="BN218">
        <v>2.3984375</v>
      </c>
      <c r="BP218">
        <v>65535</v>
      </c>
      <c r="BQ218">
        <v>65535</v>
      </c>
      <c r="BR218">
        <v>0</v>
      </c>
      <c r="BS218">
        <v>-5.4936431115493178E-4</v>
      </c>
      <c r="BT218">
        <v>0</v>
      </c>
      <c r="BU218">
        <v>9.9062042236328125</v>
      </c>
      <c r="BV218">
        <v>-9.9055871963500977</v>
      </c>
      <c r="BW218" t="s">
        <v>615</v>
      </c>
      <c r="BX218">
        <v>2.4326769765270484E-11</v>
      </c>
      <c r="BY218">
        <v>2.3984375</v>
      </c>
      <c r="CB218">
        <v>19.045255661010742</v>
      </c>
      <c r="CC218">
        <v>7.0404114723205566</v>
      </c>
      <c r="CD218" t="s">
        <v>631</v>
      </c>
      <c r="CE218" t="s">
        <v>679</v>
      </c>
    </row>
    <row r="219" spans="1:83" ht="12.75" customHeight="1">
      <c r="A219" t="s">
        <v>620</v>
      </c>
      <c r="C219" t="s">
        <v>635</v>
      </c>
      <c r="D219">
        <v>217</v>
      </c>
      <c r="F219">
        <v>65535</v>
      </c>
      <c r="I219" t="s">
        <v>620</v>
      </c>
      <c r="R219">
        <v>7.280001163482666</v>
      </c>
      <c r="T219">
        <v>30.576005935668945</v>
      </c>
      <c r="W219" s="514">
        <v>44245.742905092593</v>
      </c>
      <c r="AN219">
        <v>0</v>
      </c>
      <c r="AO219">
        <v>0</v>
      </c>
      <c r="AP219">
        <v>0</v>
      </c>
      <c r="AS219">
        <v>0</v>
      </c>
      <c r="AT219">
        <v>0</v>
      </c>
      <c r="AU219">
        <v>0</v>
      </c>
      <c r="AW219">
        <v>0</v>
      </c>
      <c r="AZ219">
        <v>0</v>
      </c>
      <c r="BA219">
        <v>-5.4936431115493178E-4</v>
      </c>
      <c r="BB219">
        <v>0</v>
      </c>
      <c r="BC219">
        <v>9.9062042236328125</v>
      </c>
      <c r="BD219">
        <v>-9.9055871963500977</v>
      </c>
      <c r="BI219">
        <v>0</v>
      </c>
      <c r="BJ219">
        <v>0</v>
      </c>
      <c r="BK219">
        <v>0</v>
      </c>
      <c r="BL219">
        <v>0</v>
      </c>
      <c r="BM219">
        <v>2.4326769765270484E-11</v>
      </c>
      <c r="BN219">
        <v>2.3984375</v>
      </c>
      <c r="BP219">
        <v>65535</v>
      </c>
      <c r="BQ219">
        <v>65535</v>
      </c>
      <c r="BR219">
        <v>0</v>
      </c>
      <c r="BS219">
        <v>-5.4936431115493178E-4</v>
      </c>
      <c r="BT219">
        <v>0</v>
      </c>
      <c r="BU219">
        <v>9.9062042236328125</v>
      </c>
      <c r="BV219">
        <v>-9.9055871963500977</v>
      </c>
      <c r="BW219" t="s">
        <v>615</v>
      </c>
      <c r="BX219">
        <v>2.4326769765270484E-11</v>
      </c>
      <c r="BY219">
        <v>2.3984375</v>
      </c>
      <c r="CB219">
        <v>19.088321685791016</v>
      </c>
      <c r="CC219">
        <v>6.9884376525878906</v>
      </c>
      <c r="CD219" t="s">
        <v>622</v>
      </c>
      <c r="CE219" t="s">
        <v>623</v>
      </c>
    </row>
    <row r="220" spans="1:83" ht="12.75" customHeight="1">
      <c r="A220" t="s">
        <v>712</v>
      </c>
      <c r="C220" t="s">
        <v>635</v>
      </c>
      <c r="D220">
        <v>218</v>
      </c>
      <c r="F220">
        <v>65535</v>
      </c>
      <c r="I220" t="s">
        <v>712</v>
      </c>
      <c r="R220">
        <v>7.280001163482666</v>
      </c>
      <c r="T220">
        <v>30.576005935668945</v>
      </c>
      <c r="W220" s="514">
        <v>44245.742905092593</v>
      </c>
      <c r="AN220">
        <v>0</v>
      </c>
      <c r="AO220">
        <v>0</v>
      </c>
      <c r="AP220">
        <v>0</v>
      </c>
      <c r="AS220">
        <v>0</v>
      </c>
      <c r="AT220">
        <v>0</v>
      </c>
      <c r="AU220">
        <v>0</v>
      </c>
      <c r="AW220">
        <v>0</v>
      </c>
      <c r="AZ220">
        <v>0</v>
      </c>
      <c r="BA220">
        <v>-5.4936431115493178E-4</v>
      </c>
      <c r="BB220">
        <v>0</v>
      </c>
      <c r="BC220">
        <v>9.9062042236328125</v>
      </c>
      <c r="BD220">
        <v>-9.9055871963500977</v>
      </c>
      <c r="BI220">
        <v>0</v>
      </c>
      <c r="BJ220">
        <v>0</v>
      </c>
      <c r="BK220">
        <v>0</v>
      </c>
      <c r="BL220">
        <v>0</v>
      </c>
      <c r="BM220">
        <v>2.4326769765270484E-11</v>
      </c>
      <c r="BN220">
        <v>2.3984375</v>
      </c>
      <c r="BP220">
        <v>65535</v>
      </c>
      <c r="BQ220">
        <v>65535</v>
      </c>
      <c r="BR220">
        <v>0</v>
      </c>
      <c r="BS220">
        <v>-5.4936431115493178E-4</v>
      </c>
      <c r="BT220">
        <v>0</v>
      </c>
      <c r="BU220">
        <v>9.9062042236328125</v>
      </c>
      <c r="BV220">
        <v>-9.9055871963500977</v>
      </c>
      <c r="BW220" t="s">
        <v>615</v>
      </c>
      <c r="BX220">
        <v>2.4326769765270484E-11</v>
      </c>
      <c r="BY220">
        <v>2.3984375</v>
      </c>
      <c r="CB220">
        <v>19.045255661010742</v>
      </c>
      <c r="CC220">
        <v>7.0404114723205566</v>
      </c>
      <c r="CD220" t="s">
        <v>709</v>
      </c>
      <c r="CE220" t="s">
        <v>710</v>
      </c>
    </row>
    <row r="221" spans="1:83" ht="12.75" customHeight="1">
      <c r="A221" t="s">
        <v>642</v>
      </c>
      <c r="C221" t="s">
        <v>635</v>
      </c>
      <c r="D221">
        <v>219</v>
      </c>
      <c r="F221">
        <v>65535</v>
      </c>
      <c r="I221" t="s">
        <v>642</v>
      </c>
      <c r="R221">
        <v>7.280001163482666</v>
      </c>
      <c r="T221">
        <v>30.576005935668945</v>
      </c>
      <c r="W221" s="514">
        <v>44245.742905092593</v>
      </c>
      <c r="AN221">
        <v>0</v>
      </c>
      <c r="AO221">
        <v>0</v>
      </c>
      <c r="AP221">
        <v>0</v>
      </c>
      <c r="AS221">
        <v>0</v>
      </c>
      <c r="AT221">
        <v>0</v>
      </c>
      <c r="AU221">
        <v>0</v>
      </c>
      <c r="AW221">
        <v>0</v>
      </c>
      <c r="AZ221">
        <v>0</v>
      </c>
      <c r="BA221">
        <v>-5.4936431115493178E-4</v>
      </c>
      <c r="BB221">
        <v>0</v>
      </c>
      <c r="BC221">
        <v>9.9062042236328125</v>
      </c>
      <c r="BD221">
        <v>-9.9055871963500977</v>
      </c>
      <c r="BI221">
        <v>0</v>
      </c>
      <c r="BJ221">
        <v>0</v>
      </c>
      <c r="BK221">
        <v>0</v>
      </c>
      <c r="BL221">
        <v>0</v>
      </c>
      <c r="BM221">
        <v>2.4326769765270484E-11</v>
      </c>
      <c r="BN221">
        <v>2.3984375</v>
      </c>
      <c r="BP221">
        <v>65535</v>
      </c>
      <c r="BQ221">
        <v>65535</v>
      </c>
      <c r="BR221">
        <v>0</v>
      </c>
      <c r="BS221">
        <v>-5.4936431115493178E-4</v>
      </c>
      <c r="BT221">
        <v>0</v>
      </c>
      <c r="BU221">
        <v>9.9062042236328125</v>
      </c>
      <c r="BV221">
        <v>-9.9055871963500977</v>
      </c>
      <c r="BW221" t="s">
        <v>615</v>
      </c>
      <c r="BX221">
        <v>2.4326769765270484E-11</v>
      </c>
      <c r="BY221">
        <v>2.3984375</v>
      </c>
      <c r="CB221">
        <v>19.088321685791016</v>
      </c>
      <c r="CC221">
        <v>6.9884376525878906</v>
      </c>
      <c r="CD221" t="s">
        <v>617</v>
      </c>
      <c r="CE221" t="s">
        <v>623</v>
      </c>
    </row>
    <row r="222" spans="1:83" ht="12.75" customHeight="1">
      <c r="A222" t="s">
        <v>642</v>
      </c>
      <c r="C222" t="s">
        <v>635</v>
      </c>
      <c r="D222">
        <v>220</v>
      </c>
      <c r="F222">
        <v>65535</v>
      </c>
      <c r="I222" t="s">
        <v>642</v>
      </c>
      <c r="R222">
        <v>7.280001163482666</v>
      </c>
      <c r="T222">
        <v>30.576005935668945</v>
      </c>
      <c r="W222" s="514">
        <v>44245.742905092593</v>
      </c>
      <c r="AN222">
        <v>0</v>
      </c>
      <c r="AO222">
        <v>0</v>
      </c>
      <c r="AP222">
        <v>0</v>
      </c>
      <c r="AS222">
        <v>0</v>
      </c>
      <c r="AT222">
        <v>0</v>
      </c>
      <c r="AU222">
        <v>0</v>
      </c>
      <c r="AW222">
        <v>0</v>
      </c>
      <c r="AZ222">
        <v>0</v>
      </c>
      <c r="BA222">
        <v>-5.4936431115493178E-4</v>
      </c>
      <c r="BB222">
        <v>0</v>
      </c>
      <c r="BC222">
        <v>9.9062042236328125</v>
      </c>
      <c r="BD222">
        <v>-9.9055871963500977</v>
      </c>
      <c r="BI222">
        <v>0</v>
      </c>
      <c r="BJ222">
        <v>0</v>
      </c>
      <c r="BK222">
        <v>0</v>
      </c>
      <c r="BL222">
        <v>0</v>
      </c>
      <c r="BM222">
        <v>2.4326769765270484E-11</v>
      </c>
      <c r="BN222">
        <v>2.3984375</v>
      </c>
      <c r="BP222">
        <v>65535</v>
      </c>
      <c r="BQ222">
        <v>65535</v>
      </c>
      <c r="BR222">
        <v>0</v>
      </c>
      <c r="BS222">
        <v>-5.4936431115493178E-4</v>
      </c>
      <c r="BT222">
        <v>0</v>
      </c>
      <c r="BU222">
        <v>9.9062042236328125</v>
      </c>
      <c r="BV222">
        <v>-9.9055871963500977</v>
      </c>
      <c r="BW222" t="s">
        <v>615</v>
      </c>
      <c r="BX222">
        <v>2.4326769765270484E-11</v>
      </c>
      <c r="BY222">
        <v>2.3984375</v>
      </c>
      <c r="CB222">
        <v>18.962865829467773</v>
      </c>
      <c r="CC222">
        <v>7.049351692199707</v>
      </c>
      <c r="CD222" t="s">
        <v>617</v>
      </c>
      <c r="CE222" t="s">
        <v>623</v>
      </c>
    </row>
    <row r="223" spans="1:83" ht="12.75" customHeight="1">
      <c r="A223" t="s">
        <v>713</v>
      </c>
      <c r="C223" t="s">
        <v>635</v>
      </c>
      <c r="D223">
        <v>221</v>
      </c>
      <c r="F223">
        <v>65535</v>
      </c>
      <c r="I223" t="s">
        <v>713</v>
      </c>
      <c r="AN223">
        <v>0</v>
      </c>
      <c r="AO223">
        <v>0</v>
      </c>
      <c r="AP223">
        <v>0</v>
      </c>
      <c r="AS223">
        <v>65535</v>
      </c>
      <c r="AT223">
        <v>65535</v>
      </c>
      <c r="AU223">
        <v>65535</v>
      </c>
      <c r="BI223">
        <v>0</v>
      </c>
      <c r="BK223">
        <v>0</v>
      </c>
      <c r="BL223">
        <v>0</v>
      </c>
      <c r="BP223">
        <v>65535</v>
      </c>
      <c r="BQ223">
        <v>65535</v>
      </c>
      <c r="CB223">
        <v>19.145517349243164</v>
      </c>
      <c r="CC223">
        <v>6.76690673828125</v>
      </c>
      <c r="CD223" t="s">
        <v>631</v>
      </c>
      <c r="CE223" t="s">
        <v>679</v>
      </c>
    </row>
    <row r="224" spans="1:83" ht="12.75" customHeight="1">
      <c r="A224" t="s">
        <v>713</v>
      </c>
      <c r="C224" t="s">
        <v>635</v>
      </c>
      <c r="D224">
        <v>222</v>
      </c>
      <c r="F224">
        <v>65535</v>
      </c>
      <c r="I224" t="s">
        <v>713</v>
      </c>
      <c r="R224">
        <v>9.3600034713745117</v>
      </c>
      <c r="T224">
        <v>39.31201171875</v>
      </c>
      <c r="W224" s="514">
        <v>44245.742812500001</v>
      </c>
      <c r="AN224">
        <v>0</v>
      </c>
      <c r="AO224">
        <v>0</v>
      </c>
      <c r="AP224">
        <v>0</v>
      </c>
      <c r="AS224">
        <v>0</v>
      </c>
      <c r="AT224">
        <v>0</v>
      </c>
      <c r="AU224">
        <v>0</v>
      </c>
      <c r="AW224">
        <v>0</v>
      </c>
      <c r="AZ224">
        <v>0</v>
      </c>
      <c r="BA224">
        <v>-3.8550273166038096E-4</v>
      </c>
      <c r="BB224">
        <v>0</v>
      </c>
      <c r="BC224">
        <v>15.564014434814453</v>
      </c>
      <c r="BD224">
        <v>-15.563601493835449</v>
      </c>
      <c r="BI224">
        <v>0</v>
      </c>
      <c r="BJ224">
        <v>0</v>
      </c>
      <c r="BK224">
        <v>0</v>
      </c>
      <c r="BL224">
        <v>0</v>
      </c>
      <c r="BM224">
        <v>3.3443017556781179E-28</v>
      </c>
      <c r="BN224">
        <v>0.805908203125</v>
      </c>
      <c r="BP224">
        <v>65535</v>
      </c>
      <c r="BQ224">
        <v>65535</v>
      </c>
      <c r="BR224">
        <v>0</v>
      </c>
      <c r="BS224">
        <v>-3.8550273166038096E-4</v>
      </c>
      <c r="BT224">
        <v>0</v>
      </c>
      <c r="BU224">
        <v>15.564014434814453</v>
      </c>
      <c r="BV224">
        <v>-15.563601493835449</v>
      </c>
      <c r="BW224" t="s">
        <v>615</v>
      </c>
      <c r="BX224">
        <v>3.3443017556781179E-28</v>
      </c>
      <c r="BY224">
        <v>0.805908203125</v>
      </c>
      <c r="CB224">
        <v>18.361297607421875</v>
      </c>
      <c r="CC224">
        <v>7.3931293487548828</v>
      </c>
      <c r="CD224" t="s">
        <v>631</v>
      </c>
      <c r="CE224" t="s">
        <v>679</v>
      </c>
    </row>
    <row r="225" spans="1:83" ht="12.75" customHeight="1">
      <c r="A225" t="s">
        <v>657</v>
      </c>
      <c r="C225" t="s">
        <v>635</v>
      </c>
      <c r="D225">
        <v>223</v>
      </c>
      <c r="F225">
        <v>65535</v>
      </c>
      <c r="I225" t="s">
        <v>657</v>
      </c>
      <c r="R225">
        <v>9.3600034713745117</v>
      </c>
      <c r="T225">
        <v>39.31201171875</v>
      </c>
      <c r="W225" s="514">
        <v>44245.742812500001</v>
      </c>
      <c r="AN225">
        <v>0</v>
      </c>
      <c r="AO225">
        <v>0</v>
      </c>
      <c r="AP225">
        <v>0</v>
      </c>
      <c r="AS225">
        <v>0</v>
      </c>
      <c r="AT225">
        <v>0</v>
      </c>
      <c r="AU225">
        <v>0</v>
      </c>
      <c r="AW225">
        <v>0</v>
      </c>
      <c r="AZ225">
        <v>0</v>
      </c>
      <c r="BA225">
        <v>-3.8550273166038096E-4</v>
      </c>
      <c r="BB225">
        <v>0</v>
      </c>
      <c r="BC225">
        <v>15.564014434814453</v>
      </c>
      <c r="BD225">
        <v>-15.563601493835449</v>
      </c>
      <c r="BI225">
        <v>0</v>
      </c>
      <c r="BJ225">
        <v>0</v>
      </c>
      <c r="BK225">
        <v>0</v>
      </c>
      <c r="BL225">
        <v>0</v>
      </c>
      <c r="BM225">
        <v>3.3443017556781179E-28</v>
      </c>
      <c r="BN225">
        <v>0.805908203125</v>
      </c>
      <c r="BP225">
        <v>65535</v>
      </c>
      <c r="BQ225">
        <v>65535</v>
      </c>
      <c r="BR225">
        <v>0</v>
      </c>
      <c r="BS225">
        <v>-3.8550273166038096E-4</v>
      </c>
      <c r="BT225">
        <v>0</v>
      </c>
      <c r="BU225">
        <v>15.564014434814453</v>
      </c>
      <c r="BV225">
        <v>-15.563601493835449</v>
      </c>
      <c r="BW225" t="s">
        <v>615</v>
      </c>
      <c r="BX225">
        <v>3.3443017556781179E-28</v>
      </c>
      <c r="BY225">
        <v>0.805908203125</v>
      </c>
      <c r="CB225">
        <v>18.707109451293945</v>
      </c>
      <c r="CC225">
        <v>7.1428737640380859</v>
      </c>
      <c r="CD225" t="s">
        <v>631</v>
      </c>
      <c r="CE225" t="s">
        <v>632</v>
      </c>
    </row>
    <row r="226" spans="1:83" ht="12.75" customHeight="1">
      <c r="A226" t="s">
        <v>642</v>
      </c>
      <c r="C226" t="s">
        <v>635</v>
      </c>
      <c r="D226">
        <v>224</v>
      </c>
      <c r="F226">
        <v>65535</v>
      </c>
      <c r="I226" t="s">
        <v>642</v>
      </c>
      <c r="R226">
        <v>9.3600034713745117</v>
      </c>
      <c r="T226">
        <v>39.31201171875</v>
      </c>
      <c r="W226" s="514">
        <v>44245.742812500001</v>
      </c>
      <c r="AN226">
        <v>0</v>
      </c>
      <c r="AO226">
        <v>0</v>
      </c>
      <c r="AP226">
        <v>0</v>
      </c>
      <c r="AS226">
        <v>0</v>
      </c>
      <c r="AT226">
        <v>0</v>
      </c>
      <c r="AU226">
        <v>0</v>
      </c>
      <c r="AW226">
        <v>0</v>
      </c>
      <c r="AZ226">
        <v>0</v>
      </c>
      <c r="BA226">
        <v>-3.8550273166038096E-4</v>
      </c>
      <c r="BB226">
        <v>0</v>
      </c>
      <c r="BC226">
        <v>15.564014434814453</v>
      </c>
      <c r="BD226">
        <v>-15.563601493835449</v>
      </c>
      <c r="BI226">
        <v>0</v>
      </c>
      <c r="BJ226">
        <v>0</v>
      </c>
      <c r="BK226">
        <v>0</v>
      </c>
      <c r="BL226">
        <v>0</v>
      </c>
      <c r="BM226">
        <v>3.3443017556781179E-28</v>
      </c>
      <c r="BN226">
        <v>0.805908203125</v>
      </c>
      <c r="BP226">
        <v>65535</v>
      </c>
      <c r="BQ226">
        <v>65535</v>
      </c>
      <c r="BR226">
        <v>0</v>
      </c>
      <c r="BS226">
        <v>-3.8550273166038096E-4</v>
      </c>
      <c r="BT226">
        <v>0</v>
      </c>
      <c r="BU226">
        <v>15.564014434814453</v>
      </c>
      <c r="BV226">
        <v>-15.563601493835449</v>
      </c>
      <c r="BW226" t="s">
        <v>615</v>
      </c>
      <c r="BX226">
        <v>3.3443017556781179E-28</v>
      </c>
      <c r="BY226">
        <v>0.805908203125</v>
      </c>
      <c r="CB226">
        <v>18.62281608581543</v>
      </c>
      <c r="CC226">
        <v>7.2279019355773926</v>
      </c>
      <c r="CD226" t="s">
        <v>617</v>
      </c>
      <c r="CE226" t="s">
        <v>623</v>
      </c>
    </row>
    <row r="227" spans="1:83" ht="12.75" customHeight="1">
      <c r="A227" t="s">
        <v>712</v>
      </c>
      <c r="C227" t="s">
        <v>635</v>
      </c>
      <c r="D227">
        <v>225</v>
      </c>
      <c r="F227">
        <v>65535</v>
      </c>
      <c r="I227" t="s">
        <v>712</v>
      </c>
      <c r="R227">
        <v>9.3600034713745117</v>
      </c>
      <c r="T227">
        <v>39.31201171875</v>
      </c>
      <c r="W227" s="514">
        <v>44245.742812500001</v>
      </c>
      <c r="AN227">
        <v>0</v>
      </c>
      <c r="AO227">
        <v>0</v>
      </c>
      <c r="AP227">
        <v>0</v>
      </c>
      <c r="AS227">
        <v>0</v>
      </c>
      <c r="AT227">
        <v>0</v>
      </c>
      <c r="AU227">
        <v>0</v>
      </c>
      <c r="AW227">
        <v>0</v>
      </c>
      <c r="AZ227">
        <v>0</v>
      </c>
      <c r="BA227">
        <v>-3.8550273166038096E-4</v>
      </c>
      <c r="BB227">
        <v>0</v>
      </c>
      <c r="BC227">
        <v>15.564014434814453</v>
      </c>
      <c r="BD227">
        <v>-15.563601493835449</v>
      </c>
      <c r="BI227">
        <v>0</v>
      </c>
      <c r="BJ227">
        <v>0</v>
      </c>
      <c r="BK227">
        <v>0</v>
      </c>
      <c r="BL227">
        <v>0</v>
      </c>
      <c r="BM227">
        <v>3.3443017556781179E-28</v>
      </c>
      <c r="BN227">
        <v>0.805908203125</v>
      </c>
      <c r="BP227">
        <v>65535</v>
      </c>
      <c r="BQ227">
        <v>65535</v>
      </c>
      <c r="BR227">
        <v>0</v>
      </c>
      <c r="BS227">
        <v>-3.8550273166038096E-4</v>
      </c>
      <c r="BT227">
        <v>0</v>
      </c>
      <c r="BU227">
        <v>15.564014434814453</v>
      </c>
      <c r="BV227">
        <v>-15.563601493835449</v>
      </c>
      <c r="BW227" t="s">
        <v>615</v>
      </c>
      <c r="BX227">
        <v>3.3443017556781179E-28</v>
      </c>
      <c r="BY227">
        <v>0.805908203125</v>
      </c>
      <c r="CB227">
        <v>18.887615203857422</v>
      </c>
      <c r="CC227">
        <v>6.9976592063903809</v>
      </c>
      <c r="CD227" t="s">
        <v>709</v>
      </c>
      <c r="CE227" t="s">
        <v>710</v>
      </c>
    </row>
    <row r="228" spans="1:83" ht="12.75" customHeight="1">
      <c r="A228" t="s">
        <v>712</v>
      </c>
      <c r="C228" t="s">
        <v>635</v>
      </c>
      <c r="D228">
        <v>226</v>
      </c>
      <c r="F228">
        <v>65535</v>
      </c>
      <c r="I228" t="s">
        <v>712</v>
      </c>
      <c r="R228">
        <v>9.3600034713745117</v>
      </c>
      <c r="T228">
        <v>39.31201171875</v>
      </c>
      <c r="W228" s="514">
        <v>44245.742812500001</v>
      </c>
      <c r="AN228">
        <v>0</v>
      </c>
      <c r="AO228">
        <v>0</v>
      </c>
      <c r="AP228">
        <v>0</v>
      </c>
      <c r="AS228">
        <v>0</v>
      </c>
      <c r="AT228">
        <v>0</v>
      </c>
      <c r="AU228">
        <v>0</v>
      </c>
      <c r="AW228">
        <v>0</v>
      </c>
      <c r="AZ228">
        <v>0</v>
      </c>
      <c r="BA228">
        <v>-3.8550273166038096E-4</v>
      </c>
      <c r="BB228">
        <v>0</v>
      </c>
      <c r="BC228">
        <v>15.564014434814453</v>
      </c>
      <c r="BD228">
        <v>-15.563601493835449</v>
      </c>
      <c r="BI228">
        <v>0</v>
      </c>
      <c r="BJ228">
        <v>0</v>
      </c>
      <c r="BK228">
        <v>0</v>
      </c>
      <c r="BL228">
        <v>0</v>
      </c>
      <c r="BM228">
        <v>3.3443017556781179E-28</v>
      </c>
      <c r="BN228">
        <v>0.805908203125</v>
      </c>
      <c r="BP228">
        <v>65535</v>
      </c>
      <c r="BQ228">
        <v>65535</v>
      </c>
      <c r="BR228">
        <v>0</v>
      </c>
      <c r="BS228">
        <v>-3.8550273166038096E-4</v>
      </c>
      <c r="BT228">
        <v>0</v>
      </c>
      <c r="BU228">
        <v>15.564014434814453</v>
      </c>
      <c r="BV228">
        <v>-15.563601493835449</v>
      </c>
      <c r="BW228" t="s">
        <v>615</v>
      </c>
      <c r="BX228">
        <v>3.3443017556781179E-28</v>
      </c>
      <c r="BY228">
        <v>0.805908203125</v>
      </c>
      <c r="CB228">
        <v>19.746883392333984</v>
      </c>
      <c r="CC228">
        <v>6.0445122718811035</v>
      </c>
      <c r="CD228" t="s">
        <v>709</v>
      </c>
      <c r="CE228" t="s">
        <v>710</v>
      </c>
    </row>
    <row r="229" spans="1:83" ht="12.75" customHeight="1">
      <c r="A229" t="s">
        <v>712</v>
      </c>
      <c r="C229" t="s">
        <v>635</v>
      </c>
      <c r="D229">
        <v>227</v>
      </c>
      <c r="F229">
        <v>65535</v>
      </c>
      <c r="I229" t="s">
        <v>712</v>
      </c>
      <c r="AN229">
        <v>0</v>
      </c>
      <c r="AO229">
        <v>0</v>
      </c>
      <c r="AP229">
        <v>0</v>
      </c>
      <c r="AS229">
        <v>65535</v>
      </c>
      <c r="AT229">
        <v>65535</v>
      </c>
      <c r="AU229">
        <v>65535</v>
      </c>
      <c r="BI229">
        <v>0</v>
      </c>
      <c r="BK229">
        <v>0</v>
      </c>
      <c r="BL229">
        <v>0</v>
      </c>
      <c r="BP229">
        <v>65535</v>
      </c>
      <c r="BQ229">
        <v>65535</v>
      </c>
      <c r="CB229">
        <v>18.96592903137207</v>
      </c>
      <c r="CC229">
        <v>6.7251267433166504</v>
      </c>
      <c r="CD229" t="s">
        <v>709</v>
      </c>
      <c r="CE229" t="s">
        <v>710</v>
      </c>
    </row>
    <row r="230" spans="1:83" ht="12.75" customHeight="1">
      <c r="A230" t="s">
        <v>642</v>
      </c>
      <c r="C230" t="s">
        <v>635</v>
      </c>
      <c r="D230">
        <v>228</v>
      </c>
      <c r="F230">
        <v>65535</v>
      </c>
      <c r="I230" t="s">
        <v>642</v>
      </c>
      <c r="R230">
        <v>7.7999944686889648</v>
      </c>
      <c r="T230">
        <v>32.759975433349609</v>
      </c>
      <c r="W230" s="514">
        <v>44245.742858796293</v>
      </c>
      <c r="AN230">
        <v>0</v>
      </c>
      <c r="AO230">
        <v>0</v>
      </c>
      <c r="AP230">
        <v>0</v>
      </c>
      <c r="AS230">
        <v>0</v>
      </c>
      <c r="AT230">
        <v>0</v>
      </c>
      <c r="AU230">
        <v>0</v>
      </c>
      <c r="AW230">
        <v>0</v>
      </c>
      <c r="AZ230">
        <v>0</v>
      </c>
      <c r="BA230">
        <v>-5.5736274225637317E-4</v>
      </c>
      <c r="BB230">
        <v>0</v>
      </c>
      <c r="BC230">
        <v>10.434837341308594</v>
      </c>
      <c r="BD230">
        <v>-10.434341430664063</v>
      </c>
      <c r="BI230">
        <v>0</v>
      </c>
      <c r="BJ230">
        <v>0</v>
      </c>
      <c r="BK230">
        <v>0</v>
      </c>
      <c r="BL230">
        <v>0</v>
      </c>
      <c r="BM230">
        <v>5.7512407903939759E-22</v>
      </c>
      <c r="BN230">
        <v>2.47845458984375</v>
      </c>
      <c r="BP230">
        <v>65535</v>
      </c>
      <c r="BQ230">
        <v>65535</v>
      </c>
      <c r="BR230">
        <v>0</v>
      </c>
      <c r="BS230">
        <v>-5.5736274225637317E-4</v>
      </c>
      <c r="BT230">
        <v>0</v>
      </c>
      <c r="BU230">
        <v>10.434837341308594</v>
      </c>
      <c r="BV230">
        <v>-10.434341430664063</v>
      </c>
      <c r="BW230" t="s">
        <v>615</v>
      </c>
      <c r="BX230">
        <v>5.7512407903939759E-22</v>
      </c>
      <c r="BY230">
        <v>2.47845458984375</v>
      </c>
      <c r="CB230">
        <v>19.343687057495117</v>
      </c>
      <c r="CC230">
        <v>6.5684771537780762</v>
      </c>
      <c r="CD230" t="s">
        <v>617</v>
      </c>
      <c r="CE230" t="s">
        <v>623</v>
      </c>
    </row>
    <row r="231" spans="1:83" ht="12.75" customHeight="1">
      <c r="A231" t="s">
        <v>642</v>
      </c>
      <c r="C231" t="s">
        <v>635</v>
      </c>
      <c r="D231">
        <v>229</v>
      </c>
      <c r="F231">
        <v>65535</v>
      </c>
      <c r="I231" t="s">
        <v>642</v>
      </c>
      <c r="R231">
        <v>7.7999944686889648</v>
      </c>
      <c r="T231">
        <v>32.759975433349609</v>
      </c>
      <c r="W231" s="514">
        <v>44245.742858796293</v>
      </c>
      <c r="AN231">
        <v>0</v>
      </c>
      <c r="AO231">
        <v>0</v>
      </c>
      <c r="AP231">
        <v>0</v>
      </c>
      <c r="AS231">
        <v>0</v>
      </c>
      <c r="AT231">
        <v>0</v>
      </c>
      <c r="AU231">
        <v>0</v>
      </c>
      <c r="AW231">
        <v>0</v>
      </c>
      <c r="AZ231">
        <v>0</v>
      </c>
      <c r="BA231">
        <v>-5.5736274225637317E-4</v>
      </c>
      <c r="BB231">
        <v>0</v>
      </c>
      <c r="BC231">
        <v>10.434837341308594</v>
      </c>
      <c r="BD231">
        <v>-10.434341430664063</v>
      </c>
      <c r="BI231">
        <v>0</v>
      </c>
      <c r="BJ231">
        <v>0</v>
      </c>
      <c r="BK231">
        <v>0</v>
      </c>
      <c r="BL231">
        <v>0</v>
      </c>
      <c r="BM231">
        <v>5.7512407903939759E-22</v>
      </c>
      <c r="BN231">
        <v>2.47845458984375</v>
      </c>
      <c r="BP231">
        <v>65535</v>
      </c>
      <c r="BQ231">
        <v>65535</v>
      </c>
      <c r="BR231">
        <v>0</v>
      </c>
      <c r="BS231">
        <v>-5.5736274225637317E-4</v>
      </c>
      <c r="BT231">
        <v>0</v>
      </c>
      <c r="BU231">
        <v>10.434837341308594</v>
      </c>
      <c r="BV231">
        <v>-10.434341430664063</v>
      </c>
      <c r="BW231" t="s">
        <v>615</v>
      </c>
      <c r="BX231">
        <v>5.7512407903939759E-22</v>
      </c>
      <c r="BY231">
        <v>2.47845458984375</v>
      </c>
      <c r="CB231">
        <v>19.344205856323242</v>
      </c>
      <c r="CC231">
        <v>6.7095818519592285</v>
      </c>
      <c r="CD231" t="s">
        <v>617</v>
      </c>
      <c r="CE231" t="s">
        <v>623</v>
      </c>
    </row>
    <row r="232" spans="1:83" ht="12.75" customHeight="1">
      <c r="A232" t="s">
        <v>713</v>
      </c>
      <c r="C232" t="s">
        <v>635</v>
      </c>
      <c r="D232">
        <v>230</v>
      </c>
      <c r="F232">
        <v>65535</v>
      </c>
      <c r="I232" t="s">
        <v>713</v>
      </c>
      <c r="R232">
        <v>7.7999944686889648</v>
      </c>
      <c r="T232">
        <v>32.759975433349609</v>
      </c>
      <c r="W232" s="514">
        <v>44245.742858796293</v>
      </c>
      <c r="AN232">
        <v>0</v>
      </c>
      <c r="AO232">
        <v>0</v>
      </c>
      <c r="AP232">
        <v>0</v>
      </c>
      <c r="AS232">
        <v>0</v>
      </c>
      <c r="AT232">
        <v>0</v>
      </c>
      <c r="AU232">
        <v>0</v>
      </c>
      <c r="AW232">
        <v>0</v>
      </c>
      <c r="AZ232">
        <v>0</v>
      </c>
      <c r="BA232">
        <v>-5.5736274225637317E-4</v>
      </c>
      <c r="BB232">
        <v>0</v>
      </c>
      <c r="BC232">
        <v>10.434837341308594</v>
      </c>
      <c r="BD232">
        <v>-10.434341430664063</v>
      </c>
      <c r="BI232">
        <v>0</v>
      </c>
      <c r="BJ232">
        <v>0</v>
      </c>
      <c r="BK232">
        <v>0</v>
      </c>
      <c r="BL232">
        <v>0</v>
      </c>
      <c r="BM232">
        <v>5.7512407903939759E-22</v>
      </c>
      <c r="BN232">
        <v>2.47845458984375</v>
      </c>
      <c r="BP232">
        <v>65535</v>
      </c>
      <c r="BQ232">
        <v>65535</v>
      </c>
      <c r="BR232">
        <v>0</v>
      </c>
      <c r="BS232">
        <v>-5.5736274225637317E-4</v>
      </c>
      <c r="BT232">
        <v>0</v>
      </c>
      <c r="BU232">
        <v>10.434837341308594</v>
      </c>
      <c r="BV232">
        <v>-10.434341430664063</v>
      </c>
      <c r="BW232" t="s">
        <v>615</v>
      </c>
      <c r="BX232">
        <v>5.7512407903939759E-22</v>
      </c>
      <c r="BY232">
        <v>2.47845458984375</v>
      </c>
      <c r="CB232">
        <v>18.840543746948242</v>
      </c>
      <c r="CC232">
        <v>6.8517498970031738</v>
      </c>
      <c r="CD232" t="s">
        <v>631</v>
      </c>
      <c r="CE232" t="s">
        <v>679</v>
      </c>
    </row>
    <row r="233" spans="1:83" ht="12.75" customHeight="1">
      <c r="A233" t="s">
        <v>713</v>
      </c>
      <c r="C233" t="s">
        <v>635</v>
      </c>
      <c r="D233">
        <v>231</v>
      </c>
      <c r="F233">
        <v>65535</v>
      </c>
      <c r="I233" t="s">
        <v>713</v>
      </c>
      <c r="R233">
        <v>7.7999944686889648</v>
      </c>
      <c r="T233">
        <v>32.759975433349609</v>
      </c>
      <c r="W233" s="514">
        <v>44245.742858796293</v>
      </c>
      <c r="AN233">
        <v>0</v>
      </c>
      <c r="AO233">
        <v>0</v>
      </c>
      <c r="AP233">
        <v>0</v>
      </c>
      <c r="AS233">
        <v>0</v>
      </c>
      <c r="AT233">
        <v>0</v>
      </c>
      <c r="AU233">
        <v>0</v>
      </c>
      <c r="AW233">
        <v>0</v>
      </c>
      <c r="AZ233">
        <v>0</v>
      </c>
      <c r="BA233">
        <v>-5.5736274225637317E-4</v>
      </c>
      <c r="BB233">
        <v>0</v>
      </c>
      <c r="BC233">
        <v>10.434837341308594</v>
      </c>
      <c r="BD233">
        <v>-10.434341430664063</v>
      </c>
      <c r="BI233">
        <v>0</v>
      </c>
      <c r="BJ233">
        <v>0</v>
      </c>
      <c r="BK233">
        <v>0</v>
      </c>
      <c r="BL233">
        <v>0</v>
      </c>
      <c r="BM233">
        <v>5.7512407903939759E-22</v>
      </c>
      <c r="BN233">
        <v>2.47845458984375</v>
      </c>
      <c r="BP233">
        <v>65535</v>
      </c>
      <c r="BQ233">
        <v>65535</v>
      </c>
      <c r="BR233">
        <v>0</v>
      </c>
      <c r="BS233">
        <v>-5.5736274225637317E-4</v>
      </c>
      <c r="BT233">
        <v>0</v>
      </c>
      <c r="BU233">
        <v>10.434837341308594</v>
      </c>
      <c r="BV233">
        <v>-10.434341430664063</v>
      </c>
      <c r="BW233" t="s">
        <v>615</v>
      </c>
      <c r="BX233">
        <v>5.7512407903939759E-22</v>
      </c>
      <c r="BY233">
        <v>2.47845458984375</v>
      </c>
      <c r="CB233">
        <v>18.796525955200195</v>
      </c>
      <c r="CC233">
        <v>6.8382463455200195</v>
      </c>
      <c r="CD233" t="s">
        <v>631</v>
      </c>
      <c r="CE233" t="s">
        <v>679</v>
      </c>
    </row>
    <row r="234" spans="1:83" ht="12.75" customHeight="1">
      <c r="A234" t="s">
        <v>713</v>
      </c>
      <c r="C234" t="s">
        <v>635</v>
      </c>
      <c r="D234">
        <v>232</v>
      </c>
      <c r="F234">
        <v>65535</v>
      </c>
      <c r="I234" t="s">
        <v>713</v>
      </c>
      <c r="R234">
        <v>7.7999944686889648</v>
      </c>
      <c r="T234">
        <v>32.759975433349609</v>
      </c>
      <c r="W234" s="514">
        <v>44245.742858796293</v>
      </c>
      <c r="AN234">
        <v>0</v>
      </c>
      <c r="AO234">
        <v>0</v>
      </c>
      <c r="AP234">
        <v>0</v>
      </c>
      <c r="AS234">
        <v>0</v>
      </c>
      <c r="AT234">
        <v>0</v>
      </c>
      <c r="AU234">
        <v>0</v>
      </c>
      <c r="AW234">
        <v>0</v>
      </c>
      <c r="AZ234">
        <v>0</v>
      </c>
      <c r="BA234">
        <v>-5.5736274225637317E-4</v>
      </c>
      <c r="BB234">
        <v>0</v>
      </c>
      <c r="BC234">
        <v>10.434837341308594</v>
      </c>
      <c r="BD234">
        <v>-10.434341430664063</v>
      </c>
      <c r="BI234">
        <v>0</v>
      </c>
      <c r="BJ234">
        <v>0</v>
      </c>
      <c r="BK234">
        <v>0</v>
      </c>
      <c r="BL234">
        <v>0</v>
      </c>
      <c r="BM234">
        <v>5.7512407903939759E-22</v>
      </c>
      <c r="BN234">
        <v>2.47845458984375</v>
      </c>
      <c r="BP234">
        <v>65535</v>
      </c>
      <c r="BQ234">
        <v>65535</v>
      </c>
      <c r="BR234">
        <v>0</v>
      </c>
      <c r="BS234">
        <v>-5.5736274225637317E-4</v>
      </c>
      <c r="BT234">
        <v>0</v>
      </c>
      <c r="BU234">
        <v>10.434837341308594</v>
      </c>
      <c r="BV234">
        <v>-10.434341430664063</v>
      </c>
      <c r="BW234" t="s">
        <v>615</v>
      </c>
      <c r="BX234">
        <v>5.7512407903939759E-22</v>
      </c>
      <c r="BY234">
        <v>2.47845458984375</v>
      </c>
      <c r="CB234">
        <v>18.924209594726563</v>
      </c>
      <c r="CC234">
        <v>6.7019295692443848</v>
      </c>
      <c r="CD234" t="s">
        <v>631</v>
      </c>
      <c r="CE234" t="s">
        <v>679</v>
      </c>
    </row>
    <row r="235" spans="1:83" ht="12.75" customHeight="1">
      <c r="A235" t="s">
        <v>714</v>
      </c>
      <c r="C235" t="s">
        <v>635</v>
      </c>
      <c r="D235">
        <v>233</v>
      </c>
      <c r="F235">
        <v>65535</v>
      </c>
      <c r="I235" t="s">
        <v>714</v>
      </c>
      <c r="AN235">
        <v>0</v>
      </c>
      <c r="AO235">
        <v>0</v>
      </c>
      <c r="AP235">
        <v>0</v>
      </c>
      <c r="AS235">
        <v>65535</v>
      </c>
      <c r="AT235">
        <v>65535</v>
      </c>
      <c r="AU235">
        <v>65535</v>
      </c>
      <c r="BI235">
        <v>0</v>
      </c>
      <c r="BK235">
        <v>0</v>
      </c>
      <c r="BL235">
        <v>0</v>
      </c>
      <c r="BP235">
        <v>65535</v>
      </c>
      <c r="BQ235">
        <v>65535</v>
      </c>
      <c r="CB235">
        <v>19.56983757019043</v>
      </c>
      <c r="CC235">
        <v>6.3959445953369141</v>
      </c>
      <c r="CD235" t="s">
        <v>631</v>
      </c>
      <c r="CE235" t="s">
        <v>679</v>
      </c>
    </row>
    <row r="236" spans="1:83" ht="12.75" customHeight="1">
      <c r="A236" t="s">
        <v>671</v>
      </c>
      <c r="C236" t="s">
        <v>625</v>
      </c>
      <c r="D236">
        <v>234</v>
      </c>
      <c r="F236">
        <v>65535</v>
      </c>
      <c r="I236" t="s">
        <v>671</v>
      </c>
      <c r="R236">
        <v>7.8000001907348633</v>
      </c>
      <c r="T236">
        <v>32.759998321533203</v>
      </c>
      <c r="W236" s="514">
        <v>44245.74291666667</v>
      </c>
      <c r="AN236">
        <v>0</v>
      </c>
      <c r="AO236">
        <v>0</v>
      </c>
      <c r="AP236">
        <v>0</v>
      </c>
      <c r="AS236">
        <v>0</v>
      </c>
      <c r="AT236">
        <v>0</v>
      </c>
      <c r="AU236">
        <v>0</v>
      </c>
      <c r="AW236">
        <v>0</v>
      </c>
      <c r="AZ236">
        <v>0</v>
      </c>
      <c r="BA236">
        <v>-5.4153113160282373E-4</v>
      </c>
      <c r="BB236">
        <v>0</v>
      </c>
      <c r="BC236">
        <v>10.747062683105469</v>
      </c>
      <c r="BD236">
        <v>-10.746562957763672</v>
      </c>
      <c r="BI236">
        <v>0</v>
      </c>
      <c r="BJ236">
        <v>0</v>
      </c>
      <c r="BK236">
        <v>0</v>
      </c>
      <c r="BL236">
        <v>0</v>
      </c>
      <c r="BM236">
        <v>8.7486061058570168E-26</v>
      </c>
      <c r="BN236">
        <v>2.322296142578125</v>
      </c>
      <c r="BP236">
        <v>65535</v>
      </c>
      <c r="BQ236">
        <v>65535</v>
      </c>
      <c r="BR236">
        <v>0</v>
      </c>
      <c r="BS236">
        <v>-5.4153113160282373E-4</v>
      </c>
      <c r="BT236">
        <v>0</v>
      </c>
      <c r="BU236">
        <v>10.747062683105469</v>
      </c>
      <c r="BV236">
        <v>-10.746562957763672</v>
      </c>
      <c r="BW236" t="s">
        <v>615</v>
      </c>
      <c r="BX236">
        <v>8.7486061058570168E-26</v>
      </c>
      <c r="BY236">
        <v>2.322296142578125</v>
      </c>
      <c r="CB236">
        <v>19.745401382446289</v>
      </c>
      <c r="CC236">
        <v>6.2339653968811035</v>
      </c>
    </row>
    <row r="237" spans="1:83" ht="12.75" customHeight="1">
      <c r="A237" t="s">
        <v>672</v>
      </c>
      <c r="C237" t="s">
        <v>625</v>
      </c>
      <c r="D237">
        <v>235</v>
      </c>
      <c r="F237">
        <v>65535</v>
      </c>
      <c r="I237" t="s">
        <v>672</v>
      </c>
      <c r="R237">
        <v>7.8000001907348633</v>
      </c>
      <c r="T237">
        <v>32.759998321533203</v>
      </c>
      <c r="W237" s="514">
        <v>44245.74291666667</v>
      </c>
      <c r="AN237">
        <v>0</v>
      </c>
      <c r="AO237">
        <v>0</v>
      </c>
      <c r="AP237">
        <v>0</v>
      </c>
      <c r="AS237">
        <v>0</v>
      </c>
      <c r="AT237">
        <v>0</v>
      </c>
      <c r="AU237">
        <v>0</v>
      </c>
      <c r="AW237">
        <v>0</v>
      </c>
      <c r="AZ237">
        <v>0</v>
      </c>
      <c r="BA237">
        <v>-5.4153113160282373E-4</v>
      </c>
      <c r="BB237">
        <v>0</v>
      </c>
      <c r="BC237">
        <v>10.747062683105469</v>
      </c>
      <c r="BD237">
        <v>-10.746562957763672</v>
      </c>
      <c r="BI237">
        <v>0</v>
      </c>
      <c r="BJ237">
        <v>0</v>
      </c>
      <c r="BK237">
        <v>0</v>
      </c>
      <c r="BL237">
        <v>0</v>
      </c>
      <c r="BM237">
        <v>8.7486061058570168E-26</v>
      </c>
      <c r="BN237">
        <v>2.322296142578125</v>
      </c>
      <c r="BP237">
        <v>65535</v>
      </c>
      <c r="BQ237">
        <v>65535</v>
      </c>
      <c r="BR237">
        <v>0</v>
      </c>
      <c r="BS237">
        <v>-5.4153113160282373E-4</v>
      </c>
      <c r="BT237">
        <v>0</v>
      </c>
      <c r="BU237">
        <v>10.747062683105469</v>
      </c>
      <c r="BV237">
        <v>-10.746562957763672</v>
      </c>
      <c r="BW237" t="s">
        <v>615</v>
      </c>
      <c r="BX237">
        <v>8.7486061058570168E-26</v>
      </c>
      <c r="BY237">
        <v>2.322296142578125</v>
      </c>
      <c r="CB237">
        <v>18.805768966674805</v>
      </c>
      <c r="CC237">
        <v>7.0398960113525391</v>
      </c>
    </row>
    <row r="238" spans="1:83" ht="12.75" customHeight="1">
      <c r="A238" t="s">
        <v>715</v>
      </c>
      <c r="C238" t="s">
        <v>625</v>
      </c>
      <c r="D238">
        <v>236</v>
      </c>
      <c r="F238">
        <v>65535</v>
      </c>
      <c r="I238" t="s">
        <v>715</v>
      </c>
      <c r="R238">
        <v>7.8000001907348633</v>
      </c>
      <c r="T238">
        <v>32.759998321533203</v>
      </c>
      <c r="W238" s="514">
        <v>44245.74291666667</v>
      </c>
      <c r="AN238">
        <v>0</v>
      </c>
      <c r="AO238">
        <v>0</v>
      </c>
      <c r="AP238">
        <v>0</v>
      </c>
      <c r="AS238">
        <v>0</v>
      </c>
      <c r="AT238">
        <v>0</v>
      </c>
      <c r="AU238">
        <v>0</v>
      </c>
      <c r="AW238">
        <v>0</v>
      </c>
      <c r="AZ238">
        <v>0</v>
      </c>
      <c r="BA238">
        <v>-5.4153113160282373E-4</v>
      </c>
      <c r="BB238">
        <v>0</v>
      </c>
      <c r="BC238">
        <v>10.747062683105469</v>
      </c>
      <c r="BD238">
        <v>-10.746562957763672</v>
      </c>
      <c r="BI238">
        <v>0</v>
      </c>
      <c r="BJ238">
        <v>0</v>
      </c>
      <c r="BK238">
        <v>0</v>
      </c>
      <c r="BL238">
        <v>0</v>
      </c>
      <c r="BM238">
        <v>8.7486061058570168E-26</v>
      </c>
      <c r="BN238">
        <v>2.322296142578125</v>
      </c>
      <c r="BP238">
        <v>65535</v>
      </c>
      <c r="BQ238">
        <v>65535</v>
      </c>
      <c r="BR238">
        <v>0</v>
      </c>
      <c r="BS238">
        <v>-5.4153113160282373E-4</v>
      </c>
      <c r="BT238">
        <v>0</v>
      </c>
      <c r="BU238">
        <v>10.747062683105469</v>
      </c>
      <c r="BV238">
        <v>-10.746562957763672</v>
      </c>
      <c r="BW238" t="s">
        <v>615</v>
      </c>
      <c r="BX238">
        <v>8.7486061058570168E-26</v>
      </c>
      <c r="BY238">
        <v>2.322296142578125</v>
      </c>
      <c r="CB238">
        <v>18.492700576782227</v>
      </c>
      <c r="CC238">
        <v>7.2283225059509277</v>
      </c>
    </row>
    <row r="239" spans="1:83" ht="12.75" customHeight="1">
      <c r="A239" t="s">
        <v>655</v>
      </c>
      <c r="C239" t="s">
        <v>625</v>
      </c>
      <c r="D239">
        <v>237</v>
      </c>
      <c r="F239">
        <v>65535</v>
      </c>
      <c r="I239" t="s">
        <v>655</v>
      </c>
      <c r="R239">
        <v>7.8000001907348633</v>
      </c>
      <c r="T239">
        <v>32.759998321533203</v>
      </c>
      <c r="W239" s="514">
        <v>44245.74291666667</v>
      </c>
      <c r="AN239">
        <v>0</v>
      </c>
      <c r="AO239">
        <v>0</v>
      </c>
      <c r="AP239">
        <v>0</v>
      </c>
      <c r="AS239">
        <v>0</v>
      </c>
      <c r="AT239">
        <v>0</v>
      </c>
      <c r="AU239">
        <v>0</v>
      </c>
      <c r="AW239">
        <v>0</v>
      </c>
      <c r="AZ239">
        <v>0</v>
      </c>
      <c r="BA239">
        <v>-5.4153113160282373E-4</v>
      </c>
      <c r="BB239">
        <v>0</v>
      </c>
      <c r="BC239">
        <v>10.747062683105469</v>
      </c>
      <c r="BD239">
        <v>-10.746562957763672</v>
      </c>
      <c r="BI239">
        <v>0</v>
      </c>
      <c r="BJ239">
        <v>0</v>
      </c>
      <c r="BK239">
        <v>0</v>
      </c>
      <c r="BL239">
        <v>0</v>
      </c>
      <c r="BM239">
        <v>8.7486061058570168E-26</v>
      </c>
      <c r="BN239">
        <v>2.322296142578125</v>
      </c>
      <c r="BP239">
        <v>65535</v>
      </c>
      <c r="BQ239">
        <v>65535</v>
      </c>
      <c r="BR239">
        <v>0</v>
      </c>
      <c r="BS239">
        <v>-5.4153113160282373E-4</v>
      </c>
      <c r="BT239">
        <v>0</v>
      </c>
      <c r="BU239">
        <v>10.747062683105469</v>
      </c>
      <c r="BV239">
        <v>-10.746562957763672</v>
      </c>
      <c r="BW239" t="s">
        <v>615</v>
      </c>
      <c r="BX239">
        <v>8.7486061058570168E-26</v>
      </c>
      <c r="BY239">
        <v>2.322296142578125</v>
      </c>
      <c r="CB239">
        <v>18.529254913330078</v>
      </c>
      <c r="CC239">
        <v>7.1777396202087402</v>
      </c>
    </row>
    <row r="240" spans="1:83" ht="12.75" customHeight="1">
      <c r="A240" t="s">
        <v>642</v>
      </c>
      <c r="C240" t="s">
        <v>625</v>
      </c>
      <c r="D240">
        <v>238</v>
      </c>
      <c r="F240">
        <v>65535</v>
      </c>
      <c r="I240" t="s">
        <v>642</v>
      </c>
      <c r="R240">
        <v>7.8000001907348633</v>
      </c>
      <c r="T240">
        <v>32.759998321533203</v>
      </c>
      <c r="W240" s="514">
        <v>44245.74291666667</v>
      </c>
      <c r="AN240">
        <v>0</v>
      </c>
      <c r="AO240">
        <v>0</v>
      </c>
      <c r="AP240">
        <v>0</v>
      </c>
      <c r="AS240">
        <v>0</v>
      </c>
      <c r="AT240">
        <v>0</v>
      </c>
      <c r="AU240">
        <v>0</v>
      </c>
      <c r="AW240">
        <v>0</v>
      </c>
      <c r="AZ240">
        <v>0</v>
      </c>
      <c r="BA240">
        <v>-5.4153113160282373E-4</v>
      </c>
      <c r="BB240">
        <v>0</v>
      </c>
      <c r="BC240">
        <v>10.747062683105469</v>
      </c>
      <c r="BD240">
        <v>-10.746562957763672</v>
      </c>
      <c r="BI240">
        <v>0</v>
      </c>
      <c r="BJ240">
        <v>0</v>
      </c>
      <c r="BK240">
        <v>0</v>
      </c>
      <c r="BL240">
        <v>0</v>
      </c>
      <c r="BM240">
        <v>8.7486061058570168E-26</v>
      </c>
      <c r="BN240">
        <v>2.322296142578125</v>
      </c>
      <c r="BP240">
        <v>65535</v>
      </c>
      <c r="BQ240">
        <v>65535</v>
      </c>
      <c r="BR240">
        <v>0</v>
      </c>
      <c r="BS240">
        <v>-5.4153113160282373E-4</v>
      </c>
      <c r="BT240">
        <v>0</v>
      </c>
      <c r="BU240">
        <v>10.747062683105469</v>
      </c>
      <c r="BV240">
        <v>-10.746562957763672</v>
      </c>
      <c r="BW240" t="s">
        <v>615</v>
      </c>
      <c r="BX240">
        <v>8.7486061058570168E-26</v>
      </c>
      <c r="BY240">
        <v>2.322296142578125</v>
      </c>
      <c r="CB240">
        <v>18.574638366699219</v>
      </c>
      <c r="CC240">
        <v>7.1292800903320313</v>
      </c>
      <c r="CD240" t="s">
        <v>617</v>
      </c>
      <c r="CE240" t="s">
        <v>623</v>
      </c>
    </row>
    <row r="241" spans="1:83" ht="12.75" customHeight="1">
      <c r="A241" t="s">
        <v>642</v>
      </c>
      <c r="C241" t="s">
        <v>625</v>
      </c>
      <c r="D241">
        <v>239</v>
      </c>
      <c r="F241">
        <v>65535</v>
      </c>
      <c r="I241" t="s">
        <v>642</v>
      </c>
      <c r="AN241">
        <v>0</v>
      </c>
      <c r="AO241">
        <v>0</v>
      </c>
      <c r="AP241">
        <v>0</v>
      </c>
      <c r="AS241">
        <v>65535</v>
      </c>
      <c r="AT241">
        <v>65535</v>
      </c>
      <c r="AU241">
        <v>65535</v>
      </c>
      <c r="BI241">
        <v>0</v>
      </c>
      <c r="BK241">
        <v>0</v>
      </c>
      <c r="BL241">
        <v>0</v>
      </c>
      <c r="BP241">
        <v>65535</v>
      </c>
      <c r="BQ241">
        <v>65535</v>
      </c>
      <c r="CB241">
        <v>19.745401382446289</v>
      </c>
      <c r="CC241">
        <v>6.2339653968811035</v>
      </c>
      <c r="CD241" t="s">
        <v>617</v>
      </c>
      <c r="CE241" t="s">
        <v>623</v>
      </c>
    </row>
    <row r="242" spans="1:83" ht="12.75" customHeight="1">
      <c r="A242" t="s">
        <v>655</v>
      </c>
      <c r="C242" t="s">
        <v>625</v>
      </c>
      <c r="D242">
        <v>240</v>
      </c>
      <c r="F242">
        <v>65535</v>
      </c>
      <c r="I242" t="s">
        <v>655</v>
      </c>
      <c r="AN242">
        <v>0</v>
      </c>
      <c r="AO242">
        <v>0</v>
      </c>
      <c r="AP242">
        <v>0</v>
      </c>
      <c r="AS242">
        <v>65535</v>
      </c>
      <c r="AT242">
        <v>65535</v>
      </c>
      <c r="AU242">
        <v>65535</v>
      </c>
      <c r="BI242">
        <v>0</v>
      </c>
      <c r="BK242">
        <v>0</v>
      </c>
      <c r="BL242">
        <v>0</v>
      </c>
      <c r="BP242">
        <v>65535</v>
      </c>
      <c r="BQ242">
        <v>65535</v>
      </c>
      <c r="CB242">
        <v>18.805768966674805</v>
      </c>
      <c r="CC242">
        <v>7.0398960113525391</v>
      </c>
    </row>
    <row r="243" spans="1:83" ht="12.75" customHeight="1">
      <c r="A243" t="s">
        <v>685</v>
      </c>
      <c r="C243" t="s">
        <v>625</v>
      </c>
      <c r="D243">
        <v>241</v>
      </c>
      <c r="F243">
        <v>65535</v>
      </c>
      <c r="I243" t="s">
        <v>685</v>
      </c>
      <c r="AN243">
        <v>0</v>
      </c>
      <c r="AO243">
        <v>0</v>
      </c>
      <c r="AP243">
        <v>0</v>
      </c>
      <c r="AS243">
        <v>65535</v>
      </c>
      <c r="AT243">
        <v>65535</v>
      </c>
      <c r="AU243">
        <v>65535</v>
      </c>
      <c r="BI243">
        <v>0</v>
      </c>
      <c r="BK243">
        <v>0</v>
      </c>
      <c r="BL243">
        <v>0</v>
      </c>
      <c r="BP243">
        <v>65535</v>
      </c>
      <c r="BQ243">
        <v>65535</v>
      </c>
      <c r="CB243">
        <v>18.492700576782227</v>
      </c>
      <c r="CC243">
        <v>7.2283225059509277</v>
      </c>
    </row>
    <row r="244" spans="1:83" ht="12.75" customHeight="1">
      <c r="A244" t="s">
        <v>685</v>
      </c>
      <c r="C244" t="s">
        <v>625</v>
      </c>
      <c r="D244">
        <v>242</v>
      </c>
      <c r="F244">
        <v>65535</v>
      </c>
      <c r="I244" t="s">
        <v>685</v>
      </c>
      <c r="AN244">
        <v>0</v>
      </c>
      <c r="AO244">
        <v>0</v>
      </c>
      <c r="AP244">
        <v>0</v>
      </c>
      <c r="AS244">
        <v>65535</v>
      </c>
      <c r="AT244">
        <v>65535</v>
      </c>
      <c r="AU244">
        <v>65535</v>
      </c>
      <c r="BI244">
        <v>0</v>
      </c>
      <c r="BK244">
        <v>0</v>
      </c>
      <c r="BL244">
        <v>0</v>
      </c>
      <c r="BP244">
        <v>65535</v>
      </c>
      <c r="BQ244">
        <v>65535</v>
      </c>
      <c r="CB244">
        <v>18.529254913330078</v>
      </c>
      <c r="CC244">
        <v>7.1777396202087402</v>
      </c>
    </row>
    <row r="245" spans="1:83" ht="12.75" customHeight="1">
      <c r="A245" t="s">
        <v>669</v>
      </c>
      <c r="C245" t="s">
        <v>625</v>
      </c>
      <c r="D245">
        <v>243</v>
      </c>
      <c r="F245">
        <v>65535</v>
      </c>
      <c r="I245" t="s">
        <v>669</v>
      </c>
      <c r="AN245">
        <v>0</v>
      </c>
      <c r="AO245">
        <v>0</v>
      </c>
      <c r="AP245">
        <v>0</v>
      </c>
      <c r="AS245">
        <v>65535</v>
      </c>
      <c r="AT245">
        <v>65535</v>
      </c>
      <c r="AU245">
        <v>65535</v>
      </c>
      <c r="BI245">
        <v>0</v>
      </c>
      <c r="BK245">
        <v>0</v>
      </c>
      <c r="BL245">
        <v>0</v>
      </c>
      <c r="BP245">
        <v>65535</v>
      </c>
      <c r="BQ245">
        <v>65535</v>
      </c>
      <c r="CB245">
        <v>18.574638366699219</v>
      </c>
      <c r="CC245">
        <v>7.1292800903320313</v>
      </c>
    </row>
    <row r="246" spans="1:83" ht="12.75" customHeight="1">
      <c r="A246" t="s">
        <v>716</v>
      </c>
      <c r="C246" t="s">
        <v>625</v>
      </c>
      <c r="D246">
        <v>244</v>
      </c>
      <c r="F246">
        <v>65535</v>
      </c>
      <c r="I246" t="s">
        <v>716</v>
      </c>
      <c r="AN246">
        <v>0</v>
      </c>
      <c r="AO246">
        <v>0</v>
      </c>
      <c r="AP246">
        <v>0</v>
      </c>
      <c r="AS246">
        <v>65535</v>
      </c>
      <c r="AT246">
        <v>65535</v>
      </c>
      <c r="AU246">
        <v>65535</v>
      </c>
      <c r="BI246">
        <v>0</v>
      </c>
      <c r="BK246">
        <v>0</v>
      </c>
      <c r="BL246">
        <v>0</v>
      </c>
      <c r="BP246">
        <v>65535</v>
      </c>
      <c r="BQ246">
        <v>65535</v>
      </c>
      <c r="CB246">
        <v>18.749538421630859</v>
      </c>
      <c r="CC246">
        <v>7.0867228507995605</v>
      </c>
    </row>
    <row r="247" spans="1:83" ht="12.75" customHeight="1">
      <c r="A247" t="s">
        <v>638</v>
      </c>
      <c r="C247" t="s">
        <v>625</v>
      </c>
      <c r="D247">
        <v>245</v>
      </c>
      <c r="F247">
        <v>65535</v>
      </c>
      <c r="I247" t="s">
        <v>638</v>
      </c>
      <c r="AN247">
        <v>0</v>
      </c>
      <c r="AO247">
        <v>0</v>
      </c>
      <c r="AP247">
        <v>0</v>
      </c>
      <c r="AS247">
        <v>65535</v>
      </c>
      <c r="AT247">
        <v>65535</v>
      </c>
      <c r="AU247">
        <v>65535</v>
      </c>
      <c r="BI247">
        <v>0</v>
      </c>
      <c r="BK247">
        <v>0</v>
      </c>
      <c r="BL247">
        <v>0</v>
      </c>
      <c r="BP247">
        <v>65535</v>
      </c>
      <c r="BQ247">
        <v>65535</v>
      </c>
      <c r="CB247">
        <v>18.821430206298828</v>
      </c>
      <c r="CC247">
        <v>6.9914588928222656</v>
      </c>
    </row>
    <row r="248" spans="1:83" ht="12.75" customHeight="1">
      <c r="A248" t="s">
        <v>717</v>
      </c>
      <c r="C248" t="s">
        <v>625</v>
      </c>
      <c r="D248">
        <v>246</v>
      </c>
      <c r="F248">
        <v>65535</v>
      </c>
      <c r="I248" t="s">
        <v>717</v>
      </c>
      <c r="AN248">
        <v>0</v>
      </c>
      <c r="AO248">
        <v>0</v>
      </c>
      <c r="AP248">
        <v>0</v>
      </c>
      <c r="AS248">
        <v>65535</v>
      </c>
      <c r="AT248">
        <v>65535</v>
      </c>
      <c r="AU248">
        <v>65535</v>
      </c>
      <c r="BI248">
        <v>0</v>
      </c>
      <c r="BK248">
        <v>0</v>
      </c>
      <c r="BL248">
        <v>0</v>
      </c>
      <c r="BP248">
        <v>65535</v>
      </c>
      <c r="BQ248">
        <v>65535</v>
      </c>
      <c r="CB248">
        <v>18.728414535522461</v>
      </c>
      <c r="CC248">
        <v>6.9694499969482422</v>
      </c>
    </row>
    <row r="249" spans="1:83" ht="12.75" customHeight="1">
      <c r="A249" t="s">
        <v>670</v>
      </c>
      <c r="C249" t="s">
        <v>625</v>
      </c>
      <c r="D249">
        <v>247</v>
      </c>
      <c r="F249">
        <v>65535</v>
      </c>
      <c r="I249" t="s">
        <v>670</v>
      </c>
      <c r="AN249">
        <v>0</v>
      </c>
      <c r="AO249">
        <v>0</v>
      </c>
      <c r="AP249">
        <v>0</v>
      </c>
      <c r="AS249">
        <v>65535</v>
      </c>
      <c r="AT249">
        <v>65535</v>
      </c>
      <c r="AU249">
        <v>65535</v>
      </c>
      <c r="BI249">
        <v>0</v>
      </c>
      <c r="BK249">
        <v>0</v>
      </c>
      <c r="BL249">
        <v>0</v>
      </c>
      <c r="BP249">
        <v>65535</v>
      </c>
      <c r="BQ249">
        <v>65535</v>
      </c>
      <c r="CB249">
        <v>18.484682083129883</v>
      </c>
      <c r="CC249">
        <v>7.2198801040649414</v>
      </c>
    </row>
    <row r="250" spans="1:83" ht="12.75" customHeight="1">
      <c r="A250" t="s">
        <v>670</v>
      </c>
      <c r="C250" t="s">
        <v>625</v>
      </c>
      <c r="D250">
        <v>248</v>
      </c>
      <c r="F250">
        <v>65535</v>
      </c>
      <c r="I250" t="s">
        <v>670</v>
      </c>
      <c r="AN250">
        <v>0</v>
      </c>
      <c r="AO250">
        <v>0</v>
      </c>
      <c r="AP250">
        <v>0</v>
      </c>
      <c r="AS250">
        <v>65535</v>
      </c>
      <c r="AT250">
        <v>65535</v>
      </c>
      <c r="AU250">
        <v>65535</v>
      </c>
      <c r="BI250">
        <v>0</v>
      </c>
      <c r="BK250">
        <v>0</v>
      </c>
      <c r="BL250">
        <v>0</v>
      </c>
      <c r="BP250">
        <v>65535</v>
      </c>
      <c r="BQ250">
        <v>65535</v>
      </c>
      <c r="CB250">
        <v>18.636116027832031</v>
      </c>
      <c r="CC250">
        <v>7.1381616592407227</v>
      </c>
    </row>
    <row r="251" spans="1:83" ht="12.75" customHeight="1">
      <c r="A251" t="s">
        <v>640</v>
      </c>
      <c r="C251" t="s">
        <v>625</v>
      </c>
      <c r="D251">
        <v>249</v>
      </c>
      <c r="F251">
        <v>65535</v>
      </c>
      <c r="I251" t="s">
        <v>640</v>
      </c>
      <c r="AN251">
        <v>0</v>
      </c>
      <c r="AO251">
        <v>0</v>
      </c>
      <c r="AP251">
        <v>0</v>
      </c>
      <c r="AS251">
        <v>65535</v>
      </c>
      <c r="AT251">
        <v>65535</v>
      </c>
      <c r="AU251">
        <v>65535</v>
      </c>
      <c r="BI251">
        <v>0</v>
      </c>
      <c r="BK251">
        <v>0</v>
      </c>
      <c r="BL251">
        <v>0</v>
      </c>
      <c r="BP251">
        <v>65535</v>
      </c>
      <c r="BQ251">
        <v>65535</v>
      </c>
      <c r="CB251">
        <v>18.749538421630859</v>
      </c>
      <c r="CC251">
        <v>7.0867228507995605</v>
      </c>
      <c r="CD251" t="s">
        <v>616</v>
      </c>
      <c r="CE251" t="s">
        <v>619</v>
      </c>
    </row>
    <row r="252" spans="1:83" ht="12.75" customHeight="1">
      <c r="A252" t="s">
        <v>718</v>
      </c>
      <c r="C252" t="s">
        <v>625</v>
      </c>
      <c r="D252">
        <v>250</v>
      </c>
      <c r="F252">
        <v>65535</v>
      </c>
      <c r="I252" t="s">
        <v>718</v>
      </c>
      <c r="AN252">
        <v>0</v>
      </c>
      <c r="AO252">
        <v>0</v>
      </c>
      <c r="AP252">
        <v>0</v>
      </c>
      <c r="AS252">
        <v>65535</v>
      </c>
      <c r="AT252">
        <v>65535</v>
      </c>
      <c r="AU252">
        <v>65535</v>
      </c>
      <c r="BI252">
        <v>0</v>
      </c>
      <c r="BK252">
        <v>0</v>
      </c>
      <c r="BL252">
        <v>0</v>
      </c>
      <c r="BP252">
        <v>65535</v>
      </c>
      <c r="BQ252">
        <v>65535</v>
      </c>
      <c r="CB252">
        <v>18.821430206298828</v>
      </c>
      <c r="CC252">
        <v>6.9914588928222656</v>
      </c>
    </row>
    <row r="253" spans="1:83" ht="12.75" customHeight="1">
      <c r="A253" t="s">
        <v>634</v>
      </c>
      <c r="C253" t="s">
        <v>625</v>
      </c>
      <c r="D253">
        <v>251</v>
      </c>
      <c r="F253">
        <v>65535</v>
      </c>
      <c r="I253" t="s">
        <v>634</v>
      </c>
      <c r="AN253">
        <v>0</v>
      </c>
      <c r="AO253">
        <v>0</v>
      </c>
      <c r="AP253">
        <v>0</v>
      </c>
      <c r="AS253">
        <v>65535</v>
      </c>
      <c r="AT253">
        <v>65535</v>
      </c>
      <c r="AU253">
        <v>65535</v>
      </c>
      <c r="BI253">
        <v>0</v>
      </c>
      <c r="BK253">
        <v>0</v>
      </c>
      <c r="BL253">
        <v>0</v>
      </c>
      <c r="BP253">
        <v>65535</v>
      </c>
      <c r="BQ253">
        <v>65535</v>
      </c>
      <c r="CB253">
        <v>18.728414535522461</v>
      </c>
      <c r="CC253">
        <v>6.9694499969482422</v>
      </c>
    </row>
    <row r="254" spans="1:83" ht="12.75" customHeight="1">
      <c r="A254" t="s">
        <v>719</v>
      </c>
      <c r="C254" t="s">
        <v>625</v>
      </c>
      <c r="D254">
        <v>252</v>
      </c>
      <c r="F254">
        <v>65535</v>
      </c>
      <c r="I254" t="s">
        <v>719</v>
      </c>
      <c r="AN254">
        <v>0</v>
      </c>
      <c r="AO254">
        <v>0</v>
      </c>
      <c r="AP254">
        <v>0</v>
      </c>
      <c r="AS254">
        <v>65535</v>
      </c>
      <c r="AT254">
        <v>65535</v>
      </c>
      <c r="AU254">
        <v>65535</v>
      </c>
      <c r="BI254">
        <v>0</v>
      </c>
      <c r="BK254">
        <v>0</v>
      </c>
      <c r="BL254">
        <v>0</v>
      </c>
      <c r="BP254">
        <v>65535</v>
      </c>
      <c r="BQ254">
        <v>65535</v>
      </c>
      <c r="CB254">
        <v>18.484682083129883</v>
      </c>
      <c r="CC254">
        <v>7.2198801040649414</v>
      </c>
    </row>
    <row r="255" spans="1:83" ht="12.75" customHeight="1">
      <c r="A255" t="s">
        <v>620</v>
      </c>
      <c r="C255" t="s">
        <v>625</v>
      </c>
      <c r="D255">
        <v>253</v>
      </c>
      <c r="F255">
        <v>65535</v>
      </c>
      <c r="I255" t="s">
        <v>620</v>
      </c>
      <c r="R255">
        <v>7.8000001907348633</v>
      </c>
      <c r="T255">
        <v>32.759998321533203</v>
      </c>
      <c r="W255" s="514">
        <v>44245.74291666667</v>
      </c>
      <c r="AN255">
        <v>0</v>
      </c>
      <c r="AO255">
        <v>0</v>
      </c>
      <c r="AP255">
        <v>0</v>
      </c>
      <c r="AS255">
        <v>0</v>
      </c>
      <c r="AT255">
        <v>0</v>
      </c>
      <c r="AU255">
        <v>0</v>
      </c>
      <c r="AW255">
        <v>0</v>
      </c>
      <c r="AZ255">
        <v>0</v>
      </c>
      <c r="BA255">
        <v>-5.4153113160282373E-4</v>
      </c>
      <c r="BB255">
        <v>0</v>
      </c>
      <c r="BC255">
        <v>10.747062683105469</v>
      </c>
      <c r="BD255">
        <v>-10.746562957763672</v>
      </c>
      <c r="BI255">
        <v>0</v>
      </c>
      <c r="BJ255">
        <v>0</v>
      </c>
      <c r="BK255">
        <v>0</v>
      </c>
      <c r="BL255">
        <v>0</v>
      </c>
      <c r="BM255">
        <v>8.7486061058570168E-26</v>
      </c>
      <c r="BN255">
        <v>2.322296142578125</v>
      </c>
      <c r="BP255">
        <v>65535</v>
      </c>
      <c r="BQ255">
        <v>65535</v>
      </c>
      <c r="BR255">
        <v>0</v>
      </c>
      <c r="BS255">
        <v>-5.4153113160282373E-4</v>
      </c>
      <c r="BT255">
        <v>0</v>
      </c>
      <c r="BU255">
        <v>10.747062683105469</v>
      </c>
      <c r="BV255">
        <v>-10.746562957763672</v>
      </c>
      <c r="BW255" t="s">
        <v>615</v>
      </c>
      <c r="BX255">
        <v>8.7486061058570168E-26</v>
      </c>
      <c r="BY255">
        <v>2.322296142578125</v>
      </c>
      <c r="CB255">
        <v>18.636116027832031</v>
      </c>
      <c r="CC255">
        <v>7.1381616592407227</v>
      </c>
      <c r="CD255" t="s">
        <v>622</v>
      </c>
      <c r="CE255" t="s">
        <v>623</v>
      </c>
    </row>
    <row r="256" spans="1:83" ht="12.75" customHeight="1">
      <c r="A256" t="s">
        <v>720</v>
      </c>
      <c r="C256" t="s">
        <v>635</v>
      </c>
      <c r="D256">
        <v>254</v>
      </c>
      <c r="F256">
        <v>65535</v>
      </c>
      <c r="I256" t="s">
        <v>720</v>
      </c>
      <c r="R256">
        <v>7.8000001907348633</v>
      </c>
      <c r="T256">
        <v>32.759998321533203</v>
      </c>
      <c r="W256" s="514">
        <v>44245.74291666667</v>
      </c>
      <c r="AN256">
        <v>0</v>
      </c>
      <c r="AO256">
        <v>0</v>
      </c>
      <c r="AP256">
        <v>0</v>
      </c>
      <c r="AS256">
        <v>0</v>
      </c>
      <c r="AT256">
        <v>0</v>
      </c>
      <c r="AU256">
        <v>0</v>
      </c>
      <c r="AW256">
        <v>0</v>
      </c>
      <c r="AZ256">
        <v>0</v>
      </c>
      <c r="BA256">
        <v>-5.4153113160282373E-4</v>
      </c>
      <c r="BB256">
        <v>0</v>
      </c>
      <c r="BC256">
        <v>10.747062683105469</v>
      </c>
      <c r="BD256">
        <v>-10.746562957763672</v>
      </c>
      <c r="BI256">
        <v>0</v>
      </c>
      <c r="BJ256">
        <v>0</v>
      </c>
      <c r="BK256">
        <v>0</v>
      </c>
      <c r="BL256">
        <v>0</v>
      </c>
      <c r="BM256">
        <v>8.7486061058570168E-26</v>
      </c>
      <c r="BN256">
        <v>2.322296142578125</v>
      </c>
      <c r="BP256">
        <v>65535</v>
      </c>
      <c r="BQ256">
        <v>65535</v>
      </c>
      <c r="BR256">
        <v>0</v>
      </c>
      <c r="BS256">
        <v>-5.4153113160282373E-4</v>
      </c>
      <c r="BT256">
        <v>0</v>
      </c>
      <c r="BU256">
        <v>10.747062683105469</v>
      </c>
      <c r="BV256">
        <v>-10.746562957763672</v>
      </c>
      <c r="BW256" t="s">
        <v>615</v>
      </c>
      <c r="BX256">
        <v>8.7486061058570168E-26</v>
      </c>
      <c r="BY256">
        <v>2.322296142578125</v>
      </c>
      <c r="CB256">
        <v>18.650167465209961</v>
      </c>
      <c r="CC256">
        <v>7.1862478256225586</v>
      </c>
      <c r="CD256" t="s">
        <v>622</v>
      </c>
      <c r="CE256" t="s">
        <v>623</v>
      </c>
    </row>
    <row r="257" spans="1:83" ht="12.75" customHeight="1">
      <c r="A257" t="s">
        <v>660</v>
      </c>
      <c r="C257" t="s">
        <v>635</v>
      </c>
      <c r="D257">
        <v>255</v>
      </c>
      <c r="F257">
        <v>65535</v>
      </c>
      <c r="I257" t="s">
        <v>660</v>
      </c>
      <c r="R257">
        <v>7.8000001907348633</v>
      </c>
      <c r="T257">
        <v>32.759998321533203</v>
      </c>
      <c r="W257" s="514">
        <v>44245.74291666667</v>
      </c>
      <c r="AN257">
        <v>0</v>
      </c>
      <c r="AO257">
        <v>0</v>
      </c>
      <c r="AP257">
        <v>0</v>
      </c>
      <c r="AS257">
        <v>0</v>
      </c>
      <c r="AT257">
        <v>0</v>
      </c>
      <c r="AU257">
        <v>0</v>
      </c>
      <c r="AW257">
        <v>0</v>
      </c>
      <c r="AZ257">
        <v>0</v>
      </c>
      <c r="BA257">
        <v>-5.4153113160282373E-4</v>
      </c>
      <c r="BB257">
        <v>0</v>
      </c>
      <c r="BC257">
        <v>10.747062683105469</v>
      </c>
      <c r="BD257">
        <v>-10.746562957763672</v>
      </c>
      <c r="BI257">
        <v>0</v>
      </c>
      <c r="BJ257">
        <v>0</v>
      </c>
      <c r="BK257">
        <v>0</v>
      </c>
      <c r="BL257">
        <v>0</v>
      </c>
      <c r="BM257">
        <v>8.7486061058570168E-26</v>
      </c>
      <c r="BN257">
        <v>2.322296142578125</v>
      </c>
      <c r="BP257">
        <v>65535</v>
      </c>
      <c r="BQ257">
        <v>65535</v>
      </c>
      <c r="BR257">
        <v>0</v>
      </c>
      <c r="BS257">
        <v>-5.4153113160282373E-4</v>
      </c>
      <c r="BT257">
        <v>0</v>
      </c>
      <c r="BU257">
        <v>10.747062683105469</v>
      </c>
      <c r="BV257">
        <v>-10.746562957763672</v>
      </c>
      <c r="BW257" t="s">
        <v>615</v>
      </c>
      <c r="BX257">
        <v>8.7486061058570168E-26</v>
      </c>
      <c r="BY257">
        <v>2.322296142578125</v>
      </c>
      <c r="CB257">
        <v>19.24894905090332</v>
      </c>
      <c r="CC257">
        <v>6.8145103454589844</v>
      </c>
      <c r="CD257" t="s">
        <v>616</v>
      </c>
      <c r="CE257" t="s">
        <v>619</v>
      </c>
    </row>
    <row r="258" spans="1:83" ht="12.75" customHeight="1">
      <c r="A258" t="s">
        <v>660</v>
      </c>
      <c r="C258" t="s">
        <v>635</v>
      </c>
      <c r="D258">
        <v>256</v>
      </c>
      <c r="F258">
        <v>65535</v>
      </c>
      <c r="I258" t="s">
        <v>660</v>
      </c>
      <c r="R258">
        <v>7.8000001907348633</v>
      </c>
      <c r="T258">
        <v>32.759998321533203</v>
      </c>
      <c r="W258" s="514">
        <v>44245.74291666667</v>
      </c>
      <c r="AN258">
        <v>0</v>
      </c>
      <c r="AO258">
        <v>0</v>
      </c>
      <c r="AP258">
        <v>0</v>
      </c>
      <c r="AS258">
        <v>0</v>
      </c>
      <c r="AT258">
        <v>0</v>
      </c>
      <c r="AU258">
        <v>0</v>
      </c>
      <c r="AW258">
        <v>0</v>
      </c>
      <c r="AZ258">
        <v>0</v>
      </c>
      <c r="BA258">
        <v>-5.4153113160282373E-4</v>
      </c>
      <c r="BB258">
        <v>0</v>
      </c>
      <c r="BC258">
        <v>10.747062683105469</v>
      </c>
      <c r="BD258">
        <v>-10.746562957763672</v>
      </c>
      <c r="BI258">
        <v>0</v>
      </c>
      <c r="BJ258">
        <v>0</v>
      </c>
      <c r="BK258">
        <v>0</v>
      </c>
      <c r="BL258">
        <v>0</v>
      </c>
      <c r="BM258">
        <v>8.7486061058570168E-26</v>
      </c>
      <c r="BN258">
        <v>2.322296142578125</v>
      </c>
      <c r="BP258">
        <v>65535</v>
      </c>
      <c r="BQ258">
        <v>65535</v>
      </c>
      <c r="BR258">
        <v>0</v>
      </c>
      <c r="BS258">
        <v>-5.4153113160282373E-4</v>
      </c>
      <c r="BT258">
        <v>0</v>
      </c>
      <c r="BU258">
        <v>10.747062683105469</v>
      </c>
      <c r="BV258">
        <v>-10.746562957763672</v>
      </c>
      <c r="BW258" t="s">
        <v>615</v>
      </c>
      <c r="BX258">
        <v>8.7486061058570168E-26</v>
      </c>
      <c r="BY258">
        <v>2.322296142578125</v>
      </c>
      <c r="CB258">
        <v>24.933876037597656</v>
      </c>
      <c r="CC258">
        <v>3.0086116790771484</v>
      </c>
      <c r="CD258" t="s">
        <v>616</v>
      </c>
      <c r="CE258" t="s">
        <v>619</v>
      </c>
    </row>
    <row r="259" spans="1:83" ht="12.75" customHeight="1">
      <c r="A259" t="s">
        <v>636</v>
      </c>
      <c r="C259" t="s">
        <v>625</v>
      </c>
      <c r="D259">
        <v>257</v>
      </c>
      <c r="F259">
        <v>65535</v>
      </c>
      <c r="I259" t="s">
        <v>636</v>
      </c>
      <c r="R259">
        <v>7.8000001907348633</v>
      </c>
      <c r="T259">
        <v>32.759998321533203</v>
      </c>
      <c r="W259" s="514">
        <v>44245.74291666667</v>
      </c>
      <c r="AN259">
        <v>0</v>
      </c>
      <c r="AO259">
        <v>0</v>
      </c>
      <c r="AP259">
        <v>0</v>
      </c>
      <c r="AS259">
        <v>0</v>
      </c>
      <c r="AT259">
        <v>0</v>
      </c>
      <c r="AU259">
        <v>0</v>
      </c>
      <c r="AW259">
        <v>0</v>
      </c>
      <c r="AZ259">
        <v>0</v>
      </c>
      <c r="BA259">
        <v>-5.4153113160282373E-4</v>
      </c>
      <c r="BB259">
        <v>0</v>
      </c>
      <c r="BC259">
        <v>10.747062683105469</v>
      </c>
      <c r="BD259">
        <v>-10.746562957763672</v>
      </c>
      <c r="BI259">
        <v>0</v>
      </c>
      <c r="BJ259">
        <v>0</v>
      </c>
      <c r="BK259">
        <v>0</v>
      </c>
      <c r="BL259">
        <v>0</v>
      </c>
      <c r="BM259">
        <v>8.7486061058570168E-26</v>
      </c>
      <c r="BN259">
        <v>2.322296142578125</v>
      </c>
      <c r="BP259">
        <v>65535</v>
      </c>
      <c r="BQ259">
        <v>65535</v>
      </c>
      <c r="BR259">
        <v>0</v>
      </c>
      <c r="BS259">
        <v>-5.4153113160282373E-4</v>
      </c>
      <c r="BT259">
        <v>0</v>
      </c>
      <c r="BU259">
        <v>10.747062683105469</v>
      </c>
      <c r="BV259">
        <v>-10.746562957763672</v>
      </c>
      <c r="BW259" t="s">
        <v>615</v>
      </c>
      <c r="BX259">
        <v>8.7486061058570168E-26</v>
      </c>
      <c r="BY259">
        <v>2.322296142578125</v>
      </c>
      <c r="CB259">
        <v>19.252382278442383</v>
      </c>
      <c r="CC259">
        <v>6.6991314888000488</v>
      </c>
    </row>
    <row r="260" spans="1:83" ht="12.75" customHeight="1">
      <c r="A260" t="s">
        <v>707</v>
      </c>
      <c r="C260" t="s">
        <v>625</v>
      </c>
      <c r="D260">
        <v>258</v>
      </c>
      <c r="F260">
        <v>65535</v>
      </c>
      <c r="I260" t="s">
        <v>707</v>
      </c>
      <c r="AN260">
        <v>0</v>
      </c>
      <c r="AO260">
        <v>0</v>
      </c>
      <c r="AP260">
        <v>0</v>
      </c>
      <c r="AS260">
        <v>65535</v>
      </c>
      <c r="AT260">
        <v>65535</v>
      </c>
      <c r="AU260">
        <v>65535</v>
      </c>
      <c r="BI260">
        <v>0</v>
      </c>
      <c r="BK260">
        <v>0</v>
      </c>
      <c r="BL260">
        <v>0</v>
      </c>
      <c r="BP260">
        <v>65535</v>
      </c>
      <c r="BQ260">
        <v>65535</v>
      </c>
      <c r="CB260">
        <v>18.400123596191406</v>
      </c>
      <c r="CC260">
        <v>7.4688544273376465</v>
      </c>
      <c r="CD260" t="s">
        <v>617</v>
      </c>
      <c r="CE260" t="s">
        <v>623</v>
      </c>
    </row>
    <row r="261" spans="1:83" ht="12.75" customHeight="1">
      <c r="A261" t="s">
        <v>633</v>
      </c>
      <c r="C261" t="s">
        <v>625</v>
      </c>
      <c r="D261">
        <v>259</v>
      </c>
      <c r="F261">
        <v>65535</v>
      </c>
      <c r="I261" t="s">
        <v>633</v>
      </c>
      <c r="AN261">
        <v>0</v>
      </c>
      <c r="AO261">
        <v>0</v>
      </c>
      <c r="AP261">
        <v>0</v>
      </c>
      <c r="AS261">
        <v>65535</v>
      </c>
      <c r="AT261">
        <v>65535</v>
      </c>
      <c r="AU261">
        <v>65535</v>
      </c>
      <c r="BI261">
        <v>0</v>
      </c>
      <c r="BK261">
        <v>0</v>
      </c>
      <c r="BL261">
        <v>0</v>
      </c>
      <c r="BP261">
        <v>65535</v>
      </c>
      <c r="BQ261">
        <v>65535</v>
      </c>
      <c r="CB261">
        <v>22.04890251159668</v>
      </c>
      <c r="CC261">
        <v>5.0117206573486328</v>
      </c>
      <c r="CD261" t="s">
        <v>622</v>
      </c>
      <c r="CE261" t="s">
        <v>623</v>
      </c>
    </row>
    <row r="262" spans="1:83" ht="12.75" customHeight="1">
      <c r="A262" t="s">
        <v>657</v>
      </c>
      <c r="C262" t="s">
        <v>635</v>
      </c>
      <c r="D262">
        <v>260</v>
      </c>
      <c r="F262">
        <v>65535</v>
      </c>
      <c r="I262" t="s">
        <v>657</v>
      </c>
      <c r="AN262">
        <v>0</v>
      </c>
      <c r="AO262">
        <v>0</v>
      </c>
      <c r="AP262">
        <v>0</v>
      </c>
      <c r="AS262">
        <v>65535</v>
      </c>
      <c r="AT262">
        <v>65535</v>
      </c>
      <c r="AU262">
        <v>65535</v>
      </c>
      <c r="BI262">
        <v>0</v>
      </c>
      <c r="BK262">
        <v>0</v>
      </c>
      <c r="BL262">
        <v>0</v>
      </c>
      <c r="BP262">
        <v>65535</v>
      </c>
      <c r="BQ262">
        <v>65535</v>
      </c>
      <c r="CB262">
        <v>22.215604782104492</v>
      </c>
      <c r="CC262">
        <v>4.6069068908691406</v>
      </c>
      <c r="CD262" t="s">
        <v>631</v>
      </c>
      <c r="CE262" t="s">
        <v>632</v>
      </c>
    </row>
    <row r="263" spans="1:83" ht="12.75" customHeight="1">
      <c r="A263" t="s">
        <v>634</v>
      </c>
      <c r="C263" t="s">
        <v>625</v>
      </c>
      <c r="D263">
        <v>261</v>
      </c>
      <c r="F263">
        <v>65535</v>
      </c>
      <c r="I263" t="s">
        <v>634</v>
      </c>
      <c r="AN263">
        <v>0</v>
      </c>
      <c r="AO263">
        <v>0</v>
      </c>
      <c r="AP263">
        <v>0</v>
      </c>
      <c r="AS263">
        <v>65535</v>
      </c>
      <c r="AT263">
        <v>65535</v>
      </c>
      <c r="AU263">
        <v>65535</v>
      </c>
      <c r="BI263">
        <v>0</v>
      </c>
      <c r="BK263">
        <v>0</v>
      </c>
      <c r="BL263">
        <v>0</v>
      </c>
      <c r="BP263">
        <v>65535</v>
      </c>
      <c r="BQ263">
        <v>65535</v>
      </c>
      <c r="CB263">
        <v>19.745401382446289</v>
      </c>
      <c r="CC263">
        <v>6.2339653968811035</v>
      </c>
    </row>
    <row r="264" spans="1:83" ht="12.75" customHeight="1">
      <c r="A264" t="s">
        <v>639</v>
      </c>
      <c r="C264" t="s">
        <v>625</v>
      </c>
      <c r="D264">
        <v>262</v>
      </c>
      <c r="F264">
        <v>65535</v>
      </c>
      <c r="I264" t="s">
        <v>639</v>
      </c>
      <c r="R264">
        <v>7.8000001907348633</v>
      </c>
      <c r="T264">
        <v>32.759998321533203</v>
      </c>
      <c r="W264" s="514">
        <v>44245.74291666667</v>
      </c>
      <c r="AN264">
        <v>0</v>
      </c>
      <c r="AO264">
        <v>0</v>
      </c>
      <c r="AP264">
        <v>0</v>
      </c>
      <c r="AS264">
        <v>0</v>
      </c>
      <c r="AT264">
        <v>0</v>
      </c>
      <c r="AU264">
        <v>0</v>
      </c>
      <c r="AW264">
        <v>0</v>
      </c>
      <c r="AZ264">
        <v>0</v>
      </c>
      <c r="BA264">
        <v>-5.4153113160282373E-4</v>
      </c>
      <c r="BB264">
        <v>0</v>
      </c>
      <c r="BC264">
        <v>10.747062683105469</v>
      </c>
      <c r="BD264">
        <v>-10.746562957763672</v>
      </c>
      <c r="BI264">
        <v>0</v>
      </c>
      <c r="BJ264">
        <v>0</v>
      </c>
      <c r="BK264">
        <v>0</v>
      </c>
      <c r="BL264">
        <v>0</v>
      </c>
      <c r="BM264">
        <v>8.7486061058570168E-26</v>
      </c>
      <c r="BN264">
        <v>2.322296142578125</v>
      </c>
      <c r="BP264">
        <v>65535</v>
      </c>
      <c r="BQ264">
        <v>65535</v>
      </c>
      <c r="BR264">
        <v>0</v>
      </c>
      <c r="BS264">
        <v>-5.4153113160282373E-4</v>
      </c>
      <c r="BT264">
        <v>0</v>
      </c>
      <c r="BU264">
        <v>10.747062683105469</v>
      </c>
      <c r="BV264">
        <v>-10.746562957763672</v>
      </c>
      <c r="BW264" t="s">
        <v>615</v>
      </c>
      <c r="BX264">
        <v>8.7486061058570168E-26</v>
      </c>
      <c r="BY264">
        <v>2.322296142578125</v>
      </c>
      <c r="CB264">
        <v>18.805768966674805</v>
      </c>
      <c r="CC264">
        <v>7.0398960113525391</v>
      </c>
    </row>
    <row r="265" spans="1:83" ht="12.75" customHeight="1">
      <c r="A265" t="s">
        <v>721</v>
      </c>
      <c r="C265" t="s">
        <v>625</v>
      </c>
      <c r="D265">
        <v>263</v>
      </c>
      <c r="F265">
        <v>65535</v>
      </c>
      <c r="I265" t="s">
        <v>721</v>
      </c>
      <c r="R265">
        <v>9.6799955368041992</v>
      </c>
      <c r="T265">
        <v>40.655982971191406</v>
      </c>
      <c r="W265" s="514">
        <v>44245.743148148147</v>
      </c>
      <c r="AN265">
        <v>0</v>
      </c>
      <c r="AO265">
        <v>0</v>
      </c>
      <c r="AP265">
        <v>0</v>
      </c>
      <c r="AS265">
        <v>0</v>
      </c>
      <c r="AT265">
        <v>0</v>
      </c>
      <c r="AU265">
        <v>0</v>
      </c>
      <c r="AW265">
        <v>0</v>
      </c>
      <c r="AZ265">
        <v>0</v>
      </c>
      <c r="BA265">
        <v>-5.5054493714123964E-4</v>
      </c>
      <c r="BB265">
        <v>0</v>
      </c>
      <c r="BC265">
        <v>12.508903503417969</v>
      </c>
      <c r="BD265">
        <v>-12.508347511291504</v>
      </c>
      <c r="BI265">
        <v>0</v>
      </c>
      <c r="BJ265">
        <v>0</v>
      </c>
      <c r="BK265">
        <v>0</v>
      </c>
      <c r="BL265">
        <v>0</v>
      </c>
      <c r="BM265">
        <v>-4.3204150418412169E-38</v>
      </c>
      <c r="BN265">
        <v>2.421844482421875</v>
      </c>
      <c r="BP265">
        <v>65535</v>
      </c>
      <c r="BQ265">
        <v>65535</v>
      </c>
      <c r="BR265">
        <v>0</v>
      </c>
      <c r="BS265">
        <v>-5.5054493714123964E-4</v>
      </c>
      <c r="BT265">
        <v>0</v>
      </c>
      <c r="BU265">
        <v>12.508903503417969</v>
      </c>
      <c r="BV265">
        <v>-12.508347511291504</v>
      </c>
      <c r="BW265" t="s">
        <v>615</v>
      </c>
      <c r="BX265">
        <v>-4.3204150418412169E-38</v>
      </c>
      <c r="BY265">
        <v>2.421844482421875</v>
      </c>
      <c r="CB265">
        <v>18.492700576782227</v>
      </c>
      <c r="CC265">
        <v>7.2283225059509277</v>
      </c>
    </row>
    <row r="266" spans="1:83" ht="12.75" customHeight="1">
      <c r="A266" t="s">
        <v>722</v>
      </c>
      <c r="C266" t="s">
        <v>625</v>
      </c>
      <c r="D266">
        <v>264</v>
      </c>
      <c r="F266">
        <v>65535</v>
      </c>
      <c r="I266" t="s">
        <v>722</v>
      </c>
      <c r="R266">
        <v>9.8799972534179688</v>
      </c>
      <c r="T266">
        <v>41.495990753173828</v>
      </c>
      <c r="W266" s="514">
        <v>44245.74322916667</v>
      </c>
      <c r="AN266">
        <v>0</v>
      </c>
      <c r="AO266">
        <v>0</v>
      </c>
      <c r="AP266">
        <v>0</v>
      </c>
      <c r="AS266">
        <v>0</v>
      </c>
      <c r="AT266">
        <v>0</v>
      </c>
      <c r="AU266">
        <v>0</v>
      </c>
      <c r="AW266">
        <v>0</v>
      </c>
      <c r="AZ266">
        <v>0</v>
      </c>
      <c r="BA266">
        <v>-2.8288067551329732E-4</v>
      </c>
      <c r="BB266">
        <v>0</v>
      </c>
      <c r="BC266">
        <v>4.7528228759765625</v>
      </c>
      <c r="BD266">
        <v>-4.7525448799133301</v>
      </c>
      <c r="BI266">
        <v>0</v>
      </c>
      <c r="BJ266">
        <v>0</v>
      </c>
      <c r="BK266">
        <v>0</v>
      </c>
      <c r="BL266">
        <v>0</v>
      </c>
      <c r="BM266">
        <v>-4.7373144452570807E-24</v>
      </c>
      <c r="BN266">
        <v>-0.231048583984375</v>
      </c>
      <c r="BP266">
        <v>65535</v>
      </c>
      <c r="BQ266">
        <v>65535</v>
      </c>
      <c r="BR266">
        <v>0</v>
      </c>
      <c r="BS266">
        <v>-2.8288067551329732E-4</v>
      </c>
      <c r="BT266">
        <v>0</v>
      </c>
      <c r="BU266">
        <v>4.7528228759765625</v>
      </c>
      <c r="BV266">
        <v>-4.7525448799133301</v>
      </c>
      <c r="BW266" t="s">
        <v>615</v>
      </c>
      <c r="BX266">
        <v>-4.7373144452570807E-24</v>
      </c>
      <c r="BY266">
        <v>-0.231048583984375</v>
      </c>
      <c r="CB266">
        <v>18.529254913330078</v>
      </c>
      <c r="CC266">
        <v>7.1777396202087402</v>
      </c>
    </row>
    <row r="267" spans="1:83" ht="12.75" customHeight="1">
      <c r="A267" t="s">
        <v>674</v>
      </c>
      <c r="C267" t="s">
        <v>625</v>
      </c>
      <c r="D267">
        <v>265</v>
      </c>
      <c r="F267">
        <v>65535</v>
      </c>
      <c r="I267" t="s">
        <v>674</v>
      </c>
      <c r="R267">
        <v>9.8799972534179688</v>
      </c>
      <c r="T267">
        <v>41.495990753173828</v>
      </c>
      <c r="W267" s="514">
        <v>44245.74322916667</v>
      </c>
      <c r="AN267">
        <v>0</v>
      </c>
      <c r="AO267">
        <v>0</v>
      </c>
      <c r="AP267">
        <v>0</v>
      </c>
      <c r="AS267">
        <v>0</v>
      </c>
      <c r="AT267">
        <v>0</v>
      </c>
      <c r="AU267">
        <v>0</v>
      </c>
      <c r="AW267">
        <v>0</v>
      </c>
      <c r="AZ267">
        <v>0</v>
      </c>
      <c r="BA267">
        <v>-2.8288067551329732E-4</v>
      </c>
      <c r="BB267">
        <v>0</v>
      </c>
      <c r="BC267">
        <v>4.7528228759765625</v>
      </c>
      <c r="BD267">
        <v>-4.7525448799133301</v>
      </c>
      <c r="BI267">
        <v>0</v>
      </c>
      <c r="BJ267">
        <v>0</v>
      </c>
      <c r="BK267">
        <v>0</v>
      </c>
      <c r="BL267">
        <v>0</v>
      </c>
      <c r="BM267">
        <v>-4.7373144452570807E-24</v>
      </c>
      <c r="BN267">
        <v>-0.231048583984375</v>
      </c>
      <c r="BP267">
        <v>65535</v>
      </c>
      <c r="BQ267">
        <v>65535</v>
      </c>
      <c r="BR267">
        <v>0</v>
      </c>
      <c r="BS267">
        <v>-2.8288067551329732E-4</v>
      </c>
      <c r="BT267">
        <v>0</v>
      </c>
      <c r="BU267">
        <v>4.7528228759765625</v>
      </c>
      <c r="BV267">
        <v>-4.7525448799133301</v>
      </c>
      <c r="BW267" t="s">
        <v>615</v>
      </c>
      <c r="BX267">
        <v>-4.7373144452570807E-24</v>
      </c>
      <c r="BY267">
        <v>-0.231048583984375</v>
      </c>
      <c r="CB267">
        <v>18.574638366699219</v>
      </c>
      <c r="CC267">
        <v>7.1292800903320313</v>
      </c>
      <c r="CD267" t="s">
        <v>616</v>
      </c>
      <c r="CE267" t="s">
        <v>619</v>
      </c>
    </row>
    <row r="268" spans="1:83" ht="12.75" customHeight="1">
      <c r="A268" t="s">
        <v>723</v>
      </c>
      <c r="C268" t="s">
        <v>625</v>
      </c>
      <c r="D268">
        <v>266</v>
      </c>
      <c r="F268">
        <v>65535</v>
      </c>
      <c r="I268" t="s">
        <v>723</v>
      </c>
      <c r="R268">
        <v>3.8399951457977295</v>
      </c>
      <c r="T268">
        <v>16.127979278564453</v>
      </c>
      <c r="W268" s="514">
        <v>44245.742754629631</v>
      </c>
      <c r="AN268">
        <v>0</v>
      </c>
      <c r="AO268">
        <v>0</v>
      </c>
      <c r="AP268">
        <v>0</v>
      </c>
      <c r="AS268">
        <v>0</v>
      </c>
      <c r="AT268">
        <v>0</v>
      </c>
      <c r="AU268">
        <v>0</v>
      </c>
      <c r="AW268">
        <v>0</v>
      </c>
      <c r="AZ268">
        <v>0</v>
      </c>
      <c r="BA268">
        <v>-5.3326052147895098E-4</v>
      </c>
      <c r="BB268">
        <v>0</v>
      </c>
      <c r="BC268">
        <v>5.2592086791992188</v>
      </c>
      <c r="BD268">
        <v>-5.2586202621459961</v>
      </c>
      <c r="BI268">
        <v>0</v>
      </c>
      <c r="BJ268">
        <v>0</v>
      </c>
      <c r="BK268">
        <v>0</v>
      </c>
      <c r="BL268">
        <v>0</v>
      </c>
      <c r="BM268">
        <v>-1.5556318127543499E+38</v>
      </c>
      <c r="BN268">
        <v>2.24871826171875</v>
      </c>
      <c r="BP268">
        <v>65535</v>
      </c>
      <c r="BQ268">
        <v>65535</v>
      </c>
      <c r="BR268">
        <v>0</v>
      </c>
      <c r="BS268">
        <v>-5.3326052147895098E-4</v>
      </c>
      <c r="BT268">
        <v>0</v>
      </c>
      <c r="BU268">
        <v>5.2592086791992188</v>
      </c>
      <c r="BV268">
        <v>-5.2586202621459961</v>
      </c>
      <c r="BW268" t="s">
        <v>615</v>
      </c>
      <c r="BX268">
        <v>-1.5556318127543499E+38</v>
      </c>
      <c r="BY268">
        <v>2.24871826171875</v>
      </c>
      <c r="CB268">
        <v>19.344205856323242</v>
      </c>
      <c r="CC268">
        <v>6.7095818519592285</v>
      </c>
    </row>
    <row r="269" spans="1:83" ht="12.75" customHeight="1">
      <c r="A269" t="s">
        <v>681</v>
      </c>
      <c r="C269" t="s">
        <v>625</v>
      </c>
      <c r="D269">
        <v>267</v>
      </c>
      <c r="F269">
        <v>65535</v>
      </c>
      <c r="I269" t="s">
        <v>681</v>
      </c>
      <c r="R269">
        <v>3.8399951457977295</v>
      </c>
      <c r="T269">
        <v>16.127979278564453</v>
      </c>
      <c r="W269" s="514">
        <v>44245.742754629631</v>
      </c>
      <c r="AN269">
        <v>0</v>
      </c>
      <c r="AO269">
        <v>0</v>
      </c>
      <c r="AP269">
        <v>0</v>
      </c>
      <c r="AS269">
        <v>0</v>
      </c>
      <c r="AT269">
        <v>0</v>
      </c>
      <c r="AU269">
        <v>0</v>
      </c>
      <c r="AW269">
        <v>0</v>
      </c>
      <c r="AZ269">
        <v>0</v>
      </c>
      <c r="BA269">
        <v>-5.3326052147895098E-4</v>
      </c>
      <c r="BB269">
        <v>0</v>
      </c>
      <c r="BC269">
        <v>5.2592086791992188</v>
      </c>
      <c r="BD269">
        <v>-5.2586202621459961</v>
      </c>
      <c r="BI269">
        <v>0</v>
      </c>
      <c r="BJ269">
        <v>0</v>
      </c>
      <c r="BK269">
        <v>0</v>
      </c>
      <c r="BL269">
        <v>0</v>
      </c>
      <c r="BM269">
        <v>-1.5556318127543499E+38</v>
      </c>
      <c r="BN269">
        <v>2.24871826171875</v>
      </c>
      <c r="BP269">
        <v>65535</v>
      </c>
      <c r="BQ269">
        <v>65535</v>
      </c>
      <c r="BR269">
        <v>0</v>
      </c>
      <c r="BS269">
        <v>-5.3326052147895098E-4</v>
      </c>
      <c r="BT269">
        <v>0</v>
      </c>
      <c r="BU269">
        <v>5.2592086791992188</v>
      </c>
      <c r="BV269">
        <v>-5.2586202621459961</v>
      </c>
      <c r="BW269" t="s">
        <v>615</v>
      </c>
      <c r="BX269">
        <v>-1.5556318127543499E+38</v>
      </c>
      <c r="BY269">
        <v>2.24871826171875</v>
      </c>
      <c r="CB269">
        <v>18.840543746948242</v>
      </c>
      <c r="CC269">
        <v>6.8517498970031738</v>
      </c>
    </row>
    <row r="270" spans="1:83" ht="12.75" customHeight="1">
      <c r="A270" t="s">
        <v>657</v>
      </c>
      <c r="C270" t="s">
        <v>625</v>
      </c>
      <c r="D270">
        <v>268</v>
      </c>
      <c r="F270">
        <v>65535</v>
      </c>
      <c r="I270" t="s">
        <v>657</v>
      </c>
      <c r="R270">
        <v>8.3599939346313477</v>
      </c>
      <c r="T270">
        <v>35.111976623535156</v>
      </c>
      <c r="W270" s="514">
        <v>44245.742800925924</v>
      </c>
      <c r="AN270">
        <v>0</v>
      </c>
      <c r="AO270">
        <v>0</v>
      </c>
      <c r="AP270">
        <v>0</v>
      </c>
      <c r="AS270">
        <v>0</v>
      </c>
      <c r="AT270">
        <v>0</v>
      </c>
      <c r="AU270">
        <v>0</v>
      </c>
      <c r="AW270">
        <v>0</v>
      </c>
      <c r="AZ270">
        <v>0</v>
      </c>
      <c r="BA270">
        <v>-4.5664582285098732E-4</v>
      </c>
      <c r="BB270">
        <v>0</v>
      </c>
      <c r="BC270">
        <v>-2.6004524230957031</v>
      </c>
      <c r="BD270">
        <v>2.6010000705718994</v>
      </c>
      <c r="BI270">
        <v>0</v>
      </c>
      <c r="BJ270">
        <v>0</v>
      </c>
      <c r="BK270">
        <v>0</v>
      </c>
      <c r="BL270">
        <v>0</v>
      </c>
      <c r="BM270">
        <v>8009040265216</v>
      </c>
      <c r="BN270">
        <v>1.4984130859375</v>
      </c>
      <c r="BP270">
        <v>65535</v>
      </c>
      <c r="BQ270">
        <v>65535</v>
      </c>
      <c r="BR270">
        <v>0</v>
      </c>
      <c r="BS270">
        <v>-4.5664582285098732E-4</v>
      </c>
      <c r="BT270">
        <v>0</v>
      </c>
      <c r="BU270">
        <v>-2.6004524230957031</v>
      </c>
      <c r="BV270">
        <v>2.6010000705718994</v>
      </c>
      <c r="BW270" t="s">
        <v>615</v>
      </c>
      <c r="BX270">
        <v>8009040265216</v>
      </c>
      <c r="BY270">
        <v>1.4984130859375</v>
      </c>
      <c r="CB270">
        <v>18.796525955200195</v>
      </c>
      <c r="CC270">
        <v>6.8382463455200195</v>
      </c>
      <c r="CD270" t="s">
        <v>631</v>
      </c>
      <c r="CE270" t="s">
        <v>632</v>
      </c>
    </row>
    <row r="271" spans="1:83" ht="12.75" customHeight="1">
      <c r="A271" t="s">
        <v>660</v>
      </c>
      <c r="C271" t="s">
        <v>625</v>
      </c>
      <c r="D271">
        <v>269</v>
      </c>
      <c r="F271">
        <v>65535</v>
      </c>
      <c r="I271" t="s">
        <v>660</v>
      </c>
      <c r="R271">
        <v>7.7999958992004395</v>
      </c>
      <c r="T271">
        <v>32.759983062744141</v>
      </c>
      <c r="W271" s="514">
        <v>44245.743194444447</v>
      </c>
      <c r="AN271">
        <v>0</v>
      </c>
      <c r="AO271">
        <v>0</v>
      </c>
      <c r="AP271">
        <v>0</v>
      </c>
      <c r="AS271">
        <v>0</v>
      </c>
      <c r="AT271">
        <v>0</v>
      </c>
      <c r="AU271">
        <v>0</v>
      </c>
      <c r="AW271">
        <v>0</v>
      </c>
      <c r="AZ271">
        <v>0</v>
      </c>
      <c r="BA271">
        <v>-1.4407573326025158E-4</v>
      </c>
      <c r="BB271">
        <v>0</v>
      </c>
      <c r="BC271">
        <v>-87.27520751953125</v>
      </c>
      <c r="BD271">
        <v>87.275413513183594</v>
      </c>
      <c r="BI271">
        <v>0</v>
      </c>
      <c r="BJ271">
        <v>0</v>
      </c>
      <c r="BK271">
        <v>0</v>
      </c>
      <c r="BL271">
        <v>0</v>
      </c>
      <c r="BM271">
        <v>5.8757632970809937E-2</v>
      </c>
      <c r="BN271">
        <v>-1.525543212890625</v>
      </c>
      <c r="BP271">
        <v>65535</v>
      </c>
      <c r="BQ271">
        <v>65535</v>
      </c>
      <c r="BR271">
        <v>0</v>
      </c>
      <c r="BS271">
        <v>-1.4407573326025158E-4</v>
      </c>
      <c r="BT271">
        <v>0</v>
      </c>
      <c r="BU271">
        <v>-87.27520751953125</v>
      </c>
      <c r="BV271">
        <v>87.275413513183594</v>
      </c>
      <c r="BW271" t="s">
        <v>615</v>
      </c>
      <c r="BX271">
        <v>5.8757632970809937E-2</v>
      </c>
      <c r="BY271">
        <v>-1.525543212890625</v>
      </c>
      <c r="CB271">
        <v>18.924209594726563</v>
      </c>
      <c r="CC271">
        <v>6.7019295692443848</v>
      </c>
      <c r="CD271" t="s">
        <v>616</v>
      </c>
      <c r="CE271" t="s">
        <v>619</v>
      </c>
    </row>
    <row r="272" spans="1:83" ht="12.75" customHeight="1">
      <c r="A272" t="s">
        <v>724</v>
      </c>
      <c r="C272" t="s">
        <v>625</v>
      </c>
      <c r="D272">
        <v>270</v>
      </c>
      <c r="F272">
        <v>65535</v>
      </c>
      <c r="I272" t="s">
        <v>724</v>
      </c>
      <c r="R272">
        <v>7.7999958992004395</v>
      </c>
      <c r="T272">
        <v>32.759983062744141</v>
      </c>
      <c r="W272" s="514">
        <v>44245.743194444447</v>
      </c>
      <c r="AN272">
        <v>0</v>
      </c>
      <c r="AO272">
        <v>0</v>
      </c>
      <c r="AP272">
        <v>0</v>
      </c>
      <c r="AS272">
        <v>0</v>
      </c>
      <c r="AT272">
        <v>0</v>
      </c>
      <c r="AU272">
        <v>0</v>
      </c>
      <c r="AW272">
        <v>0</v>
      </c>
      <c r="AZ272">
        <v>0</v>
      </c>
      <c r="BA272">
        <v>-1.4407573326025158E-4</v>
      </c>
      <c r="BB272">
        <v>0</v>
      </c>
      <c r="BC272">
        <v>-87.27520751953125</v>
      </c>
      <c r="BD272">
        <v>87.275413513183594</v>
      </c>
      <c r="BI272">
        <v>0</v>
      </c>
      <c r="BJ272">
        <v>0</v>
      </c>
      <c r="BK272">
        <v>0</v>
      </c>
      <c r="BL272">
        <v>0</v>
      </c>
      <c r="BM272">
        <v>5.8757632970809937E-2</v>
      </c>
      <c r="BN272">
        <v>-1.525543212890625</v>
      </c>
      <c r="BP272">
        <v>65535</v>
      </c>
      <c r="BQ272">
        <v>65535</v>
      </c>
      <c r="BR272">
        <v>0</v>
      </c>
      <c r="BS272">
        <v>-1.4407573326025158E-4</v>
      </c>
      <c r="BT272">
        <v>0</v>
      </c>
      <c r="BU272">
        <v>-87.27520751953125</v>
      </c>
      <c r="BV272">
        <v>87.275413513183594</v>
      </c>
      <c r="BW272" t="s">
        <v>615</v>
      </c>
      <c r="BX272">
        <v>5.8757632970809937E-2</v>
      </c>
      <c r="BY272">
        <v>-1.525543212890625</v>
      </c>
      <c r="CB272">
        <v>19.56983757019043</v>
      </c>
      <c r="CC272">
        <v>6.3959445953369141</v>
      </c>
    </row>
    <row r="273" spans="1:83" ht="12.75" customHeight="1">
      <c r="A273" t="s">
        <v>660</v>
      </c>
      <c r="C273" t="s">
        <v>625</v>
      </c>
      <c r="D273">
        <v>271</v>
      </c>
      <c r="F273">
        <v>65535</v>
      </c>
      <c r="I273" t="s">
        <v>660</v>
      </c>
      <c r="R273">
        <v>7.7999958992004395</v>
      </c>
      <c r="T273">
        <v>32.759983062744141</v>
      </c>
      <c r="W273" s="514">
        <v>44245.743194444447</v>
      </c>
      <c r="AN273">
        <v>0</v>
      </c>
      <c r="AO273">
        <v>0</v>
      </c>
      <c r="AP273">
        <v>0</v>
      </c>
      <c r="AS273">
        <v>0</v>
      </c>
      <c r="AT273">
        <v>0</v>
      </c>
      <c r="AU273">
        <v>0</v>
      </c>
      <c r="AW273">
        <v>0</v>
      </c>
      <c r="AZ273">
        <v>0</v>
      </c>
      <c r="BA273">
        <v>-1.4407573326025158E-4</v>
      </c>
      <c r="BB273">
        <v>0</v>
      </c>
      <c r="BC273">
        <v>-87.27520751953125</v>
      </c>
      <c r="BD273">
        <v>87.275413513183594</v>
      </c>
      <c r="BI273">
        <v>0</v>
      </c>
      <c r="BJ273">
        <v>0</v>
      </c>
      <c r="BK273">
        <v>0</v>
      </c>
      <c r="BL273">
        <v>0</v>
      </c>
      <c r="BM273">
        <v>5.8757632970809937E-2</v>
      </c>
      <c r="BN273">
        <v>-1.525543212890625</v>
      </c>
      <c r="BP273">
        <v>65535</v>
      </c>
      <c r="BQ273">
        <v>65535</v>
      </c>
      <c r="BR273">
        <v>0</v>
      </c>
      <c r="BS273">
        <v>-1.4407573326025158E-4</v>
      </c>
      <c r="BT273">
        <v>0</v>
      </c>
      <c r="BU273">
        <v>-87.27520751953125</v>
      </c>
      <c r="BV273">
        <v>87.275413513183594</v>
      </c>
      <c r="BW273" t="s">
        <v>615</v>
      </c>
      <c r="BX273">
        <v>5.8757632970809937E-2</v>
      </c>
      <c r="BY273">
        <v>-1.525543212890625</v>
      </c>
      <c r="CB273">
        <v>19.344205856323242</v>
      </c>
      <c r="CC273">
        <v>6.7095818519592285</v>
      </c>
      <c r="CD273" t="s">
        <v>616</v>
      </c>
      <c r="CE273" t="s">
        <v>619</v>
      </c>
    </row>
    <row r="274" spans="1:83" ht="12.75" customHeight="1">
      <c r="A274" t="s">
        <v>660</v>
      </c>
      <c r="C274" t="s">
        <v>694</v>
      </c>
      <c r="D274">
        <v>272</v>
      </c>
      <c r="F274">
        <v>65535</v>
      </c>
      <c r="I274" t="s">
        <v>660</v>
      </c>
      <c r="R274">
        <v>7.7999958992004395</v>
      </c>
      <c r="T274">
        <v>32.759983062744141</v>
      </c>
      <c r="W274" s="514">
        <v>44245.743194444447</v>
      </c>
      <c r="AN274">
        <v>0</v>
      </c>
      <c r="AO274">
        <v>0</v>
      </c>
      <c r="AP274">
        <v>0</v>
      </c>
      <c r="AS274">
        <v>0</v>
      </c>
      <c r="AT274">
        <v>0</v>
      </c>
      <c r="AU274">
        <v>0</v>
      </c>
      <c r="AW274">
        <v>0</v>
      </c>
      <c r="AZ274">
        <v>0</v>
      </c>
      <c r="BA274">
        <v>-1.4407573326025158E-4</v>
      </c>
      <c r="BB274">
        <v>0</v>
      </c>
      <c r="BC274">
        <v>-87.27520751953125</v>
      </c>
      <c r="BD274">
        <v>87.275413513183594</v>
      </c>
      <c r="BI274">
        <v>0</v>
      </c>
      <c r="BJ274">
        <v>0</v>
      </c>
      <c r="BK274">
        <v>0</v>
      </c>
      <c r="BL274">
        <v>0</v>
      </c>
      <c r="BM274">
        <v>5.8757632970809937E-2</v>
      </c>
      <c r="BN274">
        <v>-1.525543212890625</v>
      </c>
      <c r="BP274">
        <v>65535</v>
      </c>
      <c r="BQ274">
        <v>65535</v>
      </c>
      <c r="BR274">
        <v>0</v>
      </c>
      <c r="BS274">
        <v>-1.4407573326025158E-4</v>
      </c>
      <c r="BT274">
        <v>0</v>
      </c>
      <c r="BU274">
        <v>-87.27520751953125</v>
      </c>
      <c r="BV274">
        <v>87.275413513183594</v>
      </c>
      <c r="BW274" t="s">
        <v>615</v>
      </c>
      <c r="BX274">
        <v>5.8757632970809937E-2</v>
      </c>
      <c r="BY274">
        <v>-1.525543212890625</v>
      </c>
      <c r="CB274">
        <v>18.840543746948242</v>
      </c>
      <c r="CC274">
        <v>6.8517498970031738</v>
      </c>
      <c r="CD274" t="s">
        <v>616</v>
      </c>
      <c r="CE274" t="s">
        <v>619</v>
      </c>
    </row>
    <row r="275" spans="1:83" ht="12.75" customHeight="1">
      <c r="A275" t="s">
        <v>660</v>
      </c>
      <c r="C275" t="s">
        <v>694</v>
      </c>
      <c r="D275">
        <v>273</v>
      </c>
      <c r="F275">
        <v>65535</v>
      </c>
      <c r="I275" t="s">
        <v>660</v>
      </c>
      <c r="R275">
        <v>7.7999958992004395</v>
      </c>
      <c r="T275">
        <v>32.759983062744141</v>
      </c>
      <c r="W275" s="514">
        <v>44245.743194444447</v>
      </c>
      <c r="AN275">
        <v>0</v>
      </c>
      <c r="AO275">
        <v>0</v>
      </c>
      <c r="AP275">
        <v>0</v>
      </c>
      <c r="AS275">
        <v>0</v>
      </c>
      <c r="AT275">
        <v>0</v>
      </c>
      <c r="AU275">
        <v>0</v>
      </c>
      <c r="AW275">
        <v>0</v>
      </c>
      <c r="AZ275">
        <v>0</v>
      </c>
      <c r="BA275">
        <v>-1.4407573326025158E-4</v>
      </c>
      <c r="BB275">
        <v>0</v>
      </c>
      <c r="BC275">
        <v>-87.27520751953125</v>
      </c>
      <c r="BD275">
        <v>87.275413513183594</v>
      </c>
      <c r="BI275">
        <v>0</v>
      </c>
      <c r="BJ275">
        <v>0</v>
      </c>
      <c r="BK275">
        <v>0</v>
      </c>
      <c r="BL275">
        <v>0</v>
      </c>
      <c r="BM275">
        <v>5.8757632970809937E-2</v>
      </c>
      <c r="BN275">
        <v>-1.525543212890625</v>
      </c>
      <c r="BP275">
        <v>65535</v>
      </c>
      <c r="BQ275">
        <v>65535</v>
      </c>
      <c r="BR275">
        <v>0</v>
      </c>
      <c r="BS275">
        <v>-1.4407573326025158E-4</v>
      </c>
      <c r="BT275">
        <v>0</v>
      </c>
      <c r="BU275">
        <v>-87.27520751953125</v>
      </c>
      <c r="BV275">
        <v>87.275413513183594</v>
      </c>
      <c r="BW275" t="s">
        <v>615</v>
      </c>
      <c r="BX275">
        <v>5.8757632970809937E-2</v>
      </c>
      <c r="BY275">
        <v>-1.525543212890625</v>
      </c>
      <c r="CB275">
        <v>18.796525955200195</v>
      </c>
      <c r="CC275">
        <v>6.8382463455200195</v>
      </c>
      <c r="CD275" t="s">
        <v>616</v>
      </c>
      <c r="CE275" t="s">
        <v>619</v>
      </c>
    </row>
    <row r="276" spans="1:83" ht="12.75" customHeight="1">
      <c r="A276" t="s">
        <v>684</v>
      </c>
      <c r="C276" t="s">
        <v>635</v>
      </c>
      <c r="D276">
        <v>274</v>
      </c>
      <c r="F276">
        <v>65535</v>
      </c>
      <c r="I276" t="s">
        <v>684</v>
      </c>
      <c r="R276">
        <v>14.559998512268066</v>
      </c>
      <c r="T276">
        <v>61.151996612548828</v>
      </c>
      <c r="W276" s="514">
        <v>44245.742650462962</v>
      </c>
      <c r="AN276">
        <v>0</v>
      </c>
      <c r="AO276">
        <v>0</v>
      </c>
      <c r="AP276">
        <v>0</v>
      </c>
      <c r="AS276">
        <v>0</v>
      </c>
      <c r="AT276">
        <v>0</v>
      </c>
      <c r="AU276">
        <v>0</v>
      </c>
      <c r="AW276">
        <v>0</v>
      </c>
      <c r="AZ276">
        <v>0</v>
      </c>
      <c r="BA276">
        <v>-2.9339676257222891E-4</v>
      </c>
      <c r="BB276">
        <v>0</v>
      </c>
      <c r="BC276">
        <v>26.162612915039063</v>
      </c>
      <c r="BD276">
        <v>-26.162319183349609</v>
      </c>
      <c r="BI276">
        <v>0</v>
      </c>
      <c r="BJ276">
        <v>0</v>
      </c>
      <c r="BK276">
        <v>0</v>
      </c>
      <c r="BL276">
        <v>0</v>
      </c>
      <c r="BM276">
        <v>-9.3034880691762323E-29</v>
      </c>
      <c r="BN276">
        <v>-0.117431640625</v>
      </c>
      <c r="BP276">
        <v>65535</v>
      </c>
      <c r="BQ276">
        <v>65535</v>
      </c>
      <c r="BR276">
        <v>0</v>
      </c>
      <c r="BS276">
        <v>-2.9339676257222891E-4</v>
      </c>
      <c r="BT276">
        <v>0</v>
      </c>
      <c r="BU276">
        <v>26.162612915039063</v>
      </c>
      <c r="BV276">
        <v>-26.162319183349609</v>
      </c>
      <c r="BW276" t="s">
        <v>615</v>
      </c>
      <c r="BX276">
        <v>-9.3034880691762323E-29</v>
      </c>
      <c r="BY276">
        <v>-0.117431640625</v>
      </c>
      <c r="CB276">
        <v>18.924209594726563</v>
      </c>
      <c r="CC276">
        <v>6.7019295692443848</v>
      </c>
      <c r="CD276" t="s">
        <v>617</v>
      </c>
      <c r="CE276" t="s">
        <v>623</v>
      </c>
    </row>
    <row r="277" spans="1:83" ht="12.75" customHeight="1">
      <c r="A277" t="s">
        <v>725</v>
      </c>
      <c r="C277" t="s">
        <v>621</v>
      </c>
      <c r="D277">
        <v>275</v>
      </c>
      <c r="F277">
        <v>65535</v>
      </c>
      <c r="I277" t="s">
        <v>725</v>
      </c>
      <c r="R277">
        <v>14.559998512268066</v>
      </c>
      <c r="T277">
        <v>61.151996612548828</v>
      </c>
      <c r="W277" s="514">
        <v>44245.742650462962</v>
      </c>
      <c r="AN277">
        <v>0</v>
      </c>
      <c r="AO277">
        <v>0</v>
      </c>
      <c r="AP277">
        <v>0</v>
      </c>
      <c r="AS277">
        <v>0</v>
      </c>
      <c r="AT277">
        <v>0</v>
      </c>
      <c r="AU277">
        <v>0</v>
      </c>
      <c r="AW277">
        <v>0</v>
      </c>
      <c r="AZ277">
        <v>0</v>
      </c>
      <c r="BA277">
        <v>-2.9339676257222891E-4</v>
      </c>
      <c r="BB277">
        <v>0</v>
      </c>
      <c r="BC277">
        <v>26.162612915039063</v>
      </c>
      <c r="BD277">
        <v>-26.162319183349609</v>
      </c>
      <c r="BI277">
        <v>0</v>
      </c>
      <c r="BJ277">
        <v>0</v>
      </c>
      <c r="BK277">
        <v>0</v>
      </c>
      <c r="BL277">
        <v>0</v>
      </c>
      <c r="BM277">
        <v>-9.3034880691762323E-29</v>
      </c>
      <c r="BN277">
        <v>-0.117431640625</v>
      </c>
      <c r="BP277">
        <v>65535</v>
      </c>
      <c r="BQ277">
        <v>65535</v>
      </c>
      <c r="BR277">
        <v>0</v>
      </c>
      <c r="BS277">
        <v>-2.9339676257222891E-4</v>
      </c>
      <c r="BT277">
        <v>0</v>
      </c>
      <c r="BU277">
        <v>26.162612915039063</v>
      </c>
      <c r="BV277">
        <v>-26.162319183349609</v>
      </c>
      <c r="BW277" t="s">
        <v>615</v>
      </c>
      <c r="BX277">
        <v>-9.3034880691762323E-29</v>
      </c>
      <c r="BY277">
        <v>-0.117431640625</v>
      </c>
      <c r="CB277">
        <v>19.56983757019043</v>
      </c>
      <c r="CC277">
        <v>6.3959445953369141</v>
      </c>
    </row>
    <row r="278" spans="1:83" ht="12.75" customHeight="1">
      <c r="A278" t="s">
        <v>667</v>
      </c>
      <c r="C278" t="s">
        <v>621</v>
      </c>
      <c r="D278">
        <v>276</v>
      </c>
      <c r="F278">
        <v>65535</v>
      </c>
      <c r="I278" t="s">
        <v>667</v>
      </c>
      <c r="R278">
        <v>14.559998512268066</v>
      </c>
      <c r="T278">
        <v>61.151996612548828</v>
      </c>
      <c r="W278" s="514">
        <v>44245.742650462962</v>
      </c>
      <c r="AN278">
        <v>0</v>
      </c>
      <c r="AO278">
        <v>0</v>
      </c>
      <c r="AP278">
        <v>0</v>
      </c>
      <c r="AS278">
        <v>0</v>
      </c>
      <c r="AT278">
        <v>0</v>
      </c>
      <c r="AU278">
        <v>0</v>
      </c>
      <c r="AW278">
        <v>0</v>
      </c>
      <c r="AZ278">
        <v>0</v>
      </c>
      <c r="BA278">
        <v>-2.9339676257222891E-4</v>
      </c>
      <c r="BB278">
        <v>0</v>
      </c>
      <c r="BC278">
        <v>26.162612915039063</v>
      </c>
      <c r="BD278">
        <v>-26.162319183349609</v>
      </c>
      <c r="BI278">
        <v>0</v>
      </c>
      <c r="BJ278">
        <v>0</v>
      </c>
      <c r="BK278">
        <v>0</v>
      </c>
      <c r="BL278">
        <v>0</v>
      </c>
      <c r="BM278">
        <v>-9.3034880691762323E-29</v>
      </c>
      <c r="BN278">
        <v>-0.117431640625</v>
      </c>
      <c r="BP278">
        <v>65535</v>
      </c>
      <c r="BQ278">
        <v>65535</v>
      </c>
      <c r="BR278">
        <v>0</v>
      </c>
      <c r="BS278">
        <v>-2.9339676257222891E-4</v>
      </c>
      <c r="BT278">
        <v>0</v>
      </c>
      <c r="BU278">
        <v>26.162612915039063</v>
      </c>
      <c r="BV278">
        <v>-26.162319183349609</v>
      </c>
      <c r="BW278" t="s">
        <v>615</v>
      </c>
      <c r="BX278">
        <v>-9.3034880691762323E-29</v>
      </c>
      <c r="BY278">
        <v>-0.117431640625</v>
      </c>
      <c r="CB278">
        <v>19.344205856323242</v>
      </c>
      <c r="CC278">
        <v>6.7095818519592285</v>
      </c>
      <c r="CD278" t="s">
        <v>631</v>
      </c>
      <c r="CE278" t="s">
        <v>632</v>
      </c>
    </row>
    <row r="279" spans="1:83" ht="12.75" customHeight="1">
      <c r="A279" t="s">
        <v>726</v>
      </c>
      <c r="C279" t="s">
        <v>621</v>
      </c>
      <c r="D279">
        <v>277</v>
      </c>
      <c r="F279">
        <v>65535</v>
      </c>
      <c r="I279" t="s">
        <v>726</v>
      </c>
      <c r="R279">
        <v>14.559998512268066</v>
      </c>
      <c r="T279">
        <v>61.151996612548828</v>
      </c>
      <c r="W279" s="514">
        <v>44245.742650462962</v>
      </c>
      <c r="AN279">
        <v>0</v>
      </c>
      <c r="AO279">
        <v>0</v>
      </c>
      <c r="AP279">
        <v>0</v>
      </c>
      <c r="AS279">
        <v>0</v>
      </c>
      <c r="AT279">
        <v>0</v>
      </c>
      <c r="AU279">
        <v>0</v>
      </c>
      <c r="AW279">
        <v>0</v>
      </c>
      <c r="AZ279">
        <v>0</v>
      </c>
      <c r="BA279">
        <v>-2.9339676257222891E-4</v>
      </c>
      <c r="BB279">
        <v>0</v>
      </c>
      <c r="BC279">
        <v>26.162612915039063</v>
      </c>
      <c r="BD279">
        <v>-26.162319183349609</v>
      </c>
      <c r="BI279">
        <v>0</v>
      </c>
      <c r="BJ279">
        <v>0</v>
      </c>
      <c r="BK279">
        <v>0</v>
      </c>
      <c r="BL279">
        <v>0</v>
      </c>
      <c r="BM279">
        <v>-9.3034880691762323E-29</v>
      </c>
      <c r="BN279">
        <v>-0.117431640625</v>
      </c>
      <c r="BP279">
        <v>65535</v>
      </c>
      <c r="BQ279">
        <v>65535</v>
      </c>
      <c r="BR279">
        <v>0</v>
      </c>
      <c r="BS279">
        <v>-2.9339676257222891E-4</v>
      </c>
      <c r="BT279">
        <v>0</v>
      </c>
      <c r="BU279">
        <v>26.162612915039063</v>
      </c>
      <c r="BV279">
        <v>-26.162319183349609</v>
      </c>
      <c r="BW279" t="s">
        <v>615</v>
      </c>
      <c r="BX279">
        <v>-9.3034880691762323E-29</v>
      </c>
      <c r="BY279">
        <v>-0.117431640625</v>
      </c>
      <c r="CB279">
        <v>18.840543746948242</v>
      </c>
      <c r="CC279">
        <v>6.8517498970031738</v>
      </c>
    </row>
    <row r="280" spans="1:83" ht="12.75" customHeight="1">
      <c r="A280" t="s">
        <v>658</v>
      </c>
      <c r="C280" t="s">
        <v>621</v>
      </c>
      <c r="D280">
        <v>278</v>
      </c>
      <c r="F280">
        <v>65535</v>
      </c>
      <c r="I280" t="s">
        <v>658</v>
      </c>
      <c r="R280">
        <v>14.559998512268066</v>
      </c>
      <c r="T280">
        <v>61.151996612548828</v>
      </c>
      <c r="W280" s="514">
        <v>44245.742650462962</v>
      </c>
      <c r="AN280">
        <v>0</v>
      </c>
      <c r="AO280">
        <v>0</v>
      </c>
      <c r="AP280">
        <v>0</v>
      </c>
      <c r="AS280">
        <v>0</v>
      </c>
      <c r="AT280">
        <v>0</v>
      </c>
      <c r="AU280">
        <v>0</v>
      </c>
      <c r="AW280">
        <v>0</v>
      </c>
      <c r="AZ280">
        <v>0</v>
      </c>
      <c r="BA280">
        <v>-2.9339676257222891E-4</v>
      </c>
      <c r="BB280">
        <v>0</v>
      </c>
      <c r="BC280">
        <v>26.162612915039063</v>
      </c>
      <c r="BD280">
        <v>-26.162319183349609</v>
      </c>
      <c r="BI280">
        <v>0</v>
      </c>
      <c r="BJ280">
        <v>0</v>
      </c>
      <c r="BK280">
        <v>0</v>
      </c>
      <c r="BL280">
        <v>0</v>
      </c>
      <c r="BM280">
        <v>-9.3034880691762323E-29</v>
      </c>
      <c r="BN280">
        <v>-0.117431640625</v>
      </c>
      <c r="BP280">
        <v>65535</v>
      </c>
      <c r="BQ280">
        <v>65535</v>
      </c>
      <c r="BR280">
        <v>0</v>
      </c>
      <c r="BS280">
        <v>-2.9339676257222891E-4</v>
      </c>
      <c r="BT280">
        <v>0</v>
      </c>
      <c r="BU280">
        <v>26.162612915039063</v>
      </c>
      <c r="BV280">
        <v>-26.162319183349609</v>
      </c>
      <c r="BW280" t="s">
        <v>615</v>
      </c>
      <c r="BX280">
        <v>-9.3034880691762323E-29</v>
      </c>
      <c r="BY280">
        <v>-0.117431640625</v>
      </c>
      <c r="CB280">
        <v>18.796525955200195</v>
      </c>
      <c r="CC280">
        <v>6.8382463455200195</v>
      </c>
    </row>
    <row r="281" spans="1:83" ht="12.75" customHeight="1">
      <c r="A281" t="s">
        <v>669</v>
      </c>
      <c r="C281" t="s">
        <v>621</v>
      </c>
      <c r="D281">
        <v>279</v>
      </c>
      <c r="F281">
        <v>65535</v>
      </c>
      <c r="I281" t="s">
        <v>669</v>
      </c>
      <c r="R281">
        <v>58.559993743896484</v>
      </c>
      <c r="T281">
        <v>245.95196533203125</v>
      </c>
      <c r="W281" s="514">
        <v>44245.742650462962</v>
      </c>
      <c r="AN281">
        <v>0</v>
      </c>
      <c r="AO281">
        <v>0</v>
      </c>
      <c r="AP281">
        <v>0</v>
      </c>
      <c r="AS281">
        <v>0</v>
      </c>
      <c r="AT281">
        <v>0</v>
      </c>
      <c r="AU281">
        <v>0</v>
      </c>
      <c r="AW281">
        <v>0</v>
      </c>
      <c r="AZ281">
        <v>0</v>
      </c>
      <c r="BA281">
        <v>-1.7428240971639752E-4</v>
      </c>
      <c r="BB281">
        <v>0</v>
      </c>
      <c r="BC281">
        <v>-198.65402221679688</v>
      </c>
      <c r="BD281">
        <v>198.65397644042969</v>
      </c>
      <c r="BI281">
        <v>0</v>
      </c>
      <c r="BJ281">
        <v>0</v>
      </c>
      <c r="BK281">
        <v>0</v>
      </c>
      <c r="BL281">
        <v>0</v>
      </c>
      <c r="BM281">
        <v>-1.5474339622750082E+35</v>
      </c>
      <c r="BN281">
        <v>-1.260528564453125</v>
      </c>
      <c r="BP281">
        <v>65535</v>
      </c>
      <c r="BQ281">
        <v>65535</v>
      </c>
      <c r="BR281">
        <v>0</v>
      </c>
      <c r="BS281">
        <v>-1.7428240971639752E-4</v>
      </c>
      <c r="BT281">
        <v>0</v>
      </c>
      <c r="BU281">
        <v>-198.65402221679688</v>
      </c>
      <c r="BV281">
        <v>198.65397644042969</v>
      </c>
      <c r="BW281" t="s">
        <v>615</v>
      </c>
      <c r="BX281">
        <v>-1.5474339622750082E+35</v>
      </c>
      <c r="BY281">
        <v>-1.260528564453125</v>
      </c>
      <c r="CB281">
        <v>18.924209594726563</v>
      </c>
      <c r="CC281">
        <v>6.7019295692443848</v>
      </c>
    </row>
    <row r="282" spans="1:83" ht="12.75" customHeight="1">
      <c r="A282" t="s">
        <v>695</v>
      </c>
      <c r="C282" t="s">
        <v>694</v>
      </c>
      <c r="D282">
        <v>280</v>
      </c>
      <c r="F282">
        <v>65535</v>
      </c>
      <c r="I282" t="s">
        <v>695</v>
      </c>
      <c r="R282">
        <v>58.559993743896484</v>
      </c>
      <c r="T282">
        <v>245.95196533203125</v>
      </c>
      <c r="W282" s="514">
        <v>44245.742650462962</v>
      </c>
      <c r="AN282">
        <v>0</v>
      </c>
      <c r="AO282">
        <v>0</v>
      </c>
      <c r="AP282">
        <v>0</v>
      </c>
      <c r="AS282">
        <v>0</v>
      </c>
      <c r="AT282">
        <v>0</v>
      </c>
      <c r="AU282">
        <v>0</v>
      </c>
      <c r="AW282">
        <v>0</v>
      </c>
      <c r="AZ282">
        <v>0</v>
      </c>
      <c r="BA282">
        <v>-1.7428240971639752E-4</v>
      </c>
      <c r="BB282">
        <v>0</v>
      </c>
      <c r="BC282">
        <v>-198.65402221679688</v>
      </c>
      <c r="BD282">
        <v>198.65397644042969</v>
      </c>
      <c r="BI282">
        <v>0</v>
      </c>
      <c r="BJ282">
        <v>0</v>
      </c>
      <c r="BK282">
        <v>0</v>
      </c>
      <c r="BL282">
        <v>0</v>
      </c>
      <c r="BM282">
        <v>-1.5474339622750082E+35</v>
      </c>
      <c r="BN282">
        <v>-1.260528564453125</v>
      </c>
      <c r="BP282">
        <v>65535</v>
      </c>
      <c r="BQ282">
        <v>65535</v>
      </c>
      <c r="BR282">
        <v>0</v>
      </c>
      <c r="BS282">
        <v>-1.7428240971639752E-4</v>
      </c>
      <c r="BT282">
        <v>0</v>
      </c>
      <c r="BU282">
        <v>-198.65402221679688</v>
      </c>
      <c r="BV282">
        <v>198.65397644042969</v>
      </c>
      <c r="BW282" t="s">
        <v>615</v>
      </c>
      <c r="BX282">
        <v>-1.5474339622750082E+35</v>
      </c>
      <c r="BY282">
        <v>-1.260528564453125</v>
      </c>
      <c r="CB282">
        <v>19.56983757019043</v>
      </c>
      <c r="CC282">
        <v>6.3959445953369141</v>
      </c>
    </row>
    <row r="283" spans="1:83" ht="12.75" customHeight="1">
      <c r="A283" t="s">
        <v>624</v>
      </c>
      <c r="C283" t="s">
        <v>694</v>
      </c>
      <c r="D283">
        <v>281</v>
      </c>
      <c r="F283">
        <v>65535</v>
      </c>
      <c r="I283" t="s">
        <v>624</v>
      </c>
      <c r="R283">
        <v>58.559993743896484</v>
      </c>
      <c r="T283">
        <v>245.95196533203125</v>
      </c>
      <c r="W283" s="514">
        <v>44245.742650462962</v>
      </c>
      <c r="AN283">
        <v>0</v>
      </c>
      <c r="AO283">
        <v>0</v>
      </c>
      <c r="AP283">
        <v>0</v>
      </c>
      <c r="AS283">
        <v>0</v>
      </c>
      <c r="AT283">
        <v>0</v>
      </c>
      <c r="AU283">
        <v>0</v>
      </c>
      <c r="AW283">
        <v>0</v>
      </c>
      <c r="AZ283">
        <v>0</v>
      </c>
      <c r="BA283">
        <v>-1.7428240971639752E-4</v>
      </c>
      <c r="BB283">
        <v>0</v>
      </c>
      <c r="BC283">
        <v>-198.65402221679688</v>
      </c>
      <c r="BD283">
        <v>198.65397644042969</v>
      </c>
      <c r="BI283">
        <v>0</v>
      </c>
      <c r="BJ283">
        <v>0</v>
      </c>
      <c r="BK283">
        <v>0</v>
      </c>
      <c r="BL283">
        <v>0</v>
      </c>
      <c r="BM283">
        <v>-1.5474339622750082E+35</v>
      </c>
      <c r="BN283">
        <v>-1.260528564453125</v>
      </c>
      <c r="BP283">
        <v>65535</v>
      </c>
      <c r="BQ283">
        <v>65535</v>
      </c>
      <c r="BR283">
        <v>0</v>
      </c>
      <c r="BS283">
        <v>-1.7428240971639752E-4</v>
      </c>
      <c r="BT283">
        <v>0</v>
      </c>
      <c r="BU283">
        <v>-198.65402221679688</v>
      </c>
      <c r="BV283">
        <v>198.65397644042969</v>
      </c>
      <c r="BW283" t="s">
        <v>615</v>
      </c>
      <c r="BX283">
        <v>-1.5474339622750082E+35</v>
      </c>
      <c r="BY283">
        <v>-1.260528564453125</v>
      </c>
      <c r="CB283">
        <v>19.745401382446289</v>
      </c>
      <c r="CC283">
        <v>6.2339653968811035</v>
      </c>
    </row>
    <row r="284" spans="1:83" ht="12.75" customHeight="1">
      <c r="A284" t="s">
        <v>685</v>
      </c>
      <c r="C284" t="s">
        <v>694</v>
      </c>
      <c r="D284">
        <v>282</v>
      </c>
      <c r="F284">
        <v>65535</v>
      </c>
      <c r="I284" t="s">
        <v>685</v>
      </c>
      <c r="R284">
        <v>58.559993743896484</v>
      </c>
      <c r="T284">
        <v>245.95196533203125</v>
      </c>
      <c r="W284" s="514">
        <v>44245.742650462962</v>
      </c>
      <c r="AN284">
        <v>0</v>
      </c>
      <c r="AO284">
        <v>0</v>
      </c>
      <c r="AP284">
        <v>0</v>
      </c>
      <c r="AS284">
        <v>0</v>
      </c>
      <c r="AT284">
        <v>0</v>
      </c>
      <c r="AU284">
        <v>0</v>
      </c>
      <c r="AW284">
        <v>0</v>
      </c>
      <c r="AZ284">
        <v>0</v>
      </c>
      <c r="BA284">
        <v>-1.7428240971639752E-4</v>
      </c>
      <c r="BB284">
        <v>0</v>
      </c>
      <c r="BC284">
        <v>-198.65402221679688</v>
      </c>
      <c r="BD284">
        <v>198.65397644042969</v>
      </c>
      <c r="BI284">
        <v>0</v>
      </c>
      <c r="BJ284">
        <v>0</v>
      </c>
      <c r="BK284">
        <v>0</v>
      </c>
      <c r="BL284">
        <v>0</v>
      </c>
      <c r="BM284">
        <v>-1.5474339622750082E+35</v>
      </c>
      <c r="BN284">
        <v>-1.260528564453125</v>
      </c>
      <c r="BP284">
        <v>65535</v>
      </c>
      <c r="BQ284">
        <v>65535</v>
      </c>
      <c r="BR284">
        <v>0</v>
      </c>
      <c r="BS284">
        <v>-1.7428240971639752E-4</v>
      </c>
      <c r="BT284">
        <v>0</v>
      </c>
      <c r="BU284">
        <v>-198.65402221679688</v>
      </c>
      <c r="BV284">
        <v>198.65397644042969</v>
      </c>
      <c r="BW284" t="s">
        <v>615</v>
      </c>
      <c r="BX284">
        <v>-1.5474339622750082E+35</v>
      </c>
      <c r="BY284">
        <v>-1.260528564453125</v>
      </c>
      <c r="CB284">
        <v>18.805768966674805</v>
      </c>
      <c r="CC284">
        <v>7.0398960113525391</v>
      </c>
    </row>
    <row r="285" spans="1:83" ht="12.75" customHeight="1">
      <c r="A285" t="s">
        <v>688</v>
      </c>
      <c r="C285" t="s">
        <v>694</v>
      </c>
      <c r="D285">
        <v>283</v>
      </c>
      <c r="F285">
        <v>65535</v>
      </c>
      <c r="I285" t="s">
        <v>688</v>
      </c>
      <c r="R285">
        <v>58.559993743896484</v>
      </c>
      <c r="T285">
        <v>245.95196533203125</v>
      </c>
      <c r="W285" s="514">
        <v>44245.742650462962</v>
      </c>
      <c r="AN285">
        <v>0</v>
      </c>
      <c r="AO285">
        <v>0</v>
      </c>
      <c r="AP285">
        <v>0</v>
      </c>
      <c r="AS285">
        <v>0</v>
      </c>
      <c r="AT285">
        <v>0</v>
      </c>
      <c r="AU285">
        <v>0</v>
      </c>
      <c r="AW285">
        <v>0</v>
      </c>
      <c r="AZ285">
        <v>0</v>
      </c>
      <c r="BA285">
        <v>-1.7428240971639752E-4</v>
      </c>
      <c r="BB285">
        <v>0</v>
      </c>
      <c r="BC285">
        <v>-198.65402221679688</v>
      </c>
      <c r="BD285">
        <v>198.65397644042969</v>
      </c>
      <c r="BI285">
        <v>0</v>
      </c>
      <c r="BJ285">
        <v>0</v>
      </c>
      <c r="BK285">
        <v>0</v>
      </c>
      <c r="BL285">
        <v>0</v>
      </c>
      <c r="BM285">
        <v>-1.5474339622750082E+35</v>
      </c>
      <c r="BN285">
        <v>-1.260528564453125</v>
      </c>
      <c r="BP285">
        <v>65535</v>
      </c>
      <c r="BQ285">
        <v>65535</v>
      </c>
      <c r="BR285">
        <v>0</v>
      </c>
      <c r="BS285">
        <v>-1.7428240971639752E-4</v>
      </c>
      <c r="BT285">
        <v>0</v>
      </c>
      <c r="BU285">
        <v>-198.65402221679688</v>
      </c>
      <c r="BV285">
        <v>198.65397644042969</v>
      </c>
      <c r="BW285" t="s">
        <v>615</v>
      </c>
      <c r="BX285">
        <v>-1.5474339622750082E+35</v>
      </c>
      <c r="BY285">
        <v>-1.260528564453125</v>
      </c>
      <c r="CB285">
        <v>18.492700576782227</v>
      </c>
      <c r="CC285">
        <v>7.2283225059509277</v>
      </c>
    </row>
    <row r="286" spans="1:83" ht="12.75" customHeight="1">
      <c r="A286" t="s">
        <v>687</v>
      </c>
      <c r="C286" t="s">
        <v>694</v>
      </c>
      <c r="D286">
        <v>284</v>
      </c>
      <c r="F286">
        <v>65535</v>
      </c>
      <c r="I286" t="s">
        <v>687</v>
      </c>
      <c r="R286">
        <v>344.91998291015625</v>
      </c>
      <c r="T286">
        <v>1448.6639404296875</v>
      </c>
      <c r="W286" s="514">
        <v>44245.742662037039</v>
      </c>
      <c r="AN286">
        <v>0</v>
      </c>
      <c r="AO286">
        <v>0</v>
      </c>
      <c r="AP286">
        <v>0</v>
      </c>
      <c r="AS286">
        <v>0</v>
      </c>
      <c r="AT286">
        <v>0</v>
      </c>
      <c r="AU286">
        <v>0</v>
      </c>
      <c r="AW286">
        <v>0</v>
      </c>
      <c r="AZ286">
        <v>0</v>
      </c>
      <c r="BA286">
        <v>-3.2256866688840091E-4</v>
      </c>
      <c r="BB286">
        <v>0</v>
      </c>
      <c r="BC286">
        <v>-396.42767333984375</v>
      </c>
      <c r="BD286">
        <v>396.42788696289063</v>
      </c>
      <c r="BI286">
        <v>0</v>
      </c>
      <c r="BJ286">
        <v>0</v>
      </c>
      <c r="BK286">
        <v>0</v>
      </c>
      <c r="BL286">
        <v>0</v>
      </c>
      <c r="BM286">
        <v>-14384.8740234375</v>
      </c>
      <c r="BN286">
        <v>0.219024658203125</v>
      </c>
      <c r="BP286">
        <v>65535</v>
      </c>
      <c r="BQ286">
        <v>65535</v>
      </c>
      <c r="BR286">
        <v>0</v>
      </c>
      <c r="BS286">
        <v>-3.2256866688840091E-4</v>
      </c>
      <c r="BT286">
        <v>0</v>
      </c>
      <c r="BU286">
        <v>-396.42767333984375</v>
      </c>
      <c r="BV286">
        <v>396.42788696289063</v>
      </c>
      <c r="BW286" t="s">
        <v>615</v>
      </c>
      <c r="BX286">
        <v>-14384.8740234375</v>
      </c>
      <c r="BY286">
        <v>0.219024658203125</v>
      </c>
      <c r="CB286">
        <v>18.529254913330078</v>
      </c>
      <c r="CC286">
        <v>7.1777396202087402</v>
      </c>
    </row>
    <row r="287" spans="1:83" ht="12.75" customHeight="1">
      <c r="A287" t="s">
        <v>666</v>
      </c>
      <c r="C287" t="s">
        <v>694</v>
      </c>
      <c r="D287">
        <v>285</v>
      </c>
      <c r="F287">
        <v>65535</v>
      </c>
      <c r="I287" t="s">
        <v>666</v>
      </c>
      <c r="R287">
        <v>344.91998291015625</v>
      </c>
      <c r="T287">
        <v>1448.6639404296875</v>
      </c>
      <c r="W287" s="514">
        <v>44245.742662037039</v>
      </c>
      <c r="AN287">
        <v>0</v>
      </c>
      <c r="AO287">
        <v>0</v>
      </c>
      <c r="AP287">
        <v>0</v>
      </c>
      <c r="AS287">
        <v>0</v>
      </c>
      <c r="AT287">
        <v>0</v>
      </c>
      <c r="AU287">
        <v>0</v>
      </c>
      <c r="AW287">
        <v>0</v>
      </c>
      <c r="AZ287">
        <v>0</v>
      </c>
      <c r="BA287">
        <v>-3.2256866688840091E-4</v>
      </c>
      <c r="BB287">
        <v>0</v>
      </c>
      <c r="BC287">
        <v>-396.42767333984375</v>
      </c>
      <c r="BD287">
        <v>396.42788696289063</v>
      </c>
      <c r="BI287">
        <v>0</v>
      </c>
      <c r="BJ287">
        <v>0</v>
      </c>
      <c r="BK287">
        <v>0</v>
      </c>
      <c r="BL287">
        <v>0</v>
      </c>
      <c r="BM287">
        <v>-14384.8740234375</v>
      </c>
      <c r="BN287">
        <v>0.219024658203125</v>
      </c>
      <c r="BP287">
        <v>65535</v>
      </c>
      <c r="BQ287">
        <v>65535</v>
      </c>
      <c r="BR287">
        <v>0</v>
      </c>
      <c r="BS287">
        <v>-3.2256866688840091E-4</v>
      </c>
      <c r="BT287">
        <v>0</v>
      </c>
      <c r="BU287">
        <v>-396.42767333984375</v>
      </c>
      <c r="BV287">
        <v>396.42788696289063</v>
      </c>
      <c r="BW287" t="s">
        <v>615</v>
      </c>
      <c r="BX287">
        <v>-14384.8740234375</v>
      </c>
      <c r="BY287">
        <v>0.219024658203125</v>
      </c>
      <c r="CB287">
        <v>18.574638366699219</v>
      </c>
      <c r="CC287">
        <v>7.1292800903320313</v>
      </c>
    </row>
    <row r="288" spans="1:83" ht="12.75" customHeight="1">
      <c r="A288" t="s">
        <v>727</v>
      </c>
      <c r="C288" t="s">
        <v>694</v>
      </c>
      <c r="D288">
        <v>286</v>
      </c>
      <c r="F288">
        <v>65535</v>
      </c>
      <c r="I288" t="s">
        <v>727</v>
      </c>
      <c r="R288">
        <v>344.91998291015625</v>
      </c>
      <c r="T288">
        <v>1448.6639404296875</v>
      </c>
      <c r="W288" s="514">
        <v>44245.742662037039</v>
      </c>
      <c r="AN288">
        <v>0</v>
      </c>
      <c r="AO288">
        <v>0</v>
      </c>
      <c r="AP288">
        <v>0</v>
      </c>
      <c r="AS288">
        <v>0</v>
      </c>
      <c r="AT288">
        <v>0</v>
      </c>
      <c r="AU288">
        <v>0</v>
      </c>
      <c r="AW288">
        <v>0</v>
      </c>
      <c r="AZ288">
        <v>0</v>
      </c>
      <c r="BA288">
        <v>-3.2256866688840091E-4</v>
      </c>
      <c r="BB288">
        <v>0</v>
      </c>
      <c r="BC288">
        <v>-396.42767333984375</v>
      </c>
      <c r="BD288">
        <v>396.42788696289063</v>
      </c>
      <c r="BI288">
        <v>0</v>
      </c>
      <c r="BJ288">
        <v>0</v>
      </c>
      <c r="BK288">
        <v>0</v>
      </c>
      <c r="BL288">
        <v>0</v>
      </c>
      <c r="BM288">
        <v>-14384.8740234375</v>
      </c>
      <c r="BN288">
        <v>0.219024658203125</v>
      </c>
      <c r="BP288">
        <v>65535</v>
      </c>
      <c r="BQ288">
        <v>65535</v>
      </c>
      <c r="BR288">
        <v>0</v>
      </c>
      <c r="BS288">
        <v>-3.2256866688840091E-4</v>
      </c>
      <c r="BT288">
        <v>0</v>
      </c>
      <c r="BU288">
        <v>-396.42767333984375</v>
      </c>
      <c r="BV288">
        <v>396.42788696289063</v>
      </c>
      <c r="BW288" t="s">
        <v>615</v>
      </c>
      <c r="BX288">
        <v>-14384.8740234375</v>
      </c>
      <c r="BY288">
        <v>0.219024658203125</v>
      </c>
      <c r="CB288">
        <v>19.745401382446289</v>
      </c>
      <c r="CC288">
        <v>6.2339653968811035</v>
      </c>
    </row>
    <row r="289" spans="1:83" ht="12.75" customHeight="1">
      <c r="A289" t="s">
        <v>728</v>
      </c>
      <c r="C289" t="s">
        <v>694</v>
      </c>
      <c r="D289">
        <v>287</v>
      </c>
      <c r="F289">
        <v>65535</v>
      </c>
      <c r="I289" t="s">
        <v>728</v>
      </c>
      <c r="R289">
        <v>344.91998291015625</v>
      </c>
      <c r="T289">
        <v>1448.6639404296875</v>
      </c>
      <c r="W289" s="514">
        <v>44245.742662037039</v>
      </c>
      <c r="AN289">
        <v>0</v>
      </c>
      <c r="AO289">
        <v>0</v>
      </c>
      <c r="AP289">
        <v>0</v>
      </c>
      <c r="AS289">
        <v>0</v>
      </c>
      <c r="AT289">
        <v>0</v>
      </c>
      <c r="AU289">
        <v>0</v>
      </c>
      <c r="AW289">
        <v>0</v>
      </c>
      <c r="AZ289">
        <v>0</v>
      </c>
      <c r="BA289">
        <v>-3.2256866688840091E-4</v>
      </c>
      <c r="BB289">
        <v>0</v>
      </c>
      <c r="BC289">
        <v>-396.42767333984375</v>
      </c>
      <c r="BD289">
        <v>396.42788696289063</v>
      </c>
      <c r="BI289">
        <v>0</v>
      </c>
      <c r="BJ289">
        <v>0</v>
      </c>
      <c r="BK289">
        <v>0</v>
      </c>
      <c r="BL289">
        <v>0</v>
      </c>
      <c r="BM289">
        <v>-14384.8740234375</v>
      </c>
      <c r="BN289">
        <v>0.219024658203125</v>
      </c>
      <c r="BP289">
        <v>65535</v>
      </c>
      <c r="BQ289">
        <v>65535</v>
      </c>
      <c r="BR289">
        <v>0</v>
      </c>
      <c r="BS289">
        <v>-3.2256866688840091E-4</v>
      </c>
      <c r="BT289">
        <v>0</v>
      </c>
      <c r="BU289">
        <v>-396.42767333984375</v>
      </c>
      <c r="BV289">
        <v>396.42788696289063</v>
      </c>
      <c r="BW289" t="s">
        <v>615</v>
      </c>
      <c r="BX289">
        <v>-14384.8740234375</v>
      </c>
      <c r="BY289">
        <v>0.219024658203125</v>
      </c>
      <c r="CB289">
        <v>18.805768966674805</v>
      </c>
      <c r="CC289">
        <v>7.0398960113525391</v>
      </c>
    </row>
    <row r="290" spans="1:83" ht="12.75" customHeight="1">
      <c r="A290" t="s">
        <v>695</v>
      </c>
      <c r="C290" t="s">
        <v>694</v>
      </c>
      <c r="D290">
        <v>288</v>
      </c>
      <c r="F290">
        <v>65535</v>
      </c>
      <c r="I290" t="s">
        <v>695</v>
      </c>
      <c r="R290">
        <v>344.91998291015625</v>
      </c>
      <c r="T290">
        <v>1448.6639404296875</v>
      </c>
      <c r="W290" s="514">
        <v>44245.742662037039</v>
      </c>
      <c r="AN290">
        <v>0</v>
      </c>
      <c r="AO290">
        <v>0</v>
      </c>
      <c r="AP290">
        <v>0</v>
      </c>
      <c r="AS290">
        <v>0</v>
      </c>
      <c r="AT290">
        <v>0</v>
      </c>
      <c r="AU290">
        <v>0</v>
      </c>
      <c r="AW290">
        <v>0</v>
      </c>
      <c r="AZ290">
        <v>0</v>
      </c>
      <c r="BA290">
        <v>-3.2256866688840091E-4</v>
      </c>
      <c r="BB290">
        <v>0</v>
      </c>
      <c r="BC290">
        <v>-396.42767333984375</v>
      </c>
      <c r="BD290">
        <v>396.42788696289063</v>
      </c>
      <c r="BI290">
        <v>0</v>
      </c>
      <c r="BJ290">
        <v>0</v>
      </c>
      <c r="BK290">
        <v>0</v>
      </c>
      <c r="BL290">
        <v>0</v>
      </c>
      <c r="BM290">
        <v>-14384.8740234375</v>
      </c>
      <c r="BN290">
        <v>0.219024658203125</v>
      </c>
      <c r="BP290">
        <v>65535</v>
      </c>
      <c r="BQ290">
        <v>65535</v>
      </c>
      <c r="BR290">
        <v>0</v>
      </c>
      <c r="BS290">
        <v>-3.2256866688840091E-4</v>
      </c>
      <c r="BT290">
        <v>0</v>
      </c>
      <c r="BU290">
        <v>-396.42767333984375</v>
      </c>
      <c r="BV290">
        <v>396.42788696289063</v>
      </c>
      <c r="BW290" t="s">
        <v>615</v>
      </c>
      <c r="BX290">
        <v>-14384.8740234375</v>
      </c>
      <c r="BY290">
        <v>0.219024658203125</v>
      </c>
      <c r="CB290">
        <v>18.492700576782227</v>
      </c>
      <c r="CC290">
        <v>7.2283225059509277</v>
      </c>
    </row>
    <row r="291" spans="1:83" ht="12.75" customHeight="1">
      <c r="A291" t="s">
        <v>666</v>
      </c>
      <c r="C291" t="s">
        <v>694</v>
      </c>
      <c r="D291">
        <v>289</v>
      </c>
      <c r="F291">
        <v>65535</v>
      </c>
      <c r="I291" t="s">
        <v>666</v>
      </c>
      <c r="R291">
        <v>77.759986877441406</v>
      </c>
      <c r="T291">
        <v>326.59194946289063</v>
      </c>
      <c r="W291" s="514">
        <v>44245.742673611108</v>
      </c>
      <c r="AN291">
        <v>0</v>
      </c>
      <c r="AO291">
        <v>0</v>
      </c>
      <c r="AP291">
        <v>0</v>
      </c>
      <c r="AS291">
        <v>0</v>
      </c>
      <c r="AT291">
        <v>0</v>
      </c>
      <c r="AU291">
        <v>0</v>
      </c>
      <c r="AW291">
        <v>0</v>
      </c>
      <c r="AZ291">
        <v>0</v>
      </c>
      <c r="BA291">
        <v>-6.0201488668099046E-4</v>
      </c>
      <c r="BB291">
        <v>0</v>
      </c>
      <c r="BC291">
        <v>93.051025390625</v>
      </c>
      <c r="BD291">
        <v>-93.0504150390625</v>
      </c>
      <c r="BI291">
        <v>0</v>
      </c>
      <c r="BJ291">
        <v>0</v>
      </c>
      <c r="BK291">
        <v>0</v>
      </c>
      <c r="BL291">
        <v>0</v>
      </c>
      <c r="BM291">
        <v>-3.8094890748300652E+36</v>
      </c>
      <c r="BN291">
        <v>2.92071533203125</v>
      </c>
      <c r="BP291">
        <v>65535</v>
      </c>
      <c r="BQ291">
        <v>65535</v>
      </c>
      <c r="BR291">
        <v>0</v>
      </c>
      <c r="BS291">
        <v>-6.0201488668099046E-4</v>
      </c>
      <c r="BT291">
        <v>0</v>
      </c>
      <c r="BU291">
        <v>93.051025390625</v>
      </c>
      <c r="BV291">
        <v>-93.0504150390625</v>
      </c>
      <c r="BW291" t="s">
        <v>615</v>
      </c>
      <c r="BX291">
        <v>-3.8094890748300652E+36</v>
      </c>
      <c r="BY291">
        <v>2.92071533203125</v>
      </c>
      <c r="CB291">
        <v>18.529254913330078</v>
      </c>
      <c r="CC291">
        <v>7.1777396202087402</v>
      </c>
    </row>
    <row r="292" spans="1:83" ht="12.75" customHeight="1">
      <c r="A292" t="s">
        <v>636</v>
      </c>
      <c r="C292" t="s">
        <v>694</v>
      </c>
      <c r="D292">
        <v>290</v>
      </c>
      <c r="F292">
        <v>65535</v>
      </c>
      <c r="I292" t="s">
        <v>636</v>
      </c>
      <c r="R292">
        <v>77.759986877441406</v>
      </c>
      <c r="T292">
        <v>326.59194946289063</v>
      </c>
      <c r="W292" s="514">
        <v>44245.742673611108</v>
      </c>
      <c r="AN292">
        <v>0</v>
      </c>
      <c r="AO292">
        <v>0</v>
      </c>
      <c r="AP292">
        <v>0</v>
      </c>
      <c r="AS292">
        <v>0</v>
      </c>
      <c r="AT292">
        <v>0</v>
      </c>
      <c r="AU292">
        <v>0</v>
      </c>
      <c r="AW292">
        <v>0</v>
      </c>
      <c r="AZ292">
        <v>0</v>
      </c>
      <c r="BA292">
        <v>-6.0201488668099046E-4</v>
      </c>
      <c r="BB292">
        <v>0</v>
      </c>
      <c r="BC292">
        <v>93.051025390625</v>
      </c>
      <c r="BD292">
        <v>-93.0504150390625</v>
      </c>
      <c r="BI292">
        <v>0</v>
      </c>
      <c r="BJ292">
        <v>0</v>
      </c>
      <c r="BK292">
        <v>0</v>
      </c>
      <c r="BL292">
        <v>0</v>
      </c>
      <c r="BM292">
        <v>-3.8094890748300652E+36</v>
      </c>
      <c r="BN292">
        <v>2.92071533203125</v>
      </c>
      <c r="BP292">
        <v>65535</v>
      </c>
      <c r="BQ292">
        <v>65535</v>
      </c>
      <c r="BR292">
        <v>0</v>
      </c>
      <c r="BS292">
        <v>-6.0201488668099046E-4</v>
      </c>
      <c r="BT292">
        <v>0</v>
      </c>
      <c r="BU292">
        <v>93.051025390625</v>
      </c>
      <c r="BV292">
        <v>-93.0504150390625</v>
      </c>
      <c r="BW292" t="s">
        <v>615</v>
      </c>
      <c r="BX292">
        <v>-3.8094890748300652E+36</v>
      </c>
      <c r="BY292">
        <v>2.92071533203125</v>
      </c>
      <c r="CB292">
        <v>18.574638366699219</v>
      </c>
      <c r="CC292">
        <v>7.1292800903320313</v>
      </c>
    </row>
    <row r="293" spans="1:83" ht="12.75" customHeight="1">
      <c r="A293" t="s">
        <v>685</v>
      </c>
      <c r="C293" t="s">
        <v>694</v>
      </c>
      <c r="D293">
        <v>291</v>
      </c>
      <c r="F293">
        <v>65535</v>
      </c>
      <c r="I293" t="s">
        <v>685</v>
      </c>
      <c r="R293">
        <v>77.759986877441406</v>
      </c>
      <c r="T293">
        <v>326.59194946289063</v>
      </c>
      <c r="W293" s="514">
        <v>44245.742673611108</v>
      </c>
      <c r="AN293">
        <v>0</v>
      </c>
      <c r="AO293">
        <v>0</v>
      </c>
      <c r="AP293">
        <v>0</v>
      </c>
      <c r="AS293">
        <v>0</v>
      </c>
      <c r="AT293">
        <v>0</v>
      </c>
      <c r="AU293">
        <v>0</v>
      </c>
      <c r="AW293">
        <v>0</v>
      </c>
      <c r="AZ293">
        <v>0</v>
      </c>
      <c r="BA293">
        <v>-6.0201488668099046E-4</v>
      </c>
      <c r="BB293">
        <v>0</v>
      </c>
      <c r="BC293">
        <v>93.051025390625</v>
      </c>
      <c r="BD293">
        <v>-93.0504150390625</v>
      </c>
      <c r="BI293">
        <v>0</v>
      </c>
      <c r="BJ293">
        <v>0</v>
      </c>
      <c r="BK293">
        <v>0</v>
      </c>
      <c r="BL293">
        <v>0</v>
      </c>
      <c r="BM293">
        <v>-3.8094890748300652E+36</v>
      </c>
      <c r="BN293">
        <v>2.92071533203125</v>
      </c>
      <c r="BP293">
        <v>65535</v>
      </c>
      <c r="BQ293">
        <v>65535</v>
      </c>
      <c r="BR293">
        <v>0</v>
      </c>
      <c r="BS293">
        <v>-6.0201488668099046E-4</v>
      </c>
      <c r="BT293">
        <v>0</v>
      </c>
      <c r="BU293">
        <v>93.051025390625</v>
      </c>
      <c r="BV293">
        <v>-93.0504150390625</v>
      </c>
      <c r="BW293" t="s">
        <v>615</v>
      </c>
      <c r="BX293">
        <v>-3.8094890748300652E+36</v>
      </c>
      <c r="BY293">
        <v>2.92071533203125</v>
      </c>
      <c r="CB293">
        <v>18.749538421630859</v>
      </c>
      <c r="CC293">
        <v>7.0867228507995605</v>
      </c>
    </row>
    <row r="294" spans="1:83" ht="12.75" customHeight="1">
      <c r="A294" t="s">
        <v>728</v>
      </c>
      <c r="C294" t="s">
        <v>694</v>
      </c>
      <c r="D294">
        <v>292</v>
      </c>
      <c r="F294">
        <v>65535</v>
      </c>
      <c r="I294" t="s">
        <v>728</v>
      </c>
      <c r="R294">
        <v>77.759986877441406</v>
      </c>
      <c r="T294">
        <v>326.59194946289063</v>
      </c>
      <c r="W294" s="514">
        <v>44245.742673611108</v>
      </c>
      <c r="AN294">
        <v>0</v>
      </c>
      <c r="AO294">
        <v>0</v>
      </c>
      <c r="AP294">
        <v>0</v>
      </c>
      <c r="AS294">
        <v>0</v>
      </c>
      <c r="AT294">
        <v>0</v>
      </c>
      <c r="AU294">
        <v>0</v>
      </c>
      <c r="AW294">
        <v>0</v>
      </c>
      <c r="AZ294">
        <v>0</v>
      </c>
      <c r="BA294">
        <v>-6.0201488668099046E-4</v>
      </c>
      <c r="BB294">
        <v>0</v>
      </c>
      <c r="BC294">
        <v>93.051025390625</v>
      </c>
      <c r="BD294">
        <v>-93.0504150390625</v>
      </c>
      <c r="BI294">
        <v>0</v>
      </c>
      <c r="BJ294">
        <v>0</v>
      </c>
      <c r="BK294">
        <v>0</v>
      </c>
      <c r="BL294">
        <v>0</v>
      </c>
      <c r="BM294">
        <v>-3.8094890748300652E+36</v>
      </c>
      <c r="BN294">
        <v>2.92071533203125</v>
      </c>
      <c r="BP294">
        <v>65535</v>
      </c>
      <c r="BQ294">
        <v>65535</v>
      </c>
      <c r="BR294">
        <v>0</v>
      </c>
      <c r="BS294">
        <v>-6.0201488668099046E-4</v>
      </c>
      <c r="BT294">
        <v>0</v>
      </c>
      <c r="BU294">
        <v>93.051025390625</v>
      </c>
      <c r="BV294">
        <v>-93.0504150390625</v>
      </c>
      <c r="BW294" t="s">
        <v>615</v>
      </c>
      <c r="BX294">
        <v>-3.8094890748300652E+36</v>
      </c>
      <c r="BY294">
        <v>2.92071533203125</v>
      </c>
      <c r="CB294">
        <v>18.821430206298828</v>
      </c>
      <c r="CC294">
        <v>6.9914588928222656</v>
      </c>
    </row>
    <row r="295" spans="1:83" ht="12.75" customHeight="1">
      <c r="A295" t="s">
        <v>695</v>
      </c>
      <c r="C295" t="s">
        <v>694</v>
      </c>
      <c r="D295">
        <v>293</v>
      </c>
      <c r="F295">
        <v>65535</v>
      </c>
      <c r="I295" t="s">
        <v>695</v>
      </c>
      <c r="R295">
        <v>77.759986877441406</v>
      </c>
      <c r="T295">
        <v>326.59194946289063</v>
      </c>
      <c r="W295" s="514">
        <v>44245.742673611108</v>
      </c>
      <c r="AN295">
        <v>0</v>
      </c>
      <c r="AO295">
        <v>0</v>
      </c>
      <c r="AP295">
        <v>0</v>
      </c>
      <c r="AS295">
        <v>0</v>
      </c>
      <c r="AT295">
        <v>0</v>
      </c>
      <c r="AU295">
        <v>0</v>
      </c>
      <c r="AW295">
        <v>0</v>
      </c>
      <c r="AZ295">
        <v>0</v>
      </c>
      <c r="BA295">
        <v>-6.0201488668099046E-4</v>
      </c>
      <c r="BB295">
        <v>0</v>
      </c>
      <c r="BC295">
        <v>93.051025390625</v>
      </c>
      <c r="BD295">
        <v>-93.0504150390625</v>
      </c>
      <c r="BI295">
        <v>0</v>
      </c>
      <c r="BJ295">
        <v>0</v>
      </c>
      <c r="BK295">
        <v>0</v>
      </c>
      <c r="BL295">
        <v>0</v>
      </c>
      <c r="BM295">
        <v>-3.8094890748300652E+36</v>
      </c>
      <c r="BN295">
        <v>2.92071533203125</v>
      </c>
      <c r="BP295">
        <v>65535</v>
      </c>
      <c r="BQ295">
        <v>65535</v>
      </c>
      <c r="BR295">
        <v>0</v>
      </c>
      <c r="BS295">
        <v>-6.0201488668099046E-4</v>
      </c>
      <c r="BT295">
        <v>0</v>
      </c>
      <c r="BU295">
        <v>93.051025390625</v>
      </c>
      <c r="BV295">
        <v>-93.0504150390625</v>
      </c>
      <c r="BW295" t="s">
        <v>615</v>
      </c>
      <c r="BX295">
        <v>-3.8094890748300652E+36</v>
      </c>
      <c r="BY295">
        <v>2.92071533203125</v>
      </c>
      <c r="CB295">
        <v>18.728414535522461</v>
      </c>
      <c r="CC295">
        <v>6.9694499969482422</v>
      </c>
    </row>
    <row r="296" spans="1:83" ht="12.75" customHeight="1">
      <c r="A296" t="s">
        <v>624</v>
      </c>
      <c r="C296" t="s">
        <v>694</v>
      </c>
      <c r="D296">
        <v>294</v>
      </c>
      <c r="F296">
        <v>65535</v>
      </c>
      <c r="I296" t="s">
        <v>624</v>
      </c>
      <c r="R296">
        <v>20.240001678466797</v>
      </c>
      <c r="T296">
        <v>85.008010864257813</v>
      </c>
      <c r="W296" s="514">
        <v>44245.742685185185</v>
      </c>
      <c r="AN296">
        <v>0</v>
      </c>
      <c r="AO296">
        <v>0</v>
      </c>
      <c r="AP296">
        <v>0</v>
      </c>
      <c r="AS296">
        <v>0</v>
      </c>
      <c r="AT296">
        <v>0</v>
      </c>
      <c r="AU296">
        <v>0</v>
      </c>
      <c r="AW296">
        <v>0</v>
      </c>
      <c r="AZ296">
        <v>0</v>
      </c>
      <c r="BA296">
        <v>-4.9225438851863146E-4</v>
      </c>
      <c r="BB296">
        <v>0</v>
      </c>
      <c r="BC296">
        <v>28.381500244140625</v>
      </c>
      <c r="BD296">
        <v>-28.381078720092773</v>
      </c>
      <c r="BI296">
        <v>0</v>
      </c>
      <c r="BJ296">
        <v>0</v>
      </c>
      <c r="BK296">
        <v>0</v>
      </c>
      <c r="BL296">
        <v>0</v>
      </c>
      <c r="BM296">
        <v>-2.0719256029991341E+27</v>
      </c>
      <c r="BN296">
        <v>1.86163330078125</v>
      </c>
      <c r="BP296">
        <v>65535</v>
      </c>
      <c r="BQ296">
        <v>65535</v>
      </c>
      <c r="BR296">
        <v>0</v>
      </c>
      <c r="BS296">
        <v>-4.9225438851863146E-4</v>
      </c>
      <c r="BT296">
        <v>0</v>
      </c>
      <c r="BU296">
        <v>28.381500244140625</v>
      </c>
      <c r="BV296">
        <v>-28.381078720092773</v>
      </c>
      <c r="BW296" t="s">
        <v>615</v>
      </c>
      <c r="BX296">
        <v>-2.0719256029991341E+27</v>
      </c>
      <c r="BY296">
        <v>1.86163330078125</v>
      </c>
      <c r="CB296">
        <v>18.484682083129883</v>
      </c>
      <c r="CC296">
        <v>7.2198801040649414</v>
      </c>
    </row>
    <row r="297" spans="1:83" ht="12.75" customHeight="1">
      <c r="A297" t="s">
        <v>729</v>
      </c>
      <c r="C297" t="s">
        <v>694</v>
      </c>
      <c r="D297">
        <v>295</v>
      </c>
      <c r="F297">
        <v>65535</v>
      </c>
      <c r="I297" t="s">
        <v>729</v>
      </c>
      <c r="AN297">
        <v>0</v>
      </c>
      <c r="AO297">
        <v>0</v>
      </c>
      <c r="AP297">
        <v>0</v>
      </c>
      <c r="AS297">
        <v>65535</v>
      </c>
      <c r="AT297">
        <v>65535</v>
      </c>
      <c r="AU297">
        <v>65535</v>
      </c>
      <c r="BI297">
        <v>0</v>
      </c>
      <c r="BK297">
        <v>0</v>
      </c>
      <c r="BL297">
        <v>0</v>
      </c>
      <c r="BP297">
        <v>65535</v>
      </c>
      <c r="BQ297">
        <v>65535</v>
      </c>
      <c r="CB297">
        <v>18.636116027832031</v>
      </c>
      <c r="CC297">
        <v>7.1381616592407227</v>
      </c>
    </row>
    <row r="298" spans="1:83" ht="12.75" customHeight="1">
      <c r="A298" t="s">
        <v>703</v>
      </c>
      <c r="C298" t="s">
        <v>694</v>
      </c>
      <c r="D298">
        <v>296</v>
      </c>
      <c r="F298">
        <v>65535</v>
      </c>
      <c r="I298" t="s">
        <v>703</v>
      </c>
      <c r="AN298">
        <v>0</v>
      </c>
      <c r="AO298">
        <v>0</v>
      </c>
      <c r="AP298">
        <v>0</v>
      </c>
      <c r="AS298">
        <v>65535</v>
      </c>
      <c r="AT298">
        <v>65535</v>
      </c>
      <c r="AU298">
        <v>65535</v>
      </c>
      <c r="BI298">
        <v>0</v>
      </c>
      <c r="BK298">
        <v>0</v>
      </c>
      <c r="BL298">
        <v>0</v>
      </c>
      <c r="BP298">
        <v>65535</v>
      </c>
      <c r="BQ298">
        <v>65535</v>
      </c>
      <c r="CB298">
        <v>18.749538421630859</v>
      </c>
      <c r="CC298">
        <v>7.0867228507995605</v>
      </c>
      <c r="CD298" t="s">
        <v>622</v>
      </c>
      <c r="CE298" t="s">
        <v>623</v>
      </c>
    </row>
    <row r="299" spans="1:83" ht="12.75" customHeight="1">
      <c r="A299" t="s">
        <v>697</v>
      </c>
      <c r="C299" t="s">
        <v>694</v>
      </c>
      <c r="D299">
        <v>297</v>
      </c>
      <c r="F299">
        <v>65535</v>
      </c>
      <c r="I299" t="s">
        <v>697</v>
      </c>
      <c r="AN299">
        <v>0</v>
      </c>
      <c r="AO299">
        <v>0</v>
      </c>
      <c r="AP299">
        <v>0</v>
      </c>
      <c r="AS299">
        <v>65535</v>
      </c>
      <c r="AT299">
        <v>65535</v>
      </c>
      <c r="AU299">
        <v>65535</v>
      </c>
      <c r="BI299">
        <v>0</v>
      </c>
      <c r="BK299">
        <v>0</v>
      </c>
      <c r="BL299">
        <v>0</v>
      </c>
      <c r="BP299">
        <v>65535</v>
      </c>
      <c r="BQ299">
        <v>65535</v>
      </c>
      <c r="CB299">
        <v>18.821430206298828</v>
      </c>
      <c r="CC299">
        <v>6.9914588928222656</v>
      </c>
    </row>
    <row r="300" spans="1:83" ht="12.75" customHeight="1">
      <c r="A300" t="s">
        <v>703</v>
      </c>
      <c r="C300" t="s">
        <v>694</v>
      </c>
      <c r="D300">
        <v>298</v>
      </c>
      <c r="F300">
        <v>65535</v>
      </c>
      <c r="I300" t="s">
        <v>703</v>
      </c>
      <c r="AN300">
        <v>0</v>
      </c>
      <c r="AO300">
        <v>0</v>
      </c>
      <c r="AP300">
        <v>0</v>
      </c>
      <c r="AS300">
        <v>65535</v>
      </c>
      <c r="AT300">
        <v>65535</v>
      </c>
      <c r="AU300">
        <v>65535</v>
      </c>
      <c r="BI300">
        <v>0</v>
      </c>
      <c r="BK300">
        <v>0</v>
      </c>
      <c r="BL300">
        <v>0</v>
      </c>
      <c r="BP300">
        <v>65535</v>
      </c>
      <c r="BQ300">
        <v>65535</v>
      </c>
      <c r="CB300">
        <v>18.728414535522461</v>
      </c>
      <c r="CC300">
        <v>6.9694499969482422</v>
      </c>
      <c r="CD300" t="s">
        <v>622</v>
      </c>
      <c r="CE300" t="s">
        <v>623</v>
      </c>
    </row>
    <row r="301" spans="1:83" ht="12.75" customHeight="1">
      <c r="A301" t="s">
        <v>730</v>
      </c>
      <c r="C301" t="s">
        <v>694</v>
      </c>
      <c r="D301">
        <v>299</v>
      </c>
      <c r="F301">
        <v>65535</v>
      </c>
      <c r="I301" t="s">
        <v>730</v>
      </c>
      <c r="AN301">
        <v>0</v>
      </c>
      <c r="AO301">
        <v>0</v>
      </c>
      <c r="AP301">
        <v>0</v>
      </c>
      <c r="AS301">
        <v>65535</v>
      </c>
      <c r="AT301">
        <v>65535</v>
      </c>
      <c r="AU301">
        <v>65535</v>
      </c>
      <c r="BI301">
        <v>0</v>
      </c>
      <c r="BK301">
        <v>0</v>
      </c>
      <c r="BL301">
        <v>0</v>
      </c>
      <c r="BP301">
        <v>65535</v>
      </c>
      <c r="BQ301">
        <v>65535</v>
      </c>
      <c r="CB301">
        <v>18.484682083129883</v>
      </c>
      <c r="CC301">
        <v>7.2198801040649414</v>
      </c>
    </row>
    <row r="302" spans="1:83" ht="12.75" customHeight="1">
      <c r="A302" t="s">
        <v>699</v>
      </c>
      <c r="C302" t="s">
        <v>694</v>
      </c>
      <c r="D302">
        <v>300</v>
      </c>
      <c r="F302">
        <v>65535</v>
      </c>
      <c r="I302" t="s">
        <v>699</v>
      </c>
      <c r="AN302">
        <v>0</v>
      </c>
      <c r="AO302">
        <v>0</v>
      </c>
      <c r="AP302">
        <v>0</v>
      </c>
      <c r="AS302">
        <v>65535</v>
      </c>
      <c r="AT302">
        <v>65535</v>
      </c>
      <c r="AU302">
        <v>65535</v>
      </c>
      <c r="BI302">
        <v>0</v>
      </c>
      <c r="BK302">
        <v>0</v>
      </c>
      <c r="BL302">
        <v>0</v>
      </c>
      <c r="BP302">
        <v>65535</v>
      </c>
      <c r="BQ302">
        <v>65535</v>
      </c>
      <c r="CB302">
        <v>18.636116027832031</v>
      </c>
      <c r="CC302">
        <v>7.1381616592407227</v>
      </c>
    </row>
    <row r="303" spans="1:83" ht="12.75" customHeight="1">
      <c r="A303" t="s">
        <v>687</v>
      </c>
      <c r="C303" t="s">
        <v>694</v>
      </c>
      <c r="D303">
        <v>301</v>
      </c>
      <c r="F303">
        <v>65535</v>
      </c>
      <c r="I303" t="s">
        <v>687</v>
      </c>
      <c r="R303">
        <v>8.3599977493286133</v>
      </c>
      <c r="T303">
        <v>35.111991882324219</v>
      </c>
      <c r="W303" s="514">
        <v>44245.743263888886</v>
      </c>
      <c r="AN303">
        <v>0</v>
      </c>
      <c r="AO303">
        <v>0</v>
      </c>
      <c r="AP303">
        <v>0</v>
      </c>
      <c r="AS303">
        <v>0</v>
      </c>
      <c r="AT303">
        <v>0</v>
      </c>
      <c r="AU303">
        <v>0</v>
      </c>
      <c r="AW303">
        <v>0</v>
      </c>
      <c r="AZ303">
        <v>0</v>
      </c>
      <c r="BA303">
        <v>-1.9207318837288767E-4</v>
      </c>
      <c r="BB303">
        <v>0</v>
      </c>
      <c r="BC303">
        <v>7.5027179718017578</v>
      </c>
      <c r="BD303">
        <v>-7.5025205612182617</v>
      </c>
      <c r="BI303">
        <v>0</v>
      </c>
      <c r="BJ303">
        <v>0</v>
      </c>
      <c r="BK303">
        <v>0</v>
      </c>
      <c r="BL303">
        <v>0</v>
      </c>
      <c r="BM303">
        <v>-2.9533032069230823E-18</v>
      </c>
      <c r="BN303">
        <v>-1.114990234375</v>
      </c>
      <c r="BP303">
        <v>65535</v>
      </c>
      <c r="BQ303">
        <v>65535</v>
      </c>
      <c r="BR303">
        <v>0</v>
      </c>
      <c r="BS303">
        <v>-1.9207318837288767E-4</v>
      </c>
      <c r="BT303">
        <v>0</v>
      </c>
      <c r="BU303">
        <v>7.5027179718017578</v>
      </c>
      <c r="BV303">
        <v>-7.5025205612182617</v>
      </c>
      <c r="BW303" t="s">
        <v>615</v>
      </c>
      <c r="BX303">
        <v>-2.9533032069230823E-18</v>
      </c>
      <c r="BY303">
        <v>-1.114990234375</v>
      </c>
      <c r="CB303">
        <v>18.749538421630859</v>
      </c>
      <c r="CC303">
        <v>7.0867228507995605</v>
      </c>
    </row>
    <row r="304" spans="1:83" ht="12.75" customHeight="1">
      <c r="A304" t="s">
        <v>620</v>
      </c>
      <c r="C304" t="s">
        <v>694</v>
      </c>
      <c r="D304">
        <v>302</v>
      </c>
      <c r="F304">
        <v>65535</v>
      </c>
      <c r="I304" t="s">
        <v>620</v>
      </c>
      <c r="AN304">
        <v>0</v>
      </c>
      <c r="AO304">
        <v>0</v>
      </c>
      <c r="AP304">
        <v>0</v>
      </c>
      <c r="AS304">
        <v>65535</v>
      </c>
      <c r="AT304">
        <v>65535</v>
      </c>
      <c r="AU304">
        <v>65535</v>
      </c>
      <c r="BI304">
        <v>0</v>
      </c>
      <c r="BK304">
        <v>0</v>
      </c>
      <c r="BL304">
        <v>0</v>
      </c>
      <c r="BP304">
        <v>65535</v>
      </c>
      <c r="BQ304">
        <v>65535</v>
      </c>
      <c r="CB304">
        <v>18.821430206298828</v>
      </c>
      <c r="CC304">
        <v>6.9914588928222656</v>
      </c>
      <c r="CD304" t="s">
        <v>622</v>
      </c>
      <c r="CE304" t="s">
        <v>623</v>
      </c>
    </row>
    <row r="305" spans="1:83" ht="12.75" customHeight="1">
      <c r="A305" t="s">
        <v>699</v>
      </c>
      <c r="C305" t="s">
        <v>694</v>
      </c>
      <c r="D305">
        <v>303</v>
      </c>
      <c r="F305">
        <v>65535</v>
      </c>
      <c r="I305" t="s">
        <v>699</v>
      </c>
      <c r="AN305">
        <v>0</v>
      </c>
      <c r="AO305">
        <v>0</v>
      </c>
      <c r="AP305">
        <v>0</v>
      </c>
      <c r="AS305">
        <v>65535</v>
      </c>
      <c r="AT305">
        <v>65535</v>
      </c>
      <c r="AU305">
        <v>65535</v>
      </c>
      <c r="BI305">
        <v>0</v>
      </c>
      <c r="BK305">
        <v>0</v>
      </c>
      <c r="BL305">
        <v>0</v>
      </c>
      <c r="BP305">
        <v>65535</v>
      </c>
      <c r="BQ305">
        <v>65535</v>
      </c>
      <c r="CB305">
        <v>18.728414535522461</v>
      </c>
      <c r="CC305">
        <v>6.9694499969482422</v>
      </c>
    </row>
    <row r="306" spans="1:83" ht="12.75" customHeight="1">
      <c r="A306" t="s">
        <v>642</v>
      </c>
      <c r="C306" t="s">
        <v>694</v>
      </c>
      <c r="D306">
        <v>304</v>
      </c>
      <c r="F306">
        <v>65535</v>
      </c>
      <c r="I306" t="s">
        <v>642</v>
      </c>
      <c r="AN306">
        <v>0</v>
      </c>
      <c r="AO306">
        <v>0</v>
      </c>
      <c r="AP306">
        <v>0</v>
      </c>
      <c r="AS306">
        <v>65535</v>
      </c>
      <c r="AT306">
        <v>65535</v>
      </c>
      <c r="AU306">
        <v>65535</v>
      </c>
      <c r="BI306">
        <v>0</v>
      </c>
      <c r="BK306">
        <v>0</v>
      </c>
      <c r="BL306">
        <v>0</v>
      </c>
      <c r="BP306">
        <v>65535</v>
      </c>
      <c r="BQ306">
        <v>65535</v>
      </c>
      <c r="CB306">
        <v>18.484682083129883</v>
      </c>
      <c r="CC306">
        <v>7.2198801040649414</v>
      </c>
      <c r="CD306" t="s">
        <v>617</v>
      </c>
      <c r="CE306" t="s">
        <v>623</v>
      </c>
    </row>
    <row r="307" spans="1:83" ht="12.75" customHeight="1">
      <c r="A307" t="s">
        <v>687</v>
      </c>
      <c r="C307" t="s">
        <v>694</v>
      </c>
      <c r="D307">
        <v>305</v>
      </c>
      <c r="F307">
        <v>65535</v>
      </c>
      <c r="I307" t="s">
        <v>687</v>
      </c>
      <c r="R307">
        <v>18</v>
      </c>
      <c r="T307">
        <v>75.599998474121094</v>
      </c>
      <c r="W307" s="514">
        <v>44245.743090277778</v>
      </c>
      <c r="AN307">
        <v>0</v>
      </c>
      <c r="AO307">
        <v>0</v>
      </c>
      <c r="AP307">
        <v>0</v>
      </c>
      <c r="AS307">
        <v>0</v>
      </c>
      <c r="AT307">
        <v>0</v>
      </c>
      <c r="AU307">
        <v>0</v>
      </c>
      <c r="AW307">
        <v>0</v>
      </c>
      <c r="AZ307">
        <v>0</v>
      </c>
      <c r="BA307">
        <v>-4.9571704585105181E-4</v>
      </c>
      <c r="BB307">
        <v>0</v>
      </c>
      <c r="BC307">
        <v>-7.852081298828125</v>
      </c>
      <c r="BD307">
        <v>7.8524293899536133</v>
      </c>
      <c r="BI307">
        <v>0</v>
      </c>
      <c r="BJ307">
        <v>0</v>
      </c>
      <c r="BK307">
        <v>0</v>
      </c>
      <c r="BL307">
        <v>0</v>
      </c>
      <c r="BM307">
        <v>6.5315257853116672E+30</v>
      </c>
      <c r="BN307">
        <v>1.883636474609375</v>
      </c>
      <c r="BP307">
        <v>65535</v>
      </c>
      <c r="BQ307">
        <v>65535</v>
      </c>
      <c r="BR307">
        <v>0</v>
      </c>
      <c r="BS307">
        <v>-4.9571704585105181E-4</v>
      </c>
      <c r="BT307">
        <v>0</v>
      </c>
      <c r="BU307">
        <v>-7.852081298828125</v>
      </c>
      <c r="BV307">
        <v>7.8524293899536133</v>
      </c>
      <c r="BW307" t="s">
        <v>615</v>
      </c>
      <c r="BX307">
        <v>6.5315257853116672E+30</v>
      </c>
      <c r="BY307">
        <v>1.883636474609375</v>
      </c>
      <c r="CB307">
        <v>18.636116027832031</v>
      </c>
      <c r="CC307">
        <v>7.1381616592407227</v>
      </c>
    </row>
    <row r="308" spans="1:83" ht="12.75" customHeight="1">
      <c r="A308" t="s">
        <v>642</v>
      </c>
      <c r="C308" t="s">
        <v>694</v>
      </c>
      <c r="D308">
        <v>306</v>
      </c>
      <c r="F308">
        <v>65535</v>
      </c>
      <c r="I308" t="s">
        <v>642</v>
      </c>
      <c r="R308">
        <v>111.59999847412109</v>
      </c>
      <c r="T308">
        <v>468.72000122070313</v>
      </c>
      <c r="W308" s="514">
        <v>44245.743125000001</v>
      </c>
      <c r="AN308">
        <v>0</v>
      </c>
      <c r="AO308">
        <v>0</v>
      </c>
      <c r="AP308">
        <v>0</v>
      </c>
      <c r="AS308">
        <v>0</v>
      </c>
      <c r="AT308">
        <v>0</v>
      </c>
      <c r="AU308">
        <v>0</v>
      </c>
      <c r="AW308">
        <v>0</v>
      </c>
      <c r="AZ308">
        <v>0</v>
      </c>
      <c r="BA308">
        <v>-5.9618806699290872E-4</v>
      </c>
      <c r="BB308">
        <v>0</v>
      </c>
      <c r="BC308">
        <v>132.8204345703125</v>
      </c>
      <c r="BD308">
        <v>-132.81906127929688</v>
      </c>
      <c r="BI308">
        <v>0</v>
      </c>
      <c r="BJ308">
        <v>0</v>
      </c>
      <c r="BK308">
        <v>0</v>
      </c>
      <c r="BL308">
        <v>0</v>
      </c>
      <c r="BM308">
        <v>-8.2094338249068583E+30</v>
      </c>
      <c r="BN308">
        <v>2.88531494140625</v>
      </c>
      <c r="BP308">
        <v>65535</v>
      </c>
      <c r="BQ308">
        <v>65535</v>
      </c>
      <c r="BR308">
        <v>0</v>
      </c>
      <c r="BS308">
        <v>-5.9618806699290872E-4</v>
      </c>
      <c r="BT308">
        <v>0</v>
      </c>
      <c r="BU308">
        <v>132.8204345703125</v>
      </c>
      <c r="BV308">
        <v>-132.81906127929688</v>
      </c>
      <c r="BW308" t="s">
        <v>615</v>
      </c>
      <c r="BX308">
        <v>-8.2094338249068583E+30</v>
      </c>
      <c r="BY308">
        <v>2.88531494140625</v>
      </c>
      <c r="CB308">
        <v>18.862054824829102</v>
      </c>
      <c r="CC308">
        <v>6.8861231803894043</v>
      </c>
      <c r="CD308" t="s">
        <v>617</v>
      </c>
      <c r="CE308" t="s">
        <v>623</v>
      </c>
    </row>
    <row r="309" spans="1:83" ht="12.75" customHeight="1">
      <c r="A309" t="s">
        <v>699</v>
      </c>
      <c r="C309" t="s">
        <v>694</v>
      </c>
      <c r="D309">
        <v>307</v>
      </c>
      <c r="F309">
        <v>65535</v>
      </c>
      <c r="I309" t="s">
        <v>699</v>
      </c>
      <c r="R309">
        <v>22.560001373291016</v>
      </c>
      <c r="T309">
        <v>94.752006530761719</v>
      </c>
      <c r="W309" s="514">
        <v>44245.743206018517</v>
      </c>
      <c r="AN309">
        <v>0</v>
      </c>
      <c r="AO309">
        <v>0</v>
      </c>
      <c r="AP309">
        <v>0</v>
      </c>
      <c r="AS309">
        <v>0</v>
      </c>
      <c r="AT309">
        <v>0</v>
      </c>
      <c r="AU309">
        <v>0</v>
      </c>
      <c r="AW309">
        <v>0</v>
      </c>
      <c r="AZ309">
        <v>0</v>
      </c>
      <c r="BA309">
        <v>-3.052213869523257E-4</v>
      </c>
      <c r="BB309">
        <v>0</v>
      </c>
      <c r="BC309">
        <v>-63.912063598632813</v>
      </c>
      <c r="BD309">
        <v>63.912380218505859</v>
      </c>
      <c r="BI309">
        <v>0</v>
      </c>
      <c r="BJ309">
        <v>0</v>
      </c>
      <c r="BK309">
        <v>0</v>
      </c>
      <c r="BL309">
        <v>0</v>
      </c>
      <c r="BM309">
        <v>2.4941507192899337E-10</v>
      </c>
      <c r="BN309">
        <v>4.6142578125E-2</v>
      </c>
      <c r="BP309">
        <v>65535</v>
      </c>
      <c r="BQ309">
        <v>65535</v>
      </c>
      <c r="BR309">
        <v>0</v>
      </c>
      <c r="BS309">
        <v>-3.052213869523257E-4</v>
      </c>
      <c r="BT309">
        <v>0</v>
      </c>
      <c r="BU309">
        <v>-63.912063598632813</v>
      </c>
      <c r="BV309">
        <v>63.912380218505859</v>
      </c>
      <c r="BW309" t="s">
        <v>615</v>
      </c>
      <c r="BX309">
        <v>2.4941507192899337E-10</v>
      </c>
      <c r="BY309">
        <v>4.6142578125E-2</v>
      </c>
      <c r="CB309">
        <v>19.745401382446289</v>
      </c>
      <c r="CC309">
        <v>6.2339653968811035</v>
      </c>
    </row>
    <row r="310" spans="1:83" ht="12.75" customHeight="1">
      <c r="A310" t="s">
        <v>687</v>
      </c>
      <c r="C310" t="s">
        <v>694</v>
      </c>
      <c r="D310">
        <v>308</v>
      </c>
      <c r="F310">
        <v>65535</v>
      </c>
      <c r="I310" t="s">
        <v>687</v>
      </c>
      <c r="R310">
        <v>22.560001373291016</v>
      </c>
      <c r="T310">
        <v>94.752006530761719</v>
      </c>
      <c r="W310" s="514">
        <v>44245.743206018517</v>
      </c>
      <c r="AN310">
        <v>0</v>
      </c>
      <c r="AO310">
        <v>0</v>
      </c>
      <c r="AP310">
        <v>0</v>
      </c>
      <c r="AS310">
        <v>0</v>
      </c>
      <c r="AT310">
        <v>0</v>
      </c>
      <c r="AU310">
        <v>0</v>
      </c>
      <c r="AW310">
        <v>0</v>
      </c>
      <c r="AZ310">
        <v>0</v>
      </c>
      <c r="BA310">
        <v>-3.052213869523257E-4</v>
      </c>
      <c r="BB310">
        <v>0</v>
      </c>
      <c r="BC310">
        <v>-63.912063598632813</v>
      </c>
      <c r="BD310">
        <v>63.912380218505859</v>
      </c>
      <c r="BI310">
        <v>0</v>
      </c>
      <c r="BJ310">
        <v>0</v>
      </c>
      <c r="BK310">
        <v>0</v>
      </c>
      <c r="BL310">
        <v>0</v>
      </c>
      <c r="BM310">
        <v>2.4941507192899337E-10</v>
      </c>
      <c r="BN310">
        <v>4.6142578125E-2</v>
      </c>
      <c r="BP310">
        <v>65535</v>
      </c>
      <c r="BQ310">
        <v>65535</v>
      </c>
      <c r="BR310">
        <v>0</v>
      </c>
      <c r="BS310">
        <v>-3.052213869523257E-4</v>
      </c>
      <c r="BT310">
        <v>0</v>
      </c>
      <c r="BU310">
        <v>-63.912063598632813</v>
      </c>
      <c r="BV310">
        <v>63.912380218505859</v>
      </c>
      <c r="BW310" t="s">
        <v>615</v>
      </c>
      <c r="BX310">
        <v>2.4941507192899337E-10</v>
      </c>
      <c r="BY310">
        <v>4.6142578125E-2</v>
      </c>
      <c r="CB310">
        <v>18.805768966674805</v>
      </c>
      <c r="CC310">
        <v>7.0398960113525391</v>
      </c>
    </row>
    <row r="311" spans="1:83" ht="12.75" customHeight="1">
      <c r="A311" t="s">
        <v>687</v>
      </c>
      <c r="C311" t="s">
        <v>694</v>
      </c>
      <c r="D311">
        <v>309</v>
      </c>
      <c r="F311">
        <v>65535</v>
      </c>
      <c r="I311" t="s">
        <v>687</v>
      </c>
      <c r="R311">
        <v>30.079996109008789</v>
      </c>
      <c r="T311">
        <v>126.33598327636719</v>
      </c>
      <c r="W311" s="514">
        <v>44245.743391203701</v>
      </c>
      <c r="AN311">
        <v>0</v>
      </c>
      <c r="AO311">
        <v>0</v>
      </c>
      <c r="AP311">
        <v>0</v>
      </c>
      <c r="AS311">
        <v>0</v>
      </c>
      <c r="AT311">
        <v>0</v>
      </c>
      <c r="AU311">
        <v>0</v>
      </c>
      <c r="AW311">
        <v>0</v>
      </c>
      <c r="AZ311">
        <v>0</v>
      </c>
      <c r="BA311">
        <v>-2.2061812342144549E-4</v>
      </c>
      <c r="BB311">
        <v>0</v>
      </c>
      <c r="BC311">
        <v>-34.158714294433594</v>
      </c>
      <c r="BD311">
        <v>34.158973693847656</v>
      </c>
      <c r="BI311">
        <v>0</v>
      </c>
      <c r="BJ311">
        <v>0</v>
      </c>
      <c r="BK311">
        <v>0</v>
      </c>
      <c r="BL311">
        <v>0</v>
      </c>
      <c r="BM311">
        <v>9.0470535995045372E-34</v>
      </c>
      <c r="BN311">
        <v>-0.820587158203125</v>
      </c>
      <c r="BP311">
        <v>65535</v>
      </c>
      <c r="BQ311">
        <v>65535</v>
      </c>
      <c r="BR311">
        <v>0</v>
      </c>
      <c r="BS311">
        <v>-2.2061812342144549E-4</v>
      </c>
      <c r="BT311">
        <v>0</v>
      </c>
      <c r="BU311">
        <v>-34.158714294433594</v>
      </c>
      <c r="BV311">
        <v>34.158973693847656</v>
      </c>
      <c r="BW311" t="s">
        <v>615</v>
      </c>
      <c r="BX311">
        <v>9.0470535995045372E-34</v>
      </c>
      <c r="BY311">
        <v>-0.820587158203125</v>
      </c>
      <c r="CB311">
        <v>18.492700576782227</v>
      </c>
      <c r="CC311">
        <v>7.2283225059509277</v>
      </c>
    </row>
    <row r="312" spans="1:83" ht="12.75" customHeight="1">
      <c r="A312" t="s">
        <v>642</v>
      </c>
      <c r="C312" t="s">
        <v>694</v>
      </c>
      <c r="D312">
        <v>310</v>
      </c>
      <c r="F312">
        <v>65535</v>
      </c>
      <c r="I312" t="s">
        <v>642</v>
      </c>
      <c r="R312">
        <v>30.079996109008789</v>
      </c>
      <c r="T312">
        <v>126.33598327636719</v>
      </c>
      <c r="W312" s="514">
        <v>44245.743391203701</v>
      </c>
      <c r="AN312">
        <v>0</v>
      </c>
      <c r="AO312">
        <v>0</v>
      </c>
      <c r="AP312">
        <v>0</v>
      </c>
      <c r="AS312">
        <v>0</v>
      </c>
      <c r="AT312">
        <v>0</v>
      </c>
      <c r="AU312">
        <v>0</v>
      </c>
      <c r="AW312">
        <v>0</v>
      </c>
      <c r="AZ312">
        <v>0</v>
      </c>
      <c r="BA312">
        <v>-2.2061812342144549E-4</v>
      </c>
      <c r="BB312">
        <v>0</v>
      </c>
      <c r="BC312">
        <v>-34.158714294433594</v>
      </c>
      <c r="BD312">
        <v>34.158973693847656</v>
      </c>
      <c r="BI312">
        <v>0</v>
      </c>
      <c r="BJ312">
        <v>0</v>
      </c>
      <c r="BK312">
        <v>0</v>
      </c>
      <c r="BL312">
        <v>0</v>
      </c>
      <c r="BM312">
        <v>9.0470535995045372E-34</v>
      </c>
      <c r="BN312">
        <v>-0.820587158203125</v>
      </c>
      <c r="BP312">
        <v>65535</v>
      </c>
      <c r="BQ312">
        <v>65535</v>
      </c>
      <c r="BR312">
        <v>0</v>
      </c>
      <c r="BS312">
        <v>-2.2061812342144549E-4</v>
      </c>
      <c r="BT312">
        <v>0</v>
      </c>
      <c r="BU312">
        <v>-34.158714294433594</v>
      </c>
      <c r="BV312">
        <v>34.158973693847656</v>
      </c>
      <c r="BW312" t="s">
        <v>615</v>
      </c>
      <c r="BX312">
        <v>9.0470535995045372E-34</v>
      </c>
      <c r="BY312">
        <v>-0.820587158203125</v>
      </c>
      <c r="CB312">
        <v>18.529254913330078</v>
      </c>
      <c r="CC312">
        <v>7.1777396202087402</v>
      </c>
      <c r="CD312" t="s">
        <v>617</v>
      </c>
      <c r="CE312" t="s">
        <v>623</v>
      </c>
    </row>
    <row r="313" spans="1:83" ht="12.75" customHeight="1">
      <c r="A313" t="s">
        <v>699</v>
      </c>
      <c r="C313" t="s">
        <v>694</v>
      </c>
      <c r="D313">
        <v>311</v>
      </c>
      <c r="F313">
        <v>65535</v>
      </c>
      <c r="I313" t="s">
        <v>699</v>
      </c>
      <c r="AN313">
        <v>0</v>
      </c>
      <c r="AO313">
        <v>0</v>
      </c>
      <c r="AP313">
        <v>0</v>
      </c>
      <c r="AS313">
        <v>65535</v>
      </c>
      <c r="AT313">
        <v>65535</v>
      </c>
      <c r="AU313">
        <v>65535</v>
      </c>
      <c r="BI313">
        <v>0</v>
      </c>
      <c r="BK313">
        <v>0</v>
      </c>
      <c r="BL313">
        <v>0</v>
      </c>
      <c r="BP313">
        <v>65535</v>
      </c>
      <c r="BQ313">
        <v>65535</v>
      </c>
      <c r="CB313">
        <v>18.574638366699219</v>
      </c>
      <c r="CC313">
        <v>7.1292800903320313</v>
      </c>
    </row>
    <row r="314" spans="1:83" ht="12.75" customHeight="1">
      <c r="A314" t="s">
        <v>731</v>
      </c>
      <c r="C314" t="s">
        <v>694</v>
      </c>
      <c r="D314">
        <v>312</v>
      </c>
      <c r="F314">
        <v>65535</v>
      </c>
      <c r="I314" t="s">
        <v>731</v>
      </c>
      <c r="R314">
        <v>95.680007934570313</v>
      </c>
      <c r="T314">
        <v>401.85604858398438</v>
      </c>
      <c r="W314" s="514">
        <v>44245.742997685185</v>
      </c>
      <c r="AN314">
        <v>0</v>
      </c>
      <c r="AO314">
        <v>0</v>
      </c>
      <c r="AP314">
        <v>0</v>
      </c>
      <c r="AS314">
        <v>0</v>
      </c>
      <c r="AT314">
        <v>0</v>
      </c>
      <c r="AU314">
        <v>0</v>
      </c>
      <c r="AW314">
        <v>0</v>
      </c>
      <c r="AZ314">
        <v>0</v>
      </c>
      <c r="BA314">
        <v>-4.9697462236508727E-4</v>
      </c>
      <c r="BB314">
        <v>0</v>
      </c>
      <c r="BC314">
        <v>28.672370910644531</v>
      </c>
      <c r="BD314">
        <v>-28.671808242797852</v>
      </c>
      <c r="BI314">
        <v>0</v>
      </c>
      <c r="BJ314">
        <v>0</v>
      </c>
      <c r="BK314">
        <v>0</v>
      </c>
      <c r="BL314">
        <v>0</v>
      </c>
      <c r="BM314">
        <v>-3.9803766783281725E+18</v>
      </c>
      <c r="BN314">
        <v>1.90673828125</v>
      </c>
      <c r="BP314">
        <v>65535</v>
      </c>
      <c r="BQ314">
        <v>65535</v>
      </c>
      <c r="BR314">
        <v>0</v>
      </c>
      <c r="BS314">
        <v>-4.9697462236508727E-4</v>
      </c>
      <c r="BT314">
        <v>0</v>
      </c>
      <c r="BU314">
        <v>28.672370910644531</v>
      </c>
      <c r="BV314">
        <v>-28.671808242797852</v>
      </c>
      <c r="BW314" t="s">
        <v>615</v>
      </c>
      <c r="BX314">
        <v>-3.9803766783281725E+18</v>
      </c>
      <c r="BY314">
        <v>1.90673828125</v>
      </c>
      <c r="CB314">
        <v>19.745401382446289</v>
      </c>
      <c r="CC314">
        <v>6.2339653968811035</v>
      </c>
    </row>
    <row r="315" spans="1:83" ht="12.75" customHeight="1">
      <c r="A315" t="s">
        <v>655</v>
      </c>
      <c r="C315" t="s">
        <v>694</v>
      </c>
      <c r="D315">
        <v>313</v>
      </c>
      <c r="F315">
        <v>65535</v>
      </c>
      <c r="I315" t="s">
        <v>655</v>
      </c>
      <c r="R315">
        <v>7.9999990463256836</v>
      </c>
      <c r="T315">
        <v>33.599998474121094</v>
      </c>
      <c r="W315" s="514">
        <v>44245.743020833332</v>
      </c>
      <c r="AN315">
        <v>0</v>
      </c>
      <c r="AO315">
        <v>0</v>
      </c>
      <c r="AP315">
        <v>0</v>
      </c>
      <c r="AS315">
        <v>0</v>
      </c>
      <c r="AT315">
        <v>0</v>
      </c>
      <c r="AU315">
        <v>0</v>
      </c>
      <c r="AW315">
        <v>0</v>
      </c>
      <c r="AZ315">
        <v>0</v>
      </c>
      <c r="BA315">
        <v>-6.590737757505849E-5</v>
      </c>
      <c r="BB315">
        <v>0</v>
      </c>
      <c r="BC315">
        <v>-19.034015655517578</v>
      </c>
      <c r="BD315">
        <v>18.934013366699219</v>
      </c>
      <c r="BI315">
        <v>0</v>
      </c>
      <c r="BJ315">
        <v>0</v>
      </c>
      <c r="BK315">
        <v>0</v>
      </c>
      <c r="BL315">
        <v>0</v>
      </c>
      <c r="BM315">
        <v>-5.0909642368424102E-7</v>
      </c>
      <c r="BN315">
        <v>-2.342559814453125</v>
      </c>
      <c r="BP315">
        <v>65535</v>
      </c>
      <c r="BQ315">
        <v>65535</v>
      </c>
      <c r="BR315">
        <v>0</v>
      </c>
      <c r="BS315">
        <v>-6.590737757505849E-5</v>
      </c>
      <c r="BT315">
        <v>0</v>
      </c>
      <c r="BU315">
        <v>-19.034015655517578</v>
      </c>
      <c r="BV315">
        <v>18.934013366699219</v>
      </c>
      <c r="BW315" t="s">
        <v>615</v>
      </c>
      <c r="BX315">
        <v>-5.0909642368424102E-7</v>
      </c>
      <c r="BY315">
        <v>-2.342559814453125</v>
      </c>
      <c r="CB315">
        <v>18.805768966674805</v>
      </c>
      <c r="CC315">
        <v>7.0398960113525391</v>
      </c>
    </row>
    <row r="316" spans="1:83" ht="12.75" customHeight="1">
      <c r="A316" t="s">
        <v>655</v>
      </c>
      <c r="C316" t="s">
        <v>694</v>
      </c>
      <c r="D316">
        <v>314</v>
      </c>
      <c r="F316">
        <v>65535</v>
      </c>
      <c r="I316" t="s">
        <v>655</v>
      </c>
      <c r="R316">
        <v>18</v>
      </c>
      <c r="T316">
        <v>75.599998474121094</v>
      </c>
      <c r="W316" s="514">
        <v>44245.743090277778</v>
      </c>
      <c r="AN316">
        <v>0</v>
      </c>
      <c r="AO316">
        <v>0</v>
      </c>
      <c r="AP316">
        <v>0</v>
      </c>
      <c r="AS316">
        <v>0</v>
      </c>
      <c r="AT316">
        <v>0</v>
      </c>
      <c r="AU316">
        <v>0</v>
      </c>
      <c r="AW316">
        <v>0</v>
      </c>
      <c r="AZ316">
        <v>0</v>
      </c>
      <c r="BA316">
        <v>-4.9571704585105181E-4</v>
      </c>
      <c r="BB316">
        <v>0</v>
      </c>
      <c r="BC316">
        <v>-7.852081298828125</v>
      </c>
      <c r="BD316">
        <v>7.8524293899536133</v>
      </c>
      <c r="BI316">
        <v>0</v>
      </c>
      <c r="BJ316">
        <v>0</v>
      </c>
      <c r="BK316">
        <v>0</v>
      </c>
      <c r="BL316">
        <v>0</v>
      </c>
      <c r="BM316">
        <v>6.5315257853116672E+30</v>
      </c>
      <c r="BN316">
        <v>1.883636474609375</v>
      </c>
      <c r="BP316">
        <v>65535</v>
      </c>
      <c r="BQ316">
        <v>65535</v>
      </c>
      <c r="BR316">
        <v>0</v>
      </c>
      <c r="BS316">
        <v>-4.9571704585105181E-4</v>
      </c>
      <c r="BT316">
        <v>0</v>
      </c>
      <c r="BU316">
        <v>-7.852081298828125</v>
      </c>
      <c r="BV316">
        <v>7.8524293899536133</v>
      </c>
      <c r="BW316" t="s">
        <v>615</v>
      </c>
      <c r="BX316">
        <v>6.5315257853116672E+30</v>
      </c>
      <c r="BY316">
        <v>1.883636474609375</v>
      </c>
      <c r="CB316">
        <v>18.492700576782227</v>
      </c>
      <c r="CC316">
        <v>7.2283225059509277</v>
      </c>
    </row>
    <row r="317" spans="1:83" ht="12.75" customHeight="1">
      <c r="A317" t="s">
        <v>687</v>
      </c>
      <c r="C317" t="s">
        <v>694</v>
      </c>
      <c r="D317">
        <v>315</v>
      </c>
      <c r="F317">
        <v>65535</v>
      </c>
      <c r="I317" t="s">
        <v>687</v>
      </c>
      <c r="R317">
        <v>18</v>
      </c>
      <c r="T317">
        <v>75.599998474121094</v>
      </c>
      <c r="W317" s="514">
        <v>44245.743090277778</v>
      </c>
      <c r="AN317">
        <v>0</v>
      </c>
      <c r="AO317">
        <v>0</v>
      </c>
      <c r="AP317">
        <v>0</v>
      </c>
      <c r="AS317">
        <v>0</v>
      </c>
      <c r="AT317">
        <v>0</v>
      </c>
      <c r="AU317">
        <v>0</v>
      </c>
      <c r="AW317">
        <v>0</v>
      </c>
      <c r="AZ317">
        <v>0</v>
      </c>
      <c r="BA317">
        <v>-4.9571704585105181E-4</v>
      </c>
      <c r="BB317">
        <v>0</v>
      </c>
      <c r="BC317">
        <v>-7.852081298828125</v>
      </c>
      <c r="BD317">
        <v>7.8524293899536133</v>
      </c>
      <c r="BI317">
        <v>0</v>
      </c>
      <c r="BJ317">
        <v>0</v>
      </c>
      <c r="BK317">
        <v>0</v>
      </c>
      <c r="BL317">
        <v>0</v>
      </c>
      <c r="BM317">
        <v>6.5315257853116672E+30</v>
      </c>
      <c r="BN317">
        <v>1.883636474609375</v>
      </c>
      <c r="BP317">
        <v>65535</v>
      </c>
      <c r="BQ317">
        <v>65535</v>
      </c>
      <c r="BR317">
        <v>0</v>
      </c>
      <c r="BS317">
        <v>-4.9571704585105181E-4</v>
      </c>
      <c r="BT317">
        <v>0</v>
      </c>
      <c r="BU317">
        <v>-7.852081298828125</v>
      </c>
      <c r="BV317">
        <v>7.8524293899536133</v>
      </c>
      <c r="BW317" t="s">
        <v>615</v>
      </c>
      <c r="BX317">
        <v>6.5315257853116672E+30</v>
      </c>
      <c r="BY317">
        <v>1.883636474609375</v>
      </c>
      <c r="CB317">
        <v>18.529254913330078</v>
      </c>
      <c r="CC317">
        <v>7.1777396202087402</v>
      </c>
    </row>
    <row r="318" spans="1:83" ht="12.75" customHeight="1">
      <c r="A318" t="s">
        <v>642</v>
      </c>
      <c r="C318" t="s">
        <v>694</v>
      </c>
      <c r="D318">
        <v>316</v>
      </c>
      <c r="F318">
        <v>65535</v>
      </c>
      <c r="I318" t="s">
        <v>642</v>
      </c>
      <c r="R318">
        <v>18</v>
      </c>
      <c r="T318">
        <v>75.599998474121094</v>
      </c>
      <c r="W318" s="514">
        <v>44245.743090277778</v>
      </c>
      <c r="AN318">
        <v>0</v>
      </c>
      <c r="AO318">
        <v>0</v>
      </c>
      <c r="AP318">
        <v>0</v>
      </c>
      <c r="AS318">
        <v>0</v>
      </c>
      <c r="AT318">
        <v>0</v>
      </c>
      <c r="AU318">
        <v>0</v>
      </c>
      <c r="AW318">
        <v>0</v>
      </c>
      <c r="AZ318">
        <v>0</v>
      </c>
      <c r="BA318">
        <v>-4.9571704585105181E-4</v>
      </c>
      <c r="BB318">
        <v>0</v>
      </c>
      <c r="BC318">
        <v>-7.852081298828125</v>
      </c>
      <c r="BD318">
        <v>7.8524293899536133</v>
      </c>
      <c r="BI318">
        <v>0</v>
      </c>
      <c r="BJ318">
        <v>0</v>
      </c>
      <c r="BK318">
        <v>0</v>
      </c>
      <c r="BL318">
        <v>0</v>
      </c>
      <c r="BM318">
        <v>6.5315257853116672E+30</v>
      </c>
      <c r="BN318">
        <v>1.883636474609375</v>
      </c>
      <c r="BP318">
        <v>65535</v>
      </c>
      <c r="BQ318">
        <v>65535</v>
      </c>
      <c r="BR318">
        <v>0</v>
      </c>
      <c r="BS318">
        <v>-4.9571704585105181E-4</v>
      </c>
      <c r="BT318">
        <v>0</v>
      </c>
      <c r="BU318">
        <v>-7.852081298828125</v>
      </c>
      <c r="BV318">
        <v>7.8524293899536133</v>
      </c>
      <c r="BW318" t="s">
        <v>615</v>
      </c>
      <c r="BX318">
        <v>6.5315257853116672E+30</v>
      </c>
      <c r="BY318">
        <v>1.883636474609375</v>
      </c>
      <c r="CB318">
        <v>18.574638366699219</v>
      </c>
      <c r="CC318">
        <v>7.1292800903320313</v>
      </c>
      <c r="CD318" t="s">
        <v>617</v>
      </c>
      <c r="CE318" t="s">
        <v>623</v>
      </c>
    </row>
    <row r="319" spans="1:83" ht="12.75" customHeight="1">
      <c r="A319" t="s">
        <v>699</v>
      </c>
      <c r="C319" t="s">
        <v>694</v>
      </c>
      <c r="D319">
        <v>317</v>
      </c>
      <c r="F319">
        <v>65535</v>
      </c>
      <c r="I319" t="s">
        <v>699</v>
      </c>
      <c r="R319">
        <v>18</v>
      </c>
      <c r="T319">
        <v>75.599998474121094</v>
      </c>
      <c r="W319" s="514">
        <v>44245.743090277778</v>
      </c>
      <c r="AN319">
        <v>0</v>
      </c>
      <c r="AO319">
        <v>0</v>
      </c>
      <c r="AP319">
        <v>0</v>
      </c>
      <c r="AS319">
        <v>0</v>
      </c>
      <c r="AT319">
        <v>0</v>
      </c>
      <c r="AU319">
        <v>0</v>
      </c>
      <c r="AW319">
        <v>0</v>
      </c>
      <c r="AZ319">
        <v>0</v>
      </c>
      <c r="BA319">
        <v>-4.9571704585105181E-4</v>
      </c>
      <c r="BB319">
        <v>0</v>
      </c>
      <c r="BC319">
        <v>-7.852081298828125</v>
      </c>
      <c r="BD319">
        <v>7.8524293899536133</v>
      </c>
      <c r="BI319">
        <v>0</v>
      </c>
      <c r="BJ319">
        <v>0</v>
      </c>
      <c r="BK319">
        <v>0</v>
      </c>
      <c r="BL319">
        <v>0</v>
      </c>
      <c r="BM319">
        <v>6.5315257853116672E+30</v>
      </c>
      <c r="BN319">
        <v>1.883636474609375</v>
      </c>
      <c r="BP319">
        <v>65535</v>
      </c>
      <c r="BQ319">
        <v>65535</v>
      </c>
      <c r="BR319">
        <v>0</v>
      </c>
      <c r="BS319">
        <v>-4.9571704585105181E-4</v>
      </c>
      <c r="BT319">
        <v>0</v>
      </c>
      <c r="BU319">
        <v>-7.852081298828125</v>
      </c>
      <c r="BV319">
        <v>7.8524293899536133</v>
      </c>
      <c r="BW319" t="s">
        <v>615</v>
      </c>
      <c r="BX319">
        <v>6.5315257853116672E+30</v>
      </c>
      <c r="BY319">
        <v>1.883636474609375</v>
      </c>
      <c r="CB319">
        <v>25.7955322265625</v>
      </c>
      <c r="CC319">
        <v>2.8672349452972412</v>
      </c>
    </row>
    <row r="320" spans="1:83" ht="12.75" customHeight="1">
      <c r="A320" t="s">
        <v>642</v>
      </c>
      <c r="C320" t="s">
        <v>694</v>
      </c>
      <c r="D320">
        <v>318</v>
      </c>
      <c r="F320">
        <v>65535</v>
      </c>
      <c r="I320" t="s">
        <v>642</v>
      </c>
      <c r="R320">
        <v>18</v>
      </c>
      <c r="T320">
        <v>75.599998474121094</v>
      </c>
      <c r="W320" s="514">
        <v>44245.743090277778</v>
      </c>
      <c r="AN320">
        <v>0</v>
      </c>
      <c r="AO320">
        <v>0</v>
      </c>
      <c r="AP320">
        <v>0</v>
      </c>
      <c r="AS320">
        <v>0</v>
      </c>
      <c r="AT320">
        <v>0</v>
      </c>
      <c r="AU320">
        <v>0</v>
      </c>
      <c r="AW320">
        <v>0</v>
      </c>
      <c r="AZ320">
        <v>0</v>
      </c>
      <c r="BA320">
        <v>-4.9571704585105181E-4</v>
      </c>
      <c r="BB320">
        <v>0</v>
      </c>
      <c r="BC320">
        <v>-7.852081298828125</v>
      </c>
      <c r="BD320">
        <v>7.8524293899536133</v>
      </c>
      <c r="BI320">
        <v>0</v>
      </c>
      <c r="BJ320">
        <v>0</v>
      </c>
      <c r="BK320">
        <v>0</v>
      </c>
      <c r="BL320">
        <v>0</v>
      </c>
      <c r="BM320">
        <v>6.5315257853116672E+30</v>
      </c>
      <c r="BN320">
        <v>1.883636474609375</v>
      </c>
      <c r="BP320">
        <v>65535</v>
      </c>
      <c r="BQ320">
        <v>65535</v>
      </c>
      <c r="BR320">
        <v>0</v>
      </c>
      <c r="BS320">
        <v>-4.9571704585105181E-4</v>
      </c>
      <c r="BT320">
        <v>0</v>
      </c>
      <c r="BU320">
        <v>-7.852081298828125</v>
      </c>
      <c r="BV320">
        <v>7.8524293899536133</v>
      </c>
      <c r="BW320" t="s">
        <v>615</v>
      </c>
      <c r="BX320">
        <v>6.5315257853116672E+30</v>
      </c>
      <c r="BY320">
        <v>1.883636474609375</v>
      </c>
      <c r="CB320">
        <v>19.343687057495117</v>
      </c>
      <c r="CC320">
        <v>6.5684771537780762</v>
      </c>
      <c r="CD320" t="s">
        <v>617</v>
      </c>
      <c r="CE320" t="s">
        <v>623</v>
      </c>
    </row>
    <row r="321" spans="1:83" ht="12.75" customHeight="1">
      <c r="A321" t="s">
        <v>642</v>
      </c>
      <c r="C321" t="s">
        <v>694</v>
      </c>
      <c r="D321">
        <v>319</v>
      </c>
      <c r="F321">
        <v>65535</v>
      </c>
      <c r="I321" t="s">
        <v>642</v>
      </c>
      <c r="R321">
        <v>18</v>
      </c>
      <c r="T321">
        <v>75.599998474121094</v>
      </c>
      <c r="W321" s="514">
        <v>44245.743090277778</v>
      </c>
      <c r="AN321">
        <v>0</v>
      </c>
      <c r="AO321">
        <v>0</v>
      </c>
      <c r="AP321">
        <v>0</v>
      </c>
      <c r="AS321">
        <v>0</v>
      </c>
      <c r="AT321">
        <v>0</v>
      </c>
      <c r="AU321">
        <v>0</v>
      </c>
      <c r="AW321">
        <v>0</v>
      </c>
      <c r="AZ321">
        <v>0</v>
      </c>
      <c r="BA321">
        <v>-4.9571704585105181E-4</v>
      </c>
      <c r="BB321">
        <v>0</v>
      </c>
      <c r="BC321">
        <v>-7.852081298828125</v>
      </c>
      <c r="BD321">
        <v>7.8524293899536133</v>
      </c>
      <c r="BI321">
        <v>0</v>
      </c>
      <c r="BJ321">
        <v>0</v>
      </c>
      <c r="BK321">
        <v>0</v>
      </c>
      <c r="BL321">
        <v>0</v>
      </c>
      <c r="BM321">
        <v>6.5315257853116672E+30</v>
      </c>
      <c r="BN321">
        <v>1.883636474609375</v>
      </c>
      <c r="BP321">
        <v>65535</v>
      </c>
      <c r="BQ321">
        <v>65535</v>
      </c>
      <c r="BR321">
        <v>0</v>
      </c>
      <c r="BS321">
        <v>-4.9571704585105181E-4</v>
      </c>
      <c r="BT321">
        <v>0</v>
      </c>
      <c r="BU321">
        <v>-7.852081298828125</v>
      </c>
      <c r="BV321">
        <v>7.8524293899536133</v>
      </c>
      <c r="BW321" t="s">
        <v>615</v>
      </c>
      <c r="BX321">
        <v>6.5315257853116672E+30</v>
      </c>
      <c r="BY321">
        <v>1.883636474609375</v>
      </c>
      <c r="CB321">
        <v>21.584228515625</v>
      </c>
      <c r="CC321">
        <v>4.8321871757507324</v>
      </c>
      <c r="CD321" t="s">
        <v>617</v>
      </c>
      <c r="CE321" t="s">
        <v>623</v>
      </c>
    </row>
    <row r="322" spans="1:83" ht="12.75" customHeight="1">
      <c r="A322" t="s">
        <v>732</v>
      </c>
      <c r="C322" t="s">
        <v>694</v>
      </c>
      <c r="D322">
        <v>320</v>
      </c>
      <c r="F322">
        <v>65535</v>
      </c>
      <c r="I322" t="s">
        <v>732</v>
      </c>
      <c r="R322">
        <v>18</v>
      </c>
      <c r="T322">
        <v>75.599998474121094</v>
      </c>
      <c r="W322" s="514">
        <v>44245.743090277778</v>
      </c>
      <c r="AN322">
        <v>0</v>
      </c>
      <c r="AO322">
        <v>0</v>
      </c>
      <c r="AP322">
        <v>0</v>
      </c>
      <c r="AS322">
        <v>0</v>
      </c>
      <c r="AT322">
        <v>0</v>
      </c>
      <c r="AU322">
        <v>0</v>
      </c>
      <c r="AW322">
        <v>0</v>
      </c>
      <c r="AZ322">
        <v>0</v>
      </c>
      <c r="BA322">
        <v>-4.9571704585105181E-4</v>
      </c>
      <c r="BB322">
        <v>0</v>
      </c>
      <c r="BC322">
        <v>-7.852081298828125</v>
      </c>
      <c r="BD322">
        <v>7.8524293899536133</v>
      </c>
      <c r="BI322">
        <v>0</v>
      </c>
      <c r="BJ322">
        <v>0</v>
      </c>
      <c r="BK322">
        <v>0</v>
      </c>
      <c r="BL322">
        <v>0</v>
      </c>
      <c r="BM322">
        <v>6.5315257853116672E+30</v>
      </c>
      <c r="BN322">
        <v>1.883636474609375</v>
      </c>
      <c r="BP322">
        <v>65535</v>
      </c>
      <c r="BQ322">
        <v>65535</v>
      </c>
      <c r="BR322">
        <v>0</v>
      </c>
      <c r="BS322">
        <v>-4.9571704585105181E-4</v>
      </c>
      <c r="BT322">
        <v>0</v>
      </c>
      <c r="BU322">
        <v>-7.852081298828125</v>
      </c>
      <c r="BV322">
        <v>7.8524293899536133</v>
      </c>
      <c r="BW322" t="s">
        <v>615</v>
      </c>
      <c r="BX322">
        <v>6.5315257853116672E+30</v>
      </c>
      <c r="BY322">
        <v>1.883636474609375</v>
      </c>
      <c r="CB322">
        <v>23.028108596801758</v>
      </c>
      <c r="CC322">
        <v>3.7910871505737305</v>
      </c>
    </row>
    <row r="323" spans="1:83" ht="12.75" customHeight="1">
      <c r="A323" t="s">
        <v>698</v>
      </c>
      <c r="C323" t="s">
        <v>694</v>
      </c>
      <c r="D323">
        <v>321</v>
      </c>
      <c r="F323">
        <v>65535</v>
      </c>
      <c r="I323" t="s">
        <v>698</v>
      </c>
      <c r="AN323">
        <v>0</v>
      </c>
      <c r="AO323">
        <v>0</v>
      </c>
      <c r="AP323">
        <v>0</v>
      </c>
      <c r="AS323">
        <v>65535</v>
      </c>
      <c r="AT323">
        <v>65535</v>
      </c>
      <c r="AU323">
        <v>65535</v>
      </c>
      <c r="BI323">
        <v>0</v>
      </c>
      <c r="BK323">
        <v>0</v>
      </c>
      <c r="BL323">
        <v>0</v>
      </c>
      <c r="BP323">
        <v>65535</v>
      </c>
      <c r="BQ323">
        <v>65535</v>
      </c>
      <c r="CB323">
        <v>23.310371398925781</v>
      </c>
      <c r="CC323">
        <v>3.1227648258209229</v>
      </c>
    </row>
    <row r="324" spans="1:83" ht="12.75" customHeight="1">
      <c r="A324" t="s">
        <v>733</v>
      </c>
      <c r="C324" t="s">
        <v>694</v>
      </c>
      <c r="D324">
        <v>322</v>
      </c>
      <c r="F324">
        <v>65535</v>
      </c>
      <c r="I324" t="s">
        <v>733</v>
      </c>
      <c r="AN324">
        <v>0</v>
      </c>
      <c r="AO324">
        <v>0</v>
      </c>
      <c r="AP324">
        <v>0</v>
      </c>
      <c r="AS324">
        <v>65535</v>
      </c>
      <c r="AT324">
        <v>65535</v>
      </c>
      <c r="AU324">
        <v>65535</v>
      </c>
      <c r="BI324">
        <v>0</v>
      </c>
      <c r="BK324">
        <v>0</v>
      </c>
      <c r="BL324">
        <v>0</v>
      </c>
      <c r="BP324">
        <v>65535</v>
      </c>
      <c r="BQ324">
        <v>65535</v>
      </c>
      <c r="CB324">
        <v>23.028108596801758</v>
      </c>
      <c r="CC324">
        <v>3.7910871505737305</v>
      </c>
    </row>
    <row r="325" spans="1:83" ht="12.75" customHeight="1">
      <c r="A325" t="s">
        <v>734</v>
      </c>
      <c r="C325" t="s">
        <v>694</v>
      </c>
      <c r="D325">
        <v>323</v>
      </c>
      <c r="F325">
        <v>65535</v>
      </c>
      <c r="I325" t="s">
        <v>734</v>
      </c>
      <c r="AN325">
        <v>0</v>
      </c>
      <c r="AO325">
        <v>0</v>
      </c>
      <c r="AP325">
        <v>0</v>
      </c>
      <c r="AS325">
        <v>65535</v>
      </c>
      <c r="AT325">
        <v>65535</v>
      </c>
      <c r="AU325">
        <v>65535</v>
      </c>
      <c r="BI325">
        <v>0</v>
      </c>
      <c r="BK325">
        <v>0</v>
      </c>
      <c r="BL325">
        <v>0</v>
      </c>
      <c r="BP325">
        <v>65535</v>
      </c>
      <c r="BQ325">
        <v>65535</v>
      </c>
      <c r="CB325">
        <v>23.310371398925781</v>
      </c>
      <c r="CC325">
        <v>3.1227648258209229</v>
      </c>
    </row>
    <row r="326" spans="1:83" ht="12.75" customHeight="1">
      <c r="A326" t="s">
        <v>735</v>
      </c>
      <c r="C326" t="s">
        <v>694</v>
      </c>
      <c r="D326">
        <v>324</v>
      </c>
      <c r="F326">
        <v>65535</v>
      </c>
      <c r="I326" t="s">
        <v>735</v>
      </c>
      <c r="R326">
        <v>9.3600034713745117</v>
      </c>
      <c r="T326">
        <v>39.31201171875</v>
      </c>
      <c r="W326" s="514">
        <v>44245.742812500001</v>
      </c>
      <c r="AN326">
        <v>0</v>
      </c>
      <c r="AO326">
        <v>0</v>
      </c>
      <c r="AP326">
        <v>0</v>
      </c>
      <c r="AS326">
        <v>0</v>
      </c>
      <c r="AT326">
        <v>0</v>
      </c>
      <c r="AU326">
        <v>0</v>
      </c>
      <c r="AW326">
        <v>0</v>
      </c>
      <c r="AZ326">
        <v>0</v>
      </c>
      <c r="BA326">
        <v>-3.8550273166038096E-4</v>
      </c>
      <c r="BB326">
        <v>0</v>
      </c>
      <c r="BC326">
        <v>15.564014434814453</v>
      </c>
      <c r="BD326">
        <v>-15.563601493835449</v>
      </c>
      <c r="BI326">
        <v>0</v>
      </c>
      <c r="BJ326">
        <v>0</v>
      </c>
      <c r="BK326">
        <v>0</v>
      </c>
      <c r="BL326">
        <v>0</v>
      </c>
      <c r="BM326">
        <v>3.3443017556781179E-28</v>
      </c>
      <c r="BN326">
        <v>0.805908203125</v>
      </c>
      <c r="BP326">
        <v>65535</v>
      </c>
      <c r="BQ326">
        <v>65535</v>
      </c>
      <c r="BR326">
        <v>0</v>
      </c>
      <c r="BS326">
        <v>-3.8550273166038096E-4</v>
      </c>
      <c r="BT326">
        <v>0</v>
      </c>
      <c r="BU326">
        <v>15.564014434814453</v>
      </c>
      <c r="BV326">
        <v>-15.563601493835449</v>
      </c>
      <c r="BW326" t="s">
        <v>615</v>
      </c>
      <c r="BX326">
        <v>3.3443017556781179E-28</v>
      </c>
      <c r="BY326">
        <v>0.805908203125</v>
      </c>
      <c r="CB326">
        <v>18.887615203857422</v>
      </c>
      <c r="CC326">
        <v>6.9976592063903809</v>
      </c>
    </row>
    <row r="327" spans="1:83" ht="12.75" customHeight="1">
      <c r="A327" t="s">
        <v>689</v>
      </c>
      <c r="C327" t="s">
        <v>694</v>
      </c>
      <c r="D327">
        <v>325</v>
      </c>
      <c r="F327">
        <v>65535</v>
      </c>
      <c r="I327" t="s">
        <v>689</v>
      </c>
      <c r="R327">
        <v>9.3600034713745117</v>
      </c>
      <c r="T327">
        <v>39.31201171875</v>
      </c>
      <c r="W327" s="514">
        <v>44245.742812500001</v>
      </c>
      <c r="AN327">
        <v>0</v>
      </c>
      <c r="AO327">
        <v>0</v>
      </c>
      <c r="AP327">
        <v>0</v>
      </c>
      <c r="AS327">
        <v>0</v>
      </c>
      <c r="AT327">
        <v>0</v>
      </c>
      <c r="AU327">
        <v>0</v>
      </c>
      <c r="AW327">
        <v>0</v>
      </c>
      <c r="AZ327">
        <v>0</v>
      </c>
      <c r="BA327">
        <v>-3.8550273166038096E-4</v>
      </c>
      <c r="BB327">
        <v>0</v>
      </c>
      <c r="BC327">
        <v>15.564014434814453</v>
      </c>
      <c r="BD327">
        <v>-15.563601493835449</v>
      </c>
      <c r="BI327">
        <v>0</v>
      </c>
      <c r="BJ327">
        <v>0</v>
      </c>
      <c r="BK327">
        <v>0</v>
      </c>
      <c r="BL327">
        <v>0</v>
      </c>
      <c r="BM327">
        <v>3.3443017556781179E-28</v>
      </c>
      <c r="BN327">
        <v>0.805908203125</v>
      </c>
      <c r="BP327">
        <v>65535</v>
      </c>
      <c r="BQ327">
        <v>65535</v>
      </c>
      <c r="BR327">
        <v>0</v>
      </c>
      <c r="BS327">
        <v>-3.8550273166038096E-4</v>
      </c>
      <c r="BT327">
        <v>0</v>
      </c>
      <c r="BU327">
        <v>15.564014434814453</v>
      </c>
      <c r="BV327">
        <v>-15.563601493835449</v>
      </c>
      <c r="BW327" t="s">
        <v>615</v>
      </c>
      <c r="BX327">
        <v>3.3443017556781179E-28</v>
      </c>
      <c r="BY327">
        <v>0.805908203125</v>
      </c>
      <c r="CB327">
        <v>21.926904678344727</v>
      </c>
      <c r="CC327">
        <v>4.6111984252929688</v>
      </c>
    </row>
    <row r="328" spans="1:83" ht="12.75" customHeight="1">
      <c r="A328" t="s">
        <v>685</v>
      </c>
      <c r="C328" t="s">
        <v>694</v>
      </c>
      <c r="D328">
        <v>326</v>
      </c>
      <c r="F328">
        <v>65535</v>
      </c>
      <c r="I328" t="s">
        <v>685</v>
      </c>
      <c r="R328">
        <v>7.7999982833862305</v>
      </c>
      <c r="T328">
        <v>32.759994506835938</v>
      </c>
      <c r="W328" s="514">
        <v>44245.742824074077</v>
      </c>
      <c r="AN328">
        <v>0</v>
      </c>
      <c r="AO328">
        <v>0</v>
      </c>
      <c r="AP328">
        <v>0</v>
      </c>
      <c r="AS328">
        <v>0</v>
      </c>
      <c r="AT328">
        <v>0</v>
      </c>
      <c r="AU328">
        <v>0</v>
      </c>
      <c r="AW328">
        <v>0</v>
      </c>
      <c r="AZ328">
        <v>0</v>
      </c>
      <c r="BA328">
        <v>-5.2172329742461443E-4</v>
      </c>
      <c r="BB328">
        <v>0</v>
      </c>
      <c r="BC328">
        <v>11.092475891113281</v>
      </c>
      <c r="BD328">
        <v>-11.091865539550781</v>
      </c>
      <c r="BI328">
        <v>0</v>
      </c>
      <c r="BJ328">
        <v>0</v>
      </c>
      <c r="BK328">
        <v>0</v>
      </c>
      <c r="BL328">
        <v>0</v>
      </c>
      <c r="BM328">
        <v>48622374912</v>
      </c>
      <c r="BN328">
        <v>2.126922607421875</v>
      </c>
      <c r="BP328">
        <v>65535</v>
      </c>
      <c r="BQ328">
        <v>65535</v>
      </c>
      <c r="BR328">
        <v>0</v>
      </c>
      <c r="BS328">
        <v>-5.2172329742461443E-4</v>
      </c>
      <c r="BT328">
        <v>0</v>
      </c>
      <c r="BU328">
        <v>11.092475891113281</v>
      </c>
      <c r="BV328">
        <v>-11.091865539550781</v>
      </c>
      <c r="BW328" t="s">
        <v>615</v>
      </c>
      <c r="BX328">
        <v>48622374912</v>
      </c>
      <c r="BY328">
        <v>2.126922607421875</v>
      </c>
      <c r="CB328">
        <v>18.650167465209961</v>
      </c>
      <c r="CC328">
        <v>7.1862478256225586</v>
      </c>
    </row>
    <row r="329" spans="1:83" ht="12.75" customHeight="1">
      <c r="A329" t="s">
        <v>721</v>
      </c>
      <c r="C329" t="s">
        <v>694</v>
      </c>
      <c r="D329">
        <v>327</v>
      </c>
      <c r="F329">
        <v>65535</v>
      </c>
      <c r="I329" t="s">
        <v>721</v>
      </c>
      <c r="R329">
        <v>7.7999982833862305</v>
      </c>
      <c r="T329">
        <v>32.759994506835938</v>
      </c>
      <c r="W329" s="514">
        <v>44245.742824074077</v>
      </c>
      <c r="AN329">
        <v>0</v>
      </c>
      <c r="AO329">
        <v>0</v>
      </c>
      <c r="AP329">
        <v>0</v>
      </c>
      <c r="AS329">
        <v>0</v>
      </c>
      <c r="AT329">
        <v>0</v>
      </c>
      <c r="AU329">
        <v>0</v>
      </c>
      <c r="AW329">
        <v>0</v>
      </c>
      <c r="AZ329">
        <v>0</v>
      </c>
      <c r="BA329">
        <v>-5.2172329742461443E-4</v>
      </c>
      <c r="BB329">
        <v>0</v>
      </c>
      <c r="BC329">
        <v>11.092475891113281</v>
      </c>
      <c r="BD329">
        <v>-11.091865539550781</v>
      </c>
      <c r="BI329">
        <v>0</v>
      </c>
      <c r="BJ329">
        <v>0</v>
      </c>
      <c r="BK329">
        <v>0</v>
      </c>
      <c r="BL329">
        <v>0</v>
      </c>
      <c r="BM329">
        <v>48622374912</v>
      </c>
      <c r="BN329">
        <v>2.126922607421875</v>
      </c>
      <c r="BP329">
        <v>65535</v>
      </c>
      <c r="BQ329">
        <v>65535</v>
      </c>
      <c r="BR329">
        <v>0</v>
      </c>
      <c r="BS329">
        <v>-5.2172329742461443E-4</v>
      </c>
      <c r="BT329">
        <v>0</v>
      </c>
      <c r="BU329">
        <v>11.092475891113281</v>
      </c>
      <c r="BV329">
        <v>-11.091865539550781</v>
      </c>
      <c r="BW329" t="s">
        <v>615</v>
      </c>
      <c r="BX329">
        <v>48622374912</v>
      </c>
      <c r="BY329">
        <v>2.126922607421875</v>
      </c>
      <c r="CB329">
        <v>19.24894905090332</v>
      </c>
      <c r="CC329">
        <v>6.8145103454589844</v>
      </c>
    </row>
    <row r="330" spans="1:83" ht="12.75" customHeight="1">
      <c r="A330" t="s">
        <v>721</v>
      </c>
      <c r="C330" t="s">
        <v>694</v>
      </c>
      <c r="D330">
        <v>328</v>
      </c>
      <c r="F330">
        <v>65535</v>
      </c>
      <c r="I330" t="s">
        <v>721</v>
      </c>
      <c r="R330">
        <v>7.7999944686889648</v>
      </c>
      <c r="T330">
        <v>32.759975433349609</v>
      </c>
      <c r="W330" s="514">
        <v>44245.742858796293</v>
      </c>
      <c r="AN330">
        <v>0</v>
      </c>
      <c r="AO330">
        <v>0</v>
      </c>
      <c r="AP330">
        <v>0</v>
      </c>
      <c r="AS330">
        <v>0</v>
      </c>
      <c r="AT330">
        <v>0</v>
      </c>
      <c r="AU330">
        <v>0</v>
      </c>
      <c r="AW330">
        <v>0</v>
      </c>
      <c r="AZ330">
        <v>0</v>
      </c>
      <c r="BA330">
        <v>-5.5736274225637317E-4</v>
      </c>
      <c r="BB330">
        <v>0</v>
      </c>
      <c r="BC330">
        <v>10.434837341308594</v>
      </c>
      <c r="BD330">
        <v>-10.434341430664063</v>
      </c>
      <c r="BI330">
        <v>0</v>
      </c>
      <c r="BJ330">
        <v>0</v>
      </c>
      <c r="BK330">
        <v>0</v>
      </c>
      <c r="BL330">
        <v>0</v>
      </c>
      <c r="BM330">
        <v>5.7512407903939759E-22</v>
      </c>
      <c r="BN330">
        <v>2.47845458984375</v>
      </c>
      <c r="BP330">
        <v>65535</v>
      </c>
      <c r="BQ330">
        <v>65535</v>
      </c>
      <c r="BR330">
        <v>0</v>
      </c>
      <c r="BS330">
        <v>-5.5736274225637317E-4</v>
      </c>
      <c r="BT330">
        <v>0</v>
      </c>
      <c r="BU330">
        <v>10.434837341308594</v>
      </c>
      <c r="BV330">
        <v>-10.434341430664063</v>
      </c>
      <c r="BW330" t="s">
        <v>615</v>
      </c>
      <c r="BX330">
        <v>5.7512407903939759E-22</v>
      </c>
      <c r="BY330">
        <v>2.47845458984375</v>
      </c>
      <c r="CB330">
        <v>24.933876037597656</v>
      </c>
      <c r="CC330">
        <v>3.0086116790771484</v>
      </c>
    </row>
    <row r="331" spans="1:83" ht="12.75" customHeight="1">
      <c r="A331" t="s">
        <v>736</v>
      </c>
      <c r="C331" t="s">
        <v>694</v>
      </c>
      <c r="D331">
        <v>329</v>
      </c>
      <c r="F331">
        <v>65535</v>
      </c>
      <c r="I331" t="s">
        <v>736</v>
      </c>
      <c r="R331">
        <v>7.7999944686889648</v>
      </c>
      <c r="T331">
        <v>32.759975433349609</v>
      </c>
      <c r="W331" s="514">
        <v>44245.742858796293</v>
      </c>
      <c r="AN331">
        <v>0</v>
      </c>
      <c r="AO331">
        <v>0</v>
      </c>
      <c r="AP331">
        <v>0</v>
      </c>
      <c r="AS331">
        <v>0</v>
      </c>
      <c r="AT331">
        <v>0</v>
      </c>
      <c r="AU331">
        <v>0</v>
      </c>
      <c r="AW331">
        <v>0</v>
      </c>
      <c r="AZ331">
        <v>0</v>
      </c>
      <c r="BA331">
        <v>-5.5736274225637317E-4</v>
      </c>
      <c r="BB331">
        <v>0</v>
      </c>
      <c r="BC331">
        <v>10.434837341308594</v>
      </c>
      <c r="BD331">
        <v>-10.434341430664063</v>
      </c>
      <c r="BI331">
        <v>0</v>
      </c>
      <c r="BJ331">
        <v>0</v>
      </c>
      <c r="BK331">
        <v>0</v>
      </c>
      <c r="BL331">
        <v>0</v>
      </c>
      <c r="BM331">
        <v>5.7512407903939759E-22</v>
      </c>
      <c r="BN331">
        <v>2.47845458984375</v>
      </c>
      <c r="BP331">
        <v>65535</v>
      </c>
      <c r="BQ331">
        <v>65535</v>
      </c>
      <c r="BR331">
        <v>0</v>
      </c>
      <c r="BS331">
        <v>-5.5736274225637317E-4</v>
      </c>
      <c r="BT331">
        <v>0</v>
      </c>
      <c r="BU331">
        <v>10.434837341308594</v>
      </c>
      <c r="BV331">
        <v>-10.434341430664063</v>
      </c>
      <c r="BW331" t="s">
        <v>615</v>
      </c>
      <c r="BX331">
        <v>5.7512407903939759E-22</v>
      </c>
      <c r="BY331">
        <v>2.47845458984375</v>
      </c>
      <c r="CB331">
        <v>19.252382278442383</v>
      </c>
      <c r="CC331">
        <v>6.6991314888000488</v>
      </c>
    </row>
    <row r="332" spans="1:83" ht="12.75" customHeight="1">
      <c r="A332" t="s">
        <v>736</v>
      </c>
      <c r="C332" t="s">
        <v>694</v>
      </c>
      <c r="D332">
        <v>330</v>
      </c>
      <c r="F332">
        <v>65535</v>
      </c>
      <c r="I332" t="s">
        <v>736</v>
      </c>
      <c r="R332">
        <v>7.280001163482666</v>
      </c>
      <c r="T332">
        <v>30.576005935668945</v>
      </c>
      <c r="W332" s="514">
        <v>44245.742905092593</v>
      </c>
      <c r="AN332">
        <v>0</v>
      </c>
      <c r="AO332">
        <v>0</v>
      </c>
      <c r="AP332">
        <v>0</v>
      </c>
      <c r="AS332">
        <v>0</v>
      </c>
      <c r="AT332">
        <v>0</v>
      </c>
      <c r="AU332">
        <v>0</v>
      </c>
      <c r="AW332">
        <v>0</v>
      </c>
      <c r="AZ332">
        <v>0</v>
      </c>
      <c r="BA332">
        <v>-5.4936431115493178E-4</v>
      </c>
      <c r="BB332">
        <v>0</v>
      </c>
      <c r="BC332">
        <v>9.9062042236328125</v>
      </c>
      <c r="BD332">
        <v>-9.9055871963500977</v>
      </c>
      <c r="BI332">
        <v>0</v>
      </c>
      <c r="BJ332">
        <v>0</v>
      </c>
      <c r="BK332">
        <v>0</v>
      </c>
      <c r="BL332">
        <v>0</v>
      </c>
      <c r="BM332">
        <v>2.4326769765270484E-11</v>
      </c>
      <c r="BN332">
        <v>2.3984375</v>
      </c>
      <c r="BP332">
        <v>65535</v>
      </c>
      <c r="BQ332">
        <v>65535</v>
      </c>
      <c r="BR332">
        <v>0</v>
      </c>
      <c r="BS332">
        <v>-5.4936431115493178E-4</v>
      </c>
      <c r="BT332">
        <v>0</v>
      </c>
      <c r="BU332">
        <v>9.9062042236328125</v>
      </c>
      <c r="BV332">
        <v>-9.9055871963500977</v>
      </c>
      <c r="BW332" t="s">
        <v>615</v>
      </c>
      <c r="BX332">
        <v>2.4326769765270484E-11</v>
      </c>
      <c r="BY332">
        <v>2.3984375</v>
      </c>
      <c r="CB332">
        <v>18.400123596191406</v>
      </c>
      <c r="CC332">
        <v>7.4688544273376465</v>
      </c>
    </row>
    <row r="333" spans="1:83" ht="12.75" customHeight="1">
      <c r="A333" t="s">
        <v>692</v>
      </c>
      <c r="C333" t="s">
        <v>694</v>
      </c>
      <c r="D333">
        <v>331</v>
      </c>
      <c r="F333">
        <v>65535</v>
      </c>
      <c r="I333" t="s">
        <v>692</v>
      </c>
      <c r="AN333">
        <v>0</v>
      </c>
      <c r="AO333">
        <v>0</v>
      </c>
      <c r="AP333">
        <v>0</v>
      </c>
      <c r="AS333">
        <v>65535</v>
      </c>
      <c r="AT333">
        <v>65535</v>
      </c>
      <c r="AU333">
        <v>65535</v>
      </c>
      <c r="BI333">
        <v>0</v>
      </c>
      <c r="BK333">
        <v>0</v>
      </c>
      <c r="BL333">
        <v>0</v>
      </c>
      <c r="BP333">
        <v>65535</v>
      </c>
      <c r="BQ333">
        <v>65535</v>
      </c>
      <c r="CB333">
        <v>22.04890251159668</v>
      </c>
      <c r="CC333">
        <v>5.0117206573486328</v>
      </c>
    </row>
    <row r="334" spans="1:83" ht="12.75" customHeight="1">
      <c r="A334" t="s">
        <v>633</v>
      </c>
      <c r="C334" t="s">
        <v>694</v>
      </c>
      <c r="D334">
        <v>332</v>
      </c>
      <c r="F334">
        <v>65535</v>
      </c>
      <c r="I334" t="s">
        <v>633</v>
      </c>
      <c r="AN334">
        <v>0</v>
      </c>
      <c r="AO334">
        <v>0</v>
      </c>
      <c r="AP334">
        <v>0</v>
      </c>
      <c r="AS334">
        <v>65535</v>
      </c>
      <c r="AT334">
        <v>65535</v>
      </c>
      <c r="AU334">
        <v>65535</v>
      </c>
      <c r="BI334">
        <v>0</v>
      </c>
      <c r="BK334">
        <v>0</v>
      </c>
      <c r="BL334">
        <v>0</v>
      </c>
      <c r="BP334">
        <v>65535</v>
      </c>
      <c r="BQ334">
        <v>65535</v>
      </c>
      <c r="CB334">
        <v>22.215604782104492</v>
      </c>
      <c r="CC334">
        <v>4.6069068908691406</v>
      </c>
      <c r="CD334" t="s">
        <v>622</v>
      </c>
      <c r="CE334" t="s">
        <v>623</v>
      </c>
    </row>
    <row r="335" spans="1:83" ht="12.75" customHeight="1">
      <c r="A335" t="s">
        <v>689</v>
      </c>
      <c r="C335" t="s">
        <v>694</v>
      </c>
      <c r="D335">
        <v>333</v>
      </c>
      <c r="F335">
        <v>65535</v>
      </c>
      <c r="I335" t="s">
        <v>689</v>
      </c>
      <c r="AN335">
        <v>0</v>
      </c>
      <c r="AO335">
        <v>0</v>
      </c>
      <c r="AP335">
        <v>0</v>
      </c>
      <c r="AS335">
        <v>65535</v>
      </c>
      <c r="AT335">
        <v>65535</v>
      </c>
      <c r="AU335">
        <v>65535</v>
      </c>
      <c r="BI335">
        <v>0</v>
      </c>
      <c r="BK335">
        <v>0</v>
      </c>
      <c r="BL335">
        <v>0</v>
      </c>
      <c r="BP335">
        <v>65535</v>
      </c>
      <c r="BQ335">
        <v>65535</v>
      </c>
      <c r="CB335">
        <v>23.971769332885742</v>
      </c>
      <c r="CC335">
        <v>3.9166152477264404</v>
      </c>
    </row>
    <row r="336" spans="1:83" ht="12.75" customHeight="1">
      <c r="A336" t="s">
        <v>637</v>
      </c>
      <c r="C336" t="s">
        <v>621</v>
      </c>
      <c r="D336">
        <v>334</v>
      </c>
      <c r="F336">
        <v>65535</v>
      </c>
      <c r="I336" t="s">
        <v>637</v>
      </c>
      <c r="AN336">
        <v>0</v>
      </c>
      <c r="AO336">
        <v>0</v>
      </c>
      <c r="AP336">
        <v>0</v>
      </c>
      <c r="AS336">
        <v>65535</v>
      </c>
      <c r="AT336">
        <v>65535</v>
      </c>
      <c r="AU336">
        <v>65535</v>
      </c>
      <c r="BI336">
        <v>0</v>
      </c>
      <c r="BK336">
        <v>0</v>
      </c>
      <c r="BL336">
        <v>0</v>
      </c>
      <c r="BP336">
        <v>65535</v>
      </c>
      <c r="BQ336">
        <v>65535</v>
      </c>
      <c r="CB336">
        <v>18.650167465209961</v>
      </c>
      <c r="CC336">
        <v>7.1862478256225586</v>
      </c>
    </row>
    <row r="337" spans="1:83" ht="12.75" customHeight="1">
      <c r="A337" t="s">
        <v>644</v>
      </c>
      <c r="C337" t="s">
        <v>621</v>
      </c>
      <c r="D337">
        <v>335</v>
      </c>
      <c r="F337">
        <v>65535</v>
      </c>
      <c r="I337" t="s">
        <v>644</v>
      </c>
      <c r="AN337">
        <v>0</v>
      </c>
      <c r="AO337">
        <v>0</v>
      </c>
      <c r="AP337">
        <v>0</v>
      </c>
      <c r="AS337">
        <v>65535</v>
      </c>
      <c r="AT337">
        <v>65535</v>
      </c>
      <c r="AU337">
        <v>65535</v>
      </c>
      <c r="BI337">
        <v>0</v>
      </c>
      <c r="BK337">
        <v>0</v>
      </c>
      <c r="BL337">
        <v>0</v>
      </c>
      <c r="BP337">
        <v>65535</v>
      </c>
      <c r="BQ337">
        <v>65535</v>
      </c>
      <c r="CB337">
        <v>19.24894905090332</v>
      </c>
      <c r="CC337">
        <v>6.8145103454589844</v>
      </c>
      <c r="CD337" t="s">
        <v>631</v>
      </c>
      <c r="CE337" t="s">
        <v>632</v>
      </c>
    </row>
    <row r="338" spans="1:83" ht="12.75" customHeight="1">
      <c r="A338" t="s">
        <v>737</v>
      </c>
      <c r="C338" t="s">
        <v>635</v>
      </c>
      <c r="D338">
        <v>336</v>
      </c>
      <c r="F338">
        <v>65535</v>
      </c>
      <c r="I338" t="s">
        <v>737</v>
      </c>
      <c r="AN338">
        <v>0</v>
      </c>
      <c r="AO338">
        <v>0</v>
      </c>
      <c r="AP338">
        <v>0</v>
      </c>
      <c r="AS338">
        <v>65535</v>
      </c>
      <c r="AT338">
        <v>65535</v>
      </c>
      <c r="AU338">
        <v>65535</v>
      </c>
      <c r="BI338">
        <v>0</v>
      </c>
      <c r="BK338">
        <v>0</v>
      </c>
      <c r="BL338">
        <v>0</v>
      </c>
      <c r="BP338">
        <v>65535</v>
      </c>
      <c r="BQ338">
        <v>65535</v>
      </c>
      <c r="CB338">
        <v>24.933876037597656</v>
      </c>
      <c r="CC338">
        <v>3.0086116790771484</v>
      </c>
      <c r="CD338" t="s">
        <v>616</v>
      </c>
      <c r="CE338" t="s">
        <v>619</v>
      </c>
    </row>
    <row r="339" spans="1:83" ht="12.75" customHeight="1">
      <c r="A339" t="s">
        <v>657</v>
      </c>
      <c r="C339" t="s">
        <v>635</v>
      </c>
      <c r="D339">
        <v>337</v>
      </c>
      <c r="F339">
        <v>65535</v>
      </c>
      <c r="I339" t="s">
        <v>657</v>
      </c>
      <c r="AN339">
        <v>0</v>
      </c>
      <c r="AO339">
        <v>0</v>
      </c>
      <c r="AP339">
        <v>0</v>
      </c>
      <c r="AS339">
        <v>65535</v>
      </c>
      <c r="AT339">
        <v>65535</v>
      </c>
      <c r="AU339">
        <v>65535</v>
      </c>
      <c r="BI339">
        <v>0</v>
      </c>
      <c r="BK339">
        <v>0</v>
      </c>
      <c r="BL339">
        <v>0</v>
      </c>
      <c r="BP339">
        <v>65535</v>
      </c>
      <c r="BQ339">
        <v>65535</v>
      </c>
      <c r="CB339">
        <v>19.252382278442383</v>
      </c>
      <c r="CC339">
        <v>6.6991314888000488</v>
      </c>
      <c r="CD339" t="s">
        <v>631</v>
      </c>
      <c r="CE339" t="s">
        <v>632</v>
      </c>
    </row>
    <row r="340" spans="1:83" ht="12.75" customHeight="1">
      <c r="A340" t="s">
        <v>683</v>
      </c>
      <c r="C340" t="s">
        <v>621</v>
      </c>
      <c r="D340">
        <v>338</v>
      </c>
      <c r="F340">
        <v>65535</v>
      </c>
      <c r="I340" t="s">
        <v>683</v>
      </c>
      <c r="AN340">
        <v>0</v>
      </c>
      <c r="AO340">
        <v>0</v>
      </c>
      <c r="AP340">
        <v>0</v>
      </c>
      <c r="AS340">
        <v>65535</v>
      </c>
      <c r="AT340">
        <v>65535</v>
      </c>
      <c r="AU340">
        <v>65535</v>
      </c>
      <c r="BI340">
        <v>0</v>
      </c>
      <c r="BK340">
        <v>0</v>
      </c>
      <c r="BL340">
        <v>0</v>
      </c>
      <c r="BP340">
        <v>65535</v>
      </c>
      <c r="BQ340">
        <v>65535</v>
      </c>
      <c r="CB340">
        <v>18.400123596191406</v>
      </c>
      <c r="CC340">
        <v>7.4688544273376465</v>
      </c>
    </row>
    <row r="341" spans="1:83" ht="12.75" customHeight="1">
      <c r="A341" t="s">
        <v>738</v>
      </c>
      <c r="C341" t="s">
        <v>621</v>
      </c>
      <c r="D341">
        <v>339</v>
      </c>
      <c r="F341">
        <v>65535</v>
      </c>
      <c r="I341" t="s">
        <v>738</v>
      </c>
      <c r="AN341">
        <v>0</v>
      </c>
      <c r="AO341">
        <v>0</v>
      </c>
      <c r="AP341">
        <v>0</v>
      </c>
      <c r="AS341">
        <v>65535</v>
      </c>
      <c r="AT341">
        <v>65535</v>
      </c>
      <c r="AU341">
        <v>65535</v>
      </c>
      <c r="BI341">
        <v>0</v>
      </c>
      <c r="BK341">
        <v>0</v>
      </c>
      <c r="BL341">
        <v>0</v>
      </c>
      <c r="BP341">
        <v>65535</v>
      </c>
      <c r="BQ341">
        <v>65535</v>
      </c>
      <c r="CB341">
        <v>22.04890251159668</v>
      </c>
      <c r="CC341">
        <v>5.0117206573486328</v>
      </c>
    </row>
    <row r="342" spans="1:83" ht="12.75" customHeight="1">
      <c r="A342" t="s">
        <v>651</v>
      </c>
      <c r="C342" t="s">
        <v>621</v>
      </c>
      <c r="D342">
        <v>340</v>
      </c>
      <c r="F342">
        <v>65535</v>
      </c>
      <c r="I342" t="s">
        <v>651</v>
      </c>
      <c r="AN342">
        <v>0</v>
      </c>
      <c r="AO342">
        <v>0</v>
      </c>
      <c r="AP342">
        <v>0</v>
      </c>
      <c r="AS342">
        <v>65535</v>
      </c>
      <c r="AT342">
        <v>65535</v>
      </c>
      <c r="AU342">
        <v>65535</v>
      </c>
      <c r="BI342">
        <v>0</v>
      </c>
      <c r="BK342">
        <v>0</v>
      </c>
      <c r="BL342">
        <v>0</v>
      </c>
      <c r="BP342">
        <v>65535</v>
      </c>
      <c r="BQ342">
        <v>65535</v>
      </c>
      <c r="CB342">
        <v>22.215604782104492</v>
      </c>
      <c r="CC342">
        <v>4.6069068908691406</v>
      </c>
    </row>
    <row r="343" spans="1:83" ht="12.75" customHeight="1">
      <c r="A343" t="s">
        <v>689</v>
      </c>
      <c r="C343" t="s">
        <v>621</v>
      </c>
      <c r="D343">
        <v>341</v>
      </c>
      <c r="F343">
        <v>65535</v>
      </c>
      <c r="I343" t="s">
        <v>689</v>
      </c>
      <c r="AN343">
        <v>0</v>
      </c>
      <c r="AO343">
        <v>0</v>
      </c>
      <c r="AP343">
        <v>0</v>
      </c>
      <c r="AS343">
        <v>65535</v>
      </c>
      <c r="AT343">
        <v>65535</v>
      </c>
      <c r="AU343">
        <v>65535</v>
      </c>
      <c r="BI343">
        <v>0</v>
      </c>
      <c r="BK343">
        <v>0</v>
      </c>
      <c r="BL343">
        <v>0</v>
      </c>
      <c r="BP343">
        <v>65535</v>
      </c>
      <c r="BQ343">
        <v>65535</v>
      </c>
      <c r="CB343">
        <v>23.028108596801758</v>
      </c>
      <c r="CC343">
        <v>3.7910871505737305</v>
      </c>
    </row>
    <row r="344" spans="1:83" ht="12.75" customHeight="1">
      <c r="A344" t="s">
        <v>739</v>
      </c>
      <c r="C344" t="s">
        <v>621</v>
      </c>
      <c r="D344">
        <v>342</v>
      </c>
      <c r="F344">
        <v>65535</v>
      </c>
      <c r="I344" t="s">
        <v>739</v>
      </c>
      <c r="AN344">
        <v>0</v>
      </c>
      <c r="AO344">
        <v>0</v>
      </c>
      <c r="AP344">
        <v>0</v>
      </c>
      <c r="AS344">
        <v>65535</v>
      </c>
      <c r="AT344">
        <v>65535</v>
      </c>
      <c r="AU344">
        <v>65535</v>
      </c>
      <c r="BI344">
        <v>0</v>
      </c>
      <c r="BK344">
        <v>0</v>
      </c>
      <c r="BL344">
        <v>0</v>
      </c>
      <c r="BP344">
        <v>65535</v>
      </c>
      <c r="BQ344">
        <v>65535</v>
      </c>
      <c r="CB344">
        <v>23.310371398925781</v>
      </c>
      <c r="CC344">
        <v>3.1227648258209229</v>
      </c>
    </row>
    <row r="345" spans="1:83" ht="12.75" customHeight="1">
      <c r="A345" t="s">
        <v>669</v>
      </c>
      <c r="C345" t="s">
        <v>635</v>
      </c>
      <c r="D345">
        <v>343</v>
      </c>
      <c r="F345">
        <v>65535</v>
      </c>
      <c r="I345" t="s">
        <v>669</v>
      </c>
      <c r="AN345">
        <v>0</v>
      </c>
      <c r="AO345">
        <v>0</v>
      </c>
      <c r="AP345">
        <v>0</v>
      </c>
      <c r="AS345">
        <v>65535</v>
      </c>
      <c r="AT345">
        <v>65535</v>
      </c>
      <c r="AU345">
        <v>65535</v>
      </c>
      <c r="BI345">
        <v>0</v>
      </c>
      <c r="BK345">
        <v>0</v>
      </c>
      <c r="BL345">
        <v>0</v>
      </c>
      <c r="BP345">
        <v>65535</v>
      </c>
      <c r="BQ345">
        <v>65535</v>
      </c>
      <c r="CB345">
        <v>23.028108596801758</v>
      </c>
      <c r="CC345">
        <v>3.7910871505737305</v>
      </c>
    </row>
    <row r="346" spans="1:83" ht="12.75" customHeight="1">
      <c r="A346" t="s">
        <v>740</v>
      </c>
      <c r="C346" t="s">
        <v>635</v>
      </c>
      <c r="D346">
        <v>344</v>
      </c>
      <c r="F346">
        <v>65535</v>
      </c>
      <c r="I346" t="s">
        <v>740</v>
      </c>
      <c r="AN346">
        <v>0</v>
      </c>
      <c r="AO346">
        <v>0</v>
      </c>
      <c r="AP346">
        <v>0</v>
      </c>
      <c r="AS346">
        <v>65535</v>
      </c>
      <c r="AT346">
        <v>65535</v>
      </c>
      <c r="AU346">
        <v>65535</v>
      </c>
      <c r="BI346">
        <v>0</v>
      </c>
      <c r="BK346">
        <v>0</v>
      </c>
      <c r="BL346">
        <v>0</v>
      </c>
      <c r="BP346">
        <v>65535</v>
      </c>
      <c r="BQ346">
        <v>65535</v>
      </c>
      <c r="CB346">
        <v>23.310371398925781</v>
      </c>
      <c r="CC346">
        <v>3.1227648258209229</v>
      </c>
      <c r="CD346" t="s">
        <v>709</v>
      </c>
      <c r="CE346" t="s">
        <v>710</v>
      </c>
    </row>
    <row r="347" spans="1:83" ht="12.75" customHeight="1">
      <c r="A347" t="s">
        <v>741</v>
      </c>
      <c r="C347" t="s">
        <v>635</v>
      </c>
      <c r="D347">
        <v>345</v>
      </c>
      <c r="F347">
        <v>65535</v>
      </c>
      <c r="I347" t="s">
        <v>741</v>
      </c>
      <c r="AN347">
        <v>0</v>
      </c>
      <c r="AO347">
        <v>0</v>
      </c>
      <c r="AP347">
        <v>0</v>
      </c>
      <c r="AS347">
        <v>65535</v>
      </c>
      <c r="AT347">
        <v>65535</v>
      </c>
      <c r="AU347">
        <v>65535</v>
      </c>
      <c r="BI347">
        <v>0</v>
      </c>
      <c r="BK347">
        <v>0</v>
      </c>
      <c r="BL347">
        <v>0</v>
      </c>
      <c r="BP347">
        <v>65535</v>
      </c>
      <c r="BQ347">
        <v>65535</v>
      </c>
      <c r="CB347">
        <v>23.028108596801758</v>
      </c>
      <c r="CC347">
        <v>3.7910871505737305</v>
      </c>
      <c r="CD347" t="s">
        <v>709</v>
      </c>
      <c r="CE347" t="s">
        <v>710</v>
      </c>
    </row>
    <row r="348" spans="1:83" ht="12.75" customHeight="1">
      <c r="A348" t="s">
        <v>742</v>
      </c>
      <c r="C348" t="s">
        <v>635</v>
      </c>
      <c r="D348">
        <v>346</v>
      </c>
      <c r="F348">
        <v>65535</v>
      </c>
      <c r="I348" t="s">
        <v>742</v>
      </c>
      <c r="AN348">
        <v>0</v>
      </c>
      <c r="AO348">
        <v>0</v>
      </c>
      <c r="AP348">
        <v>0</v>
      </c>
      <c r="AS348">
        <v>65535</v>
      </c>
      <c r="AT348">
        <v>65535</v>
      </c>
      <c r="AU348">
        <v>65535</v>
      </c>
      <c r="BI348">
        <v>0</v>
      </c>
      <c r="BK348">
        <v>0</v>
      </c>
      <c r="BL348">
        <v>0</v>
      </c>
      <c r="BP348">
        <v>65535</v>
      </c>
      <c r="BQ348">
        <v>65535</v>
      </c>
      <c r="CB348">
        <v>23.310371398925781</v>
      </c>
      <c r="CC348">
        <v>3.1227648258209229</v>
      </c>
      <c r="CD348" t="s">
        <v>622</v>
      </c>
      <c r="CE348" t="s">
        <v>623</v>
      </c>
    </row>
    <row r="349" spans="1:83" ht="12.75" customHeight="1">
      <c r="A349" t="s">
        <v>743</v>
      </c>
      <c r="C349" t="s">
        <v>635</v>
      </c>
      <c r="D349">
        <v>347</v>
      </c>
      <c r="F349">
        <v>65535</v>
      </c>
      <c r="I349" t="s">
        <v>743</v>
      </c>
      <c r="AN349">
        <v>0</v>
      </c>
      <c r="AO349">
        <v>0</v>
      </c>
      <c r="AP349">
        <v>0</v>
      </c>
      <c r="AS349">
        <v>65535</v>
      </c>
      <c r="AT349">
        <v>65535</v>
      </c>
      <c r="AU349">
        <v>65535</v>
      </c>
      <c r="BI349">
        <v>0</v>
      </c>
      <c r="BK349">
        <v>0</v>
      </c>
      <c r="BL349">
        <v>0</v>
      </c>
      <c r="BP349">
        <v>65535</v>
      </c>
      <c r="BQ349">
        <v>65535</v>
      </c>
      <c r="CB349">
        <v>23.028108596801758</v>
      </c>
      <c r="CC349">
        <v>3.7910871505737305</v>
      </c>
      <c r="CD349" t="s">
        <v>709</v>
      </c>
      <c r="CE349" t="s">
        <v>710</v>
      </c>
    </row>
    <row r="350" spans="1:83" ht="12.75" customHeight="1">
      <c r="A350" t="s">
        <v>744</v>
      </c>
      <c r="C350" t="s">
        <v>635</v>
      </c>
      <c r="D350">
        <v>348</v>
      </c>
      <c r="F350">
        <v>65535</v>
      </c>
      <c r="I350" t="s">
        <v>744</v>
      </c>
      <c r="R350">
        <v>7.7999982833862305</v>
      </c>
      <c r="T350">
        <v>32.759994506835938</v>
      </c>
      <c r="W350" s="514">
        <v>44245.742824074077</v>
      </c>
      <c r="AN350">
        <v>0</v>
      </c>
      <c r="AO350">
        <v>0</v>
      </c>
      <c r="AP350">
        <v>0</v>
      </c>
      <c r="AS350">
        <v>0</v>
      </c>
      <c r="AT350">
        <v>0</v>
      </c>
      <c r="AU350">
        <v>0</v>
      </c>
      <c r="AW350">
        <v>0</v>
      </c>
      <c r="AZ350">
        <v>0</v>
      </c>
      <c r="BA350">
        <v>-5.2172329742461443E-4</v>
      </c>
      <c r="BB350">
        <v>0</v>
      </c>
      <c r="BC350">
        <v>11.092475891113281</v>
      </c>
      <c r="BD350">
        <v>-11.091865539550781</v>
      </c>
      <c r="BI350">
        <v>0</v>
      </c>
      <c r="BJ350">
        <v>0</v>
      </c>
      <c r="BK350">
        <v>0</v>
      </c>
      <c r="BL350">
        <v>0</v>
      </c>
      <c r="BM350">
        <v>48622374912</v>
      </c>
      <c r="BN350">
        <v>2.126922607421875</v>
      </c>
      <c r="BP350">
        <v>65535</v>
      </c>
      <c r="BQ350">
        <v>65535</v>
      </c>
      <c r="BR350">
        <v>0</v>
      </c>
      <c r="BS350">
        <v>-5.2172329742461443E-4</v>
      </c>
      <c r="BT350">
        <v>0</v>
      </c>
      <c r="BU350">
        <v>11.092475891113281</v>
      </c>
      <c r="BV350">
        <v>-11.091865539550781</v>
      </c>
      <c r="BW350" t="s">
        <v>615</v>
      </c>
      <c r="BX350">
        <v>48622374912</v>
      </c>
      <c r="BY350">
        <v>2.126922607421875</v>
      </c>
      <c r="CB350">
        <v>23.310371398925781</v>
      </c>
      <c r="CC350">
        <v>3.1227648258209229</v>
      </c>
      <c r="CD350" t="s">
        <v>617</v>
      </c>
      <c r="CE350" t="s">
        <v>623</v>
      </c>
    </row>
    <row r="351" spans="1:83" ht="12.75" customHeight="1">
      <c r="A351" t="s">
        <v>745</v>
      </c>
      <c r="C351" t="s">
        <v>635</v>
      </c>
      <c r="D351">
        <v>349</v>
      </c>
      <c r="F351">
        <v>65535</v>
      </c>
      <c r="I351" t="s">
        <v>745</v>
      </c>
      <c r="R351">
        <v>7.7999982833862305</v>
      </c>
      <c r="T351">
        <v>32.759994506835938</v>
      </c>
      <c r="W351" s="514">
        <v>44245.742824074077</v>
      </c>
      <c r="AN351">
        <v>0</v>
      </c>
      <c r="AO351">
        <v>0</v>
      </c>
      <c r="AP351">
        <v>0</v>
      </c>
      <c r="AS351">
        <v>0</v>
      </c>
      <c r="AT351">
        <v>0</v>
      </c>
      <c r="AU351">
        <v>0</v>
      </c>
      <c r="AW351">
        <v>0</v>
      </c>
      <c r="AZ351">
        <v>0</v>
      </c>
      <c r="BA351">
        <v>-5.2172329742461443E-4</v>
      </c>
      <c r="BB351">
        <v>0</v>
      </c>
      <c r="BC351">
        <v>11.092475891113281</v>
      </c>
      <c r="BD351">
        <v>-11.091865539550781</v>
      </c>
      <c r="BI351">
        <v>0</v>
      </c>
      <c r="BJ351">
        <v>0</v>
      </c>
      <c r="BK351">
        <v>0</v>
      </c>
      <c r="BL351">
        <v>0</v>
      </c>
      <c r="BM351">
        <v>48622374912</v>
      </c>
      <c r="BN351">
        <v>2.126922607421875</v>
      </c>
      <c r="BP351">
        <v>65535</v>
      </c>
      <c r="BQ351">
        <v>65535</v>
      </c>
      <c r="BR351">
        <v>0</v>
      </c>
      <c r="BS351">
        <v>-5.2172329742461443E-4</v>
      </c>
      <c r="BT351">
        <v>0</v>
      </c>
      <c r="BU351">
        <v>11.092475891113281</v>
      </c>
      <c r="BV351">
        <v>-11.091865539550781</v>
      </c>
      <c r="BW351" t="s">
        <v>615</v>
      </c>
      <c r="BX351">
        <v>48622374912</v>
      </c>
      <c r="BY351">
        <v>2.126922607421875</v>
      </c>
      <c r="CB351">
        <v>19.778478622436523</v>
      </c>
      <c r="CC351">
        <v>6.1792669296264648</v>
      </c>
    </row>
    <row r="352" spans="1:83" ht="12.75" customHeight="1">
      <c r="A352" t="s">
        <v>746</v>
      </c>
      <c r="C352" t="s">
        <v>635</v>
      </c>
      <c r="D352">
        <v>350</v>
      </c>
      <c r="F352">
        <v>65535</v>
      </c>
      <c r="I352" t="s">
        <v>746</v>
      </c>
      <c r="AN352">
        <v>0</v>
      </c>
      <c r="AO352">
        <v>0</v>
      </c>
      <c r="AP352">
        <v>0</v>
      </c>
      <c r="AS352">
        <v>65535</v>
      </c>
      <c r="AT352">
        <v>65535</v>
      </c>
      <c r="AU352">
        <v>65535</v>
      </c>
      <c r="BI352">
        <v>0</v>
      </c>
      <c r="BK352">
        <v>0</v>
      </c>
      <c r="BL352">
        <v>0</v>
      </c>
      <c r="BP352">
        <v>65535</v>
      </c>
      <c r="BQ352">
        <v>65535</v>
      </c>
      <c r="CB352">
        <v>18.637947082519531</v>
      </c>
      <c r="CC352">
        <v>7.255988597869873</v>
      </c>
      <c r="CD352" t="s">
        <v>678</v>
      </c>
      <c r="CE352" t="s">
        <v>679</v>
      </c>
    </row>
    <row r="353" spans="1:83" ht="12.75" customHeight="1">
      <c r="A353" t="s">
        <v>657</v>
      </c>
      <c r="C353" t="s">
        <v>635</v>
      </c>
      <c r="D353">
        <v>351</v>
      </c>
      <c r="F353">
        <v>65535</v>
      </c>
      <c r="I353" t="s">
        <v>657</v>
      </c>
      <c r="R353">
        <v>7.280001163482666</v>
      </c>
      <c r="T353">
        <v>30.576005935668945</v>
      </c>
      <c r="W353" s="514">
        <v>44245.742905092593</v>
      </c>
      <c r="AN353">
        <v>0</v>
      </c>
      <c r="AO353">
        <v>0</v>
      </c>
      <c r="AP353">
        <v>0</v>
      </c>
      <c r="AS353">
        <v>0</v>
      </c>
      <c r="AT353">
        <v>0</v>
      </c>
      <c r="AU353">
        <v>0</v>
      </c>
      <c r="AW353">
        <v>0</v>
      </c>
      <c r="AZ353">
        <v>0</v>
      </c>
      <c r="BA353">
        <v>-5.4936431115493178E-4</v>
      </c>
      <c r="BB353">
        <v>0</v>
      </c>
      <c r="BC353">
        <v>9.9062042236328125</v>
      </c>
      <c r="BD353">
        <v>-9.9055871963500977</v>
      </c>
      <c r="BI353">
        <v>0</v>
      </c>
      <c r="BJ353">
        <v>0</v>
      </c>
      <c r="BK353">
        <v>0</v>
      </c>
      <c r="BL353">
        <v>0</v>
      </c>
      <c r="BM353">
        <v>2.4326769765270484E-11</v>
      </c>
      <c r="BN353">
        <v>2.3984375</v>
      </c>
      <c r="BP353">
        <v>65535</v>
      </c>
      <c r="BQ353">
        <v>65535</v>
      </c>
      <c r="BR353">
        <v>0</v>
      </c>
      <c r="BS353">
        <v>-5.4936431115493178E-4</v>
      </c>
      <c r="BT353">
        <v>0</v>
      </c>
      <c r="BU353">
        <v>9.9062042236328125</v>
      </c>
      <c r="BV353">
        <v>-9.9055871963500977</v>
      </c>
      <c r="BW353" t="s">
        <v>615</v>
      </c>
      <c r="BX353">
        <v>2.4326769765270484E-11</v>
      </c>
      <c r="BY353">
        <v>2.3984375</v>
      </c>
      <c r="CB353">
        <v>20.659940719604492</v>
      </c>
      <c r="CC353">
        <v>5.4541282653808594</v>
      </c>
      <c r="CD353" t="s">
        <v>631</v>
      </c>
      <c r="CE353" t="s">
        <v>632</v>
      </c>
    </row>
    <row r="354" spans="1:83" ht="12.75" customHeight="1">
      <c r="A354" t="s">
        <v>747</v>
      </c>
      <c r="C354" t="s">
        <v>635</v>
      </c>
      <c r="D354">
        <v>352</v>
      </c>
      <c r="F354">
        <v>65535</v>
      </c>
      <c r="I354" t="s">
        <v>747</v>
      </c>
      <c r="R354">
        <v>7.280001163482666</v>
      </c>
      <c r="T354">
        <v>30.576005935668945</v>
      </c>
      <c r="W354" s="514">
        <v>44245.742905092593</v>
      </c>
      <c r="AN354">
        <v>0</v>
      </c>
      <c r="AO354">
        <v>0</v>
      </c>
      <c r="AP354">
        <v>0</v>
      </c>
      <c r="AS354">
        <v>0</v>
      </c>
      <c r="AT354">
        <v>0</v>
      </c>
      <c r="AU354">
        <v>0</v>
      </c>
      <c r="AW354">
        <v>0</v>
      </c>
      <c r="AZ354">
        <v>0</v>
      </c>
      <c r="BA354">
        <v>-5.4936431115493178E-4</v>
      </c>
      <c r="BB354">
        <v>0</v>
      </c>
      <c r="BC354">
        <v>9.9062042236328125</v>
      </c>
      <c r="BD354">
        <v>-9.9055871963500977</v>
      </c>
      <c r="BI354">
        <v>0</v>
      </c>
      <c r="BJ354">
        <v>0</v>
      </c>
      <c r="BK354">
        <v>0</v>
      </c>
      <c r="BL354">
        <v>0</v>
      </c>
      <c r="BM354">
        <v>2.4326769765270484E-11</v>
      </c>
      <c r="BN354">
        <v>2.3984375</v>
      </c>
      <c r="BP354">
        <v>65535</v>
      </c>
      <c r="BQ354">
        <v>65535</v>
      </c>
      <c r="BR354">
        <v>0</v>
      </c>
      <c r="BS354">
        <v>-5.4936431115493178E-4</v>
      </c>
      <c r="BT354">
        <v>0</v>
      </c>
      <c r="BU354">
        <v>9.9062042236328125</v>
      </c>
      <c r="BV354">
        <v>-9.9055871963500977</v>
      </c>
      <c r="BW354" t="s">
        <v>615</v>
      </c>
      <c r="BX354">
        <v>2.4326769765270484E-11</v>
      </c>
      <c r="BY354">
        <v>2.3984375</v>
      </c>
      <c r="CB354">
        <v>19.145517349243164</v>
      </c>
      <c r="CC354">
        <v>6.76690673828125</v>
      </c>
      <c r="CD354" t="s">
        <v>617</v>
      </c>
      <c r="CE354" t="s">
        <v>619</v>
      </c>
    </row>
    <row r="355" spans="1:83" ht="12.75" customHeight="1">
      <c r="A355" t="s">
        <v>748</v>
      </c>
      <c r="C355" t="s">
        <v>635</v>
      </c>
      <c r="D355">
        <v>353</v>
      </c>
      <c r="F355">
        <v>65535</v>
      </c>
      <c r="I355" t="s">
        <v>748</v>
      </c>
      <c r="AN355">
        <v>0</v>
      </c>
      <c r="AO355">
        <v>0</v>
      </c>
      <c r="AP355">
        <v>0</v>
      </c>
      <c r="AS355">
        <v>65535</v>
      </c>
      <c r="AT355">
        <v>65535</v>
      </c>
      <c r="AU355">
        <v>65535</v>
      </c>
      <c r="BI355">
        <v>0</v>
      </c>
      <c r="BK355">
        <v>0</v>
      </c>
      <c r="BL355">
        <v>0</v>
      </c>
      <c r="BP355">
        <v>65535</v>
      </c>
      <c r="BQ355">
        <v>65535</v>
      </c>
      <c r="CB355">
        <v>18.361297607421875</v>
      </c>
      <c r="CC355">
        <v>7.3931293487548828</v>
      </c>
      <c r="CD355" t="s">
        <v>622</v>
      </c>
      <c r="CE355" t="s">
        <v>623</v>
      </c>
    </row>
    <row r="356" spans="1:83" ht="12.75" customHeight="1">
      <c r="A356" t="s">
        <v>749</v>
      </c>
      <c r="C356" t="s">
        <v>635</v>
      </c>
      <c r="D356">
        <v>354</v>
      </c>
      <c r="F356">
        <v>65535</v>
      </c>
      <c r="I356" t="s">
        <v>749</v>
      </c>
      <c r="AN356">
        <v>0</v>
      </c>
      <c r="AO356">
        <v>0</v>
      </c>
      <c r="AP356">
        <v>0</v>
      </c>
      <c r="AS356">
        <v>65535</v>
      </c>
      <c r="AT356">
        <v>65535</v>
      </c>
      <c r="AU356">
        <v>65535</v>
      </c>
      <c r="BI356">
        <v>0</v>
      </c>
      <c r="BK356">
        <v>0</v>
      </c>
      <c r="BL356">
        <v>0</v>
      </c>
      <c r="BP356">
        <v>65535</v>
      </c>
      <c r="BQ356">
        <v>65535</v>
      </c>
      <c r="CB356">
        <v>19.145517349243164</v>
      </c>
      <c r="CC356">
        <v>6.76690673828125</v>
      </c>
    </row>
    <row r="357" spans="1:83" ht="12.75" customHeight="1">
      <c r="A357" t="s">
        <v>750</v>
      </c>
      <c r="C357" t="s">
        <v>635</v>
      </c>
      <c r="D357">
        <v>355</v>
      </c>
      <c r="F357">
        <v>65535</v>
      </c>
      <c r="I357" t="s">
        <v>750</v>
      </c>
      <c r="R357">
        <v>7.7999982833862305</v>
      </c>
      <c r="T357">
        <v>32.759994506835938</v>
      </c>
      <c r="W357" s="514">
        <v>44245.742824074077</v>
      </c>
      <c r="AN357">
        <v>0</v>
      </c>
      <c r="AO357">
        <v>0</v>
      </c>
      <c r="AP357">
        <v>0</v>
      </c>
      <c r="AS357">
        <v>0</v>
      </c>
      <c r="AT357">
        <v>0</v>
      </c>
      <c r="AU357">
        <v>0</v>
      </c>
      <c r="AW357">
        <v>0</v>
      </c>
      <c r="AZ357">
        <v>0</v>
      </c>
      <c r="BA357">
        <v>-5.2172329742461443E-4</v>
      </c>
      <c r="BB357">
        <v>0</v>
      </c>
      <c r="BC357">
        <v>11.092475891113281</v>
      </c>
      <c r="BD357">
        <v>-11.091865539550781</v>
      </c>
      <c r="BI357">
        <v>0</v>
      </c>
      <c r="BJ357">
        <v>0</v>
      </c>
      <c r="BK357">
        <v>0</v>
      </c>
      <c r="BL357">
        <v>0</v>
      </c>
      <c r="BM357">
        <v>48622374912</v>
      </c>
      <c r="BN357">
        <v>2.126922607421875</v>
      </c>
      <c r="BP357">
        <v>65535</v>
      </c>
      <c r="BQ357">
        <v>65535</v>
      </c>
      <c r="BR357">
        <v>0</v>
      </c>
      <c r="BS357">
        <v>-5.2172329742461443E-4</v>
      </c>
      <c r="BT357">
        <v>0</v>
      </c>
      <c r="BU357">
        <v>11.092475891113281</v>
      </c>
      <c r="BV357">
        <v>-11.091865539550781</v>
      </c>
      <c r="BW357" t="s">
        <v>615</v>
      </c>
      <c r="BX357">
        <v>48622374912</v>
      </c>
      <c r="BY357">
        <v>2.126922607421875</v>
      </c>
      <c r="CB357">
        <v>18.361297607421875</v>
      </c>
      <c r="CC357">
        <v>7.3931293487548828</v>
      </c>
    </row>
    <row r="358" spans="1:83" ht="12.75" customHeight="1">
      <c r="A358" t="s">
        <v>751</v>
      </c>
      <c r="C358" t="s">
        <v>635</v>
      </c>
      <c r="D358">
        <v>356</v>
      </c>
      <c r="F358">
        <v>65535</v>
      </c>
      <c r="I358" t="s">
        <v>751</v>
      </c>
      <c r="AN358">
        <v>0</v>
      </c>
      <c r="AO358">
        <v>0</v>
      </c>
      <c r="AP358">
        <v>0</v>
      </c>
      <c r="AS358">
        <v>65535</v>
      </c>
      <c r="AT358">
        <v>65535</v>
      </c>
      <c r="AU358">
        <v>65535</v>
      </c>
      <c r="BI358">
        <v>0</v>
      </c>
      <c r="BK358">
        <v>0</v>
      </c>
      <c r="BL358">
        <v>0</v>
      </c>
      <c r="BP358">
        <v>65535</v>
      </c>
      <c r="BQ358">
        <v>65535</v>
      </c>
      <c r="CB358">
        <v>19.343687057495117</v>
      </c>
      <c r="CC358">
        <v>6.5684771537780762</v>
      </c>
    </row>
    <row r="359" spans="1:83" ht="12.75" customHeight="1">
      <c r="A359" t="s">
        <v>752</v>
      </c>
      <c r="C359" t="s">
        <v>635</v>
      </c>
      <c r="D359">
        <v>357</v>
      </c>
      <c r="F359">
        <v>65535</v>
      </c>
      <c r="I359" t="s">
        <v>752</v>
      </c>
      <c r="R359">
        <v>7.280001163482666</v>
      </c>
      <c r="T359">
        <v>30.576005935668945</v>
      </c>
      <c r="W359" s="514">
        <v>44245.742905092593</v>
      </c>
      <c r="AN359">
        <v>0</v>
      </c>
      <c r="AO359">
        <v>0</v>
      </c>
      <c r="AP359">
        <v>0</v>
      </c>
      <c r="AS359">
        <v>0</v>
      </c>
      <c r="AT359">
        <v>0</v>
      </c>
      <c r="AU359">
        <v>0</v>
      </c>
      <c r="AW359">
        <v>0</v>
      </c>
      <c r="AZ359">
        <v>0</v>
      </c>
      <c r="BA359">
        <v>-5.4936431115493178E-4</v>
      </c>
      <c r="BB359">
        <v>0</v>
      </c>
      <c r="BC359">
        <v>9.9062042236328125</v>
      </c>
      <c r="BD359">
        <v>-9.9055871963500977</v>
      </c>
      <c r="BI359">
        <v>0</v>
      </c>
      <c r="BJ359">
        <v>0</v>
      </c>
      <c r="BK359">
        <v>0</v>
      </c>
      <c r="BL359">
        <v>0</v>
      </c>
      <c r="BM359">
        <v>2.4326769765270484E-11</v>
      </c>
      <c r="BN359">
        <v>2.3984375</v>
      </c>
      <c r="BP359">
        <v>65535</v>
      </c>
      <c r="BQ359">
        <v>65535</v>
      </c>
      <c r="BR359">
        <v>0</v>
      </c>
      <c r="BS359">
        <v>-5.4936431115493178E-4</v>
      </c>
      <c r="BT359">
        <v>0</v>
      </c>
      <c r="BU359">
        <v>9.9062042236328125</v>
      </c>
      <c r="BV359">
        <v>-9.9055871963500977</v>
      </c>
      <c r="BW359" t="s">
        <v>615</v>
      </c>
      <c r="BX359">
        <v>2.4326769765270484E-11</v>
      </c>
      <c r="BY359">
        <v>2.3984375</v>
      </c>
      <c r="CB359">
        <v>19.745401382446289</v>
      </c>
      <c r="CC359">
        <v>6.2339653968811035</v>
      </c>
      <c r="CD359" t="s">
        <v>709</v>
      </c>
      <c r="CE359" t="s">
        <v>710</v>
      </c>
    </row>
    <row r="360" spans="1:83" ht="12.75" customHeight="1">
      <c r="A360" t="s">
        <v>657</v>
      </c>
      <c r="C360" t="s">
        <v>635</v>
      </c>
      <c r="D360">
        <v>358</v>
      </c>
      <c r="F360">
        <v>65535</v>
      </c>
      <c r="I360" t="s">
        <v>657</v>
      </c>
      <c r="R360">
        <v>7.280001163482666</v>
      </c>
      <c r="T360">
        <v>30.576005935668945</v>
      </c>
      <c r="W360" s="514">
        <v>44245.742905092593</v>
      </c>
      <c r="AN360">
        <v>0</v>
      </c>
      <c r="AO360">
        <v>0</v>
      </c>
      <c r="AP360">
        <v>0</v>
      </c>
      <c r="AS360">
        <v>0</v>
      </c>
      <c r="AT360">
        <v>0</v>
      </c>
      <c r="AU360">
        <v>0</v>
      </c>
      <c r="AW360">
        <v>0</v>
      </c>
      <c r="AZ360">
        <v>0</v>
      </c>
      <c r="BA360">
        <v>-5.4936431115493178E-4</v>
      </c>
      <c r="BB360">
        <v>0</v>
      </c>
      <c r="BC360">
        <v>9.9062042236328125</v>
      </c>
      <c r="BD360">
        <v>-9.9055871963500977</v>
      </c>
      <c r="BI360">
        <v>0</v>
      </c>
      <c r="BJ360">
        <v>0</v>
      </c>
      <c r="BK360">
        <v>0</v>
      </c>
      <c r="BL360">
        <v>0</v>
      </c>
      <c r="BM360">
        <v>2.4326769765270484E-11</v>
      </c>
      <c r="BN360">
        <v>2.3984375</v>
      </c>
      <c r="BP360">
        <v>65535</v>
      </c>
      <c r="BQ360">
        <v>65535</v>
      </c>
      <c r="BR360">
        <v>0</v>
      </c>
      <c r="BS360">
        <v>-5.4936431115493178E-4</v>
      </c>
      <c r="BT360">
        <v>0</v>
      </c>
      <c r="BU360">
        <v>9.9062042236328125</v>
      </c>
      <c r="BV360">
        <v>-9.9055871963500977</v>
      </c>
      <c r="BW360" t="s">
        <v>615</v>
      </c>
      <c r="BX360">
        <v>2.4326769765270484E-11</v>
      </c>
      <c r="BY360">
        <v>2.3984375</v>
      </c>
      <c r="CB360">
        <v>18.805768966674805</v>
      </c>
      <c r="CC360">
        <v>7.0398960113525391</v>
      </c>
      <c r="CD360" t="s">
        <v>631</v>
      </c>
      <c r="CE360" t="s">
        <v>632</v>
      </c>
    </row>
    <row r="361" spans="1:83" ht="12.75" customHeight="1">
      <c r="A361" t="s">
        <v>657</v>
      </c>
      <c r="C361" t="s">
        <v>635</v>
      </c>
      <c r="D361">
        <v>359</v>
      </c>
      <c r="F361">
        <v>65535</v>
      </c>
      <c r="I361" t="s">
        <v>657</v>
      </c>
      <c r="R361">
        <v>7.280001163482666</v>
      </c>
      <c r="T361">
        <v>30.576005935668945</v>
      </c>
      <c r="W361" s="514">
        <v>44245.742905092593</v>
      </c>
      <c r="AN361">
        <v>0</v>
      </c>
      <c r="AO361">
        <v>0</v>
      </c>
      <c r="AP361">
        <v>0</v>
      </c>
      <c r="AS361">
        <v>0</v>
      </c>
      <c r="AT361">
        <v>0</v>
      </c>
      <c r="AU361">
        <v>0</v>
      </c>
      <c r="AW361">
        <v>0</v>
      </c>
      <c r="AZ361">
        <v>0</v>
      </c>
      <c r="BA361">
        <v>-5.4936431115493178E-4</v>
      </c>
      <c r="BB361">
        <v>0</v>
      </c>
      <c r="BC361">
        <v>9.9062042236328125</v>
      </c>
      <c r="BD361">
        <v>-9.9055871963500977</v>
      </c>
      <c r="BI361">
        <v>0</v>
      </c>
      <c r="BJ361">
        <v>0</v>
      </c>
      <c r="BK361">
        <v>0</v>
      </c>
      <c r="BL361">
        <v>0</v>
      </c>
      <c r="BM361">
        <v>2.4326769765270484E-11</v>
      </c>
      <c r="BN361">
        <v>2.3984375</v>
      </c>
      <c r="BP361">
        <v>65535</v>
      </c>
      <c r="BQ361">
        <v>65535</v>
      </c>
      <c r="BR361">
        <v>0</v>
      </c>
      <c r="BS361">
        <v>-5.4936431115493178E-4</v>
      </c>
      <c r="BT361">
        <v>0</v>
      </c>
      <c r="BU361">
        <v>9.9062042236328125</v>
      </c>
      <c r="BV361">
        <v>-9.9055871963500977</v>
      </c>
      <c r="BW361" t="s">
        <v>615</v>
      </c>
      <c r="BX361">
        <v>2.4326769765270484E-11</v>
      </c>
      <c r="BY361">
        <v>2.3984375</v>
      </c>
      <c r="CB361">
        <v>18.492700576782227</v>
      </c>
      <c r="CC361">
        <v>7.2283225059509277</v>
      </c>
      <c r="CD361" t="s">
        <v>631</v>
      </c>
      <c r="CE361" t="s">
        <v>632</v>
      </c>
    </row>
    <row r="362" spans="1:83" ht="12.75" customHeight="1">
      <c r="A362" t="s">
        <v>703</v>
      </c>
      <c r="C362" t="s">
        <v>635</v>
      </c>
      <c r="D362">
        <v>360</v>
      </c>
      <c r="F362">
        <v>65535</v>
      </c>
      <c r="I362" t="s">
        <v>703</v>
      </c>
      <c r="R362">
        <v>7.280001163482666</v>
      </c>
      <c r="T362">
        <v>30.576005935668945</v>
      </c>
      <c r="W362" s="514">
        <v>44245.742905092593</v>
      </c>
      <c r="AN362">
        <v>0</v>
      </c>
      <c r="AO362">
        <v>0</v>
      </c>
      <c r="AP362">
        <v>0</v>
      </c>
      <c r="AS362">
        <v>0</v>
      </c>
      <c r="AT362">
        <v>0</v>
      </c>
      <c r="AU362">
        <v>0</v>
      </c>
      <c r="AW362">
        <v>0</v>
      </c>
      <c r="AZ362">
        <v>0</v>
      </c>
      <c r="BA362">
        <v>-5.4936431115493178E-4</v>
      </c>
      <c r="BB362">
        <v>0</v>
      </c>
      <c r="BC362">
        <v>9.9062042236328125</v>
      </c>
      <c r="BD362">
        <v>-9.9055871963500977</v>
      </c>
      <c r="BI362">
        <v>0</v>
      </c>
      <c r="BJ362">
        <v>0</v>
      </c>
      <c r="BK362">
        <v>0</v>
      </c>
      <c r="BL362">
        <v>0</v>
      </c>
      <c r="BM362">
        <v>2.4326769765270484E-11</v>
      </c>
      <c r="BN362">
        <v>2.3984375</v>
      </c>
      <c r="BP362">
        <v>65535</v>
      </c>
      <c r="BQ362">
        <v>65535</v>
      </c>
      <c r="BR362">
        <v>0</v>
      </c>
      <c r="BS362">
        <v>-5.4936431115493178E-4</v>
      </c>
      <c r="BT362">
        <v>0</v>
      </c>
      <c r="BU362">
        <v>9.9062042236328125</v>
      </c>
      <c r="BV362">
        <v>-9.9055871963500977</v>
      </c>
      <c r="BW362" t="s">
        <v>615</v>
      </c>
      <c r="BX362">
        <v>2.4326769765270484E-11</v>
      </c>
      <c r="BY362">
        <v>2.3984375</v>
      </c>
      <c r="CB362">
        <v>18.529254913330078</v>
      </c>
      <c r="CC362">
        <v>7.1777396202087402</v>
      </c>
      <c r="CD362" t="s">
        <v>622</v>
      </c>
      <c r="CE362" t="s">
        <v>623</v>
      </c>
    </row>
    <row r="363" spans="1:83" ht="12.75" customHeight="1">
      <c r="A363" t="s">
        <v>753</v>
      </c>
      <c r="C363" t="s">
        <v>635</v>
      </c>
      <c r="D363">
        <v>361</v>
      </c>
      <c r="F363">
        <v>65535</v>
      </c>
      <c r="I363" t="s">
        <v>753</v>
      </c>
      <c r="R363">
        <v>7.280001163482666</v>
      </c>
      <c r="T363">
        <v>30.576005935668945</v>
      </c>
      <c r="W363" s="514">
        <v>44245.742905092593</v>
      </c>
      <c r="AN363">
        <v>0</v>
      </c>
      <c r="AO363">
        <v>0</v>
      </c>
      <c r="AP363">
        <v>0</v>
      </c>
      <c r="AS363">
        <v>0</v>
      </c>
      <c r="AT363">
        <v>0</v>
      </c>
      <c r="AU363">
        <v>0</v>
      </c>
      <c r="AW363">
        <v>0</v>
      </c>
      <c r="AZ363">
        <v>0</v>
      </c>
      <c r="BA363">
        <v>-5.4936431115493178E-4</v>
      </c>
      <c r="BB363">
        <v>0</v>
      </c>
      <c r="BC363">
        <v>9.9062042236328125</v>
      </c>
      <c r="BD363">
        <v>-9.9055871963500977</v>
      </c>
      <c r="BI363">
        <v>0</v>
      </c>
      <c r="BJ363">
        <v>0</v>
      </c>
      <c r="BK363">
        <v>0</v>
      </c>
      <c r="BL363">
        <v>0</v>
      </c>
      <c r="BM363">
        <v>2.4326769765270484E-11</v>
      </c>
      <c r="BN363">
        <v>2.3984375</v>
      </c>
      <c r="BP363">
        <v>65535</v>
      </c>
      <c r="BQ363">
        <v>65535</v>
      </c>
      <c r="BR363">
        <v>0</v>
      </c>
      <c r="BS363">
        <v>-5.4936431115493178E-4</v>
      </c>
      <c r="BT363">
        <v>0</v>
      </c>
      <c r="BU363">
        <v>9.9062042236328125</v>
      </c>
      <c r="BV363">
        <v>-9.9055871963500977</v>
      </c>
      <c r="BW363" t="s">
        <v>615</v>
      </c>
      <c r="BX363">
        <v>2.4326769765270484E-11</v>
      </c>
      <c r="BY363">
        <v>2.3984375</v>
      </c>
      <c r="CB363">
        <v>18.574638366699219</v>
      </c>
      <c r="CC363">
        <v>7.1292800903320313</v>
      </c>
      <c r="CD363" t="s">
        <v>622</v>
      </c>
      <c r="CE363" t="s">
        <v>623</v>
      </c>
    </row>
    <row r="364" spans="1:83" ht="12.75" customHeight="1">
      <c r="A364" t="s">
        <v>667</v>
      </c>
      <c r="C364" t="s">
        <v>635</v>
      </c>
      <c r="D364">
        <v>362</v>
      </c>
      <c r="F364">
        <v>65535</v>
      </c>
      <c r="I364" t="s">
        <v>667</v>
      </c>
      <c r="AN364">
        <v>0</v>
      </c>
      <c r="AO364">
        <v>0</v>
      </c>
      <c r="AP364">
        <v>0</v>
      </c>
      <c r="AS364">
        <v>65535</v>
      </c>
      <c r="AT364">
        <v>65535</v>
      </c>
      <c r="AU364">
        <v>65535</v>
      </c>
      <c r="BI364">
        <v>0</v>
      </c>
      <c r="BK364">
        <v>0</v>
      </c>
      <c r="BL364">
        <v>0</v>
      </c>
      <c r="BP364">
        <v>65535</v>
      </c>
      <c r="BQ364">
        <v>65535</v>
      </c>
      <c r="CB364">
        <v>19.745401382446289</v>
      </c>
      <c r="CC364">
        <v>6.2339653968811035</v>
      </c>
      <c r="CD364" t="s">
        <v>631</v>
      </c>
      <c r="CE364" t="s">
        <v>632</v>
      </c>
    </row>
    <row r="365" spans="1:83" ht="12.75" customHeight="1">
      <c r="A365" t="s">
        <v>754</v>
      </c>
      <c r="C365" t="s">
        <v>635</v>
      </c>
      <c r="D365">
        <v>363</v>
      </c>
      <c r="F365">
        <v>65535</v>
      </c>
      <c r="I365" t="s">
        <v>754</v>
      </c>
      <c r="AN365">
        <v>0</v>
      </c>
      <c r="AO365">
        <v>0</v>
      </c>
      <c r="AP365">
        <v>0</v>
      </c>
      <c r="AS365">
        <v>65535</v>
      </c>
      <c r="AT365">
        <v>65535</v>
      </c>
      <c r="AU365">
        <v>65535</v>
      </c>
      <c r="BI365">
        <v>0</v>
      </c>
      <c r="BK365">
        <v>0</v>
      </c>
      <c r="BL365">
        <v>0</v>
      </c>
      <c r="BP365">
        <v>65535</v>
      </c>
      <c r="BQ365">
        <v>65535</v>
      </c>
      <c r="CB365">
        <v>18.805768966674805</v>
      </c>
      <c r="CC365">
        <v>7.0398960113525391</v>
      </c>
      <c r="CD365" t="s">
        <v>618</v>
      </c>
      <c r="CE365" t="s">
        <v>623</v>
      </c>
    </row>
    <row r="366" spans="1:83" ht="12.75" customHeight="1">
      <c r="A366" t="s">
        <v>755</v>
      </c>
      <c r="C366" t="s">
        <v>635</v>
      </c>
      <c r="D366">
        <v>364</v>
      </c>
      <c r="F366">
        <v>65535</v>
      </c>
      <c r="I366" t="s">
        <v>755</v>
      </c>
      <c r="AN366">
        <v>0</v>
      </c>
      <c r="AO366">
        <v>0</v>
      </c>
      <c r="AP366">
        <v>0</v>
      </c>
      <c r="AS366">
        <v>65535</v>
      </c>
      <c r="AT366">
        <v>65535</v>
      </c>
      <c r="AU366">
        <v>65535</v>
      </c>
      <c r="BI366">
        <v>0</v>
      </c>
      <c r="BK366">
        <v>0</v>
      </c>
      <c r="BL366">
        <v>0</v>
      </c>
      <c r="BP366">
        <v>65535</v>
      </c>
      <c r="BQ366">
        <v>65535</v>
      </c>
      <c r="CB366">
        <v>18.492700576782227</v>
      </c>
      <c r="CC366">
        <v>7.2283225059509277</v>
      </c>
      <c r="CD366" t="s">
        <v>622</v>
      </c>
      <c r="CE366" t="s">
        <v>623</v>
      </c>
    </row>
    <row r="367" spans="1:83" ht="12.75" customHeight="1">
      <c r="A367" t="s">
        <v>755</v>
      </c>
      <c r="C367" t="s">
        <v>635</v>
      </c>
      <c r="D367">
        <v>365</v>
      </c>
      <c r="F367">
        <v>65535</v>
      </c>
      <c r="I367" t="s">
        <v>755</v>
      </c>
      <c r="AN367">
        <v>0</v>
      </c>
      <c r="AO367">
        <v>0</v>
      </c>
      <c r="AP367">
        <v>0</v>
      </c>
      <c r="AS367">
        <v>65535</v>
      </c>
      <c r="AT367">
        <v>65535</v>
      </c>
      <c r="AU367">
        <v>65535</v>
      </c>
      <c r="BI367">
        <v>0</v>
      </c>
      <c r="BK367">
        <v>0</v>
      </c>
      <c r="BL367">
        <v>0</v>
      </c>
      <c r="BP367">
        <v>65535</v>
      </c>
      <c r="BQ367">
        <v>65535</v>
      </c>
      <c r="CB367">
        <v>18.529254913330078</v>
      </c>
      <c r="CC367">
        <v>7.1777396202087402</v>
      </c>
      <c r="CD367" t="s">
        <v>622</v>
      </c>
      <c r="CE367" t="s">
        <v>623</v>
      </c>
    </row>
    <row r="368" spans="1:83" ht="12.75" customHeight="1">
      <c r="A368" t="s">
        <v>640</v>
      </c>
      <c r="C368" t="s">
        <v>635</v>
      </c>
      <c r="D368">
        <v>366</v>
      </c>
      <c r="F368">
        <v>65535</v>
      </c>
      <c r="I368" t="s">
        <v>640</v>
      </c>
      <c r="R368">
        <v>7.280001163482666</v>
      </c>
      <c r="T368">
        <v>30.576005935668945</v>
      </c>
      <c r="W368" s="514">
        <v>44245.742905092593</v>
      </c>
      <c r="AN368">
        <v>0</v>
      </c>
      <c r="AO368">
        <v>0</v>
      </c>
      <c r="AP368">
        <v>0</v>
      </c>
      <c r="AS368">
        <v>0</v>
      </c>
      <c r="AT368">
        <v>0</v>
      </c>
      <c r="AU368">
        <v>0</v>
      </c>
      <c r="AW368">
        <v>0</v>
      </c>
      <c r="AZ368">
        <v>0</v>
      </c>
      <c r="BA368">
        <v>-5.4936431115493178E-4</v>
      </c>
      <c r="BB368">
        <v>0</v>
      </c>
      <c r="BC368">
        <v>9.9062042236328125</v>
      </c>
      <c r="BD368">
        <v>-9.9055871963500977</v>
      </c>
      <c r="BI368">
        <v>0</v>
      </c>
      <c r="BJ368">
        <v>0</v>
      </c>
      <c r="BK368">
        <v>0</v>
      </c>
      <c r="BL368">
        <v>0</v>
      </c>
      <c r="BM368">
        <v>2.4326769765270484E-11</v>
      </c>
      <c r="BN368">
        <v>2.3984375</v>
      </c>
      <c r="BP368">
        <v>65535</v>
      </c>
      <c r="BQ368">
        <v>65535</v>
      </c>
      <c r="BR368">
        <v>0</v>
      </c>
      <c r="BS368">
        <v>-5.4936431115493178E-4</v>
      </c>
      <c r="BT368">
        <v>0</v>
      </c>
      <c r="BU368">
        <v>9.9062042236328125</v>
      </c>
      <c r="BV368">
        <v>-9.9055871963500977</v>
      </c>
      <c r="BW368" t="s">
        <v>615</v>
      </c>
      <c r="BX368">
        <v>2.4326769765270484E-11</v>
      </c>
      <c r="BY368">
        <v>2.3984375</v>
      </c>
      <c r="CB368">
        <v>18.574638366699219</v>
      </c>
      <c r="CC368">
        <v>7.1292800903320313</v>
      </c>
      <c r="CD368" t="s">
        <v>616</v>
      </c>
      <c r="CE368" t="s">
        <v>619</v>
      </c>
    </row>
    <row r="369" spans="1:83" ht="12.75" customHeight="1">
      <c r="A369" t="s">
        <v>657</v>
      </c>
      <c r="C369" t="s">
        <v>635</v>
      </c>
      <c r="D369">
        <v>367</v>
      </c>
      <c r="F369">
        <v>65535</v>
      </c>
      <c r="I369" t="s">
        <v>657</v>
      </c>
      <c r="R369">
        <v>7.280001163482666</v>
      </c>
      <c r="T369">
        <v>30.576005935668945</v>
      </c>
      <c r="W369" s="514">
        <v>44245.742905092593</v>
      </c>
      <c r="AN369">
        <v>0</v>
      </c>
      <c r="AO369">
        <v>0</v>
      </c>
      <c r="AP369">
        <v>0</v>
      </c>
      <c r="AS369">
        <v>0</v>
      </c>
      <c r="AT369">
        <v>0</v>
      </c>
      <c r="AU369">
        <v>0</v>
      </c>
      <c r="AW369">
        <v>0</v>
      </c>
      <c r="AZ369">
        <v>0</v>
      </c>
      <c r="BA369">
        <v>-5.4936431115493178E-4</v>
      </c>
      <c r="BB369">
        <v>0</v>
      </c>
      <c r="BC369">
        <v>9.9062042236328125</v>
      </c>
      <c r="BD369">
        <v>-9.9055871963500977</v>
      </c>
      <c r="BI369">
        <v>0</v>
      </c>
      <c r="BJ369">
        <v>0</v>
      </c>
      <c r="BK369">
        <v>0</v>
      </c>
      <c r="BL369">
        <v>0</v>
      </c>
      <c r="BM369">
        <v>2.4326769765270484E-11</v>
      </c>
      <c r="BN369">
        <v>2.3984375</v>
      </c>
      <c r="BP369">
        <v>65535</v>
      </c>
      <c r="BQ369">
        <v>65535</v>
      </c>
      <c r="BR369">
        <v>0</v>
      </c>
      <c r="BS369">
        <v>-5.4936431115493178E-4</v>
      </c>
      <c r="BT369">
        <v>0</v>
      </c>
      <c r="BU369">
        <v>9.9062042236328125</v>
      </c>
      <c r="BV369">
        <v>-9.9055871963500977</v>
      </c>
      <c r="BW369" t="s">
        <v>615</v>
      </c>
      <c r="BX369">
        <v>2.4326769765270484E-11</v>
      </c>
      <c r="BY369">
        <v>2.3984375</v>
      </c>
      <c r="CB369">
        <v>19.745401382446289</v>
      </c>
      <c r="CC369">
        <v>6.2339653968811035</v>
      </c>
      <c r="CD369" t="s">
        <v>631</v>
      </c>
      <c r="CE369" t="s">
        <v>632</v>
      </c>
    </row>
    <row r="370" spans="1:83" ht="12.75" customHeight="1">
      <c r="A370" t="s">
        <v>756</v>
      </c>
      <c r="C370" t="s">
        <v>635</v>
      </c>
      <c r="D370">
        <v>368</v>
      </c>
      <c r="F370">
        <v>65535</v>
      </c>
      <c r="I370" t="s">
        <v>756</v>
      </c>
      <c r="R370">
        <v>7.280001163482666</v>
      </c>
      <c r="T370">
        <v>30.576005935668945</v>
      </c>
      <c r="W370" s="514">
        <v>44245.742905092593</v>
      </c>
      <c r="AN370">
        <v>0</v>
      </c>
      <c r="AO370">
        <v>0</v>
      </c>
      <c r="AP370">
        <v>0</v>
      </c>
      <c r="AS370">
        <v>0</v>
      </c>
      <c r="AT370">
        <v>0</v>
      </c>
      <c r="AU370">
        <v>0</v>
      </c>
      <c r="AW370">
        <v>0</v>
      </c>
      <c r="AZ370">
        <v>0</v>
      </c>
      <c r="BA370">
        <v>-5.4936431115493178E-4</v>
      </c>
      <c r="BB370">
        <v>0</v>
      </c>
      <c r="BC370">
        <v>9.9062042236328125</v>
      </c>
      <c r="BD370">
        <v>-9.9055871963500977</v>
      </c>
      <c r="BI370">
        <v>0</v>
      </c>
      <c r="BJ370">
        <v>0</v>
      </c>
      <c r="BK370">
        <v>0</v>
      </c>
      <c r="BL370">
        <v>0</v>
      </c>
      <c r="BM370">
        <v>2.4326769765270484E-11</v>
      </c>
      <c r="BN370">
        <v>2.3984375</v>
      </c>
      <c r="BP370">
        <v>65535</v>
      </c>
      <c r="BQ370">
        <v>65535</v>
      </c>
      <c r="BR370">
        <v>0</v>
      </c>
      <c r="BS370">
        <v>-5.4936431115493178E-4</v>
      </c>
      <c r="BT370">
        <v>0</v>
      </c>
      <c r="BU370">
        <v>9.9062042236328125</v>
      </c>
      <c r="BV370">
        <v>-9.9055871963500977</v>
      </c>
      <c r="BW370" t="s">
        <v>615</v>
      </c>
      <c r="BX370">
        <v>2.4326769765270484E-11</v>
      </c>
      <c r="BY370">
        <v>2.3984375</v>
      </c>
      <c r="CB370">
        <v>18.805768966674805</v>
      </c>
      <c r="CC370">
        <v>7.0398960113525391</v>
      </c>
    </row>
    <row r="371" spans="1:83" ht="12.75" customHeight="1">
      <c r="A371" t="s">
        <v>756</v>
      </c>
      <c r="C371" t="s">
        <v>625</v>
      </c>
      <c r="D371">
        <v>369</v>
      </c>
      <c r="F371">
        <v>65535</v>
      </c>
      <c r="I371" t="s">
        <v>756</v>
      </c>
      <c r="R371">
        <v>7.280001163482666</v>
      </c>
      <c r="T371">
        <v>30.576005935668945</v>
      </c>
      <c r="W371" s="514">
        <v>44245.742905092593</v>
      </c>
      <c r="AN371">
        <v>0</v>
      </c>
      <c r="AO371">
        <v>0</v>
      </c>
      <c r="AP371">
        <v>0</v>
      </c>
      <c r="AS371">
        <v>0</v>
      </c>
      <c r="AT371">
        <v>0</v>
      </c>
      <c r="AU371">
        <v>0</v>
      </c>
      <c r="AW371">
        <v>0</v>
      </c>
      <c r="AZ371">
        <v>0</v>
      </c>
      <c r="BA371">
        <v>-5.4936431115493178E-4</v>
      </c>
      <c r="BB371">
        <v>0</v>
      </c>
      <c r="BC371">
        <v>9.9062042236328125</v>
      </c>
      <c r="BD371">
        <v>-9.9055871963500977</v>
      </c>
      <c r="BI371">
        <v>0</v>
      </c>
      <c r="BJ371">
        <v>0</v>
      </c>
      <c r="BK371">
        <v>0</v>
      </c>
      <c r="BL371">
        <v>0</v>
      </c>
      <c r="BM371">
        <v>2.4326769765270484E-11</v>
      </c>
      <c r="BN371">
        <v>2.3984375</v>
      </c>
      <c r="BP371">
        <v>65535</v>
      </c>
      <c r="BQ371">
        <v>65535</v>
      </c>
      <c r="BR371">
        <v>0</v>
      </c>
      <c r="BS371">
        <v>-5.4936431115493178E-4</v>
      </c>
      <c r="BT371">
        <v>0</v>
      </c>
      <c r="BU371">
        <v>9.9062042236328125</v>
      </c>
      <c r="BV371">
        <v>-9.9055871963500977</v>
      </c>
      <c r="BW371" t="s">
        <v>615</v>
      </c>
      <c r="BX371">
        <v>2.4326769765270484E-11</v>
      </c>
      <c r="BY371">
        <v>2.3984375</v>
      </c>
      <c r="CB371">
        <v>18.492700576782227</v>
      </c>
      <c r="CC371">
        <v>7.2283225059509277</v>
      </c>
    </row>
    <row r="372" spans="1:83" ht="12.75" customHeight="1">
      <c r="A372" t="s">
        <v>644</v>
      </c>
      <c r="C372" t="s">
        <v>635</v>
      </c>
      <c r="D372">
        <v>370</v>
      </c>
      <c r="F372">
        <v>65535</v>
      </c>
      <c r="I372" t="s">
        <v>644</v>
      </c>
      <c r="R372">
        <v>7.280001163482666</v>
      </c>
      <c r="T372">
        <v>30.576005935668945</v>
      </c>
      <c r="W372" s="514">
        <v>44245.742905092593</v>
      </c>
      <c r="AN372">
        <v>0</v>
      </c>
      <c r="AO372">
        <v>0</v>
      </c>
      <c r="AP372">
        <v>0</v>
      </c>
      <c r="AS372">
        <v>0</v>
      </c>
      <c r="AT372">
        <v>0</v>
      </c>
      <c r="AU372">
        <v>0</v>
      </c>
      <c r="AW372">
        <v>0</v>
      </c>
      <c r="AZ372">
        <v>0</v>
      </c>
      <c r="BA372">
        <v>-5.4936431115493178E-4</v>
      </c>
      <c r="BB372">
        <v>0</v>
      </c>
      <c r="BC372">
        <v>9.9062042236328125</v>
      </c>
      <c r="BD372">
        <v>-9.9055871963500977</v>
      </c>
      <c r="BI372">
        <v>0</v>
      </c>
      <c r="BJ372">
        <v>0</v>
      </c>
      <c r="BK372">
        <v>0</v>
      </c>
      <c r="BL372">
        <v>0</v>
      </c>
      <c r="BM372">
        <v>2.4326769765270484E-11</v>
      </c>
      <c r="BN372">
        <v>2.3984375</v>
      </c>
      <c r="BP372">
        <v>65535</v>
      </c>
      <c r="BQ372">
        <v>65535</v>
      </c>
      <c r="BR372">
        <v>0</v>
      </c>
      <c r="BS372">
        <v>-5.4936431115493178E-4</v>
      </c>
      <c r="BT372">
        <v>0</v>
      </c>
      <c r="BU372">
        <v>9.9062042236328125</v>
      </c>
      <c r="BV372">
        <v>-9.9055871963500977</v>
      </c>
      <c r="BW372" t="s">
        <v>615</v>
      </c>
      <c r="BX372">
        <v>2.4326769765270484E-11</v>
      </c>
      <c r="BY372">
        <v>2.3984375</v>
      </c>
      <c r="CB372">
        <v>18.529254913330078</v>
      </c>
      <c r="CC372">
        <v>7.1777396202087402</v>
      </c>
      <c r="CD372" t="s">
        <v>631</v>
      </c>
      <c r="CE372" t="s">
        <v>632</v>
      </c>
    </row>
    <row r="373" spans="1:83" ht="12.75" customHeight="1">
      <c r="A373" t="s">
        <v>689</v>
      </c>
      <c r="C373" t="s">
        <v>621</v>
      </c>
      <c r="D373">
        <v>371</v>
      </c>
      <c r="F373">
        <v>65535</v>
      </c>
      <c r="I373" t="s">
        <v>689</v>
      </c>
      <c r="AN373">
        <v>0</v>
      </c>
      <c r="AO373">
        <v>0</v>
      </c>
      <c r="AP373">
        <v>0</v>
      </c>
      <c r="AS373">
        <v>65535</v>
      </c>
      <c r="AT373">
        <v>65535</v>
      </c>
      <c r="AU373">
        <v>65535</v>
      </c>
      <c r="BI373">
        <v>0</v>
      </c>
      <c r="BK373">
        <v>0</v>
      </c>
      <c r="BL373">
        <v>0</v>
      </c>
      <c r="BP373">
        <v>65535</v>
      </c>
      <c r="BQ373">
        <v>65535</v>
      </c>
      <c r="CB373">
        <v>18.574638366699219</v>
      </c>
      <c r="CC373">
        <v>7.1292800903320313</v>
      </c>
    </row>
    <row r="374" spans="1:83" ht="12.75" customHeight="1">
      <c r="A374" t="s">
        <v>627</v>
      </c>
      <c r="C374" t="s">
        <v>621</v>
      </c>
      <c r="D374">
        <v>372</v>
      </c>
      <c r="F374">
        <v>65535</v>
      </c>
      <c r="I374" t="s">
        <v>627</v>
      </c>
      <c r="AN374">
        <v>0</v>
      </c>
      <c r="AO374">
        <v>0</v>
      </c>
      <c r="AP374">
        <v>0</v>
      </c>
      <c r="AS374">
        <v>65535</v>
      </c>
      <c r="AT374">
        <v>65535</v>
      </c>
      <c r="AU374">
        <v>65535</v>
      </c>
      <c r="BI374">
        <v>0</v>
      </c>
      <c r="BK374">
        <v>0</v>
      </c>
      <c r="BL374">
        <v>0</v>
      </c>
      <c r="BP374">
        <v>65535</v>
      </c>
      <c r="BQ374">
        <v>65535</v>
      </c>
      <c r="CB374">
        <v>19.745401382446289</v>
      </c>
      <c r="CC374">
        <v>6.2339653968811035</v>
      </c>
    </row>
    <row r="375" spans="1:83" ht="12.75" customHeight="1">
      <c r="A375" t="s">
        <v>736</v>
      </c>
      <c r="C375" t="s">
        <v>621</v>
      </c>
      <c r="D375">
        <v>373</v>
      </c>
      <c r="F375">
        <v>65535</v>
      </c>
      <c r="I375" t="s">
        <v>736</v>
      </c>
      <c r="AN375">
        <v>0</v>
      </c>
      <c r="AO375">
        <v>0</v>
      </c>
      <c r="AP375">
        <v>0</v>
      </c>
      <c r="AS375">
        <v>65535</v>
      </c>
      <c r="AT375">
        <v>65535</v>
      </c>
      <c r="AU375">
        <v>65535</v>
      </c>
      <c r="BI375">
        <v>0</v>
      </c>
      <c r="BK375">
        <v>0</v>
      </c>
      <c r="BL375">
        <v>0</v>
      </c>
      <c r="BP375">
        <v>65535</v>
      </c>
      <c r="BQ375">
        <v>65535</v>
      </c>
      <c r="CB375">
        <v>18.805768966674805</v>
      </c>
      <c r="CC375">
        <v>7.0398960113525391</v>
      </c>
    </row>
    <row r="376" spans="1:83" ht="12.75" customHeight="1">
      <c r="A376" t="s">
        <v>668</v>
      </c>
      <c r="C376" t="s">
        <v>621</v>
      </c>
      <c r="D376">
        <v>374</v>
      </c>
      <c r="F376">
        <v>65535</v>
      </c>
      <c r="I376" t="s">
        <v>668</v>
      </c>
      <c r="AN376">
        <v>0</v>
      </c>
      <c r="AO376">
        <v>0</v>
      </c>
      <c r="AP376">
        <v>0</v>
      </c>
      <c r="AS376">
        <v>65535</v>
      </c>
      <c r="AT376">
        <v>65535</v>
      </c>
      <c r="AU376">
        <v>65535</v>
      </c>
      <c r="BI376">
        <v>0</v>
      </c>
      <c r="BK376">
        <v>0</v>
      </c>
      <c r="BL376">
        <v>0</v>
      </c>
      <c r="BP376">
        <v>65535</v>
      </c>
      <c r="BQ376">
        <v>65535</v>
      </c>
      <c r="CB376">
        <v>18.492700576782227</v>
      </c>
      <c r="CC376">
        <v>7.2283225059509277</v>
      </c>
    </row>
    <row r="377" spans="1:83" ht="12.75" customHeight="1">
      <c r="A377" t="s">
        <v>692</v>
      </c>
      <c r="C377" t="s">
        <v>621</v>
      </c>
      <c r="D377">
        <v>375</v>
      </c>
      <c r="F377">
        <v>65535</v>
      </c>
      <c r="I377" t="s">
        <v>692</v>
      </c>
      <c r="R377">
        <v>7.280001163482666</v>
      </c>
      <c r="T377">
        <v>30.576005935668945</v>
      </c>
      <c r="W377" s="514">
        <v>44245.742905092593</v>
      </c>
      <c r="AN377">
        <v>0</v>
      </c>
      <c r="AO377">
        <v>0</v>
      </c>
      <c r="AP377">
        <v>0</v>
      </c>
      <c r="AS377">
        <v>0</v>
      </c>
      <c r="AT377">
        <v>0</v>
      </c>
      <c r="AU377">
        <v>0</v>
      </c>
      <c r="AW377">
        <v>0</v>
      </c>
      <c r="AZ377">
        <v>0</v>
      </c>
      <c r="BA377">
        <v>-5.4936431115493178E-4</v>
      </c>
      <c r="BB377">
        <v>0</v>
      </c>
      <c r="BC377">
        <v>9.9062042236328125</v>
      </c>
      <c r="BD377">
        <v>-9.9055871963500977</v>
      </c>
      <c r="BI377">
        <v>0</v>
      </c>
      <c r="BJ377">
        <v>0</v>
      </c>
      <c r="BK377">
        <v>0</v>
      </c>
      <c r="BL377">
        <v>0</v>
      </c>
      <c r="BM377">
        <v>2.4326769765270484E-11</v>
      </c>
      <c r="BN377">
        <v>2.3984375</v>
      </c>
      <c r="BP377">
        <v>65535</v>
      </c>
      <c r="BQ377">
        <v>65535</v>
      </c>
      <c r="BR377">
        <v>0</v>
      </c>
      <c r="BS377">
        <v>-5.4936431115493178E-4</v>
      </c>
      <c r="BT377">
        <v>0</v>
      </c>
      <c r="BU377">
        <v>9.9062042236328125</v>
      </c>
      <c r="BV377">
        <v>-9.9055871963500977</v>
      </c>
      <c r="BW377" t="s">
        <v>615</v>
      </c>
      <c r="BX377">
        <v>2.4326769765270484E-11</v>
      </c>
      <c r="BY377">
        <v>2.3984375</v>
      </c>
      <c r="CB377">
        <v>18.529254913330078</v>
      </c>
      <c r="CC377">
        <v>7.1777396202087402</v>
      </c>
    </row>
    <row r="378" spans="1:83" ht="12.75" customHeight="1">
      <c r="A378" t="s">
        <v>757</v>
      </c>
      <c r="C378" t="s">
        <v>621</v>
      </c>
      <c r="D378">
        <v>376</v>
      </c>
      <c r="F378">
        <v>65535</v>
      </c>
      <c r="I378" t="s">
        <v>757</v>
      </c>
      <c r="R378">
        <v>7.280001163482666</v>
      </c>
      <c r="T378">
        <v>30.576005935668945</v>
      </c>
      <c r="W378" s="514">
        <v>44245.742905092593</v>
      </c>
      <c r="AN378">
        <v>0</v>
      </c>
      <c r="AO378">
        <v>0</v>
      </c>
      <c r="AP378">
        <v>0</v>
      </c>
      <c r="AS378">
        <v>0</v>
      </c>
      <c r="AT378">
        <v>0</v>
      </c>
      <c r="AU378">
        <v>0</v>
      </c>
      <c r="AW378">
        <v>0</v>
      </c>
      <c r="AZ378">
        <v>0</v>
      </c>
      <c r="BA378">
        <v>-5.4936431115493178E-4</v>
      </c>
      <c r="BB378">
        <v>0</v>
      </c>
      <c r="BC378">
        <v>9.9062042236328125</v>
      </c>
      <c r="BD378">
        <v>-9.9055871963500977</v>
      </c>
      <c r="BI378">
        <v>0</v>
      </c>
      <c r="BJ378">
        <v>0</v>
      </c>
      <c r="BK378">
        <v>0</v>
      </c>
      <c r="BL378">
        <v>0</v>
      </c>
      <c r="BM378">
        <v>2.4326769765270484E-11</v>
      </c>
      <c r="BN378">
        <v>2.3984375</v>
      </c>
      <c r="BP378">
        <v>65535</v>
      </c>
      <c r="BQ378">
        <v>65535</v>
      </c>
      <c r="BR378">
        <v>0</v>
      </c>
      <c r="BS378">
        <v>-5.4936431115493178E-4</v>
      </c>
      <c r="BT378">
        <v>0</v>
      </c>
      <c r="BU378">
        <v>9.9062042236328125</v>
      </c>
      <c r="BV378">
        <v>-9.9055871963500977</v>
      </c>
      <c r="BW378" t="s">
        <v>615</v>
      </c>
      <c r="BX378">
        <v>2.4326769765270484E-11</v>
      </c>
      <c r="BY378">
        <v>2.3984375</v>
      </c>
      <c r="CB378">
        <v>18.574638366699219</v>
      </c>
      <c r="CC378">
        <v>7.1292800903320313</v>
      </c>
    </row>
    <row r="379" spans="1:83" ht="12.75" customHeight="1">
      <c r="A379" t="s">
        <v>667</v>
      </c>
      <c r="C379" t="s">
        <v>635</v>
      </c>
      <c r="D379">
        <v>377</v>
      </c>
      <c r="F379">
        <v>65535</v>
      </c>
      <c r="I379" t="s">
        <v>667</v>
      </c>
      <c r="R379">
        <v>7.280001163482666</v>
      </c>
      <c r="T379">
        <v>30.576005935668945</v>
      </c>
      <c r="W379" s="514">
        <v>44245.742905092593</v>
      </c>
      <c r="AN379">
        <v>0</v>
      </c>
      <c r="AO379">
        <v>0</v>
      </c>
      <c r="AP379">
        <v>0</v>
      </c>
      <c r="AS379">
        <v>0</v>
      </c>
      <c r="AT379">
        <v>0</v>
      </c>
      <c r="AU379">
        <v>0</v>
      </c>
      <c r="AW379">
        <v>0</v>
      </c>
      <c r="AZ379">
        <v>0</v>
      </c>
      <c r="BA379">
        <v>-5.4936431115493178E-4</v>
      </c>
      <c r="BB379">
        <v>0</v>
      </c>
      <c r="BC379">
        <v>9.9062042236328125</v>
      </c>
      <c r="BD379">
        <v>-9.9055871963500977</v>
      </c>
      <c r="BI379">
        <v>0</v>
      </c>
      <c r="BJ379">
        <v>0</v>
      </c>
      <c r="BK379">
        <v>0</v>
      </c>
      <c r="BL379">
        <v>0</v>
      </c>
      <c r="BM379">
        <v>2.4326769765270484E-11</v>
      </c>
      <c r="BN379">
        <v>2.3984375</v>
      </c>
      <c r="BP379">
        <v>65535</v>
      </c>
      <c r="BQ379">
        <v>65535</v>
      </c>
      <c r="BR379">
        <v>0</v>
      </c>
      <c r="BS379">
        <v>-5.4936431115493178E-4</v>
      </c>
      <c r="BT379">
        <v>0</v>
      </c>
      <c r="BU379">
        <v>9.9062042236328125</v>
      </c>
      <c r="BV379">
        <v>-9.9055871963500977</v>
      </c>
      <c r="BW379" t="s">
        <v>615</v>
      </c>
      <c r="BX379">
        <v>2.4326769765270484E-11</v>
      </c>
      <c r="BY379">
        <v>2.3984375</v>
      </c>
      <c r="CB379">
        <v>19.745401382446289</v>
      </c>
      <c r="CC379">
        <v>6.2339653968811035</v>
      </c>
      <c r="CD379" t="s">
        <v>631</v>
      </c>
      <c r="CE379" t="s">
        <v>632</v>
      </c>
    </row>
    <row r="380" spans="1:83" ht="12.75" customHeight="1">
      <c r="A380" t="s">
        <v>758</v>
      </c>
      <c r="C380" t="s">
        <v>635</v>
      </c>
      <c r="D380">
        <v>378</v>
      </c>
      <c r="F380">
        <v>65535</v>
      </c>
      <c r="I380" t="s">
        <v>758</v>
      </c>
      <c r="R380">
        <v>7.280001163482666</v>
      </c>
      <c r="T380">
        <v>30.576005935668945</v>
      </c>
      <c r="W380" s="514">
        <v>44245.742905092593</v>
      </c>
      <c r="AN380">
        <v>0</v>
      </c>
      <c r="AO380">
        <v>0</v>
      </c>
      <c r="AP380">
        <v>0</v>
      </c>
      <c r="AS380">
        <v>0</v>
      </c>
      <c r="AT380">
        <v>0</v>
      </c>
      <c r="AU380">
        <v>0</v>
      </c>
      <c r="AW380">
        <v>0</v>
      </c>
      <c r="AZ380">
        <v>0</v>
      </c>
      <c r="BA380">
        <v>-5.4936431115493178E-4</v>
      </c>
      <c r="BB380">
        <v>0</v>
      </c>
      <c r="BC380">
        <v>9.9062042236328125</v>
      </c>
      <c r="BD380">
        <v>-9.9055871963500977</v>
      </c>
      <c r="BI380">
        <v>0</v>
      </c>
      <c r="BJ380">
        <v>0</v>
      </c>
      <c r="BK380">
        <v>0</v>
      </c>
      <c r="BL380">
        <v>0</v>
      </c>
      <c r="BM380">
        <v>2.4326769765270484E-11</v>
      </c>
      <c r="BN380">
        <v>2.3984375</v>
      </c>
      <c r="BP380">
        <v>65535</v>
      </c>
      <c r="BQ380">
        <v>65535</v>
      </c>
      <c r="BR380">
        <v>0</v>
      </c>
      <c r="BS380">
        <v>-5.4936431115493178E-4</v>
      </c>
      <c r="BT380">
        <v>0</v>
      </c>
      <c r="BU380">
        <v>9.9062042236328125</v>
      </c>
      <c r="BV380">
        <v>-9.9055871963500977</v>
      </c>
      <c r="BW380" t="s">
        <v>615</v>
      </c>
      <c r="BX380">
        <v>2.4326769765270484E-11</v>
      </c>
      <c r="BY380">
        <v>2.3984375</v>
      </c>
      <c r="CB380">
        <v>18.805768966674805</v>
      </c>
      <c r="CC380">
        <v>7.0398960113525391</v>
      </c>
      <c r="CD380" t="s">
        <v>622</v>
      </c>
      <c r="CE380" t="s">
        <v>623</v>
      </c>
    </row>
    <row r="381" spans="1:83" ht="12.75" customHeight="1">
      <c r="A381" t="s">
        <v>758</v>
      </c>
      <c r="C381" t="s">
        <v>635</v>
      </c>
      <c r="D381">
        <v>379</v>
      </c>
      <c r="F381">
        <v>65535</v>
      </c>
      <c r="I381" t="s">
        <v>758</v>
      </c>
      <c r="R381">
        <v>7.280001163482666</v>
      </c>
      <c r="T381">
        <v>30.576005935668945</v>
      </c>
      <c r="W381" s="514">
        <v>44245.742905092593</v>
      </c>
      <c r="AN381">
        <v>0</v>
      </c>
      <c r="AO381">
        <v>0</v>
      </c>
      <c r="AP381">
        <v>0</v>
      </c>
      <c r="AS381">
        <v>0</v>
      </c>
      <c r="AT381">
        <v>0</v>
      </c>
      <c r="AU381">
        <v>0</v>
      </c>
      <c r="AW381">
        <v>0</v>
      </c>
      <c r="AZ381">
        <v>0</v>
      </c>
      <c r="BA381">
        <v>-5.4936431115493178E-4</v>
      </c>
      <c r="BB381">
        <v>0</v>
      </c>
      <c r="BC381">
        <v>9.9062042236328125</v>
      </c>
      <c r="BD381">
        <v>-9.9055871963500977</v>
      </c>
      <c r="BI381">
        <v>0</v>
      </c>
      <c r="BJ381">
        <v>0</v>
      </c>
      <c r="BK381">
        <v>0</v>
      </c>
      <c r="BL381">
        <v>0</v>
      </c>
      <c r="BM381">
        <v>2.4326769765270484E-11</v>
      </c>
      <c r="BN381">
        <v>2.3984375</v>
      </c>
      <c r="BP381">
        <v>65535</v>
      </c>
      <c r="BQ381">
        <v>65535</v>
      </c>
      <c r="BR381">
        <v>0</v>
      </c>
      <c r="BS381">
        <v>-5.4936431115493178E-4</v>
      </c>
      <c r="BT381">
        <v>0</v>
      </c>
      <c r="BU381">
        <v>9.9062042236328125</v>
      </c>
      <c r="BV381">
        <v>-9.9055871963500977</v>
      </c>
      <c r="BW381" t="s">
        <v>615</v>
      </c>
      <c r="BX381">
        <v>2.4326769765270484E-11</v>
      </c>
      <c r="BY381">
        <v>2.3984375</v>
      </c>
      <c r="CB381">
        <v>18.492700576782227</v>
      </c>
      <c r="CC381">
        <v>7.2283225059509277</v>
      </c>
      <c r="CD381" t="s">
        <v>622</v>
      </c>
      <c r="CE381" t="s">
        <v>623</v>
      </c>
    </row>
    <row r="382" spans="1:83" ht="12.75" customHeight="1">
      <c r="A382" t="s">
        <v>758</v>
      </c>
      <c r="C382" t="s">
        <v>635</v>
      </c>
      <c r="D382">
        <v>380</v>
      </c>
      <c r="F382">
        <v>65535</v>
      </c>
      <c r="I382" t="s">
        <v>758</v>
      </c>
      <c r="AN382">
        <v>0</v>
      </c>
      <c r="AO382">
        <v>0</v>
      </c>
      <c r="AP382">
        <v>0</v>
      </c>
      <c r="AS382">
        <v>65535</v>
      </c>
      <c r="AT382">
        <v>65535</v>
      </c>
      <c r="AU382">
        <v>65535</v>
      </c>
      <c r="BI382">
        <v>0</v>
      </c>
      <c r="BK382">
        <v>0</v>
      </c>
      <c r="BL382">
        <v>0</v>
      </c>
      <c r="BP382">
        <v>65535</v>
      </c>
      <c r="BQ382">
        <v>65535</v>
      </c>
      <c r="CB382">
        <v>18.529254913330078</v>
      </c>
      <c r="CC382">
        <v>7.1777396202087402</v>
      </c>
      <c r="CD382" t="s">
        <v>622</v>
      </c>
      <c r="CE382" t="s">
        <v>623</v>
      </c>
    </row>
    <row r="383" spans="1:83" ht="12.75" customHeight="1">
      <c r="A383" t="s">
        <v>633</v>
      </c>
      <c r="C383" t="s">
        <v>635</v>
      </c>
      <c r="D383">
        <v>381</v>
      </c>
      <c r="F383">
        <v>65535</v>
      </c>
      <c r="I383" t="s">
        <v>633</v>
      </c>
      <c r="R383">
        <v>9.3600034713745117</v>
      </c>
      <c r="T383">
        <v>39.31201171875</v>
      </c>
      <c r="W383" s="514">
        <v>44245.742812500001</v>
      </c>
      <c r="AN383">
        <v>0</v>
      </c>
      <c r="AO383">
        <v>0</v>
      </c>
      <c r="AP383">
        <v>0</v>
      </c>
      <c r="AS383">
        <v>0</v>
      </c>
      <c r="AT383">
        <v>0</v>
      </c>
      <c r="AU383">
        <v>0</v>
      </c>
      <c r="AW383">
        <v>0</v>
      </c>
      <c r="AZ383">
        <v>0</v>
      </c>
      <c r="BA383">
        <v>-3.8550273166038096E-4</v>
      </c>
      <c r="BB383">
        <v>0</v>
      </c>
      <c r="BC383">
        <v>15.564014434814453</v>
      </c>
      <c r="BD383">
        <v>-15.563601493835449</v>
      </c>
      <c r="BI383">
        <v>0</v>
      </c>
      <c r="BJ383">
        <v>0</v>
      </c>
      <c r="BK383">
        <v>0</v>
      </c>
      <c r="BL383">
        <v>0</v>
      </c>
      <c r="BM383">
        <v>3.3443017556781179E-28</v>
      </c>
      <c r="BN383">
        <v>0.805908203125</v>
      </c>
      <c r="BP383">
        <v>65535</v>
      </c>
      <c r="BQ383">
        <v>65535</v>
      </c>
      <c r="BR383">
        <v>0</v>
      </c>
      <c r="BS383">
        <v>-3.8550273166038096E-4</v>
      </c>
      <c r="BT383">
        <v>0</v>
      </c>
      <c r="BU383">
        <v>15.564014434814453</v>
      </c>
      <c r="BV383">
        <v>-15.563601493835449</v>
      </c>
      <c r="BW383" t="s">
        <v>615</v>
      </c>
      <c r="BX383">
        <v>3.3443017556781179E-28</v>
      </c>
      <c r="BY383">
        <v>0.805908203125</v>
      </c>
      <c r="CB383">
        <v>18.574638366699219</v>
      </c>
      <c r="CC383">
        <v>7.1292800903320313</v>
      </c>
      <c r="CD383" t="s">
        <v>622</v>
      </c>
      <c r="CE383" t="s">
        <v>623</v>
      </c>
    </row>
    <row r="384" spans="1:83" ht="12.75" customHeight="1">
      <c r="A384" t="s">
        <v>759</v>
      </c>
      <c r="C384" t="s">
        <v>625</v>
      </c>
      <c r="D384">
        <v>382</v>
      </c>
      <c r="F384">
        <v>65535</v>
      </c>
      <c r="I384" t="s">
        <v>759</v>
      </c>
      <c r="R384">
        <v>9.3600034713745117</v>
      </c>
      <c r="T384">
        <v>39.31201171875</v>
      </c>
      <c r="W384" s="514">
        <v>44245.742812500001</v>
      </c>
      <c r="AN384">
        <v>0</v>
      </c>
      <c r="AO384">
        <v>0</v>
      </c>
      <c r="AP384">
        <v>0</v>
      </c>
      <c r="AS384">
        <v>0</v>
      </c>
      <c r="AT384">
        <v>0</v>
      </c>
      <c r="AU384">
        <v>0</v>
      </c>
      <c r="AW384">
        <v>0</v>
      </c>
      <c r="AZ384">
        <v>0</v>
      </c>
      <c r="BA384">
        <v>-3.8550273166038096E-4</v>
      </c>
      <c r="BB384">
        <v>0</v>
      </c>
      <c r="BC384">
        <v>15.564014434814453</v>
      </c>
      <c r="BD384">
        <v>-15.563601493835449</v>
      </c>
      <c r="BI384">
        <v>0</v>
      </c>
      <c r="BJ384">
        <v>0</v>
      </c>
      <c r="BK384">
        <v>0</v>
      </c>
      <c r="BL384">
        <v>0</v>
      </c>
      <c r="BM384">
        <v>3.3443017556781179E-28</v>
      </c>
      <c r="BN384">
        <v>0.805908203125</v>
      </c>
      <c r="BP384">
        <v>65535</v>
      </c>
      <c r="BQ384">
        <v>65535</v>
      </c>
      <c r="BR384">
        <v>0</v>
      </c>
      <c r="BS384">
        <v>-3.8550273166038096E-4</v>
      </c>
      <c r="BT384">
        <v>0</v>
      </c>
      <c r="BU384">
        <v>15.564014434814453</v>
      </c>
      <c r="BV384">
        <v>-15.563601493835449</v>
      </c>
      <c r="BW384" t="s">
        <v>615</v>
      </c>
      <c r="BX384">
        <v>3.3443017556781179E-28</v>
      </c>
      <c r="BY384">
        <v>0.805908203125</v>
      </c>
      <c r="CB384">
        <v>19.745401382446289</v>
      </c>
      <c r="CC384">
        <v>6.2339653968811035</v>
      </c>
    </row>
    <row r="385" spans="1:83" ht="12.75" customHeight="1">
      <c r="A385" t="s">
        <v>760</v>
      </c>
      <c r="C385" t="s">
        <v>625</v>
      </c>
      <c r="D385">
        <v>383</v>
      </c>
      <c r="F385">
        <v>65535</v>
      </c>
      <c r="I385" t="s">
        <v>760</v>
      </c>
      <c r="R385">
        <v>9.3600034713745117</v>
      </c>
      <c r="T385">
        <v>39.31201171875</v>
      </c>
      <c r="W385" s="514">
        <v>44245.742812500001</v>
      </c>
      <c r="AN385">
        <v>0</v>
      </c>
      <c r="AO385">
        <v>0</v>
      </c>
      <c r="AP385">
        <v>0</v>
      </c>
      <c r="AS385">
        <v>0</v>
      </c>
      <c r="AT385">
        <v>0</v>
      </c>
      <c r="AU385">
        <v>0</v>
      </c>
      <c r="AW385">
        <v>0</v>
      </c>
      <c r="AZ385">
        <v>0</v>
      </c>
      <c r="BA385">
        <v>-3.8550273166038096E-4</v>
      </c>
      <c r="BB385">
        <v>0</v>
      </c>
      <c r="BC385">
        <v>15.564014434814453</v>
      </c>
      <c r="BD385">
        <v>-15.563601493835449</v>
      </c>
      <c r="BI385">
        <v>0</v>
      </c>
      <c r="BJ385">
        <v>0</v>
      </c>
      <c r="BK385">
        <v>0</v>
      </c>
      <c r="BL385">
        <v>0</v>
      </c>
      <c r="BM385">
        <v>3.3443017556781179E-28</v>
      </c>
      <c r="BN385">
        <v>0.805908203125</v>
      </c>
      <c r="BP385">
        <v>65535</v>
      </c>
      <c r="BQ385">
        <v>65535</v>
      </c>
      <c r="BR385">
        <v>0</v>
      </c>
      <c r="BS385">
        <v>-3.8550273166038096E-4</v>
      </c>
      <c r="BT385">
        <v>0</v>
      </c>
      <c r="BU385">
        <v>15.564014434814453</v>
      </c>
      <c r="BV385">
        <v>-15.563601493835449</v>
      </c>
      <c r="BW385" t="s">
        <v>615</v>
      </c>
      <c r="BX385">
        <v>3.3443017556781179E-28</v>
      </c>
      <c r="BY385">
        <v>0.805908203125</v>
      </c>
      <c r="CB385">
        <v>18.805768966674805</v>
      </c>
      <c r="CC385">
        <v>7.0398960113525391</v>
      </c>
    </row>
    <row r="386" spans="1:83" ht="12.75" customHeight="1">
      <c r="A386" t="s">
        <v>685</v>
      </c>
      <c r="C386" t="s">
        <v>625</v>
      </c>
      <c r="D386">
        <v>384</v>
      </c>
      <c r="F386">
        <v>65535</v>
      </c>
      <c r="I386" t="s">
        <v>685</v>
      </c>
      <c r="R386">
        <v>9.3600034713745117</v>
      </c>
      <c r="T386">
        <v>39.31201171875</v>
      </c>
      <c r="W386" s="514">
        <v>44245.742812500001</v>
      </c>
      <c r="AN386">
        <v>0</v>
      </c>
      <c r="AO386">
        <v>0</v>
      </c>
      <c r="AP386">
        <v>0</v>
      </c>
      <c r="AS386">
        <v>0</v>
      </c>
      <c r="AT386">
        <v>0</v>
      </c>
      <c r="AU386">
        <v>0</v>
      </c>
      <c r="AW386">
        <v>0</v>
      </c>
      <c r="AZ386">
        <v>0</v>
      </c>
      <c r="BA386">
        <v>-3.8550273166038096E-4</v>
      </c>
      <c r="BB386">
        <v>0</v>
      </c>
      <c r="BC386">
        <v>15.564014434814453</v>
      </c>
      <c r="BD386">
        <v>-15.563601493835449</v>
      </c>
      <c r="BI386">
        <v>0</v>
      </c>
      <c r="BJ386">
        <v>0</v>
      </c>
      <c r="BK386">
        <v>0</v>
      </c>
      <c r="BL386">
        <v>0</v>
      </c>
      <c r="BM386">
        <v>3.3443017556781179E-28</v>
      </c>
      <c r="BN386">
        <v>0.805908203125</v>
      </c>
      <c r="BP386">
        <v>65535</v>
      </c>
      <c r="BQ386">
        <v>65535</v>
      </c>
      <c r="BR386">
        <v>0</v>
      </c>
      <c r="BS386">
        <v>-3.8550273166038096E-4</v>
      </c>
      <c r="BT386">
        <v>0</v>
      </c>
      <c r="BU386">
        <v>15.564014434814453</v>
      </c>
      <c r="BV386">
        <v>-15.563601493835449</v>
      </c>
      <c r="BW386" t="s">
        <v>615</v>
      </c>
      <c r="BX386">
        <v>3.3443017556781179E-28</v>
      </c>
      <c r="BY386">
        <v>0.805908203125</v>
      </c>
      <c r="CB386">
        <v>18.492700576782227</v>
      </c>
      <c r="CC386">
        <v>7.2283225059509277</v>
      </c>
    </row>
    <row r="387" spans="1:83" ht="12.75" customHeight="1">
      <c r="A387" t="s">
        <v>721</v>
      </c>
      <c r="C387" t="s">
        <v>625</v>
      </c>
      <c r="D387">
        <v>385</v>
      </c>
      <c r="F387">
        <v>65535</v>
      </c>
      <c r="I387" t="s">
        <v>721</v>
      </c>
      <c r="R387">
        <v>9.3600034713745117</v>
      </c>
      <c r="T387">
        <v>39.31201171875</v>
      </c>
      <c r="W387" s="514">
        <v>44245.742812500001</v>
      </c>
      <c r="AN387">
        <v>0</v>
      </c>
      <c r="AO387">
        <v>0</v>
      </c>
      <c r="AP387">
        <v>0</v>
      </c>
      <c r="AS387">
        <v>0</v>
      </c>
      <c r="AT387">
        <v>0</v>
      </c>
      <c r="AU387">
        <v>0</v>
      </c>
      <c r="AW387">
        <v>0</v>
      </c>
      <c r="AZ387">
        <v>0</v>
      </c>
      <c r="BA387">
        <v>-3.8550273166038096E-4</v>
      </c>
      <c r="BB387">
        <v>0</v>
      </c>
      <c r="BC387">
        <v>15.564014434814453</v>
      </c>
      <c r="BD387">
        <v>-15.563601493835449</v>
      </c>
      <c r="BI387">
        <v>0</v>
      </c>
      <c r="BJ387">
        <v>0</v>
      </c>
      <c r="BK387">
        <v>0</v>
      </c>
      <c r="BL387">
        <v>0</v>
      </c>
      <c r="BM387">
        <v>3.3443017556781179E-28</v>
      </c>
      <c r="BN387">
        <v>0.805908203125</v>
      </c>
      <c r="BP387">
        <v>65535</v>
      </c>
      <c r="BQ387">
        <v>65535</v>
      </c>
      <c r="BR387">
        <v>0</v>
      </c>
      <c r="BS387">
        <v>-3.8550273166038096E-4</v>
      </c>
      <c r="BT387">
        <v>0</v>
      </c>
      <c r="BU387">
        <v>15.564014434814453</v>
      </c>
      <c r="BV387">
        <v>-15.563601493835449</v>
      </c>
      <c r="BW387" t="s">
        <v>615</v>
      </c>
      <c r="BX387">
        <v>3.3443017556781179E-28</v>
      </c>
      <c r="BY387">
        <v>0.805908203125</v>
      </c>
      <c r="CB387">
        <v>18.529254913330078</v>
      </c>
      <c r="CC387">
        <v>7.1777396202087402</v>
      </c>
    </row>
    <row r="388" spans="1:83" ht="12.75" customHeight="1">
      <c r="A388" t="s">
        <v>668</v>
      </c>
      <c r="C388" t="s">
        <v>625</v>
      </c>
      <c r="D388">
        <v>386</v>
      </c>
      <c r="F388">
        <v>65535</v>
      </c>
      <c r="I388" t="s">
        <v>668</v>
      </c>
      <c r="AN388">
        <v>0</v>
      </c>
      <c r="AO388">
        <v>0</v>
      </c>
      <c r="AP388">
        <v>0</v>
      </c>
      <c r="AS388">
        <v>65535</v>
      </c>
      <c r="AT388">
        <v>65535</v>
      </c>
      <c r="AU388">
        <v>65535</v>
      </c>
      <c r="BI388">
        <v>0</v>
      </c>
      <c r="BK388">
        <v>0</v>
      </c>
      <c r="BL388">
        <v>0</v>
      </c>
      <c r="BP388">
        <v>65535</v>
      </c>
      <c r="BQ388">
        <v>65535</v>
      </c>
      <c r="CB388">
        <v>18.574638366699219</v>
      </c>
      <c r="CC388">
        <v>7.1292800903320313</v>
      </c>
    </row>
    <row r="389" spans="1:83" ht="12.75" customHeight="1">
      <c r="A389" t="s">
        <v>761</v>
      </c>
      <c r="C389" t="s">
        <v>625</v>
      </c>
      <c r="D389">
        <v>387</v>
      </c>
      <c r="F389">
        <v>65535</v>
      </c>
      <c r="I389" t="s">
        <v>761</v>
      </c>
      <c r="AN389">
        <v>0</v>
      </c>
      <c r="AO389">
        <v>0</v>
      </c>
      <c r="AP389">
        <v>0</v>
      </c>
      <c r="AS389">
        <v>65535</v>
      </c>
      <c r="AT389">
        <v>65535</v>
      </c>
      <c r="AU389">
        <v>65535</v>
      </c>
      <c r="BI389">
        <v>0</v>
      </c>
      <c r="BK389">
        <v>0</v>
      </c>
      <c r="BL389">
        <v>0</v>
      </c>
      <c r="BP389">
        <v>65535</v>
      </c>
      <c r="BQ389">
        <v>65535</v>
      </c>
      <c r="CB389">
        <v>21.926904678344727</v>
      </c>
      <c r="CC389">
        <v>4.6111984252929688</v>
      </c>
    </row>
    <row r="390" spans="1:83" ht="12.75" customHeight="1">
      <c r="A390" t="s">
        <v>628</v>
      </c>
      <c r="C390" t="s">
        <v>621</v>
      </c>
      <c r="D390">
        <v>388</v>
      </c>
      <c r="F390">
        <v>65535</v>
      </c>
      <c r="I390" t="s">
        <v>628</v>
      </c>
      <c r="AN390">
        <v>0</v>
      </c>
      <c r="AO390">
        <v>0</v>
      </c>
      <c r="AP390">
        <v>0</v>
      </c>
      <c r="AS390">
        <v>65535</v>
      </c>
      <c r="AT390">
        <v>65535</v>
      </c>
      <c r="AU390">
        <v>65535</v>
      </c>
      <c r="BI390">
        <v>0</v>
      </c>
      <c r="BK390">
        <v>0</v>
      </c>
      <c r="BL390">
        <v>0</v>
      </c>
      <c r="BP390">
        <v>65535</v>
      </c>
      <c r="BQ390">
        <v>65535</v>
      </c>
      <c r="CB390">
        <v>18.694280624389648</v>
      </c>
      <c r="CC390">
        <v>7.1456766128540039</v>
      </c>
    </row>
    <row r="391" spans="1:83" ht="12.75" customHeight="1">
      <c r="A391" t="s">
        <v>762</v>
      </c>
      <c r="C391" t="s">
        <v>635</v>
      </c>
      <c r="D391">
        <v>389</v>
      </c>
      <c r="F391">
        <v>65535</v>
      </c>
      <c r="I391" t="s">
        <v>762</v>
      </c>
      <c r="AN391">
        <v>0</v>
      </c>
      <c r="AO391">
        <v>0</v>
      </c>
      <c r="AP391">
        <v>0</v>
      </c>
      <c r="AS391">
        <v>65535</v>
      </c>
      <c r="AT391">
        <v>65535</v>
      </c>
      <c r="AU391">
        <v>65535</v>
      </c>
      <c r="BI391">
        <v>0</v>
      </c>
      <c r="BK391">
        <v>0</v>
      </c>
      <c r="BL391">
        <v>0</v>
      </c>
      <c r="BP391">
        <v>65535</v>
      </c>
      <c r="BQ391">
        <v>65535</v>
      </c>
      <c r="CB391">
        <v>26.108388900756836</v>
      </c>
      <c r="CC391">
        <v>2.4278385639190674</v>
      </c>
    </row>
    <row r="392" spans="1:83" ht="12.75" customHeight="1">
      <c r="A392" t="s">
        <v>672</v>
      </c>
      <c r="C392" t="s">
        <v>625</v>
      </c>
      <c r="D392">
        <v>390</v>
      </c>
      <c r="F392">
        <v>65535</v>
      </c>
      <c r="I392" t="s">
        <v>672</v>
      </c>
      <c r="AN392">
        <v>0</v>
      </c>
      <c r="AO392">
        <v>0</v>
      </c>
      <c r="AP392">
        <v>0</v>
      </c>
      <c r="AS392">
        <v>65535</v>
      </c>
      <c r="AT392">
        <v>65535</v>
      </c>
      <c r="AU392">
        <v>65535</v>
      </c>
      <c r="BI392">
        <v>0</v>
      </c>
      <c r="BK392">
        <v>0</v>
      </c>
      <c r="BL392">
        <v>0</v>
      </c>
      <c r="BP392">
        <v>65535</v>
      </c>
      <c r="BQ392">
        <v>65535</v>
      </c>
      <c r="CB392">
        <v>18.650167465209961</v>
      </c>
      <c r="CC392">
        <v>7.1862478256225586</v>
      </c>
    </row>
    <row r="393" spans="1:83" ht="12.75" customHeight="1">
      <c r="A393" t="s">
        <v>671</v>
      </c>
      <c r="C393" t="s">
        <v>625</v>
      </c>
      <c r="D393">
        <v>391</v>
      </c>
      <c r="F393">
        <v>65535</v>
      </c>
      <c r="I393" t="s">
        <v>671</v>
      </c>
      <c r="AN393">
        <v>0</v>
      </c>
      <c r="AO393">
        <v>0</v>
      </c>
      <c r="AP393">
        <v>0</v>
      </c>
      <c r="AS393">
        <v>65535</v>
      </c>
      <c r="AT393">
        <v>65535</v>
      </c>
      <c r="AU393">
        <v>65535</v>
      </c>
      <c r="BI393">
        <v>0</v>
      </c>
      <c r="BK393">
        <v>0</v>
      </c>
      <c r="BL393">
        <v>0</v>
      </c>
      <c r="BP393">
        <v>65535</v>
      </c>
      <c r="BQ393">
        <v>65535</v>
      </c>
      <c r="CB393">
        <v>19.24894905090332</v>
      </c>
      <c r="CC393">
        <v>6.8145103454589844</v>
      </c>
    </row>
    <row r="394" spans="1:83" ht="12.75" customHeight="1">
      <c r="A394" t="s">
        <v>763</v>
      </c>
      <c r="C394" t="s">
        <v>625</v>
      </c>
      <c r="D394">
        <v>392</v>
      </c>
      <c r="F394">
        <v>65535</v>
      </c>
      <c r="I394" t="s">
        <v>763</v>
      </c>
      <c r="AN394">
        <v>0</v>
      </c>
      <c r="AO394">
        <v>0</v>
      </c>
      <c r="AP394">
        <v>0</v>
      </c>
      <c r="AS394">
        <v>65535</v>
      </c>
      <c r="AT394">
        <v>65535</v>
      </c>
      <c r="AU394">
        <v>65535</v>
      </c>
      <c r="BI394">
        <v>0</v>
      </c>
      <c r="BK394">
        <v>0</v>
      </c>
      <c r="BL394">
        <v>0</v>
      </c>
      <c r="BP394">
        <v>65535</v>
      </c>
      <c r="BQ394">
        <v>65535</v>
      </c>
      <c r="CB394">
        <v>24.933876037597656</v>
      </c>
      <c r="CC394">
        <v>3.0086116790771484</v>
      </c>
    </row>
    <row r="395" spans="1:83" ht="12.75" customHeight="1">
      <c r="A395" t="s">
        <v>764</v>
      </c>
      <c r="C395" t="s">
        <v>625</v>
      </c>
      <c r="D395">
        <v>393</v>
      </c>
      <c r="F395">
        <v>65535</v>
      </c>
      <c r="I395" t="s">
        <v>764</v>
      </c>
      <c r="R395">
        <v>7.280001163482666</v>
      </c>
      <c r="T395">
        <v>30.576005935668945</v>
      </c>
      <c r="W395" s="514">
        <v>44245.742905092593</v>
      </c>
      <c r="AN395">
        <v>0</v>
      </c>
      <c r="AO395">
        <v>0</v>
      </c>
      <c r="AP395">
        <v>0</v>
      </c>
      <c r="AS395">
        <v>0</v>
      </c>
      <c r="AT395">
        <v>0</v>
      </c>
      <c r="AU395">
        <v>0</v>
      </c>
      <c r="AW395">
        <v>0</v>
      </c>
      <c r="AZ395">
        <v>0</v>
      </c>
      <c r="BA395">
        <v>-5.4936431115493178E-4</v>
      </c>
      <c r="BB395">
        <v>0</v>
      </c>
      <c r="BC395">
        <v>9.9062042236328125</v>
      </c>
      <c r="BD395">
        <v>-9.9055871963500977</v>
      </c>
      <c r="BI395">
        <v>0</v>
      </c>
      <c r="BJ395">
        <v>0</v>
      </c>
      <c r="BK395">
        <v>0</v>
      </c>
      <c r="BL395">
        <v>0</v>
      </c>
      <c r="BM395">
        <v>2.4326769765270484E-11</v>
      </c>
      <c r="BN395">
        <v>2.3984375</v>
      </c>
      <c r="BP395">
        <v>65535</v>
      </c>
      <c r="BQ395">
        <v>65535</v>
      </c>
      <c r="BR395">
        <v>0</v>
      </c>
      <c r="BS395">
        <v>-5.4936431115493178E-4</v>
      </c>
      <c r="BT395">
        <v>0</v>
      </c>
      <c r="BU395">
        <v>9.9062042236328125</v>
      </c>
      <c r="BV395">
        <v>-9.9055871963500977</v>
      </c>
      <c r="BW395" t="s">
        <v>615</v>
      </c>
      <c r="BX395">
        <v>2.4326769765270484E-11</v>
      </c>
      <c r="BY395">
        <v>2.3984375</v>
      </c>
      <c r="CB395">
        <v>19.252382278442383</v>
      </c>
      <c r="CC395">
        <v>6.6991314888000488</v>
      </c>
    </row>
    <row r="396" spans="1:83" ht="12.75" customHeight="1">
      <c r="A396" t="s">
        <v>703</v>
      </c>
      <c r="C396" t="s">
        <v>625</v>
      </c>
      <c r="D396">
        <v>394</v>
      </c>
      <c r="F396">
        <v>65535</v>
      </c>
      <c r="I396" t="s">
        <v>703</v>
      </c>
      <c r="R396">
        <v>7.8000001907348633</v>
      </c>
      <c r="T396">
        <v>32.759998321533203</v>
      </c>
      <c r="W396" s="514">
        <v>44245.74291666667</v>
      </c>
      <c r="AN396">
        <v>0</v>
      </c>
      <c r="AO396">
        <v>0</v>
      </c>
      <c r="AP396">
        <v>0</v>
      </c>
      <c r="AS396">
        <v>0</v>
      </c>
      <c r="AT396">
        <v>0</v>
      </c>
      <c r="AU396">
        <v>0</v>
      </c>
      <c r="AW396">
        <v>0</v>
      </c>
      <c r="AZ396">
        <v>0</v>
      </c>
      <c r="BA396">
        <v>-5.4153113160282373E-4</v>
      </c>
      <c r="BB396">
        <v>0</v>
      </c>
      <c r="BC396">
        <v>10.747062683105469</v>
      </c>
      <c r="BD396">
        <v>-10.746562957763672</v>
      </c>
      <c r="BI396">
        <v>0</v>
      </c>
      <c r="BJ396">
        <v>0</v>
      </c>
      <c r="BK396">
        <v>0</v>
      </c>
      <c r="BL396">
        <v>0</v>
      </c>
      <c r="BM396">
        <v>8.7486061058570168E-26</v>
      </c>
      <c r="BN396">
        <v>2.322296142578125</v>
      </c>
      <c r="BP396">
        <v>65535</v>
      </c>
      <c r="BQ396">
        <v>65535</v>
      </c>
      <c r="BR396">
        <v>0</v>
      </c>
      <c r="BS396">
        <v>-5.4153113160282373E-4</v>
      </c>
      <c r="BT396">
        <v>0</v>
      </c>
      <c r="BU396">
        <v>10.747062683105469</v>
      </c>
      <c r="BV396">
        <v>-10.746562957763672</v>
      </c>
      <c r="BW396" t="s">
        <v>615</v>
      </c>
      <c r="BX396">
        <v>8.7486061058570168E-26</v>
      </c>
      <c r="BY396">
        <v>2.322296142578125</v>
      </c>
      <c r="CB396">
        <v>18.400123596191406</v>
      </c>
      <c r="CC396">
        <v>7.4688544273376465</v>
      </c>
      <c r="CD396" t="s">
        <v>622</v>
      </c>
      <c r="CE396" t="s">
        <v>623</v>
      </c>
    </row>
    <row r="397" spans="1:83" ht="12.75" customHeight="1">
      <c r="A397" t="s">
        <v>684</v>
      </c>
      <c r="C397" t="s">
        <v>694</v>
      </c>
      <c r="D397">
        <v>395</v>
      </c>
      <c r="F397">
        <v>65535</v>
      </c>
      <c r="I397" t="s">
        <v>684</v>
      </c>
      <c r="R397">
        <v>7.7999958992004395</v>
      </c>
      <c r="T397">
        <v>32.759983062744141</v>
      </c>
      <c r="W397" s="514">
        <v>44245.743194444447</v>
      </c>
      <c r="AN397">
        <v>0</v>
      </c>
      <c r="AO397">
        <v>0</v>
      </c>
      <c r="AP397">
        <v>0</v>
      </c>
      <c r="AS397">
        <v>0</v>
      </c>
      <c r="AT397">
        <v>0</v>
      </c>
      <c r="AU397">
        <v>0</v>
      </c>
      <c r="AW397">
        <v>0</v>
      </c>
      <c r="AZ397">
        <v>0</v>
      </c>
      <c r="BA397">
        <v>-1.4407573326025158E-4</v>
      </c>
      <c r="BB397">
        <v>0</v>
      </c>
      <c r="BC397">
        <v>-87.27520751953125</v>
      </c>
      <c r="BD397">
        <v>87.275413513183594</v>
      </c>
      <c r="BI397">
        <v>0</v>
      </c>
      <c r="BJ397">
        <v>0</v>
      </c>
      <c r="BK397">
        <v>0</v>
      </c>
      <c r="BL397">
        <v>0</v>
      </c>
      <c r="BM397">
        <v>5.8757632970809937E-2</v>
      </c>
      <c r="BN397">
        <v>-1.525543212890625</v>
      </c>
      <c r="BP397">
        <v>65535</v>
      </c>
      <c r="BQ397">
        <v>65535</v>
      </c>
      <c r="BR397">
        <v>0</v>
      </c>
      <c r="BS397">
        <v>-1.4407573326025158E-4</v>
      </c>
      <c r="BT397">
        <v>0</v>
      </c>
      <c r="BU397">
        <v>-87.27520751953125</v>
      </c>
      <c r="BV397">
        <v>87.275413513183594</v>
      </c>
      <c r="BW397" t="s">
        <v>615</v>
      </c>
      <c r="BX397">
        <v>5.8757632970809937E-2</v>
      </c>
      <c r="BY397">
        <v>-1.525543212890625</v>
      </c>
      <c r="CB397">
        <v>22.04890251159668</v>
      </c>
      <c r="CC397">
        <v>5.0117206573486328</v>
      </c>
      <c r="CD397" t="s">
        <v>617</v>
      </c>
      <c r="CE397" t="s">
        <v>623</v>
      </c>
    </row>
    <row r="398" spans="1:83" ht="12.75" customHeight="1">
      <c r="A398" t="s">
        <v>636</v>
      </c>
      <c r="C398" t="s">
        <v>694</v>
      </c>
      <c r="D398">
        <v>396</v>
      </c>
      <c r="F398">
        <v>65535</v>
      </c>
      <c r="I398" t="s">
        <v>636</v>
      </c>
      <c r="AN398">
        <v>0</v>
      </c>
      <c r="AO398">
        <v>0</v>
      </c>
      <c r="AP398">
        <v>0</v>
      </c>
      <c r="AS398">
        <v>65535</v>
      </c>
      <c r="AT398">
        <v>65535</v>
      </c>
      <c r="AU398">
        <v>65535</v>
      </c>
      <c r="BI398">
        <v>0</v>
      </c>
      <c r="BK398">
        <v>0</v>
      </c>
      <c r="BL398">
        <v>0</v>
      </c>
      <c r="BP398">
        <v>65535</v>
      </c>
      <c r="BQ398">
        <v>65535</v>
      </c>
      <c r="CB398">
        <v>22.215604782104492</v>
      </c>
      <c r="CC398">
        <v>4.6069068908691406</v>
      </c>
    </row>
    <row r="399" spans="1:83" ht="12.75" customHeight="1">
      <c r="A399" t="s">
        <v>692</v>
      </c>
      <c r="C399" t="s">
        <v>694</v>
      </c>
      <c r="D399">
        <v>397</v>
      </c>
      <c r="F399">
        <v>65535</v>
      </c>
      <c r="I399" t="s">
        <v>692</v>
      </c>
      <c r="R399">
        <v>20.520002365112305</v>
      </c>
      <c r="T399">
        <v>86.184005737304688</v>
      </c>
      <c r="W399" s="514">
        <v>44245.742719907408</v>
      </c>
      <c r="AN399">
        <v>0</v>
      </c>
      <c r="AO399">
        <v>0</v>
      </c>
      <c r="AP399">
        <v>0</v>
      </c>
      <c r="AS399">
        <v>0</v>
      </c>
      <c r="AT399">
        <v>0</v>
      </c>
      <c r="AU399">
        <v>0</v>
      </c>
      <c r="AW399">
        <v>0</v>
      </c>
      <c r="AZ399">
        <v>0</v>
      </c>
      <c r="BA399">
        <v>-5.334183806553483E-4</v>
      </c>
      <c r="BB399">
        <v>0</v>
      </c>
      <c r="BC399">
        <v>-1.360321044921875</v>
      </c>
      <c r="BD399">
        <v>1.3608889579772949</v>
      </c>
      <c r="BI399">
        <v>0</v>
      </c>
      <c r="BJ399">
        <v>0</v>
      </c>
      <c r="BK399">
        <v>0</v>
      </c>
      <c r="BL399">
        <v>0</v>
      </c>
      <c r="BM399">
        <v>-3.8593383838344031E-31</v>
      </c>
      <c r="BN399">
        <v>2.249176025390625</v>
      </c>
      <c r="BP399">
        <v>65535</v>
      </c>
      <c r="BQ399">
        <v>65535</v>
      </c>
      <c r="BR399">
        <v>0</v>
      </c>
      <c r="BS399">
        <v>-5.334183806553483E-4</v>
      </c>
      <c r="BT399">
        <v>0</v>
      </c>
      <c r="BU399">
        <v>-1.360321044921875</v>
      </c>
      <c r="BV399">
        <v>1.3608889579772949</v>
      </c>
      <c r="BW399" t="s">
        <v>615</v>
      </c>
      <c r="BX399">
        <v>-3.8593383838344031E-31</v>
      </c>
      <c r="BY399">
        <v>2.249176025390625</v>
      </c>
      <c r="CB399">
        <v>18.623540878295898</v>
      </c>
      <c r="CC399">
        <v>7.2840609550476074</v>
      </c>
    </row>
    <row r="400" spans="1:83" ht="12.75" customHeight="1">
      <c r="A400" t="s">
        <v>765</v>
      </c>
      <c r="C400" t="s">
        <v>694</v>
      </c>
      <c r="D400">
        <v>398</v>
      </c>
      <c r="F400">
        <v>65535</v>
      </c>
      <c r="I400" t="s">
        <v>765</v>
      </c>
      <c r="R400">
        <v>21.599994659423828</v>
      </c>
      <c r="T400">
        <v>90.719978332519531</v>
      </c>
      <c r="W400" s="514">
        <v>44245.742719907408</v>
      </c>
      <c r="AN400">
        <v>0</v>
      </c>
      <c r="AO400">
        <v>0</v>
      </c>
      <c r="AP400">
        <v>0</v>
      </c>
      <c r="AS400">
        <v>0</v>
      </c>
      <c r="AT400">
        <v>0</v>
      </c>
      <c r="AU400">
        <v>0</v>
      </c>
      <c r="AW400">
        <v>0</v>
      </c>
      <c r="AZ400">
        <v>0</v>
      </c>
      <c r="BA400">
        <v>-5.2491930546239018E-4</v>
      </c>
      <c r="BB400">
        <v>0</v>
      </c>
      <c r="BC400">
        <v>-0.947296142578125</v>
      </c>
      <c r="BD400">
        <v>0.94804716110229492</v>
      </c>
      <c r="BI400">
        <v>0</v>
      </c>
      <c r="BJ400">
        <v>0</v>
      </c>
      <c r="BK400">
        <v>0</v>
      </c>
      <c r="BL400">
        <v>0</v>
      </c>
      <c r="BM400">
        <v>-2.2104560289972224E+16</v>
      </c>
      <c r="BN400">
        <v>2.166778564453125</v>
      </c>
      <c r="BP400">
        <v>65535</v>
      </c>
      <c r="BQ400">
        <v>65535</v>
      </c>
      <c r="BR400">
        <v>0</v>
      </c>
      <c r="BS400">
        <v>-5.2491930546239018E-4</v>
      </c>
      <c r="BT400">
        <v>0</v>
      </c>
      <c r="BU400">
        <v>-0.947296142578125</v>
      </c>
      <c r="BV400">
        <v>0.94804716110229492</v>
      </c>
      <c r="BW400" t="s">
        <v>615</v>
      </c>
      <c r="BX400">
        <v>-2.2104560289972224E+16</v>
      </c>
      <c r="BY400">
        <v>2.166778564453125</v>
      </c>
      <c r="CB400">
        <v>18.443986892700195</v>
      </c>
      <c r="CC400">
        <v>7.2740936279296875</v>
      </c>
    </row>
    <row r="401" spans="1:83" ht="12.75" customHeight="1">
      <c r="A401" t="s">
        <v>670</v>
      </c>
      <c r="C401" t="s">
        <v>694</v>
      </c>
      <c r="D401">
        <v>399</v>
      </c>
      <c r="F401">
        <v>65535</v>
      </c>
      <c r="I401" t="s">
        <v>670</v>
      </c>
      <c r="R401">
        <v>21.599994659423828</v>
      </c>
      <c r="T401">
        <v>90.719978332519531</v>
      </c>
      <c r="W401" s="514">
        <v>44245.742719907408</v>
      </c>
      <c r="AN401">
        <v>0</v>
      </c>
      <c r="AO401">
        <v>0</v>
      </c>
      <c r="AP401">
        <v>0</v>
      </c>
      <c r="AS401">
        <v>0</v>
      </c>
      <c r="AT401">
        <v>0</v>
      </c>
      <c r="AU401">
        <v>0</v>
      </c>
      <c r="AW401">
        <v>0</v>
      </c>
      <c r="AZ401">
        <v>0</v>
      </c>
      <c r="BA401">
        <v>-5.2491930546239018E-4</v>
      </c>
      <c r="BB401">
        <v>0</v>
      </c>
      <c r="BC401">
        <v>-0.947296142578125</v>
      </c>
      <c r="BD401">
        <v>0.94804716110229492</v>
      </c>
      <c r="BI401">
        <v>0</v>
      </c>
      <c r="BJ401">
        <v>0</v>
      </c>
      <c r="BK401">
        <v>0</v>
      </c>
      <c r="BL401">
        <v>0</v>
      </c>
      <c r="BM401">
        <v>-2.2104560289972224E+16</v>
      </c>
      <c r="BN401">
        <v>2.166778564453125</v>
      </c>
      <c r="BP401">
        <v>65535</v>
      </c>
      <c r="BQ401">
        <v>65535</v>
      </c>
      <c r="BR401">
        <v>0</v>
      </c>
      <c r="BS401">
        <v>-5.2491930546239018E-4</v>
      </c>
      <c r="BT401">
        <v>0</v>
      </c>
      <c r="BU401">
        <v>-0.947296142578125</v>
      </c>
      <c r="BV401">
        <v>0.94804716110229492</v>
      </c>
      <c r="BW401" t="s">
        <v>615</v>
      </c>
      <c r="BX401">
        <v>-2.2104560289972224E+16</v>
      </c>
      <c r="BY401">
        <v>2.166778564453125</v>
      </c>
      <c r="CB401">
        <v>18.943809509277344</v>
      </c>
      <c r="CC401">
        <v>7.1259994506835938</v>
      </c>
    </row>
    <row r="402" spans="1:83" ht="12.75" customHeight="1">
      <c r="A402" t="s">
        <v>766</v>
      </c>
      <c r="C402" t="s">
        <v>694</v>
      </c>
      <c r="D402">
        <v>400</v>
      </c>
      <c r="F402">
        <v>65535</v>
      </c>
      <c r="I402" t="s">
        <v>766</v>
      </c>
      <c r="R402">
        <v>21.599994659423828</v>
      </c>
      <c r="T402">
        <v>90.719978332519531</v>
      </c>
      <c r="W402" s="514">
        <v>44245.742719907408</v>
      </c>
      <c r="AN402">
        <v>0</v>
      </c>
      <c r="AO402">
        <v>0</v>
      </c>
      <c r="AP402">
        <v>0</v>
      </c>
      <c r="AS402">
        <v>0</v>
      </c>
      <c r="AT402">
        <v>0</v>
      </c>
      <c r="AU402">
        <v>0</v>
      </c>
      <c r="AW402">
        <v>0</v>
      </c>
      <c r="AZ402">
        <v>0</v>
      </c>
      <c r="BA402">
        <v>-5.2491930546239018E-4</v>
      </c>
      <c r="BB402">
        <v>0</v>
      </c>
      <c r="BC402">
        <v>-0.947296142578125</v>
      </c>
      <c r="BD402">
        <v>0.94804716110229492</v>
      </c>
      <c r="BI402">
        <v>0</v>
      </c>
      <c r="BJ402">
        <v>0</v>
      </c>
      <c r="BK402">
        <v>0</v>
      </c>
      <c r="BL402">
        <v>0</v>
      </c>
      <c r="BM402">
        <v>-2.2104560289972224E+16</v>
      </c>
      <c r="BN402">
        <v>2.166778564453125</v>
      </c>
      <c r="BP402">
        <v>65535</v>
      </c>
      <c r="BQ402">
        <v>65535</v>
      </c>
      <c r="BR402">
        <v>0</v>
      </c>
      <c r="BS402">
        <v>-5.2491930546239018E-4</v>
      </c>
      <c r="BT402">
        <v>0</v>
      </c>
      <c r="BU402">
        <v>-0.947296142578125</v>
      </c>
      <c r="BV402">
        <v>0.94804716110229492</v>
      </c>
      <c r="BW402" t="s">
        <v>615</v>
      </c>
      <c r="BX402">
        <v>-2.2104560289972224E+16</v>
      </c>
      <c r="BY402">
        <v>2.166778564453125</v>
      </c>
      <c r="CB402">
        <v>18.677350997924805</v>
      </c>
      <c r="CC402">
        <v>7.0201997756958008</v>
      </c>
    </row>
    <row r="403" spans="1:83" ht="12.75" customHeight="1">
      <c r="A403" t="s">
        <v>620</v>
      </c>
      <c r="C403" t="s">
        <v>694</v>
      </c>
      <c r="D403">
        <v>401</v>
      </c>
      <c r="F403">
        <v>65535</v>
      </c>
      <c r="I403" t="s">
        <v>620</v>
      </c>
      <c r="R403">
        <v>21.599994659423828</v>
      </c>
      <c r="T403">
        <v>90.719978332519531</v>
      </c>
      <c r="W403" s="514">
        <v>44245.742719907408</v>
      </c>
      <c r="AN403">
        <v>0</v>
      </c>
      <c r="AO403">
        <v>0</v>
      </c>
      <c r="AP403">
        <v>0</v>
      </c>
      <c r="AS403">
        <v>0</v>
      </c>
      <c r="AT403">
        <v>0</v>
      </c>
      <c r="AU403">
        <v>0</v>
      </c>
      <c r="AW403">
        <v>0</v>
      </c>
      <c r="AZ403">
        <v>0</v>
      </c>
      <c r="BA403">
        <v>-5.2491930546239018E-4</v>
      </c>
      <c r="BB403">
        <v>0</v>
      </c>
      <c r="BC403">
        <v>-0.947296142578125</v>
      </c>
      <c r="BD403">
        <v>0.94804716110229492</v>
      </c>
      <c r="BI403">
        <v>0</v>
      </c>
      <c r="BJ403">
        <v>0</v>
      </c>
      <c r="BK403">
        <v>0</v>
      </c>
      <c r="BL403">
        <v>0</v>
      </c>
      <c r="BM403">
        <v>-2.2104560289972224E+16</v>
      </c>
      <c r="BN403">
        <v>2.166778564453125</v>
      </c>
      <c r="BP403">
        <v>65535</v>
      </c>
      <c r="BQ403">
        <v>65535</v>
      </c>
      <c r="BR403">
        <v>0</v>
      </c>
      <c r="BS403">
        <v>-5.2491930546239018E-4</v>
      </c>
      <c r="BT403">
        <v>0</v>
      </c>
      <c r="BU403">
        <v>-0.947296142578125</v>
      </c>
      <c r="BV403">
        <v>0.94804716110229492</v>
      </c>
      <c r="BW403" t="s">
        <v>615</v>
      </c>
      <c r="BX403">
        <v>-2.2104560289972224E+16</v>
      </c>
      <c r="BY403">
        <v>2.166778564453125</v>
      </c>
      <c r="CB403">
        <v>18.733312606811523</v>
      </c>
      <c r="CC403">
        <v>7.1708493232727051</v>
      </c>
      <c r="CD403" t="s">
        <v>622</v>
      </c>
      <c r="CE403" t="s">
        <v>623</v>
      </c>
    </row>
    <row r="404" spans="1:83" ht="12.75" customHeight="1">
      <c r="A404" t="s">
        <v>767</v>
      </c>
      <c r="C404" t="s">
        <v>694</v>
      </c>
      <c r="D404">
        <v>402</v>
      </c>
      <c r="F404">
        <v>65535</v>
      </c>
      <c r="I404" t="s">
        <v>767</v>
      </c>
      <c r="R404">
        <v>21.599994659423828</v>
      </c>
      <c r="T404">
        <v>90.719978332519531</v>
      </c>
      <c r="W404" s="514">
        <v>44245.742719907408</v>
      </c>
      <c r="AN404">
        <v>0</v>
      </c>
      <c r="AO404">
        <v>0</v>
      </c>
      <c r="AP404">
        <v>0</v>
      </c>
      <c r="AS404">
        <v>0</v>
      </c>
      <c r="AT404">
        <v>0</v>
      </c>
      <c r="AU404">
        <v>0</v>
      </c>
      <c r="AW404">
        <v>0</v>
      </c>
      <c r="AZ404">
        <v>0</v>
      </c>
      <c r="BA404">
        <v>-5.2491930546239018E-4</v>
      </c>
      <c r="BB404">
        <v>0</v>
      </c>
      <c r="BC404">
        <v>-0.947296142578125</v>
      </c>
      <c r="BD404">
        <v>0.94804716110229492</v>
      </c>
      <c r="BI404">
        <v>0</v>
      </c>
      <c r="BJ404">
        <v>0</v>
      </c>
      <c r="BK404">
        <v>0</v>
      </c>
      <c r="BL404">
        <v>0</v>
      </c>
      <c r="BM404">
        <v>-2.2104560289972224E+16</v>
      </c>
      <c r="BN404">
        <v>2.166778564453125</v>
      </c>
      <c r="BP404">
        <v>65535</v>
      </c>
      <c r="BQ404">
        <v>65535</v>
      </c>
      <c r="BR404">
        <v>0</v>
      </c>
      <c r="BS404">
        <v>-5.2491930546239018E-4</v>
      </c>
      <c r="BT404">
        <v>0</v>
      </c>
      <c r="BU404">
        <v>-0.947296142578125</v>
      </c>
      <c r="BV404">
        <v>0.94804716110229492</v>
      </c>
      <c r="BW404" t="s">
        <v>615</v>
      </c>
      <c r="BX404">
        <v>-2.2104560289972224E+16</v>
      </c>
      <c r="BY404">
        <v>2.166778564453125</v>
      </c>
      <c r="CB404">
        <v>18.26542854309082</v>
      </c>
      <c r="CC404">
        <v>7.5625362396240234</v>
      </c>
    </row>
    <row r="405" spans="1:83" ht="12.75" customHeight="1">
      <c r="A405" t="s">
        <v>768</v>
      </c>
      <c r="C405" t="s">
        <v>694</v>
      </c>
      <c r="D405">
        <v>403</v>
      </c>
      <c r="F405">
        <v>65535</v>
      </c>
      <c r="I405" t="s">
        <v>768</v>
      </c>
      <c r="R405">
        <v>21.599994659423828</v>
      </c>
      <c r="T405">
        <v>90.719978332519531</v>
      </c>
      <c r="W405" s="514">
        <v>44245.742719907408</v>
      </c>
      <c r="AN405">
        <v>0</v>
      </c>
      <c r="AO405">
        <v>0</v>
      </c>
      <c r="AP405">
        <v>0</v>
      </c>
      <c r="AS405">
        <v>0</v>
      </c>
      <c r="AT405">
        <v>0</v>
      </c>
      <c r="AU405">
        <v>0</v>
      </c>
      <c r="AW405">
        <v>0</v>
      </c>
      <c r="AZ405">
        <v>0</v>
      </c>
      <c r="BA405">
        <v>-5.2491930546239018E-4</v>
      </c>
      <c r="BB405">
        <v>0</v>
      </c>
      <c r="BC405">
        <v>-0.947296142578125</v>
      </c>
      <c r="BD405">
        <v>0.94804716110229492</v>
      </c>
      <c r="BI405">
        <v>0</v>
      </c>
      <c r="BJ405">
        <v>0</v>
      </c>
      <c r="BK405">
        <v>0</v>
      </c>
      <c r="BL405">
        <v>0</v>
      </c>
      <c r="BM405">
        <v>-2.2104560289972224E+16</v>
      </c>
      <c r="BN405">
        <v>2.166778564453125</v>
      </c>
      <c r="BP405">
        <v>65535</v>
      </c>
      <c r="BQ405">
        <v>65535</v>
      </c>
      <c r="BR405">
        <v>0</v>
      </c>
      <c r="BS405">
        <v>-5.2491930546239018E-4</v>
      </c>
      <c r="BT405">
        <v>0</v>
      </c>
      <c r="BU405">
        <v>-0.947296142578125</v>
      </c>
      <c r="BV405">
        <v>0.94804716110229492</v>
      </c>
      <c r="BW405" t="s">
        <v>615</v>
      </c>
      <c r="BX405">
        <v>-2.2104560289972224E+16</v>
      </c>
      <c r="BY405">
        <v>2.166778564453125</v>
      </c>
      <c r="CB405">
        <v>18.650167465209961</v>
      </c>
      <c r="CC405">
        <v>7.1862478256225586</v>
      </c>
    </row>
    <row r="406" spans="1:83" ht="12.75" customHeight="1">
      <c r="A406" t="s">
        <v>758</v>
      </c>
      <c r="C406" t="s">
        <v>694</v>
      </c>
      <c r="D406">
        <v>404</v>
      </c>
      <c r="F406">
        <v>65535</v>
      </c>
      <c r="I406" t="s">
        <v>758</v>
      </c>
      <c r="R406">
        <v>21.599994659423828</v>
      </c>
      <c r="T406">
        <v>90.719978332519531</v>
      </c>
      <c r="W406" s="514">
        <v>44245.742719907408</v>
      </c>
      <c r="AN406">
        <v>0</v>
      </c>
      <c r="AO406">
        <v>0</v>
      </c>
      <c r="AP406">
        <v>0</v>
      </c>
      <c r="AS406">
        <v>0</v>
      </c>
      <c r="AT406">
        <v>0</v>
      </c>
      <c r="AU406">
        <v>0</v>
      </c>
      <c r="AW406">
        <v>0</v>
      </c>
      <c r="AZ406">
        <v>0</v>
      </c>
      <c r="BA406">
        <v>-5.2491930546239018E-4</v>
      </c>
      <c r="BB406">
        <v>0</v>
      </c>
      <c r="BC406">
        <v>-0.947296142578125</v>
      </c>
      <c r="BD406">
        <v>0.94804716110229492</v>
      </c>
      <c r="BI406">
        <v>0</v>
      </c>
      <c r="BJ406">
        <v>0</v>
      </c>
      <c r="BK406">
        <v>0</v>
      </c>
      <c r="BL406">
        <v>0</v>
      </c>
      <c r="BM406">
        <v>-2.2104560289972224E+16</v>
      </c>
      <c r="BN406">
        <v>2.166778564453125</v>
      </c>
      <c r="BP406">
        <v>65535</v>
      </c>
      <c r="BQ406">
        <v>65535</v>
      </c>
      <c r="BR406">
        <v>0</v>
      </c>
      <c r="BS406">
        <v>-5.2491930546239018E-4</v>
      </c>
      <c r="BT406">
        <v>0</v>
      </c>
      <c r="BU406">
        <v>-0.947296142578125</v>
      </c>
      <c r="BV406">
        <v>0.94804716110229492</v>
      </c>
      <c r="BW406" t="s">
        <v>615</v>
      </c>
      <c r="BX406">
        <v>-2.2104560289972224E+16</v>
      </c>
      <c r="BY406">
        <v>2.166778564453125</v>
      </c>
      <c r="CB406">
        <v>19.24894905090332</v>
      </c>
      <c r="CC406">
        <v>6.8145103454589844</v>
      </c>
      <c r="CD406" t="s">
        <v>622</v>
      </c>
      <c r="CE406" t="s">
        <v>623</v>
      </c>
    </row>
    <row r="407" spans="1:83" ht="12.75" customHeight="1">
      <c r="A407" t="s">
        <v>758</v>
      </c>
      <c r="C407" t="s">
        <v>694</v>
      </c>
      <c r="D407">
        <v>405</v>
      </c>
      <c r="F407">
        <v>65535</v>
      </c>
      <c r="I407" t="s">
        <v>758</v>
      </c>
      <c r="R407">
        <v>20.520002365112305</v>
      </c>
      <c r="T407">
        <v>86.184005737304688</v>
      </c>
      <c r="W407" s="514">
        <v>44245.742719907408</v>
      </c>
      <c r="AN407">
        <v>0</v>
      </c>
      <c r="AO407">
        <v>0</v>
      </c>
      <c r="AP407">
        <v>0</v>
      </c>
      <c r="AS407">
        <v>0</v>
      </c>
      <c r="AT407">
        <v>0</v>
      </c>
      <c r="AU407">
        <v>0</v>
      </c>
      <c r="AW407">
        <v>0</v>
      </c>
      <c r="AZ407">
        <v>0</v>
      </c>
      <c r="BA407">
        <v>-5.334183806553483E-4</v>
      </c>
      <c r="BB407">
        <v>0</v>
      </c>
      <c r="BC407">
        <v>-1.360321044921875</v>
      </c>
      <c r="BD407">
        <v>1.3608889579772949</v>
      </c>
      <c r="BI407">
        <v>0</v>
      </c>
      <c r="BJ407">
        <v>0</v>
      </c>
      <c r="BK407">
        <v>0</v>
      </c>
      <c r="BL407">
        <v>0</v>
      </c>
      <c r="BM407">
        <v>-3.8593383838344031E-31</v>
      </c>
      <c r="BN407">
        <v>2.249176025390625</v>
      </c>
      <c r="BP407">
        <v>65535</v>
      </c>
      <c r="BQ407">
        <v>65535</v>
      </c>
      <c r="BR407">
        <v>0</v>
      </c>
      <c r="BS407">
        <v>-5.334183806553483E-4</v>
      </c>
      <c r="BT407">
        <v>0</v>
      </c>
      <c r="BU407">
        <v>-1.360321044921875</v>
      </c>
      <c r="BV407">
        <v>1.3608889579772949</v>
      </c>
      <c r="BW407" t="s">
        <v>615</v>
      </c>
      <c r="BX407">
        <v>-3.8593383838344031E-31</v>
      </c>
      <c r="BY407">
        <v>2.249176025390625</v>
      </c>
      <c r="CB407">
        <v>24.933876037597656</v>
      </c>
      <c r="CC407">
        <v>3.0086116790771484</v>
      </c>
      <c r="CD407" t="s">
        <v>622</v>
      </c>
      <c r="CE407" t="s">
        <v>623</v>
      </c>
    </row>
    <row r="408" spans="1:83" ht="12.75" customHeight="1">
      <c r="A408" t="s">
        <v>642</v>
      </c>
      <c r="C408" t="s">
        <v>694</v>
      </c>
      <c r="D408">
        <v>406</v>
      </c>
      <c r="F408">
        <v>65535</v>
      </c>
      <c r="I408" t="s">
        <v>642</v>
      </c>
      <c r="R408">
        <v>20.520002365112305</v>
      </c>
      <c r="T408">
        <v>86.184005737304688</v>
      </c>
      <c r="W408" s="514">
        <v>44245.742719907408</v>
      </c>
      <c r="AN408">
        <v>0</v>
      </c>
      <c r="AO408">
        <v>0</v>
      </c>
      <c r="AP408">
        <v>0</v>
      </c>
      <c r="AS408">
        <v>0</v>
      </c>
      <c r="AT408">
        <v>0</v>
      </c>
      <c r="AU408">
        <v>0</v>
      </c>
      <c r="AW408">
        <v>0</v>
      </c>
      <c r="AZ408">
        <v>0</v>
      </c>
      <c r="BA408">
        <v>-5.334183806553483E-4</v>
      </c>
      <c r="BB408">
        <v>0</v>
      </c>
      <c r="BC408">
        <v>-1.360321044921875</v>
      </c>
      <c r="BD408">
        <v>1.3608889579772949</v>
      </c>
      <c r="BI408">
        <v>0</v>
      </c>
      <c r="BJ408">
        <v>0</v>
      </c>
      <c r="BK408">
        <v>0</v>
      </c>
      <c r="BL408">
        <v>0</v>
      </c>
      <c r="BM408">
        <v>-3.8593383838344031E-31</v>
      </c>
      <c r="BN408">
        <v>2.249176025390625</v>
      </c>
      <c r="BP408">
        <v>65535</v>
      </c>
      <c r="BQ408">
        <v>65535</v>
      </c>
      <c r="BR408">
        <v>0</v>
      </c>
      <c r="BS408">
        <v>-5.334183806553483E-4</v>
      </c>
      <c r="BT408">
        <v>0</v>
      </c>
      <c r="BU408">
        <v>-1.360321044921875</v>
      </c>
      <c r="BV408">
        <v>1.3608889579772949</v>
      </c>
      <c r="BW408" t="s">
        <v>615</v>
      </c>
      <c r="BX408">
        <v>-3.8593383838344031E-31</v>
      </c>
      <c r="BY408">
        <v>2.249176025390625</v>
      </c>
      <c r="CB408">
        <v>19.252382278442383</v>
      </c>
      <c r="CC408">
        <v>6.6991314888000488</v>
      </c>
      <c r="CD408" t="s">
        <v>617</v>
      </c>
      <c r="CE408" t="s">
        <v>623</v>
      </c>
    </row>
    <row r="409" spans="1:83" ht="12.75" customHeight="1">
      <c r="A409" t="s">
        <v>657</v>
      </c>
      <c r="C409" t="s">
        <v>694</v>
      </c>
      <c r="D409">
        <v>407</v>
      </c>
      <c r="F409">
        <v>65535</v>
      </c>
      <c r="I409" t="s">
        <v>657</v>
      </c>
      <c r="R409">
        <v>20.520002365112305</v>
      </c>
      <c r="T409">
        <v>86.184005737304688</v>
      </c>
      <c r="W409" s="514">
        <v>44245.742719907408</v>
      </c>
      <c r="AN409">
        <v>0</v>
      </c>
      <c r="AO409">
        <v>0</v>
      </c>
      <c r="AP409">
        <v>0</v>
      </c>
      <c r="AS409">
        <v>0</v>
      </c>
      <c r="AT409">
        <v>0</v>
      </c>
      <c r="AU409">
        <v>0</v>
      </c>
      <c r="AW409">
        <v>0</v>
      </c>
      <c r="AZ409">
        <v>0</v>
      </c>
      <c r="BA409">
        <v>-5.334183806553483E-4</v>
      </c>
      <c r="BB409">
        <v>0</v>
      </c>
      <c r="BC409">
        <v>-1.360321044921875</v>
      </c>
      <c r="BD409">
        <v>1.3608889579772949</v>
      </c>
      <c r="BI409">
        <v>0</v>
      </c>
      <c r="BJ409">
        <v>0</v>
      </c>
      <c r="BK409">
        <v>0</v>
      </c>
      <c r="BL409">
        <v>0</v>
      </c>
      <c r="BM409">
        <v>-3.8593383838344031E-31</v>
      </c>
      <c r="BN409">
        <v>2.249176025390625</v>
      </c>
      <c r="BP409">
        <v>65535</v>
      </c>
      <c r="BQ409">
        <v>65535</v>
      </c>
      <c r="BR409">
        <v>0</v>
      </c>
      <c r="BS409">
        <v>-5.334183806553483E-4</v>
      </c>
      <c r="BT409">
        <v>0</v>
      </c>
      <c r="BU409">
        <v>-1.360321044921875</v>
      </c>
      <c r="BV409">
        <v>1.3608889579772949</v>
      </c>
      <c r="BW409" t="s">
        <v>615</v>
      </c>
      <c r="BX409">
        <v>-3.8593383838344031E-31</v>
      </c>
      <c r="BY409">
        <v>2.249176025390625</v>
      </c>
      <c r="CB409">
        <v>18.400123596191406</v>
      </c>
      <c r="CC409">
        <v>7.4688544273376465</v>
      </c>
      <c r="CD409" t="s">
        <v>631</v>
      </c>
      <c r="CE409" t="s">
        <v>632</v>
      </c>
    </row>
    <row r="410" spans="1:83" ht="12.75" customHeight="1">
      <c r="A410" t="s">
        <v>663</v>
      </c>
      <c r="C410" t="s">
        <v>694</v>
      </c>
      <c r="D410">
        <v>408</v>
      </c>
      <c r="F410">
        <v>65535</v>
      </c>
      <c r="I410" t="s">
        <v>663</v>
      </c>
      <c r="R410">
        <v>20.520002365112305</v>
      </c>
      <c r="T410">
        <v>86.184005737304688</v>
      </c>
      <c r="W410" s="514">
        <v>44245.742719907408</v>
      </c>
      <c r="AN410">
        <v>0</v>
      </c>
      <c r="AO410">
        <v>0</v>
      </c>
      <c r="AP410">
        <v>0</v>
      </c>
      <c r="AS410">
        <v>0</v>
      </c>
      <c r="AT410">
        <v>0</v>
      </c>
      <c r="AU410">
        <v>0</v>
      </c>
      <c r="AW410">
        <v>0</v>
      </c>
      <c r="AZ410">
        <v>0</v>
      </c>
      <c r="BA410">
        <v>-5.334183806553483E-4</v>
      </c>
      <c r="BB410">
        <v>0</v>
      </c>
      <c r="BC410">
        <v>-1.360321044921875</v>
      </c>
      <c r="BD410">
        <v>1.3608889579772949</v>
      </c>
      <c r="BI410">
        <v>0</v>
      </c>
      <c r="BJ410">
        <v>0</v>
      </c>
      <c r="BK410">
        <v>0</v>
      </c>
      <c r="BL410">
        <v>0</v>
      </c>
      <c r="BM410">
        <v>-3.8593383838344031E-31</v>
      </c>
      <c r="BN410">
        <v>2.249176025390625</v>
      </c>
      <c r="BP410">
        <v>65535</v>
      </c>
      <c r="BQ410">
        <v>65535</v>
      </c>
      <c r="BR410">
        <v>0</v>
      </c>
      <c r="BS410">
        <v>-5.334183806553483E-4</v>
      </c>
      <c r="BT410">
        <v>0</v>
      </c>
      <c r="BU410">
        <v>-1.360321044921875</v>
      </c>
      <c r="BV410">
        <v>1.3608889579772949</v>
      </c>
      <c r="BW410" t="s">
        <v>615</v>
      </c>
      <c r="BX410">
        <v>-3.8593383838344031E-31</v>
      </c>
      <c r="BY410">
        <v>2.249176025390625</v>
      </c>
      <c r="CB410">
        <v>22.04890251159668</v>
      </c>
      <c r="CC410">
        <v>5.0117206573486328</v>
      </c>
    </row>
    <row r="411" spans="1:83" ht="12.75" customHeight="1">
      <c r="A411" t="s">
        <v>639</v>
      </c>
      <c r="C411" t="s">
        <v>694</v>
      </c>
      <c r="D411">
        <v>409</v>
      </c>
      <c r="F411">
        <v>65535</v>
      </c>
      <c r="I411" t="s">
        <v>639</v>
      </c>
      <c r="R411">
        <v>20.520002365112305</v>
      </c>
      <c r="T411">
        <v>86.184005737304688</v>
      </c>
      <c r="W411" s="514">
        <v>44245.742719907408</v>
      </c>
      <c r="AN411">
        <v>0</v>
      </c>
      <c r="AO411">
        <v>0</v>
      </c>
      <c r="AP411">
        <v>0</v>
      </c>
      <c r="AS411">
        <v>0</v>
      </c>
      <c r="AT411">
        <v>0</v>
      </c>
      <c r="AU411">
        <v>0</v>
      </c>
      <c r="AW411">
        <v>0</v>
      </c>
      <c r="AZ411">
        <v>0</v>
      </c>
      <c r="BA411">
        <v>-5.334183806553483E-4</v>
      </c>
      <c r="BB411">
        <v>0</v>
      </c>
      <c r="BC411">
        <v>-1.360321044921875</v>
      </c>
      <c r="BD411">
        <v>1.3608889579772949</v>
      </c>
      <c r="BI411">
        <v>0</v>
      </c>
      <c r="BJ411">
        <v>0</v>
      </c>
      <c r="BK411">
        <v>0</v>
      </c>
      <c r="BL411">
        <v>0</v>
      </c>
      <c r="BM411">
        <v>-3.8593383838344031E-31</v>
      </c>
      <c r="BN411">
        <v>2.249176025390625</v>
      </c>
      <c r="BP411">
        <v>65535</v>
      </c>
      <c r="BQ411">
        <v>65535</v>
      </c>
      <c r="BR411">
        <v>0</v>
      </c>
      <c r="BS411">
        <v>-5.334183806553483E-4</v>
      </c>
      <c r="BT411">
        <v>0</v>
      </c>
      <c r="BU411">
        <v>-1.360321044921875</v>
      </c>
      <c r="BV411">
        <v>1.3608889579772949</v>
      </c>
      <c r="BW411" t="s">
        <v>615</v>
      </c>
      <c r="BX411">
        <v>-3.8593383838344031E-31</v>
      </c>
      <c r="BY411">
        <v>2.249176025390625</v>
      </c>
      <c r="CB411">
        <v>22.215604782104492</v>
      </c>
      <c r="CC411">
        <v>4.6069068908691406</v>
      </c>
    </row>
    <row r="412" spans="1:83" ht="12.75" customHeight="1">
      <c r="A412" t="s">
        <v>684</v>
      </c>
      <c r="C412" t="s">
        <v>694</v>
      </c>
      <c r="D412">
        <v>410</v>
      </c>
      <c r="F412">
        <v>65535</v>
      </c>
      <c r="I412" t="s">
        <v>684</v>
      </c>
      <c r="R412">
        <v>20.520002365112305</v>
      </c>
      <c r="T412">
        <v>86.184005737304688</v>
      </c>
      <c r="W412" s="514">
        <v>44245.742719907408</v>
      </c>
      <c r="AN412">
        <v>0</v>
      </c>
      <c r="AO412">
        <v>0</v>
      </c>
      <c r="AP412">
        <v>0</v>
      </c>
      <c r="AS412">
        <v>0</v>
      </c>
      <c r="AT412">
        <v>0</v>
      </c>
      <c r="AU412">
        <v>0</v>
      </c>
      <c r="AW412">
        <v>0</v>
      </c>
      <c r="AZ412">
        <v>0</v>
      </c>
      <c r="BA412">
        <v>-5.334183806553483E-4</v>
      </c>
      <c r="BB412">
        <v>0</v>
      </c>
      <c r="BC412">
        <v>-1.360321044921875</v>
      </c>
      <c r="BD412">
        <v>1.3608889579772949</v>
      </c>
      <c r="BI412">
        <v>0</v>
      </c>
      <c r="BJ412">
        <v>0</v>
      </c>
      <c r="BK412">
        <v>0</v>
      </c>
      <c r="BL412">
        <v>0</v>
      </c>
      <c r="BM412">
        <v>-3.8593383838344031E-31</v>
      </c>
      <c r="BN412">
        <v>2.249176025390625</v>
      </c>
      <c r="BP412">
        <v>65535</v>
      </c>
      <c r="BQ412">
        <v>65535</v>
      </c>
      <c r="BR412">
        <v>0</v>
      </c>
      <c r="BS412">
        <v>-5.334183806553483E-4</v>
      </c>
      <c r="BT412">
        <v>0</v>
      </c>
      <c r="BU412">
        <v>-1.360321044921875</v>
      </c>
      <c r="BV412">
        <v>1.3608889579772949</v>
      </c>
      <c r="BW412" t="s">
        <v>615</v>
      </c>
      <c r="BX412">
        <v>-3.8593383838344031E-31</v>
      </c>
      <c r="BY412">
        <v>2.249176025390625</v>
      </c>
      <c r="CB412">
        <v>22.372652053833008</v>
      </c>
      <c r="CC412">
        <v>4.1480507850646973</v>
      </c>
      <c r="CD412" t="s">
        <v>617</v>
      </c>
      <c r="CE412" t="s">
        <v>623</v>
      </c>
    </row>
    <row r="413" spans="1:83" ht="12.75" customHeight="1">
      <c r="A413" t="s">
        <v>633</v>
      </c>
      <c r="C413" t="s">
        <v>694</v>
      </c>
      <c r="D413">
        <v>411</v>
      </c>
      <c r="F413">
        <v>65535</v>
      </c>
      <c r="I413" t="s">
        <v>633</v>
      </c>
      <c r="R413">
        <v>20.520002365112305</v>
      </c>
      <c r="T413">
        <v>86.184005737304688</v>
      </c>
      <c r="W413" s="514">
        <v>44245.742719907408</v>
      </c>
      <c r="AN413">
        <v>0</v>
      </c>
      <c r="AO413">
        <v>0</v>
      </c>
      <c r="AP413">
        <v>0</v>
      </c>
      <c r="AS413">
        <v>0</v>
      </c>
      <c r="AT413">
        <v>0</v>
      </c>
      <c r="AU413">
        <v>0</v>
      </c>
      <c r="AW413">
        <v>0</v>
      </c>
      <c r="AZ413">
        <v>0</v>
      </c>
      <c r="BA413">
        <v>-5.334183806553483E-4</v>
      </c>
      <c r="BB413">
        <v>0</v>
      </c>
      <c r="BC413">
        <v>-1.360321044921875</v>
      </c>
      <c r="BD413">
        <v>1.3608889579772949</v>
      </c>
      <c r="BI413">
        <v>0</v>
      </c>
      <c r="BJ413">
        <v>0</v>
      </c>
      <c r="BK413">
        <v>0</v>
      </c>
      <c r="BL413">
        <v>0</v>
      </c>
      <c r="BM413">
        <v>-3.8593383838344031E-31</v>
      </c>
      <c r="BN413">
        <v>2.249176025390625</v>
      </c>
      <c r="BP413">
        <v>65535</v>
      </c>
      <c r="BQ413">
        <v>65535</v>
      </c>
      <c r="BR413">
        <v>0</v>
      </c>
      <c r="BS413">
        <v>-5.334183806553483E-4</v>
      </c>
      <c r="BT413">
        <v>0</v>
      </c>
      <c r="BU413">
        <v>-1.360321044921875</v>
      </c>
      <c r="BV413">
        <v>1.3608889579772949</v>
      </c>
      <c r="BW413" t="s">
        <v>615</v>
      </c>
      <c r="BX413">
        <v>-3.8593383838344031E-31</v>
      </c>
      <c r="BY413">
        <v>2.249176025390625</v>
      </c>
      <c r="CB413">
        <v>18.905679702758789</v>
      </c>
      <c r="CC413">
        <v>7.1730637550354004</v>
      </c>
      <c r="CD413" t="s">
        <v>622</v>
      </c>
      <c r="CE413" t="s">
        <v>623</v>
      </c>
    </row>
    <row r="414" spans="1:83" ht="12.75" customHeight="1">
      <c r="A414" t="s">
        <v>667</v>
      </c>
      <c r="C414" t="s">
        <v>694</v>
      </c>
      <c r="D414">
        <v>412</v>
      </c>
      <c r="F414">
        <v>65535</v>
      </c>
      <c r="I414" t="s">
        <v>667</v>
      </c>
      <c r="R414">
        <v>21.599994659423828</v>
      </c>
      <c r="T414">
        <v>90.719978332519531</v>
      </c>
      <c r="W414" s="514">
        <v>44245.742719907408</v>
      </c>
      <c r="AN414">
        <v>0</v>
      </c>
      <c r="AO414">
        <v>0</v>
      </c>
      <c r="AP414">
        <v>0</v>
      </c>
      <c r="AS414">
        <v>0</v>
      </c>
      <c r="AT414">
        <v>0</v>
      </c>
      <c r="AU414">
        <v>0</v>
      </c>
      <c r="AW414">
        <v>0</v>
      </c>
      <c r="AZ414">
        <v>0</v>
      </c>
      <c r="BA414">
        <v>-5.2491930546239018E-4</v>
      </c>
      <c r="BB414">
        <v>0</v>
      </c>
      <c r="BC414">
        <v>-0.947296142578125</v>
      </c>
      <c r="BD414">
        <v>0.94804716110229492</v>
      </c>
      <c r="BI414">
        <v>0</v>
      </c>
      <c r="BJ414">
        <v>0</v>
      </c>
      <c r="BK414">
        <v>0</v>
      </c>
      <c r="BL414">
        <v>0</v>
      </c>
      <c r="BM414">
        <v>-2.2104560289972224E+16</v>
      </c>
      <c r="BN414">
        <v>2.166778564453125</v>
      </c>
      <c r="BP414">
        <v>65535</v>
      </c>
      <c r="BQ414">
        <v>65535</v>
      </c>
      <c r="BR414">
        <v>0</v>
      </c>
      <c r="BS414">
        <v>-5.2491930546239018E-4</v>
      </c>
      <c r="BT414">
        <v>0</v>
      </c>
      <c r="BU414">
        <v>-0.947296142578125</v>
      </c>
      <c r="BV414">
        <v>0.94804716110229492</v>
      </c>
      <c r="BW414" t="s">
        <v>615</v>
      </c>
      <c r="BX414">
        <v>-2.2104560289972224E+16</v>
      </c>
      <c r="BY414">
        <v>2.166778564453125</v>
      </c>
      <c r="CB414">
        <v>18.485759735107422</v>
      </c>
      <c r="CC414">
        <v>7.2203059196472168</v>
      </c>
      <c r="CD414" t="s">
        <v>631</v>
      </c>
      <c r="CE414" t="s">
        <v>632</v>
      </c>
    </row>
    <row r="415" spans="1:83" ht="12.75" customHeight="1">
      <c r="A415" t="s">
        <v>639</v>
      </c>
      <c r="C415" t="s">
        <v>694</v>
      </c>
      <c r="D415">
        <v>413</v>
      </c>
      <c r="F415">
        <v>65535</v>
      </c>
      <c r="I415" t="s">
        <v>639</v>
      </c>
      <c r="R415">
        <v>21.599994659423828</v>
      </c>
      <c r="T415">
        <v>90.719978332519531</v>
      </c>
      <c r="W415" s="514">
        <v>44245.742719907408</v>
      </c>
      <c r="AN415">
        <v>0</v>
      </c>
      <c r="AO415">
        <v>0</v>
      </c>
      <c r="AP415">
        <v>0</v>
      </c>
      <c r="AS415">
        <v>0</v>
      </c>
      <c r="AT415">
        <v>0</v>
      </c>
      <c r="AU415">
        <v>0</v>
      </c>
      <c r="AW415">
        <v>0</v>
      </c>
      <c r="AZ415">
        <v>0</v>
      </c>
      <c r="BA415">
        <v>-5.2491930546239018E-4</v>
      </c>
      <c r="BB415">
        <v>0</v>
      </c>
      <c r="BC415">
        <v>-0.947296142578125</v>
      </c>
      <c r="BD415">
        <v>0.94804716110229492</v>
      </c>
      <c r="BI415">
        <v>0</v>
      </c>
      <c r="BJ415">
        <v>0</v>
      </c>
      <c r="BK415">
        <v>0</v>
      </c>
      <c r="BL415">
        <v>0</v>
      </c>
      <c r="BM415">
        <v>-2.2104560289972224E+16</v>
      </c>
      <c r="BN415">
        <v>2.166778564453125</v>
      </c>
      <c r="BP415">
        <v>65535</v>
      </c>
      <c r="BQ415">
        <v>65535</v>
      </c>
      <c r="BR415">
        <v>0</v>
      </c>
      <c r="BS415">
        <v>-5.2491930546239018E-4</v>
      </c>
      <c r="BT415">
        <v>0</v>
      </c>
      <c r="BU415">
        <v>-0.947296142578125</v>
      </c>
      <c r="BV415">
        <v>0.94804716110229492</v>
      </c>
      <c r="BW415" t="s">
        <v>615</v>
      </c>
      <c r="BX415">
        <v>-2.2104560289972224E+16</v>
      </c>
      <c r="BY415">
        <v>2.166778564453125</v>
      </c>
      <c r="CB415">
        <v>18.650167465209961</v>
      </c>
      <c r="CC415">
        <v>7.1862478256225586</v>
      </c>
    </row>
    <row r="416" spans="1:83" ht="12.75" customHeight="1">
      <c r="A416" t="s">
        <v>681</v>
      </c>
      <c r="C416" t="s">
        <v>694</v>
      </c>
      <c r="D416">
        <v>414</v>
      </c>
      <c r="F416">
        <v>65535</v>
      </c>
      <c r="I416" t="s">
        <v>681</v>
      </c>
      <c r="R416">
        <v>20.519992828369141</v>
      </c>
      <c r="T416">
        <v>86.183975219726563</v>
      </c>
      <c r="W416" s="514">
        <v>44245.742731481485</v>
      </c>
      <c r="AN416">
        <v>0</v>
      </c>
      <c r="AO416">
        <v>0</v>
      </c>
      <c r="AP416">
        <v>0</v>
      </c>
      <c r="AS416">
        <v>0</v>
      </c>
      <c r="AT416">
        <v>0</v>
      </c>
      <c r="AU416">
        <v>0</v>
      </c>
      <c r="AW416">
        <v>0</v>
      </c>
      <c r="AZ416">
        <v>0</v>
      </c>
      <c r="BA416">
        <v>-5.3282664157450199E-4</v>
      </c>
      <c r="BB416">
        <v>0</v>
      </c>
      <c r="BC416">
        <v>-1.18408203125</v>
      </c>
      <c r="BD416">
        <v>1.1846475601196289</v>
      </c>
      <c r="BI416">
        <v>0</v>
      </c>
      <c r="BJ416">
        <v>0</v>
      </c>
      <c r="BK416">
        <v>0</v>
      </c>
      <c r="BL416">
        <v>0</v>
      </c>
      <c r="BM416">
        <v>2.7285847209818136E-29</v>
      </c>
      <c r="BN416">
        <v>2.242950439453125</v>
      </c>
      <c r="BP416">
        <v>65535</v>
      </c>
      <c r="BQ416">
        <v>65535</v>
      </c>
      <c r="BR416">
        <v>0</v>
      </c>
      <c r="BS416">
        <v>-5.3282664157450199E-4</v>
      </c>
      <c r="BT416">
        <v>0</v>
      </c>
      <c r="BU416">
        <v>-1.18408203125</v>
      </c>
      <c r="BV416">
        <v>1.1846475601196289</v>
      </c>
      <c r="BW416" t="s">
        <v>615</v>
      </c>
      <c r="BX416">
        <v>2.7285847209818136E-29</v>
      </c>
      <c r="BY416">
        <v>2.242950439453125</v>
      </c>
      <c r="CB416">
        <v>19.24894905090332</v>
      </c>
      <c r="CC416">
        <v>6.8145103454589844</v>
      </c>
    </row>
    <row r="417" spans="1:83" ht="12.75" customHeight="1">
      <c r="A417" t="s">
        <v>769</v>
      </c>
      <c r="C417" t="s">
        <v>694</v>
      </c>
      <c r="D417">
        <v>415</v>
      </c>
      <c r="F417">
        <v>65535</v>
      </c>
      <c r="I417" t="s">
        <v>769</v>
      </c>
      <c r="R417">
        <v>9.1199960708618164</v>
      </c>
      <c r="T417">
        <v>38.303985595703125</v>
      </c>
      <c r="W417" s="514">
        <v>44245.742743055554</v>
      </c>
      <c r="AN417">
        <v>0</v>
      </c>
      <c r="AO417">
        <v>0</v>
      </c>
      <c r="AP417">
        <v>0</v>
      </c>
      <c r="AS417">
        <v>0</v>
      </c>
      <c r="AT417">
        <v>0</v>
      </c>
      <c r="AU417">
        <v>0</v>
      </c>
      <c r="AW417">
        <v>0</v>
      </c>
      <c r="AZ417">
        <v>0</v>
      </c>
      <c r="BA417">
        <v>-4.9206771655008197E-4</v>
      </c>
      <c r="BB417">
        <v>0</v>
      </c>
      <c r="BC417">
        <v>-4.3203277587890625</v>
      </c>
      <c r="BD417">
        <v>4.3209137916564941</v>
      </c>
      <c r="BI417">
        <v>0</v>
      </c>
      <c r="BJ417">
        <v>0</v>
      </c>
      <c r="BK417">
        <v>0</v>
      </c>
      <c r="BL417">
        <v>0</v>
      </c>
      <c r="BM417">
        <v>2.5564304544300672E-23</v>
      </c>
      <c r="BN417">
        <v>1.84783935546875</v>
      </c>
      <c r="BP417">
        <v>65535</v>
      </c>
      <c r="BQ417">
        <v>65535</v>
      </c>
      <c r="BR417">
        <v>0</v>
      </c>
      <c r="BS417">
        <v>-4.9206771655008197E-4</v>
      </c>
      <c r="BT417">
        <v>0</v>
      </c>
      <c r="BU417">
        <v>-4.3203277587890625</v>
      </c>
      <c r="BV417">
        <v>4.3209137916564941</v>
      </c>
      <c r="BW417" t="s">
        <v>615</v>
      </c>
      <c r="BX417">
        <v>2.5564304544300672E-23</v>
      </c>
      <c r="BY417">
        <v>1.84783935546875</v>
      </c>
      <c r="CB417">
        <v>24.933876037597656</v>
      </c>
      <c r="CC417">
        <v>3.0086116790771484</v>
      </c>
    </row>
    <row r="418" spans="1:83" ht="12.75" customHeight="1">
      <c r="A418" t="s">
        <v>681</v>
      </c>
      <c r="C418" t="s">
        <v>694</v>
      </c>
      <c r="D418">
        <v>416</v>
      </c>
      <c r="F418">
        <v>65535</v>
      </c>
      <c r="I418" t="s">
        <v>681</v>
      </c>
      <c r="R418">
        <v>9.1199960708618164</v>
      </c>
      <c r="T418">
        <v>38.303985595703125</v>
      </c>
      <c r="W418" s="514">
        <v>44245.742743055554</v>
      </c>
      <c r="AN418">
        <v>0</v>
      </c>
      <c r="AO418">
        <v>0</v>
      </c>
      <c r="AP418">
        <v>0</v>
      </c>
      <c r="AS418">
        <v>0</v>
      </c>
      <c r="AT418">
        <v>0</v>
      </c>
      <c r="AU418">
        <v>0</v>
      </c>
      <c r="AW418">
        <v>0</v>
      </c>
      <c r="AZ418">
        <v>0</v>
      </c>
      <c r="BA418">
        <v>-4.9206771655008197E-4</v>
      </c>
      <c r="BB418">
        <v>0</v>
      </c>
      <c r="BC418">
        <v>-4.3203277587890625</v>
      </c>
      <c r="BD418">
        <v>4.3209137916564941</v>
      </c>
      <c r="BI418">
        <v>0</v>
      </c>
      <c r="BJ418">
        <v>0</v>
      </c>
      <c r="BK418">
        <v>0</v>
      </c>
      <c r="BL418">
        <v>0</v>
      </c>
      <c r="BM418">
        <v>2.5564304544300672E-23</v>
      </c>
      <c r="BN418">
        <v>1.84783935546875</v>
      </c>
      <c r="BP418">
        <v>65535</v>
      </c>
      <c r="BQ418">
        <v>65535</v>
      </c>
      <c r="BR418">
        <v>0</v>
      </c>
      <c r="BS418">
        <v>-4.9206771655008197E-4</v>
      </c>
      <c r="BT418">
        <v>0</v>
      </c>
      <c r="BU418">
        <v>-4.3203277587890625</v>
      </c>
      <c r="BV418">
        <v>4.3209137916564941</v>
      </c>
      <c r="BW418" t="s">
        <v>615</v>
      </c>
      <c r="BX418">
        <v>2.5564304544300672E-23</v>
      </c>
      <c r="BY418">
        <v>1.84783935546875</v>
      </c>
      <c r="CB418">
        <v>19.252382278442383</v>
      </c>
      <c r="CC418">
        <v>6.6991314888000488</v>
      </c>
    </row>
    <row r="419" spans="1:83" ht="12.75" customHeight="1">
      <c r="A419" t="s">
        <v>645</v>
      </c>
      <c r="C419" t="s">
        <v>694</v>
      </c>
      <c r="D419">
        <v>417</v>
      </c>
      <c r="F419">
        <v>65535</v>
      </c>
      <c r="I419" t="s">
        <v>645</v>
      </c>
      <c r="R419">
        <v>12.800000190734863</v>
      </c>
      <c r="T419">
        <v>53.760002136230469</v>
      </c>
      <c r="W419" s="514">
        <v>44245.743136574078</v>
      </c>
      <c r="AN419">
        <v>0</v>
      </c>
      <c r="AO419">
        <v>0</v>
      </c>
      <c r="AP419">
        <v>0</v>
      </c>
      <c r="AS419">
        <v>0</v>
      </c>
      <c r="AT419">
        <v>0</v>
      </c>
      <c r="AU419">
        <v>0</v>
      </c>
      <c r="AW419">
        <v>0</v>
      </c>
      <c r="AZ419">
        <v>0</v>
      </c>
      <c r="BA419">
        <v>-5.9413257986307144E-4</v>
      </c>
      <c r="BB419">
        <v>0</v>
      </c>
      <c r="BC419">
        <v>15.577316284179688</v>
      </c>
      <c r="BD419">
        <v>-15.576596260070801</v>
      </c>
      <c r="BI419">
        <v>0</v>
      </c>
      <c r="BJ419">
        <v>0</v>
      </c>
      <c r="BK419">
        <v>0</v>
      </c>
      <c r="BL419">
        <v>0</v>
      </c>
      <c r="BM419">
        <v>-46512.625</v>
      </c>
      <c r="BN419">
        <v>2.84271240234375</v>
      </c>
      <c r="BP419">
        <v>65535</v>
      </c>
      <c r="BQ419">
        <v>65535</v>
      </c>
      <c r="BR419">
        <v>0</v>
      </c>
      <c r="BS419">
        <v>-5.9413257986307144E-4</v>
      </c>
      <c r="BT419">
        <v>0</v>
      </c>
      <c r="BU419">
        <v>15.577316284179688</v>
      </c>
      <c r="BV419">
        <v>-15.576596260070801</v>
      </c>
      <c r="BW419" t="s">
        <v>615</v>
      </c>
      <c r="BX419">
        <v>-46512.625</v>
      </c>
      <c r="BY419">
        <v>2.84271240234375</v>
      </c>
      <c r="CB419">
        <v>18.400123596191406</v>
      </c>
      <c r="CC419">
        <v>7.4688544273376465</v>
      </c>
    </row>
    <row r="420" spans="1:83" ht="12.75" customHeight="1">
      <c r="A420" t="s">
        <v>642</v>
      </c>
      <c r="C420" t="s">
        <v>694</v>
      </c>
      <c r="D420">
        <v>418</v>
      </c>
      <c r="F420">
        <v>65535</v>
      </c>
      <c r="I420" t="s">
        <v>642</v>
      </c>
      <c r="R420">
        <v>3.8399951457977295</v>
      </c>
      <c r="T420">
        <v>16.127979278564453</v>
      </c>
      <c r="W420" s="514">
        <v>44245.742754629631</v>
      </c>
      <c r="AN420">
        <v>0</v>
      </c>
      <c r="AO420">
        <v>0</v>
      </c>
      <c r="AP420">
        <v>0</v>
      </c>
      <c r="AS420">
        <v>0</v>
      </c>
      <c r="AT420">
        <v>0</v>
      </c>
      <c r="AU420">
        <v>0</v>
      </c>
      <c r="AW420">
        <v>0</v>
      </c>
      <c r="AZ420">
        <v>0</v>
      </c>
      <c r="BA420">
        <v>-5.3326052147895098E-4</v>
      </c>
      <c r="BB420">
        <v>0</v>
      </c>
      <c r="BC420">
        <v>5.2592086791992188</v>
      </c>
      <c r="BD420">
        <v>-5.2586202621459961</v>
      </c>
      <c r="BI420">
        <v>0</v>
      </c>
      <c r="BJ420">
        <v>0</v>
      </c>
      <c r="BK420">
        <v>0</v>
      </c>
      <c r="BL420">
        <v>0</v>
      </c>
      <c r="BM420">
        <v>-1.5556318127543499E+38</v>
      </c>
      <c r="BN420">
        <v>2.24871826171875</v>
      </c>
      <c r="BP420">
        <v>65535</v>
      </c>
      <c r="BQ420">
        <v>65535</v>
      </c>
      <c r="BR420">
        <v>0</v>
      </c>
      <c r="BS420">
        <v>-5.3326052147895098E-4</v>
      </c>
      <c r="BT420">
        <v>0</v>
      </c>
      <c r="BU420">
        <v>5.2592086791992188</v>
      </c>
      <c r="BV420">
        <v>-5.2586202621459961</v>
      </c>
      <c r="BW420" t="s">
        <v>615</v>
      </c>
      <c r="BX420">
        <v>-1.5556318127543499E+38</v>
      </c>
      <c r="BY420">
        <v>2.24871826171875</v>
      </c>
      <c r="CB420">
        <v>22.04890251159668</v>
      </c>
      <c r="CC420">
        <v>5.0117206573486328</v>
      </c>
      <c r="CD420" t="s">
        <v>617</v>
      </c>
      <c r="CE420" t="s">
        <v>623</v>
      </c>
    </row>
    <row r="421" spans="1:83" ht="12.75" customHeight="1">
      <c r="A421" t="s">
        <v>642</v>
      </c>
      <c r="C421" t="s">
        <v>694</v>
      </c>
      <c r="D421">
        <v>419</v>
      </c>
      <c r="F421">
        <v>65535</v>
      </c>
      <c r="I421" t="s">
        <v>642</v>
      </c>
      <c r="R421">
        <v>7.5999951362609863</v>
      </c>
      <c r="T421">
        <v>31.919979095458984</v>
      </c>
      <c r="W421" s="514">
        <v>44245.742766203701</v>
      </c>
      <c r="AN421">
        <v>0</v>
      </c>
      <c r="AO421">
        <v>0</v>
      </c>
      <c r="AP421">
        <v>0</v>
      </c>
      <c r="AS421">
        <v>0</v>
      </c>
      <c r="AT421">
        <v>0</v>
      </c>
      <c r="AU421">
        <v>0</v>
      </c>
      <c r="AW421">
        <v>0</v>
      </c>
      <c r="AZ421">
        <v>0</v>
      </c>
      <c r="BA421">
        <v>-5.4218806326389313E-4</v>
      </c>
      <c r="BB421">
        <v>0</v>
      </c>
      <c r="BC421">
        <v>10.503532409667969</v>
      </c>
      <c r="BD421">
        <v>-10.502999305725098</v>
      </c>
      <c r="BI421">
        <v>0</v>
      </c>
      <c r="BJ421">
        <v>0</v>
      </c>
      <c r="BK421">
        <v>0</v>
      </c>
      <c r="BL421">
        <v>0</v>
      </c>
      <c r="BM421">
        <v>-1.6474361430596218E-8</v>
      </c>
      <c r="BN421">
        <v>2.327056884765625</v>
      </c>
      <c r="BP421">
        <v>65535</v>
      </c>
      <c r="BQ421">
        <v>65535</v>
      </c>
      <c r="BR421">
        <v>0</v>
      </c>
      <c r="BS421">
        <v>-5.4218806326389313E-4</v>
      </c>
      <c r="BT421">
        <v>0</v>
      </c>
      <c r="BU421">
        <v>10.503532409667969</v>
      </c>
      <c r="BV421">
        <v>-10.502999305725098</v>
      </c>
      <c r="BW421" t="s">
        <v>615</v>
      </c>
      <c r="BX421">
        <v>-1.6474361430596218E-8</v>
      </c>
      <c r="BY421">
        <v>2.327056884765625</v>
      </c>
      <c r="CB421">
        <v>22.215604782104492</v>
      </c>
      <c r="CC421">
        <v>4.6069068908691406</v>
      </c>
      <c r="CD421" t="s">
        <v>617</v>
      </c>
      <c r="CE421" t="s">
        <v>623</v>
      </c>
    </row>
    <row r="422" spans="1:83" ht="12.75" customHeight="1">
      <c r="A422" t="s">
        <v>728</v>
      </c>
      <c r="C422" t="s">
        <v>694</v>
      </c>
      <c r="D422">
        <v>420</v>
      </c>
      <c r="F422">
        <v>65535</v>
      </c>
      <c r="I422" t="s">
        <v>728</v>
      </c>
      <c r="R422">
        <v>7.5999951362609863</v>
      </c>
      <c r="T422">
        <v>31.919979095458984</v>
      </c>
      <c r="W422" s="514">
        <v>44245.742766203701</v>
      </c>
      <c r="AN422">
        <v>0</v>
      </c>
      <c r="AO422">
        <v>0</v>
      </c>
      <c r="AP422">
        <v>0</v>
      </c>
      <c r="AS422">
        <v>0</v>
      </c>
      <c r="AT422">
        <v>0</v>
      </c>
      <c r="AU422">
        <v>0</v>
      </c>
      <c r="AW422">
        <v>0</v>
      </c>
      <c r="AZ422">
        <v>0</v>
      </c>
      <c r="BA422">
        <v>-5.4218806326389313E-4</v>
      </c>
      <c r="BB422">
        <v>0</v>
      </c>
      <c r="BC422">
        <v>10.503532409667969</v>
      </c>
      <c r="BD422">
        <v>-10.502999305725098</v>
      </c>
      <c r="BI422">
        <v>0</v>
      </c>
      <c r="BJ422">
        <v>0</v>
      </c>
      <c r="BK422">
        <v>0</v>
      </c>
      <c r="BL422">
        <v>0</v>
      </c>
      <c r="BM422">
        <v>-1.6474361430596218E-8</v>
      </c>
      <c r="BN422">
        <v>2.327056884765625</v>
      </c>
      <c r="BP422">
        <v>65535</v>
      </c>
      <c r="BQ422">
        <v>65535</v>
      </c>
      <c r="BR422">
        <v>0</v>
      </c>
      <c r="BS422">
        <v>-5.4218806326389313E-4</v>
      </c>
      <c r="BT422">
        <v>0</v>
      </c>
      <c r="BU422">
        <v>10.503532409667969</v>
      </c>
      <c r="BV422">
        <v>-10.502999305725098</v>
      </c>
      <c r="BW422" t="s">
        <v>615</v>
      </c>
      <c r="BX422">
        <v>-1.6474361430596218E-8</v>
      </c>
      <c r="BY422">
        <v>2.327056884765625</v>
      </c>
      <c r="CB422">
        <v>18.650167465209961</v>
      </c>
      <c r="CC422">
        <v>7.1862478256225586</v>
      </c>
    </row>
    <row r="423" spans="1:83" ht="12.75" customHeight="1">
      <c r="A423" t="s">
        <v>728</v>
      </c>
      <c r="C423" t="s">
        <v>694</v>
      </c>
      <c r="D423">
        <v>421</v>
      </c>
      <c r="F423">
        <v>65535</v>
      </c>
      <c r="I423" t="s">
        <v>728</v>
      </c>
      <c r="R423">
        <v>7.5999951362609863</v>
      </c>
      <c r="T423">
        <v>31.919979095458984</v>
      </c>
      <c r="W423" s="514">
        <v>44245.742766203701</v>
      </c>
      <c r="AN423">
        <v>0</v>
      </c>
      <c r="AO423">
        <v>0</v>
      </c>
      <c r="AP423">
        <v>0</v>
      </c>
      <c r="AS423">
        <v>0</v>
      </c>
      <c r="AT423">
        <v>0</v>
      </c>
      <c r="AU423">
        <v>0</v>
      </c>
      <c r="AW423">
        <v>0</v>
      </c>
      <c r="AZ423">
        <v>0</v>
      </c>
      <c r="BA423">
        <v>-5.4218806326389313E-4</v>
      </c>
      <c r="BB423">
        <v>0</v>
      </c>
      <c r="BC423">
        <v>10.503532409667969</v>
      </c>
      <c r="BD423">
        <v>-10.502999305725098</v>
      </c>
      <c r="BI423">
        <v>0</v>
      </c>
      <c r="BJ423">
        <v>0</v>
      </c>
      <c r="BK423">
        <v>0</v>
      </c>
      <c r="BL423">
        <v>0</v>
      </c>
      <c r="BM423">
        <v>-1.6474361430596218E-8</v>
      </c>
      <c r="BN423">
        <v>2.327056884765625</v>
      </c>
      <c r="BP423">
        <v>65535</v>
      </c>
      <c r="BQ423">
        <v>65535</v>
      </c>
      <c r="BR423">
        <v>0</v>
      </c>
      <c r="BS423">
        <v>-5.4218806326389313E-4</v>
      </c>
      <c r="BT423">
        <v>0</v>
      </c>
      <c r="BU423">
        <v>10.503532409667969</v>
      </c>
      <c r="BV423">
        <v>-10.502999305725098</v>
      </c>
      <c r="BW423" t="s">
        <v>615</v>
      </c>
      <c r="BX423">
        <v>-1.6474361430596218E-8</v>
      </c>
      <c r="BY423">
        <v>2.327056884765625</v>
      </c>
      <c r="CB423">
        <v>19.24894905090332</v>
      </c>
      <c r="CC423">
        <v>6.8145103454589844</v>
      </c>
    </row>
    <row r="424" spans="1:83" ht="12.75" customHeight="1">
      <c r="A424" t="s">
        <v>770</v>
      </c>
      <c r="C424" t="s">
        <v>635</v>
      </c>
      <c r="D424">
        <v>422</v>
      </c>
      <c r="F424">
        <v>65535</v>
      </c>
      <c r="I424" t="s">
        <v>770</v>
      </c>
      <c r="R424">
        <v>7.5999951362609863</v>
      </c>
      <c r="T424">
        <v>31.919979095458984</v>
      </c>
      <c r="W424" s="514">
        <v>44245.742766203701</v>
      </c>
      <c r="AN424">
        <v>0</v>
      </c>
      <c r="AO424">
        <v>0</v>
      </c>
      <c r="AP424">
        <v>0</v>
      </c>
      <c r="AS424">
        <v>0</v>
      </c>
      <c r="AT424">
        <v>0</v>
      </c>
      <c r="AU424">
        <v>0</v>
      </c>
      <c r="AW424">
        <v>0</v>
      </c>
      <c r="AZ424">
        <v>0</v>
      </c>
      <c r="BA424">
        <v>-5.4218806326389313E-4</v>
      </c>
      <c r="BB424">
        <v>0</v>
      </c>
      <c r="BC424">
        <v>10.503532409667969</v>
      </c>
      <c r="BD424">
        <v>-10.502999305725098</v>
      </c>
      <c r="BI424">
        <v>0</v>
      </c>
      <c r="BJ424">
        <v>0</v>
      </c>
      <c r="BK424">
        <v>0</v>
      </c>
      <c r="BL424">
        <v>0</v>
      </c>
      <c r="BM424">
        <v>-1.6474361430596218E-8</v>
      </c>
      <c r="BN424">
        <v>2.327056884765625</v>
      </c>
      <c r="BP424">
        <v>65535</v>
      </c>
      <c r="BQ424">
        <v>65535</v>
      </c>
      <c r="BR424">
        <v>0</v>
      </c>
      <c r="BS424">
        <v>-5.4218806326389313E-4</v>
      </c>
      <c r="BT424">
        <v>0</v>
      </c>
      <c r="BU424">
        <v>10.503532409667969</v>
      </c>
      <c r="BV424">
        <v>-10.502999305725098</v>
      </c>
      <c r="BW424" t="s">
        <v>615</v>
      </c>
      <c r="BX424">
        <v>-1.6474361430596218E-8</v>
      </c>
      <c r="BY424">
        <v>2.327056884765625</v>
      </c>
      <c r="CB424">
        <v>24.933876037597656</v>
      </c>
      <c r="CC424">
        <v>3.0086116790771484</v>
      </c>
      <c r="CD424" t="s">
        <v>618</v>
      </c>
      <c r="CE424" t="s">
        <v>623</v>
      </c>
    </row>
    <row r="425" spans="1:83" ht="12.75" customHeight="1">
      <c r="A425" t="s">
        <v>771</v>
      </c>
      <c r="C425" t="s">
        <v>772</v>
      </c>
      <c r="D425">
        <v>423</v>
      </c>
      <c r="F425">
        <v>65535</v>
      </c>
      <c r="I425" t="s">
        <v>771</v>
      </c>
      <c r="R425">
        <v>7.5999951362609863</v>
      </c>
      <c r="T425">
        <v>31.919979095458984</v>
      </c>
      <c r="W425" s="514">
        <v>44245.742766203701</v>
      </c>
      <c r="AN425">
        <v>0</v>
      </c>
      <c r="AO425">
        <v>0</v>
      </c>
      <c r="AP425">
        <v>0</v>
      </c>
      <c r="AS425">
        <v>0</v>
      </c>
      <c r="AT425">
        <v>0</v>
      </c>
      <c r="AU425">
        <v>0</v>
      </c>
      <c r="AW425">
        <v>0</v>
      </c>
      <c r="AZ425">
        <v>0</v>
      </c>
      <c r="BA425">
        <v>-5.4218806326389313E-4</v>
      </c>
      <c r="BB425">
        <v>0</v>
      </c>
      <c r="BC425">
        <v>10.503532409667969</v>
      </c>
      <c r="BD425">
        <v>-10.502999305725098</v>
      </c>
      <c r="BI425">
        <v>0</v>
      </c>
      <c r="BJ425">
        <v>0</v>
      </c>
      <c r="BK425">
        <v>0</v>
      </c>
      <c r="BL425">
        <v>0</v>
      </c>
      <c r="BM425">
        <v>-1.6474361430596218E-8</v>
      </c>
      <c r="BN425">
        <v>2.327056884765625</v>
      </c>
      <c r="BP425">
        <v>65535</v>
      </c>
      <c r="BQ425">
        <v>65535</v>
      </c>
      <c r="BR425">
        <v>0</v>
      </c>
      <c r="BS425">
        <v>-5.4218806326389313E-4</v>
      </c>
      <c r="BT425">
        <v>0</v>
      </c>
      <c r="BU425">
        <v>10.503532409667969</v>
      </c>
      <c r="BV425">
        <v>-10.502999305725098</v>
      </c>
      <c r="BW425" t="s">
        <v>615</v>
      </c>
      <c r="BX425">
        <v>-1.6474361430596218E-8</v>
      </c>
      <c r="BY425">
        <v>2.327056884765625</v>
      </c>
      <c r="CB425">
        <v>19.252382278442383</v>
      </c>
      <c r="CC425">
        <v>6.6991314888000488</v>
      </c>
    </row>
    <row r="426" spans="1:83" ht="12.75" customHeight="1">
      <c r="A426" t="s">
        <v>657</v>
      </c>
      <c r="C426" t="s">
        <v>694</v>
      </c>
      <c r="D426">
        <v>424</v>
      </c>
      <c r="F426">
        <v>65535</v>
      </c>
      <c r="I426" t="s">
        <v>657</v>
      </c>
      <c r="R426">
        <v>7.5999951362609863</v>
      </c>
      <c r="T426">
        <v>31.919979095458984</v>
      </c>
      <c r="W426" s="514">
        <v>44245.742766203701</v>
      </c>
      <c r="AN426">
        <v>0</v>
      </c>
      <c r="AO426">
        <v>0</v>
      </c>
      <c r="AP426">
        <v>0</v>
      </c>
      <c r="AS426">
        <v>0</v>
      </c>
      <c r="AT426">
        <v>0</v>
      </c>
      <c r="AU426">
        <v>0</v>
      </c>
      <c r="AW426">
        <v>0</v>
      </c>
      <c r="AZ426">
        <v>0</v>
      </c>
      <c r="BA426">
        <v>-5.4218806326389313E-4</v>
      </c>
      <c r="BB426">
        <v>0</v>
      </c>
      <c r="BC426">
        <v>10.503532409667969</v>
      </c>
      <c r="BD426">
        <v>-10.502999305725098</v>
      </c>
      <c r="BI426">
        <v>0</v>
      </c>
      <c r="BJ426">
        <v>0</v>
      </c>
      <c r="BK426">
        <v>0</v>
      </c>
      <c r="BL426">
        <v>0</v>
      </c>
      <c r="BM426">
        <v>-1.6474361430596218E-8</v>
      </c>
      <c r="BN426">
        <v>2.327056884765625</v>
      </c>
      <c r="BP426">
        <v>65535</v>
      </c>
      <c r="BQ426">
        <v>65535</v>
      </c>
      <c r="BR426">
        <v>0</v>
      </c>
      <c r="BS426">
        <v>-5.4218806326389313E-4</v>
      </c>
      <c r="BT426">
        <v>0</v>
      </c>
      <c r="BU426">
        <v>10.503532409667969</v>
      </c>
      <c r="BV426">
        <v>-10.502999305725098</v>
      </c>
      <c r="BW426" t="s">
        <v>615</v>
      </c>
      <c r="BX426">
        <v>-1.6474361430596218E-8</v>
      </c>
      <c r="BY426">
        <v>2.327056884765625</v>
      </c>
      <c r="CB426">
        <v>18.400123596191406</v>
      </c>
      <c r="CC426">
        <v>7.4688544273376465</v>
      </c>
      <c r="CD426" t="s">
        <v>631</v>
      </c>
      <c r="CE426" t="s">
        <v>632</v>
      </c>
    </row>
    <row r="427" spans="1:83" ht="12.75" customHeight="1">
      <c r="A427" t="s">
        <v>773</v>
      </c>
      <c r="C427" t="s">
        <v>694</v>
      </c>
      <c r="D427">
        <v>425</v>
      </c>
      <c r="F427">
        <v>65535</v>
      </c>
      <c r="I427" t="s">
        <v>773</v>
      </c>
      <c r="R427">
        <v>7.5999951362609863</v>
      </c>
      <c r="T427">
        <v>31.919979095458984</v>
      </c>
      <c r="W427" s="514">
        <v>44245.742766203701</v>
      </c>
      <c r="AN427">
        <v>0</v>
      </c>
      <c r="AO427">
        <v>0</v>
      </c>
      <c r="AP427">
        <v>0</v>
      </c>
      <c r="AS427">
        <v>0</v>
      </c>
      <c r="AT427">
        <v>0</v>
      </c>
      <c r="AU427">
        <v>0</v>
      </c>
      <c r="AW427">
        <v>0</v>
      </c>
      <c r="AZ427">
        <v>0</v>
      </c>
      <c r="BA427">
        <v>-5.4218806326389313E-4</v>
      </c>
      <c r="BB427">
        <v>0</v>
      </c>
      <c r="BC427">
        <v>10.503532409667969</v>
      </c>
      <c r="BD427">
        <v>-10.502999305725098</v>
      </c>
      <c r="BI427">
        <v>0</v>
      </c>
      <c r="BJ427">
        <v>0</v>
      </c>
      <c r="BK427">
        <v>0</v>
      </c>
      <c r="BL427">
        <v>0</v>
      </c>
      <c r="BM427">
        <v>-1.6474361430596218E-8</v>
      </c>
      <c r="BN427">
        <v>2.327056884765625</v>
      </c>
      <c r="BP427">
        <v>65535</v>
      </c>
      <c r="BQ427">
        <v>65535</v>
      </c>
      <c r="BR427">
        <v>0</v>
      </c>
      <c r="BS427">
        <v>-5.4218806326389313E-4</v>
      </c>
      <c r="BT427">
        <v>0</v>
      </c>
      <c r="BU427">
        <v>10.503532409667969</v>
      </c>
      <c r="BV427">
        <v>-10.502999305725098</v>
      </c>
      <c r="BW427" t="s">
        <v>615</v>
      </c>
      <c r="BX427">
        <v>-1.6474361430596218E-8</v>
      </c>
      <c r="BY427">
        <v>2.327056884765625</v>
      </c>
      <c r="CB427">
        <v>22.04890251159668</v>
      </c>
      <c r="CC427">
        <v>5.0117206573486328</v>
      </c>
      <c r="CD427" t="s">
        <v>774</v>
      </c>
      <c r="CE427" t="s">
        <v>679</v>
      </c>
    </row>
    <row r="428" spans="1:83" ht="12.75" customHeight="1">
      <c r="A428" t="s">
        <v>669</v>
      </c>
      <c r="C428" t="s">
        <v>621</v>
      </c>
      <c r="D428">
        <v>426</v>
      </c>
      <c r="F428">
        <v>65535</v>
      </c>
      <c r="I428" t="s">
        <v>669</v>
      </c>
      <c r="AN428">
        <v>0</v>
      </c>
      <c r="AO428">
        <v>0</v>
      </c>
      <c r="AP428">
        <v>0</v>
      </c>
      <c r="AS428">
        <v>65535</v>
      </c>
      <c r="AT428">
        <v>65535</v>
      </c>
      <c r="AU428">
        <v>65535</v>
      </c>
      <c r="BI428">
        <v>0</v>
      </c>
      <c r="BK428">
        <v>0</v>
      </c>
      <c r="BL428">
        <v>0</v>
      </c>
      <c r="BP428">
        <v>65535</v>
      </c>
      <c r="BQ428">
        <v>65535</v>
      </c>
      <c r="CB428">
        <v>22.215604782104492</v>
      </c>
      <c r="CC428">
        <v>4.6069068908691406</v>
      </c>
    </row>
    <row r="429" spans="1:83" ht="12.75" customHeight="1">
      <c r="A429" t="s">
        <v>684</v>
      </c>
      <c r="C429" t="s">
        <v>621</v>
      </c>
      <c r="D429">
        <v>427</v>
      </c>
      <c r="F429">
        <v>65535</v>
      </c>
      <c r="I429" t="s">
        <v>684</v>
      </c>
      <c r="AN429">
        <v>0</v>
      </c>
      <c r="AO429">
        <v>0</v>
      </c>
      <c r="AP429">
        <v>0</v>
      </c>
      <c r="AS429">
        <v>65535</v>
      </c>
      <c r="AT429">
        <v>65535</v>
      </c>
      <c r="AU429">
        <v>65535</v>
      </c>
      <c r="BI429">
        <v>0</v>
      </c>
      <c r="BK429">
        <v>0</v>
      </c>
      <c r="BL429">
        <v>0</v>
      </c>
      <c r="BP429">
        <v>65535</v>
      </c>
      <c r="BQ429">
        <v>65535</v>
      </c>
      <c r="CB429">
        <v>19.145517349243164</v>
      </c>
      <c r="CC429">
        <v>6.76690673828125</v>
      </c>
      <c r="CD429" t="s">
        <v>617</v>
      </c>
      <c r="CE429" t="s">
        <v>623</v>
      </c>
    </row>
    <row r="430" spans="1:83" ht="12.75" customHeight="1">
      <c r="A430" t="s">
        <v>733</v>
      </c>
      <c r="C430" t="s">
        <v>625</v>
      </c>
      <c r="D430">
        <v>428</v>
      </c>
      <c r="F430">
        <v>65535</v>
      </c>
      <c r="I430" t="s">
        <v>733</v>
      </c>
      <c r="R430">
        <v>5.2799968719482422</v>
      </c>
      <c r="T430">
        <v>22.175985336303711</v>
      </c>
      <c r="W430" s="514">
        <v>44245.742789351854</v>
      </c>
      <c r="AN430">
        <v>0</v>
      </c>
      <c r="AO430">
        <v>0</v>
      </c>
      <c r="AP430">
        <v>0</v>
      </c>
      <c r="AS430">
        <v>0</v>
      </c>
      <c r="AT430">
        <v>0</v>
      </c>
      <c r="AU430">
        <v>0</v>
      </c>
      <c r="AW430">
        <v>0</v>
      </c>
      <c r="AZ430">
        <v>0</v>
      </c>
      <c r="BA430">
        <v>-4.9901386955752969E-4</v>
      </c>
      <c r="BB430">
        <v>0</v>
      </c>
      <c r="BC430">
        <v>7.7232818603515625</v>
      </c>
      <c r="BD430">
        <v>-7.7227516174316406</v>
      </c>
      <c r="BI430">
        <v>0</v>
      </c>
      <c r="BJ430">
        <v>0</v>
      </c>
      <c r="BK430">
        <v>0</v>
      </c>
      <c r="BL430">
        <v>0</v>
      </c>
      <c r="BM430">
        <v>-9.0625775328589953E-7</v>
      </c>
      <c r="BN430">
        <v>1.9124755859375</v>
      </c>
      <c r="BP430">
        <v>65535</v>
      </c>
      <c r="BQ430">
        <v>65535</v>
      </c>
      <c r="BR430">
        <v>0</v>
      </c>
      <c r="BS430">
        <v>-4.9901386955752969E-4</v>
      </c>
      <c r="BT430">
        <v>0</v>
      </c>
      <c r="BU430">
        <v>7.7232818603515625</v>
      </c>
      <c r="BV430">
        <v>-7.7227516174316406</v>
      </c>
      <c r="BW430" t="s">
        <v>615</v>
      </c>
      <c r="BX430">
        <v>-9.0625775328589953E-7</v>
      </c>
      <c r="BY430">
        <v>1.9124755859375</v>
      </c>
      <c r="CB430">
        <v>18.361297607421875</v>
      </c>
      <c r="CC430">
        <v>7.3931293487548828</v>
      </c>
    </row>
    <row r="431" spans="1:83" ht="12.75" customHeight="1">
      <c r="A431" t="s">
        <v>733</v>
      </c>
      <c r="C431" t="s">
        <v>625</v>
      </c>
      <c r="D431">
        <v>429</v>
      </c>
      <c r="F431">
        <v>65535</v>
      </c>
      <c r="I431" t="s">
        <v>733</v>
      </c>
      <c r="AN431">
        <v>0</v>
      </c>
      <c r="AO431">
        <v>0</v>
      </c>
      <c r="AP431">
        <v>0</v>
      </c>
      <c r="AS431">
        <v>65535</v>
      </c>
      <c r="AT431">
        <v>65535</v>
      </c>
      <c r="AU431">
        <v>65535</v>
      </c>
      <c r="BI431">
        <v>0</v>
      </c>
      <c r="BK431">
        <v>0</v>
      </c>
      <c r="BL431">
        <v>0</v>
      </c>
      <c r="BP431">
        <v>65535</v>
      </c>
      <c r="BQ431">
        <v>65535</v>
      </c>
      <c r="CB431">
        <v>19.859947204589844</v>
      </c>
      <c r="CC431">
        <v>6.3900127410888672</v>
      </c>
    </row>
    <row r="432" spans="1:83" ht="12.75" customHeight="1">
      <c r="A432" t="s">
        <v>733</v>
      </c>
      <c r="C432" t="s">
        <v>625</v>
      </c>
      <c r="D432">
        <v>430</v>
      </c>
      <c r="F432">
        <v>65535</v>
      </c>
      <c r="I432" t="s">
        <v>733</v>
      </c>
      <c r="AN432">
        <v>0</v>
      </c>
      <c r="AO432">
        <v>0</v>
      </c>
      <c r="AP432">
        <v>0</v>
      </c>
      <c r="AS432">
        <v>65535</v>
      </c>
      <c r="AT432">
        <v>65535</v>
      </c>
      <c r="AU432">
        <v>65535</v>
      </c>
      <c r="BI432">
        <v>0</v>
      </c>
      <c r="BK432">
        <v>0</v>
      </c>
      <c r="BL432">
        <v>0</v>
      </c>
      <c r="BP432">
        <v>65535</v>
      </c>
      <c r="BQ432">
        <v>65535</v>
      </c>
      <c r="CB432">
        <v>18.637947082519531</v>
      </c>
      <c r="CC432">
        <v>7.255988597869873</v>
      </c>
    </row>
    <row r="433" spans="1:83" ht="12.75" customHeight="1">
      <c r="A433" t="s">
        <v>760</v>
      </c>
      <c r="C433" t="s">
        <v>625</v>
      </c>
      <c r="D433">
        <v>431</v>
      </c>
      <c r="F433">
        <v>65535</v>
      </c>
      <c r="I433" t="s">
        <v>760</v>
      </c>
      <c r="AN433">
        <v>0</v>
      </c>
      <c r="AO433">
        <v>0</v>
      </c>
      <c r="AP433">
        <v>0</v>
      </c>
      <c r="AS433">
        <v>65535</v>
      </c>
      <c r="AT433">
        <v>65535</v>
      </c>
      <c r="AU433">
        <v>65535</v>
      </c>
      <c r="BI433">
        <v>0</v>
      </c>
      <c r="BK433">
        <v>0</v>
      </c>
      <c r="BL433">
        <v>0</v>
      </c>
      <c r="BP433">
        <v>65535</v>
      </c>
      <c r="BQ433">
        <v>65535</v>
      </c>
      <c r="CB433">
        <v>20.659940719604492</v>
      </c>
      <c r="CC433">
        <v>5.4541282653808594</v>
      </c>
    </row>
    <row r="434" spans="1:83" ht="12.75" customHeight="1">
      <c r="A434" t="s">
        <v>634</v>
      </c>
      <c r="C434" t="s">
        <v>625</v>
      </c>
      <c r="D434">
        <v>432</v>
      </c>
      <c r="F434">
        <v>65535</v>
      </c>
      <c r="I434" t="s">
        <v>634</v>
      </c>
      <c r="AN434">
        <v>0</v>
      </c>
      <c r="AO434">
        <v>0</v>
      </c>
      <c r="AP434">
        <v>0</v>
      </c>
      <c r="AS434">
        <v>65535</v>
      </c>
      <c r="AT434">
        <v>65535</v>
      </c>
      <c r="AU434">
        <v>65535</v>
      </c>
      <c r="BI434">
        <v>0</v>
      </c>
      <c r="BK434">
        <v>0</v>
      </c>
      <c r="BL434">
        <v>0</v>
      </c>
      <c r="BP434">
        <v>65535</v>
      </c>
      <c r="BQ434">
        <v>65535</v>
      </c>
      <c r="CB434">
        <v>21.366247177124023</v>
      </c>
      <c r="CC434">
        <v>5.3374152183532715</v>
      </c>
    </row>
    <row r="435" spans="1:83" ht="12.75" customHeight="1">
      <c r="A435" t="s">
        <v>775</v>
      </c>
      <c r="C435" t="s">
        <v>772</v>
      </c>
      <c r="D435">
        <v>433</v>
      </c>
      <c r="F435">
        <v>65535</v>
      </c>
      <c r="I435" t="s">
        <v>775</v>
      </c>
      <c r="AN435">
        <v>0</v>
      </c>
      <c r="AO435">
        <v>0</v>
      </c>
      <c r="AP435">
        <v>0</v>
      </c>
      <c r="AS435">
        <v>65535</v>
      </c>
      <c r="AT435">
        <v>65535</v>
      </c>
      <c r="AU435">
        <v>65535</v>
      </c>
      <c r="BI435">
        <v>0</v>
      </c>
      <c r="BK435">
        <v>0</v>
      </c>
      <c r="BL435">
        <v>0</v>
      </c>
      <c r="BP435">
        <v>65535</v>
      </c>
      <c r="BQ435">
        <v>65535</v>
      </c>
      <c r="CB435">
        <v>20.374908447265625</v>
      </c>
      <c r="CC435">
        <v>5.9985451698303223</v>
      </c>
    </row>
    <row r="436" spans="1:83" ht="12.75" customHeight="1">
      <c r="A436" t="s">
        <v>657</v>
      </c>
      <c r="C436" t="s">
        <v>694</v>
      </c>
      <c r="D436">
        <v>434</v>
      </c>
      <c r="F436">
        <v>65535</v>
      </c>
      <c r="I436" t="s">
        <v>657</v>
      </c>
      <c r="AN436">
        <v>0</v>
      </c>
      <c r="AO436">
        <v>0</v>
      </c>
      <c r="AP436">
        <v>0</v>
      </c>
      <c r="AS436">
        <v>65535</v>
      </c>
      <c r="AT436">
        <v>65535</v>
      </c>
      <c r="AU436">
        <v>65535</v>
      </c>
      <c r="BI436">
        <v>0</v>
      </c>
      <c r="BK436">
        <v>0</v>
      </c>
      <c r="BL436">
        <v>0</v>
      </c>
      <c r="BP436">
        <v>65535</v>
      </c>
      <c r="BQ436">
        <v>65535</v>
      </c>
      <c r="CB436">
        <v>21.353191375732422</v>
      </c>
      <c r="CC436">
        <v>5.3838324546813965</v>
      </c>
      <c r="CD436" t="s">
        <v>631</v>
      </c>
      <c r="CE436" t="s">
        <v>632</v>
      </c>
    </row>
    <row r="437" spans="1:83" ht="12.75" customHeight="1">
      <c r="A437" t="s">
        <v>776</v>
      </c>
      <c r="C437" t="s">
        <v>772</v>
      </c>
      <c r="D437">
        <v>435</v>
      </c>
      <c r="F437">
        <v>65535</v>
      </c>
      <c r="I437" t="s">
        <v>776</v>
      </c>
      <c r="R437">
        <v>9.3600034713745117</v>
      </c>
      <c r="T437">
        <v>39.31201171875</v>
      </c>
      <c r="W437" s="514">
        <v>44245.742812500001</v>
      </c>
      <c r="AN437">
        <v>0</v>
      </c>
      <c r="AO437">
        <v>0</v>
      </c>
      <c r="AP437">
        <v>0</v>
      </c>
      <c r="AS437">
        <v>0</v>
      </c>
      <c r="AT437">
        <v>0</v>
      </c>
      <c r="AU437">
        <v>0</v>
      </c>
      <c r="AW437">
        <v>0</v>
      </c>
      <c r="AZ437">
        <v>0</v>
      </c>
      <c r="BA437">
        <v>-3.8550273166038096E-4</v>
      </c>
      <c r="BB437">
        <v>0</v>
      </c>
      <c r="BC437">
        <v>15.564014434814453</v>
      </c>
      <c r="BD437">
        <v>-15.563601493835449</v>
      </c>
      <c r="BI437">
        <v>0</v>
      </c>
      <c r="BJ437">
        <v>0</v>
      </c>
      <c r="BK437">
        <v>0</v>
      </c>
      <c r="BL437">
        <v>0</v>
      </c>
      <c r="BM437">
        <v>3.3443017556781179E-28</v>
      </c>
      <c r="BN437">
        <v>0.805908203125</v>
      </c>
      <c r="BP437">
        <v>65535</v>
      </c>
      <c r="BQ437">
        <v>65535</v>
      </c>
      <c r="BR437">
        <v>0</v>
      </c>
      <c r="BS437">
        <v>-3.8550273166038096E-4</v>
      </c>
      <c r="BT437">
        <v>0</v>
      </c>
      <c r="BU437">
        <v>15.564014434814453</v>
      </c>
      <c r="BV437">
        <v>-15.563601493835449</v>
      </c>
      <c r="BW437" t="s">
        <v>615</v>
      </c>
      <c r="BX437">
        <v>3.3443017556781179E-28</v>
      </c>
      <c r="BY437">
        <v>0.805908203125</v>
      </c>
      <c r="CB437">
        <v>20.374908447265625</v>
      </c>
      <c r="CC437">
        <v>5.9985451698303223</v>
      </c>
    </row>
    <row r="438" spans="1:83" ht="12.75" customHeight="1">
      <c r="A438" t="s">
        <v>660</v>
      </c>
      <c r="C438" t="s">
        <v>772</v>
      </c>
      <c r="D438">
        <v>436</v>
      </c>
      <c r="F438">
        <v>65535</v>
      </c>
      <c r="I438" t="s">
        <v>660</v>
      </c>
      <c r="R438">
        <v>9.3600034713745117</v>
      </c>
      <c r="T438">
        <v>39.31201171875</v>
      </c>
      <c r="W438" s="514">
        <v>44245.742812500001</v>
      </c>
      <c r="AN438">
        <v>0</v>
      </c>
      <c r="AO438">
        <v>0</v>
      </c>
      <c r="AP438">
        <v>0</v>
      </c>
      <c r="AS438">
        <v>0</v>
      </c>
      <c r="AT438">
        <v>0</v>
      </c>
      <c r="AU438">
        <v>0</v>
      </c>
      <c r="AW438">
        <v>0</v>
      </c>
      <c r="AZ438">
        <v>0</v>
      </c>
      <c r="BA438">
        <v>-3.8550273166038096E-4</v>
      </c>
      <c r="BB438">
        <v>0</v>
      </c>
      <c r="BC438">
        <v>15.564014434814453</v>
      </c>
      <c r="BD438">
        <v>-15.563601493835449</v>
      </c>
      <c r="BI438">
        <v>0</v>
      </c>
      <c r="BJ438">
        <v>0</v>
      </c>
      <c r="BK438">
        <v>0</v>
      </c>
      <c r="BL438">
        <v>0</v>
      </c>
      <c r="BM438">
        <v>3.3443017556781179E-28</v>
      </c>
      <c r="BN438">
        <v>0.805908203125</v>
      </c>
      <c r="BP438">
        <v>65535</v>
      </c>
      <c r="BQ438">
        <v>65535</v>
      </c>
      <c r="BR438">
        <v>0</v>
      </c>
      <c r="BS438">
        <v>-3.8550273166038096E-4</v>
      </c>
      <c r="BT438">
        <v>0</v>
      </c>
      <c r="BU438">
        <v>15.564014434814453</v>
      </c>
      <c r="BV438">
        <v>-15.563601493835449</v>
      </c>
      <c r="BW438" t="s">
        <v>615</v>
      </c>
      <c r="BX438">
        <v>3.3443017556781179E-28</v>
      </c>
      <c r="BY438">
        <v>0.805908203125</v>
      </c>
      <c r="CB438">
        <v>21.353191375732422</v>
      </c>
      <c r="CC438">
        <v>5.3838324546813965</v>
      </c>
      <c r="CD438" t="s">
        <v>616</v>
      </c>
      <c r="CE438" t="s">
        <v>619</v>
      </c>
    </row>
    <row r="439" spans="1:83" ht="12.75" customHeight="1">
      <c r="A439" t="s">
        <v>777</v>
      </c>
      <c r="C439" t="s">
        <v>635</v>
      </c>
      <c r="D439">
        <v>437</v>
      </c>
      <c r="F439">
        <v>65535</v>
      </c>
      <c r="I439" t="s">
        <v>777</v>
      </c>
      <c r="R439">
        <v>7.7999982833862305</v>
      </c>
      <c r="T439">
        <v>32.759994506835938</v>
      </c>
      <c r="W439" s="514">
        <v>44245.742824074077</v>
      </c>
      <c r="AN439">
        <v>0</v>
      </c>
      <c r="AO439">
        <v>0</v>
      </c>
      <c r="AP439">
        <v>0</v>
      </c>
      <c r="AS439">
        <v>0</v>
      </c>
      <c r="AT439">
        <v>0</v>
      </c>
      <c r="AU439">
        <v>0</v>
      </c>
      <c r="AW439">
        <v>0</v>
      </c>
      <c r="AZ439">
        <v>0</v>
      </c>
      <c r="BA439">
        <v>-5.2172329742461443E-4</v>
      </c>
      <c r="BB439">
        <v>0</v>
      </c>
      <c r="BC439">
        <v>11.092475891113281</v>
      </c>
      <c r="BD439">
        <v>-11.091865539550781</v>
      </c>
      <c r="BI439">
        <v>0</v>
      </c>
      <c r="BJ439">
        <v>0</v>
      </c>
      <c r="BK439">
        <v>0</v>
      </c>
      <c r="BL439">
        <v>0</v>
      </c>
      <c r="BM439">
        <v>48622374912</v>
      </c>
      <c r="BN439">
        <v>2.126922607421875</v>
      </c>
      <c r="BP439">
        <v>65535</v>
      </c>
      <c r="BQ439">
        <v>65535</v>
      </c>
      <c r="BR439">
        <v>0</v>
      </c>
      <c r="BS439">
        <v>-5.2172329742461443E-4</v>
      </c>
      <c r="BT439">
        <v>0</v>
      </c>
      <c r="BU439">
        <v>11.092475891113281</v>
      </c>
      <c r="BV439">
        <v>-11.091865539550781</v>
      </c>
      <c r="BW439" t="s">
        <v>615</v>
      </c>
      <c r="BX439">
        <v>48622374912</v>
      </c>
      <c r="BY439">
        <v>2.126922607421875</v>
      </c>
      <c r="CB439">
        <v>25.7955322265625</v>
      </c>
      <c r="CC439">
        <v>2.8672349452972412</v>
      </c>
      <c r="CD439" t="s">
        <v>709</v>
      </c>
      <c r="CE439" t="s">
        <v>710</v>
      </c>
    </row>
    <row r="440" spans="1:83" ht="12.75" customHeight="1">
      <c r="A440" t="s">
        <v>778</v>
      </c>
      <c r="C440" t="s">
        <v>635</v>
      </c>
      <c r="D440">
        <v>438</v>
      </c>
      <c r="F440">
        <v>65535</v>
      </c>
      <c r="I440" t="s">
        <v>778</v>
      </c>
      <c r="R440">
        <v>7.7999982833862305</v>
      </c>
      <c r="T440">
        <v>32.759994506835938</v>
      </c>
      <c r="W440" s="514">
        <v>44245.742824074077</v>
      </c>
      <c r="AN440">
        <v>0</v>
      </c>
      <c r="AO440">
        <v>0</v>
      </c>
      <c r="AP440">
        <v>0</v>
      </c>
      <c r="AS440">
        <v>0</v>
      </c>
      <c r="AT440">
        <v>0</v>
      </c>
      <c r="AU440">
        <v>0</v>
      </c>
      <c r="AW440">
        <v>0</v>
      </c>
      <c r="AZ440">
        <v>0</v>
      </c>
      <c r="BA440">
        <v>-5.2172329742461443E-4</v>
      </c>
      <c r="BB440">
        <v>0</v>
      </c>
      <c r="BC440">
        <v>11.092475891113281</v>
      </c>
      <c r="BD440">
        <v>-11.091865539550781</v>
      </c>
      <c r="BI440">
        <v>0</v>
      </c>
      <c r="BJ440">
        <v>0</v>
      </c>
      <c r="BK440">
        <v>0</v>
      </c>
      <c r="BL440">
        <v>0</v>
      </c>
      <c r="BM440">
        <v>48622374912</v>
      </c>
      <c r="BN440">
        <v>2.126922607421875</v>
      </c>
      <c r="BP440">
        <v>65535</v>
      </c>
      <c r="BQ440">
        <v>65535</v>
      </c>
      <c r="BR440">
        <v>0</v>
      </c>
      <c r="BS440">
        <v>-5.2172329742461443E-4</v>
      </c>
      <c r="BT440">
        <v>0</v>
      </c>
      <c r="BU440">
        <v>11.092475891113281</v>
      </c>
      <c r="BV440">
        <v>-11.091865539550781</v>
      </c>
      <c r="BW440" t="s">
        <v>615</v>
      </c>
      <c r="BX440">
        <v>48622374912</v>
      </c>
      <c r="BY440">
        <v>2.126922607421875</v>
      </c>
      <c r="CB440">
        <v>18.650167465209961</v>
      </c>
      <c r="CC440">
        <v>7.1862478256225586</v>
      </c>
      <c r="CD440" t="s">
        <v>617</v>
      </c>
      <c r="CE440" t="s">
        <v>623</v>
      </c>
    </row>
    <row r="441" spans="1:83" ht="12.75" customHeight="1">
      <c r="A441" t="s">
        <v>642</v>
      </c>
      <c r="C441" t="s">
        <v>625</v>
      </c>
      <c r="D441">
        <v>439</v>
      </c>
      <c r="F441">
        <v>65535</v>
      </c>
      <c r="I441" t="s">
        <v>642</v>
      </c>
      <c r="R441">
        <v>7.7999982833862305</v>
      </c>
      <c r="T441">
        <v>32.759994506835938</v>
      </c>
      <c r="W441" s="514">
        <v>44245.742824074077</v>
      </c>
      <c r="AN441">
        <v>0</v>
      </c>
      <c r="AO441">
        <v>0</v>
      </c>
      <c r="AP441">
        <v>0</v>
      </c>
      <c r="AS441">
        <v>0</v>
      </c>
      <c r="AT441">
        <v>0</v>
      </c>
      <c r="AU441">
        <v>0</v>
      </c>
      <c r="AW441">
        <v>0</v>
      </c>
      <c r="AZ441">
        <v>0</v>
      </c>
      <c r="BA441">
        <v>-5.2172329742461443E-4</v>
      </c>
      <c r="BB441">
        <v>0</v>
      </c>
      <c r="BC441">
        <v>11.092475891113281</v>
      </c>
      <c r="BD441">
        <v>-11.091865539550781</v>
      </c>
      <c r="BI441">
        <v>0</v>
      </c>
      <c r="BJ441">
        <v>0</v>
      </c>
      <c r="BK441">
        <v>0</v>
      </c>
      <c r="BL441">
        <v>0</v>
      </c>
      <c r="BM441">
        <v>48622374912</v>
      </c>
      <c r="BN441">
        <v>2.126922607421875</v>
      </c>
      <c r="BP441">
        <v>65535</v>
      </c>
      <c r="BQ441">
        <v>65535</v>
      </c>
      <c r="BR441">
        <v>0</v>
      </c>
      <c r="BS441">
        <v>-5.2172329742461443E-4</v>
      </c>
      <c r="BT441">
        <v>0</v>
      </c>
      <c r="BU441">
        <v>11.092475891113281</v>
      </c>
      <c r="BV441">
        <v>-11.091865539550781</v>
      </c>
      <c r="BW441" t="s">
        <v>615</v>
      </c>
      <c r="BX441">
        <v>48622374912</v>
      </c>
      <c r="BY441">
        <v>2.126922607421875</v>
      </c>
      <c r="CB441">
        <v>19.24894905090332</v>
      </c>
      <c r="CC441">
        <v>6.8145103454589844</v>
      </c>
      <c r="CD441" t="s">
        <v>617</v>
      </c>
      <c r="CE441" t="s">
        <v>623</v>
      </c>
    </row>
    <row r="442" spans="1:83" ht="12.75" customHeight="1">
      <c r="A442" t="s">
        <v>773</v>
      </c>
      <c r="C442" t="s">
        <v>625</v>
      </c>
      <c r="D442">
        <v>440</v>
      </c>
      <c r="F442">
        <v>65535</v>
      </c>
      <c r="I442" t="s">
        <v>773</v>
      </c>
      <c r="R442">
        <v>7.7999944686889648</v>
      </c>
      <c r="T442">
        <v>32.759975433349609</v>
      </c>
      <c r="W442" s="514">
        <v>44245.742858796293</v>
      </c>
      <c r="AN442">
        <v>0</v>
      </c>
      <c r="AO442">
        <v>0</v>
      </c>
      <c r="AP442">
        <v>0</v>
      </c>
      <c r="AS442">
        <v>0</v>
      </c>
      <c r="AT442">
        <v>0</v>
      </c>
      <c r="AU442">
        <v>0</v>
      </c>
      <c r="AW442">
        <v>0</v>
      </c>
      <c r="AZ442">
        <v>0</v>
      </c>
      <c r="BA442">
        <v>-5.5736274225637317E-4</v>
      </c>
      <c r="BB442">
        <v>0</v>
      </c>
      <c r="BC442">
        <v>10.434837341308594</v>
      </c>
      <c r="BD442">
        <v>-10.434341430664063</v>
      </c>
      <c r="BI442">
        <v>0</v>
      </c>
      <c r="BJ442">
        <v>0</v>
      </c>
      <c r="BK442">
        <v>0</v>
      </c>
      <c r="BL442">
        <v>0</v>
      </c>
      <c r="BM442">
        <v>5.7512407903939759E-22</v>
      </c>
      <c r="BN442">
        <v>2.47845458984375</v>
      </c>
      <c r="BP442">
        <v>65535</v>
      </c>
      <c r="BQ442">
        <v>65535</v>
      </c>
      <c r="BR442">
        <v>0</v>
      </c>
      <c r="BS442">
        <v>-5.5736274225637317E-4</v>
      </c>
      <c r="BT442">
        <v>0</v>
      </c>
      <c r="BU442">
        <v>10.434837341308594</v>
      </c>
      <c r="BV442">
        <v>-10.434341430664063</v>
      </c>
      <c r="BW442" t="s">
        <v>615</v>
      </c>
      <c r="BX442">
        <v>5.7512407903939759E-22</v>
      </c>
      <c r="BY442">
        <v>2.47845458984375</v>
      </c>
      <c r="CB442">
        <v>24.933876037597656</v>
      </c>
      <c r="CC442">
        <v>3.0086116790771484</v>
      </c>
      <c r="CD442" t="s">
        <v>774</v>
      </c>
      <c r="CE442" t="s">
        <v>679</v>
      </c>
    </row>
    <row r="443" spans="1:83" ht="12.75" customHeight="1">
      <c r="A443" t="s">
        <v>642</v>
      </c>
      <c r="C443" t="s">
        <v>621</v>
      </c>
      <c r="D443">
        <v>441</v>
      </c>
      <c r="F443">
        <v>65535</v>
      </c>
      <c r="I443" t="s">
        <v>642</v>
      </c>
      <c r="R443">
        <v>7.7999944686889648</v>
      </c>
      <c r="T443">
        <v>32.759975433349609</v>
      </c>
      <c r="W443" s="514">
        <v>44245.742858796293</v>
      </c>
      <c r="AN443">
        <v>0</v>
      </c>
      <c r="AO443">
        <v>0</v>
      </c>
      <c r="AP443">
        <v>0</v>
      </c>
      <c r="AS443">
        <v>0</v>
      </c>
      <c r="AT443">
        <v>0</v>
      </c>
      <c r="AU443">
        <v>0</v>
      </c>
      <c r="AW443">
        <v>0</v>
      </c>
      <c r="AZ443">
        <v>0</v>
      </c>
      <c r="BA443">
        <v>-5.5736274225637317E-4</v>
      </c>
      <c r="BB443">
        <v>0</v>
      </c>
      <c r="BC443">
        <v>10.434837341308594</v>
      </c>
      <c r="BD443">
        <v>-10.434341430664063</v>
      </c>
      <c r="BI443">
        <v>0</v>
      </c>
      <c r="BJ443">
        <v>0</v>
      </c>
      <c r="BK443">
        <v>0</v>
      </c>
      <c r="BL443">
        <v>0</v>
      </c>
      <c r="BM443">
        <v>5.7512407903939759E-22</v>
      </c>
      <c r="BN443">
        <v>2.47845458984375</v>
      </c>
      <c r="BP443">
        <v>65535</v>
      </c>
      <c r="BQ443">
        <v>65535</v>
      </c>
      <c r="BR443">
        <v>0</v>
      </c>
      <c r="BS443">
        <v>-5.5736274225637317E-4</v>
      </c>
      <c r="BT443">
        <v>0</v>
      </c>
      <c r="BU443">
        <v>10.434837341308594</v>
      </c>
      <c r="BV443">
        <v>-10.434341430664063</v>
      </c>
      <c r="BW443" t="s">
        <v>615</v>
      </c>
      <c r="BX443">
        <v>5.7512407903939759E-22</v>
      </c>
      <c r="BY443">
        <v>2.47845458984375</v>
      </c>
      <c r="CB443">
        <v>19.252382278442383</v>
      </c>
      <c r="CC443">
        <v>6.6991314888000488</v>
      </c>
      <c r="CD443" t="s">
        <v>617</v>
      </c>
      <c r="CE443" t="s">
        <v>623</v>
      </c>
    </row>
    <row r="444" spans="1:83" ht="12.75" customHeight="1">
      <c r="A444" t="s">
        <v>642</v>
      </c>
      <c r="C444" t="s">
        <v>621</v>
      </c>
      <c r="D444">
        <v>442</v>
      </c>
      <c r="F444">
        <v>65535</v>
      </c>
      <c r="I444" t="s">
        <v>642</v>
      </c>
      <c r="R444">
        <v>7.7999944686889648</v>
      </c>
      <c r="T444">
        <v>32.759975433349609</v>
      </c>
      <c r="W444" s="514">
        <v>44245.742858796293</v>
      </c>
      <c r="AN444">
        <v>0</v>
      </c>
      <c r="AO444">
        <v>0</v>
      </c>
      <c r="AP444">
        <v>0</v>
      </c>
      <c r="AS444">
        <v>0</v>
      </c>
      <c r="AT444">
        <v>0</v>
      </c>
      <c r="AU444">
        <v>0</v>
      </c>
      <c r="AW444">
        <v>0</v>
      </c>
      <c r="AZ444">
        <v>0</v>
      </c>
      <c r="BA444">
        <v>-5.5736274225637317E-4</v>
      </c>
      <c r="BB444">
        <v>0</v>
      </c>
      <c r="BC444">
        <v>10.434837341308594</v>
      </c>
      <c r="BD444">
        <v>-10.434341430664063</v>
      </c>
      <c r="BI444">
        <v>0</v>
      </c>
      <c r="BJ444">
        <v>0</v>
      </c>
      <c r="BK444">
        <v>0</v>
      </c>
      <c r="BL444">
        <v>0</v>
      </c>
      <c r="BM444">
        <v>5.7512407903939759E-22</v>
      </c>
      <c r="BN444">
        <v>2.47845458984375</v>
      </c>
      <c r="BP444">
        <v>65535</v>
      </c>
      <c r="BQ444">
        <v>65535</v>
      </c>
      <c r="BR444">
        <v>0</v>
      </c>
      <c r="BS444">
        <v>-5.5736274225637317E-4</v>
      </c>
      <c r="BT444">
        <v>0</v>
      </c>
      <c r="BU444">
        <v>10.434837341308594</v>
      </c>
      <c r="BV444">
        <v>-10.434341430664063</v>
      </c>
      <c r="BW444" t="s">
        <v>615</v>
      </c>
      <c r="BX444">
        <v>5.7512407903939759E-22</v>
      </c>
      <c r="BY444">
        <v>2.47845458984375</v>
      </c>
      <c r="CB444">
        <v>18.400123596191406</v>
      </c>
      <c r="CC444">
        <v>7.4688544273376465</v>
      </c>
      <c r="CD444" t="s">
        <v>617</v>
      </c>
      <c r="CE444" t="s">
        <v>623</v>
      </c>
    </row>
    <row r="445" spans="1:83" ht="12.75" customHeight="1">
      <c r="A445" t="s">
        <v>642</v>
      </c>
      <c r="C445" t="s">
        <v>621</v>
      </c>
      <c r="D445">
        <v>443</v>
      </c>
      <c r="F445">
        <v>65535</v>
      </c>
      <c r="I445" t="s">
        <v>642</v>
      </c>
      <c r="R445">
        <v>7.280001163482666</v>
      </c>
      <c r="T445">
        <v>30.576005935668945</v>
      </c>
      <c r="W445" s="514">
        <v>44245.742905092593</v>
      </c>
      <c r="AN445">
        <v>0</v>
      </c>
      <c r="AO445">
        <v>0</v>
      </c>
      <c r="AP445">
        <v>0</v>
      </c>
      <c r="AS445">
        <v>0</v>
      </c>
      <c r="AT445">
        <v>0</v>
      </c>
      <c r="AU445">
        <v>0</v>
      </c>
      <c r="AW445">
        <v>0</v>
      </c>
      <c r="AZ445">
        <v>0</v>
      </c>
      <c r="BA445">
        <v>-5.4936431115493178E-4</v>
      </c>
      <c r="BB445">
        <v>0</v>
      </c>
      <c r="BC445">
        <v>9.9062042236328125</v>
      </c>
      <c r="BD445">
        <v>-9.9055871963500977</v>
      </c>
      <c r="BI445">
        <v>0</v>
      </c>
      <c r="BJ445">
        <v>0</v>
      </c>
      <c r="BK445">
        <v>0</v>
      </c>
      <c r="BL445">
        <v>0</v>
      </c>
      <c r="BM445">
        <v>2.4326769765270484E-11</v>
      </c>
      <c r="BN445">
        <v>2.3984375</v>
      </c>
      <c r="BP445">
        <v>65535</v>
      </c>
      <c r="BQ445">
        <v>65535</v>
      </c>
      <c r="BR445">
        <v>0</v>
      </c>
      <c r="BS445">
        <v>-5.4936431115493178E-4</v>
      </c>
      <c r="BT445">
        <v>0</v>
      </c>
      <c r="BU445">
        <v>9.9062042236328125</v>
      </c>
      <c r="BV445">
        <v>-9.9055871963500977</v>
      </c>
      <c r="BW445" t="s">
        <v>615</v>
      </c>
      <c r="BX445">
        <v>2.4326769765270484E-11</v>
      </c>
      <c r="BY445">
        <v>2.3984375</v>
      </c>
      <c r="CB445">
        <v>22.04890251159668</v>
      </c>
      <c r="CC445">
        <v>5.0117206573486328</v>
      </c>
      <c r="CD445" t="s">
        <v>617</v>
      </c>
      <c r="CE445" t="s">
        <v>623</v>
      </c>
    </row>
    <row r="446" spans="1:83" ht="12.75" customHeight="1">
      <c r="A446" t="s">
        <v>644</v>
      </c>
      <c r="C446" t="s">
        <v>621</v>
      </c>
      <c r="D446">
        <v>444</v>
      </c>
      <c r="F446">
        <v>65535</v>
      </c>
      <c r="I446" t="s">
        <v>644</v>
      </c>
      <c r="R446">
        <v>7.280001163482666</v>
      </c>
      <c r="T446">
        <v>30.576005935668945</v>
      </c>
      <c r="W446" s="514">
        <v>44245.742905092593</v>
      </c>
      <c r="AN446">
        <v>0</v>
      </c>
      <c r="AO446">
        <v>0</v>
      </c>
      <c r="AP446">
        <v>0</v>
      </c>
      <c r="AS446">
        <v>0</v>
      </c>
      <c r="AT446">
        <v>0</v>
      </c>
      <c r="AU446">
        <v>0</v>
      </c>
      <c r="AW446">
        <v>0</v>
      </c>
      <c r="AZ446">
        <v>0</v>
      </c>
      <c r="BA446">
        <v>-5.4936431115493178E-4</v>
      </c>
      <c r="BB446">
        <v>0</v>
      </c>
      <c r="BC446">
        <v>9.9062042236328125</v>
      </c>
      <c r="BD446">
        <v>-9.9055871963500977</v>
      </c>
      <c r="BI446">
        <v>0</v>
      </c>
      <c r="BJ446">
        <v>0</v>
      </c>
      <c r="BK446">
        <v>0</v>
      </c>
      <c r="BL446">
        <v>0</v>
      </c>
      <c r="BM446">
        <v>2.4326769765270484E-11</v>
      </c>
      <c r="BN446">
        <v>2.3984375</v>
      </c>
      <c r="BP446">
        <v>65535</v>
      </c>
      <c r="BQ446">
        <v>65535</v>
      </c>
      <c r="BR446">
        <v>0</v>
      </c>
      <c r="BS446">
        <v>-5.4936431115493178E-4</v>
      </c>
      <c r="BT446">
        <v>0</v>
      </c>
      <c r="BU446">
        <v>9.9062042236328125</v>
      </c>
      <c r="BV446">
        <v>-9.9055871963500977</v>
      </c>
      <c r="BW446" t="s">
        <v>615</v>
      </c>
      <c r="BX446">
        <v>2.4326769765270484E-11</v>
      </c>
      <c r="BY446">
        <v>2.3984375</v>
      </c>
      <c r="CB446">
        <v>22.215604782104492</v>
      </c>
      <c r="CC446">
        <v>4.6069068908691406</v>
      </c>
      <c r="CD446" t="s">
        <v>631</v>
      </c>
      <c r="CE446" t="s">
        <v>632</v>
      </c>
    </row>
    <row r="447" spans="1:83" ht="12.75" customHeight="1">
      <c r="A447" t="s">
        <v>658</v>
      </c>
      <c r="C447" t="s">
        <v>621</v>
      </c>
      <c r="D447">
        <v>445</v>
      </c>
      <c r="F447">
        <v>65535</v>
      </c>
      <c r="I447" t="s">
        <v>658</v>
      </c>
      <c r="R447">
        <v>7.280001163482666</v>
      </c>
      <c r="T447">
        <v>30.576005935668945</v>
      </c>
      <c r="W447" s="514">
        <v>44245.742905092593</v>
      </c>
      <c r="AN447">
        <v>0</v>
      </c>
      <c r="AO447">
        <v>0</v>
      </c>
      <c r="AP447">
        <v>0</v>
      </c>
      <c r="AS447">
        <v>0</v>
      </c>
      <c r="AT447">
        <v>0</v>
      </c>
      <c r="AU447">
        <v>0</v>
      </c>
      <c r="AW447">
        <v>0</v>
      </c>
      <c r="AZ447">
        <v>0</v>
      </c>
      <c r="BA447">
        <v>-5.4936431115493178E-4</v>
      </c>
      <c r="BB447">
        <v>0</v>
      </c>
      <c r="BC447">
        <v>9.9062042236328125</v>
      </c>
      <c r="BD447">
        <v>-9.9055871963500977</v>
      </c>
      <c r="BI447">
        <v>0</v>
      </c>
      <c r="BJ447">
        <v>0</v>
      </c>
      <c r="BK447">
        <v>0</v>
      </c>
      <c r="BL447">
        <v>0</v>
      </c>
      <c r="BM447">
        <v>2.4326769765270484E-11</v>
      </c>
      <c r="BN447">
        <v>2.3984375</v>
      </c>
      <c r="BP447">
        <v>65535</v>
      </c>
      <c r="BQ447">
        <v>65535</v>
      </c>
      <c r="BR447">
        <v>0</v>
      </c>
      <c r="BS447">
        <v>-5.4936431115493178E-4</v>
      </c>
      <c r="BT447">
        <v>0</v>
      </c>
      <c r="BU447">
        <v>9.9062042236328125</v>
      </c>
      <c r="BV447">
        <v>-9.9055871963500977</v>
      </c>
      <c r="BW447" t="s">
        <v>615</v>
      </c>
      <c r="BX447">
        <v>2.4326769765270484E-11</v>
      </c>
      <c r="BY447">
        <v>2.3984375</v>
      </c>
      <c r="CB447">
        <v>18.694280624389648</v>
      </c>
      <c r="CC447">
        <v>7.1456766128540039</v>
      </c>
    </row>
    <row r="448" spans="1:83" ht="12.75" customHeight="1">
      <c r="A448" t="s">
        <v>779</v>
      </c>
      <c r="C448" t="s">
        <v>621</v>
      </c>
      <c r="D448">
        <v>446</v>
      </c>
      <c r="F448">
        <v>65535</v>
      </c>
      <c r="I448" t="s">
        <v>779</v>
      </c>
      <c r="R448">
        <v>7.8000001907348633</v>
      </c>
      <c r="T448">
        <v>32.759998321533203</v>
      </c>
      <c r="W448" s="514">
        <v>44245.74291666667</v>
      </c>
      <c r="AN448">
        <v>0</v>
      </c>
      <c r="AO448">
        <v>0</v>
      </c>
      <c r="AP448">
        <v>0</v>
      </c>
      <c r="AS448">
        <v>0</v>
      </c>
      <c r="AT448">
        <v>0</v>
      </c>
      <c r="AU448">
        <v>0</v>
      </c>
      <c r="AW448">
        <v>0</v>
      </c>
      <c r="AZ448">
        <v>0</v>
      </c>
      <c r="BA448">
        <v>-5.4153113160282373E-4</v>
      </c>
      <c r="BB448">
        <v>0</v>
      </c>
      <c r="BC448">
        <v>10.747062683105469</v>
      </c>
      <c r="BD448">
        <v>-10.746562957763672</v>
      </c>
      <c r="BI448">
        <v>0</v>
      </c>
      <c r="BJ448">
        <v>0</v>
      </c>
      <c r="BK448">
        <v>0</v>
      </c>
      <c r="BL448">
        <v>0</v>
      </c>
      <c r="BM448">
        <v>8.7486061058570168E-26</v>
      </c>
      <c r="BN448">
        <v>2.322296142578125</v>
      </c>
      <c r="BP448">
        <v>65535</v>
      </c>
      <c r="BQ448">
        <v>65535</v>
      </c>
      <c r="BR448">
        <v>0</v>
      </c>
      <c r="BS448">
        <v>-5.4153113160282373E-4</v>
      </c>
      <c r="BT448">
        <v>0</v>
      </c>
      <c r="BU448">
        <v>10.747062683105469</v>
      </c>
      <c r="BV448">
        <v>-10.746562957763672</v>
      </c>
      <c r="BW448" t="s">
        <v>615</v>
      </c>
      <c r="BX448">
        <v>8.7486061058570168E-26</v>
      </c>
      <c r="BY448">
        <v>2.322296142578125</v>
      </c>
      <c r="CB448">
        <v>18.637947082519531</v>
      </c>
      <c r="CC448">
        <v>7.255988597869873</v>
      </c>
    </row>
    <row r="449" spans="1:83" ht="12.75" customHeight="1">
      <c r="A449" t="s">
        <v>655</v>
      </c>
      <c r="C449" t="s">
        <v>621</v>
      </c>
      <c r="D449">
        <v>447</v>
      </c>
      <c r="F449">
        <v>65535</v>
      </c>
      <c r="I449" t="s">
        <v>655</v>
      </c>
      <c r="AN449">
        <v>0</v>
      </c>
      <c r="AO449">
        <v>0</v>
      </c>
      <c r="AP449">
        <v>0</v>
      </c>
      <c r="AS449">
        <v>65535</v>
      </c>
      <c r="AT449">
        <v>65535</v>
      </c>
      <c r="AU449">
        <v>65535</v>
      </c>
      <c r="BI449">
        <v>0</v>
      </c>
      <c r="BK449">
        <v>0</v>
      </c>
      <c r="BL449">
        <v>0</v>
      </c>
      <c r="BP449">
        <v>65535</v>
      </c>
      <c r="BQ449">
        <v>65535</v>
      </c>
      <c r="CB449">
        <v>20.659940719604492</v>
      </c>
      <c r="CC449">
        <v>5.4541282653808594</v>
      </c>
    </row>
    <row r="450" spans="1:83" ht="12.75" customHeight="1">
      <c r="A450" t="s">
        <v>642</v>
      </c>
      <c r="C450" t="s">
        <v>621</v>
      </c>
      <c r="D450">
        <v>448</v>
      </c>
      <c r="F450">
        <v>65535</v>
      </c>
      <c r="I450" t="s">
        <v>642</v>
      </c>
      <c r="AN450">
        <v>0</v>
      </c>
      <c r="AO450">
        <v>0</v>
      </c>
      <c r="AP450">
        <v>0</v>
      </c>
      <c r="AS450">
        <v>65535</v>
      </c>
      <c r="AT450">
        <v>65535</v>
      </c>
      <c r="AU450">
        <v>65535</v>
      </c>
      <c r="BI450">
        <v>0</v>
      </c>
      <c r="BK450">
        <v>0</v>
      </c>
      <c r="BL450">
        <v>0</v>
      </c>
      <c r="BP450">
        <v>65535</v>
      </c>
      <c r="BQ450">
        <v>65535</v>
      </c>
      <c r="CB450">
        <v>22.116357803344727</v>
      </c>
      <c r="CC450">
        <v>4.5461702346801758</v>
      </c>
      <c r="CD450" t="s">
        <v>617</v>
      </c>
      <c r="CE450" t="s">
        <v>623</v>
      </c>
    </row>
    <row r="451" spans="1:83" ht="12.75" customHeight="1">
      <c r="A451" t="s">
        <v>717</v>
      </c>
      <c r="C451" t="s">
        <v>621</v>
      </c>
      <c r="D451">
        <v>449</v>
      </c>
      <c r="F451">
        <v>65535</v>
      </c>
      <c r="I451" t="s">
        <v>717</v>
      </c>
      <c r="AN451">
        <v>0</v>
      </c>
      <c r="AO451">
        <v>0</v>
      </c>
      <c r="AP451">
        <v>0</v>
      </c>
      <c r="AS451">
        <v>65535</v>
      </c>
      <c r="AT451">
        <v>65535</v>
      </c>
      <c r="AU451">
        <v>65535</v>
      </c>
      <c r="BI451">
        <v>0</v>
      </c>
      <c r="BK451">
        <v>0</v>
      </c>
      <c r="BL451">
        <v>0</v>
      </c>
      <c r="BP451">
        <v>65535</v>
      </c>
      <c r="BQ451">
        <v>65535</v>
      </c>
      <c r="CB451">
        <v>23.527202606201172</v>
      </c>
      <c r="CC451">
        <v>3.6829361915588379</v>
      </c>
    </row>
    <row r="452" spans="1:83" ht="12.75" customHeight="1">
      <c r="A452" t="s">
        <v>780</v>
      </c>
      <c r="C452" t="s">
        <v>635</v>
      </c>
      <c r="D452">
        <v>450</v>
      </c>
      <c r="F452">
        <v>65535</v>
      </c>
      <c r="I452" t="s">
        <v>780</v>
      </c>
      <c r="AN452">
        <v>0</v>
      </c>
      <c r="AO452">
        <v>0</v>
      </c>
      <c r="AP452">
        <v>0</v>
      </c>
      <c r="AS452">
        <v>65535</v>
      </c>
      <c r="AT452">
        <v>65535</v>
      </c>
      <c r="AU452">
        <v>65535</v>
      </c>
      <c r="BI452">
        <v>0</v>
      </c>
      <c r="BK452">
        <v>0</v>
      </c>
      <c r="BL452">
        <v>0</v>
      </c>
      <c r="BP452">
        <v>65535</v>
      </c>
      <c r="BQ452">
        <v>65535</v>
      </c>
      <c r="CB452">
        <v>28.912090301513672</v>
      </c>
      <c r="CC452">
        <v>0.69829261302947998</v>
      </c>
      <c r="CD452" t="s">
        <v>617</v>
      </c>
      <c r="CE452" t="s">
        <v>623</v>
      </c>
    </row>
    <row r="453" spans="1:83" ht="12.75" customHeight="1">
      <c r="A453" t="s">
        <v>781</v>
      </c>
      <c r="C453" t="s">
        <v>635</v>
      </c>
      <c r="D453">
        <v>451</v>
      </c>
      <c r="F453">
        <v>65535</v>
      </c>
      <c r="I453" t="s">
        <v>781</v>
      </c>
      <c r="AN453">
        <v>0</v>
      </c>
      <c r="AO453">
        <v>0</v>
      </c>
      <c r="AP453">
        <v>0</v>
      </c>
      <c r="AS453">
        <v>65535</v>
      </c>
      <c r="AT453">
        <v>65535</v>
      </c>
      <c r="AU453">
        <v>65535</v>
      </c>
      <c r="BI453">
        <v>0</v>
      </c>
      <c r="BK453">
        <v>0</v>
      </c>
      <c r="BL453">
        <v>0</v>
      </c>
      <c r="BP453">
        <v>65535</v>
      </c>
      <c r="BQ453">
        <v>65535</v>
      </c>
      <c r="CB453">
        <v>22.116357803344727</v>
      </c>
      <c r="CC453">
        <v>4.5461702346801758</v>
      </c>
      <c r="CD453" t="s">
        <v>617</v>
      </c>
      <c r="CE453" t="s">
        <v>710</v>
      </c>
    </row>
    <row r="454" spans="1:83" ht="12.75" customHeight="1">
      <c r="A454" t="s">
        <v>782</v>
      </c>
      <c r="C454" t="s">
        <v>635</v>
      </c>
      <c r="D454">
        <v>452</v>
      </c>
      <c r="F454">
        <v>65535</v>
      </c>
      <c r="I454" t="s">
        <v>782</v>
      </c>
      <c r="AN454">
        <v>0</v>
      </c>
      <c r="AO454">
        <v>0</v>
      </c>
      <c r="AP454">
        <v>0</v>
      </c>
      <c r="AS454">
        <v>65535</v>
      </c>
      <c r="AT454">
        <v>65535</v>
      </c>
      <c r="AU454">
        <v>65535</v>
      </c>
      <c r="BI454">
        <v>0</v>
      </c>
      <c r="BK454">
        <v>0</v>
      </c>
      <c r="BL454">
        <v>0</v>
      </c>
      <c r="BP454">
        <v>65535</v>
      </c>
      <c r="BQ454">
        <v>65535</v>
      </c>
      <c r="CB454">
        <v>23.527202606201172</v>
      </c>
      <c r="CC454">
        <v>3.6829361915588379</v>
      </c>
      <c r="CD454" t="s">
        <v>622</v>
      </c>
      <c r="CE454" t="s">
        <v>623</v>
      </c>
    </row>
    <row r="455" spans="1:83" ht="12.75" customHeight="1">
      <c r="A455" t="s">
        <v>782</v>
      </c>
      <c r="C455" t="s">
        <v>635</v>
      </c>
      <c r="D455">
        <v>453</v>
      </c>
      <c r="F455">
        <v>65535</v>
      </c>
      <c r="I455" t="s">
        <v>782</v>
      </c>
      <c r="AN455">
        <v>0</v>
      </c>
      <c r="AO455">
        <v>0</v>
      </c>
      <c r="AP455">
        <v>0</v>
      </c>
      <c r="AS455">
        <v>65535</v>
      </c>
      <c r="AT455">
        <v>65535</v>
      </c>
      <c r="AU455">
        <v>65535</v>
      </c>
      <c r="BI455">
        <v>0</v>
      </c>
      <c r="BK455">
        <v>0</v>
      </c>
      <c r="BL455">
        <v>0</v>
      </c>
      <c r="BP455">
        <v>65535</v>
      </c>
      <c r="BQ455">
        <v>65535</v>
      </c>
      <c r="CB455">
        <v>28.912090301513672</v>
      </c>
      <c r="CC455">
        <v>0.69829261302947998</v>
      </c>
      <c r="CD455" t="s">
        <v>622</v>
      </c>
      <c r="CE455" t="s">
        <v>623</v>
      </c>
    </row>
    <row r="456" spans="1:83" ht="12.75" customHeight="1">
      <c r="A456" t="s">
        <v>783</v>
      </c>
      <c r="C456" t="s">
        <v>635</v>
      </c>
      <c r="D456">
        <v>454</v>
      </c>
      <c r="F456">
        <v>65535</v>
      </c>
      <c r="I456" t="s">
        <v>783</v>
      </c>
      <c r="AN456">
        <v>0</v>
      </c>
      <c r="AO456">
        <v>0</v>
      </c>
      <c r="AP456">
        <v>0</v>
      </c>
      <c r="AS456">
        <v>65535</v>
      </c>
      <c r="AT456">
        <v>65535</v>
      </c>
      <c r="AU456">
        <v>65535</v>
      </c>
      <c r="BI456">
        <v>0</v>
      </c>
      <c r="BK456">
        <v>0</v>
      </c>
      <c r="BL456">
        <v>0</v>
      </c>
      <c r="BP456">
        <v>65535</v>
      </c>
      <c r="BQ456">
        <v>65535</v>
      </c>
      <c r="CB456">
        <v>22.116357803344727</v>
      </c>
      <c r="CC456">
        <v>4.5461702346801758</v>
      </c>
      <c r="CD456" t="s">
        <v>784</v>
      </c>
      <c r="CE456" t="s">
        <v>679</v>
      </c>
    </row>
    <row r="457" spans="1:83" ht="12.75" customHeight="1">
      <c r="A457" t="s">
        <v>783</v>
      </c>
      <c r="C457" t="s">
        <v>635</v>
      </c>
      <c r="D457">
        <v>455</v>
      </c>
      <c r="F457">
        <v>65535</v>
      </c>
      <c r="I457" t="s">
        <v>783</v>
      </c>
      <c r="AN457">
        <v>0</v>
      </c>
      <c r="AO457">
        <v>0</v>
      </c>
      <c r="AP457">
        <v>0</v>
      </c>
      <c r="AS457">
        <v>65535</v>
      </c>
      <c r="AT457">
        <v>65535</v>
      </c>
      <c r="AU457">
        <v>65535</v>
      </c>
      <c r="BI457">
        <v>0</v>
      </c>
      <c r="BK457">
        <v>0</v>
      </c>
      <c r="BL457">
        <v>0</v>
      </c>
      <c r="BP457">
        <v>65535</v>
      </c>
      <c r="BQ457">
        <v>65535</v>
      </c>
      <c r="CB457">
        <v>23.527202606201172</v>
      </c>
      <c r="CC457">
        <v>3.6829361915588379</v>
      </c>
      <c r="CD457" t="s">
        <v>784</v>
      </c>
      <c r="CE457" t="s">
        <v>679</v>
      </c>
    </row>
    <row r="458" spans="1:83" ht="12.75" customHeight="1">
      <c r="A458" t="s">
        <v>657</v>
      </c>
      <c r="C458" t="s">
        <v>625</v>
      </c>
      <c r="D458">
        <v>456</v>
      </c>
      <c r="F458">
        <v>65535</v>
      </c>
      <c r="I458" t="s">
        <v>657</v>
      </c>
      <c r="AN458">
        <v>0</v>
      </c>
      <c r="AO458">
        <v>0</v>
      </c>
      <c r="AP458">
        <v>0</v>
      </c>
      <c r="AS458">
        <v>65535</v>
      </c>
      <c r="AT458">
        <v>65535</v>
      </c>
      <c r="AU458">
        <v>65535</v>
      </c>
      <c r="BI458">
        <v>0</v>
      </c>
      <c r="BK458">
        <v>0</v>
      </c>
      <c r="BL458">
        <v>0</v>
      </c>
      <c r="BP458">
        <v>65535</v>
      </c>
      <c r="BQ458">
        <v>65535</v>
      </c>
      <c r="CB458">
        <v>28.912090301513672</v>
      </c>
      <c r="CC458">
        <v>0.69829261302947998</v>
      </c>
      <c r="CD458" t="s">
        <v>631</v>
      </c>
      <c r="CE458" t="s">
        <v>632</v>
      </c>
    </row>
    <row r="459" spans="1:83" ht="12.75" customHeight="1">
      <c r="A459" t="s">
        <v>657</v>
      </c>
      <c r="C459" t="s">
        <v>625</v>
      </c>
      <c r="D459">
        <v>457</v>
      </c>
      <c r="F459">
        <v>65535</v>
      </c>
      <c r="I459" t="s">
        <v>657</v>
      </c>
      <c r="AN459">
        <v>0</v>
      </c>
      <c r="AO459">
        <v>0</v>
      </c>
      <c r="AP459">
        <v>0</v>
      </c>
      <c r="AS459">
        <v>65535</v>
      </c>
      <c r="AT459">
        <v>65535</v>
      </c>
      <c r="AU459">
        <v>65535</v>
      </c>
      <c r="BI459">
        <v>0</v>
      </c>
      <c r="BK459">
        <v>0</v>
      </c>
      <c r="BL459">
        <v>0</v>
      </c>
      <c r="BP459">
        <v>65535</v>
      </c>
      <c r="BQ459">
        <v>65535</v>
      </c>
      <c r="CB459">
        <v>21.926904678344727</v>
      </c>
      <c r="CC459">
        <v>4.6111984252929688</v>
      </c>
      <c r="CD459" t="s">
        <v>631</v>
      </c>
      <c r="CE459" t="s">
        <v>632</v>
      </c>
    </row>
    <row r="460" spans="1:83" ht="12.75" customHeight="1">
      <c r="A460" t="s">
        <v>785</v>
      </c>
      <c r="C460" t="s">
        <v>635</v>
      </c>
      <c r="D460">
        <v>458</v>
      </c>
      <c r="F460">
        <v>65535</v>
      </c>
      <c r="I460" t="s">
        <v>785</v>
      </c>
      <c r="AN460">
        <v>0</v>
      </c>
      <c r="AO460">
        <v>0</v>
      </c>
      <c r="AP460">
        <v>0</v>
      </c>
      <c r="AS460">
        <v>65535</v>
      </c>
      <c r="AT460">
        <v>65535</v>
      </c>
      <c r="AU460">
        <v>65535</v>
      </c>
      <c r="BI460">
        <v>0</v>
      </c>
      <c r="BK460">
        <v>0</v>
      </c>
      <c r="BL460">
        <v>0</v>
      </c>
      <c r="BP460">
        <v>65535</v>
      </c>
      <c r="BQ460">
        <v>65535</v>
      </c>
      <c r="CB460">
        <v>19.145517349243164</v>
      </c>
      <c r="CC460">
        <v>6.76690673828125</v>
      </c>
      <c r="CD460" t="s">
        <v>616</v>
      </c>
      <c r="CE460" t="s">
        <v>619</v>
      </c>
    </row>
    <row r="461" spans="1:83" ht="12.75" customHeight="1">
      <c r="A461" t="s">
        <v>786</v>
      </c>
      <c r="C461" t="s">
        <v>772</v>
      </c>
      <c r="D461">
        <v>459</v>
      </c>
      <c r="F461">
        <v>65535</v>
      </c>
      <c r="I461" t="s">
        <v>786</v>
      </c>
      <c r="R461">
        <v>6.2399992942810059</v>
      </c>
      <c r="T461">
        <v>26.207998275756836</v>
      </c>
      <c r="W461" s="514">
        <v>44245.742928240739</v>
      </c>
      <c r="AN461">
        <v>0</v>
      </c>
      <c r="AO461">
        <v>0</v>
      </c>
      <c r="AP461">
        <v>0</v>
      </c>
      <c r="AS461">
        <v>0</v>
      </c>
      <c r="AT461">
        <v>0</v>
      </c>
      <c r="AU461">
        <v>0</v>
      </c>
      <c r="AW461">
        <v>0</v>
      </c>
      <c r="AZ461">
        <v>0</v>
      </c>
      <c r="BA461">
        <v>-5.241145845502615E-4</v>
      </c>
      <c r="BB461">
        <v>0</v>
      </c>
      <c r="BC461">
        <v>8.8269271850585938</v>
      </c>
      <c r="BD461">
        <v>-8.8264093399047852</v>
      </c>
      <c r="BI461">
        <v>0</v>
      </c>
      <c r="BJ461">
        <v>0</v>
      </c>
      <c r="BK461">
        <v>0</v>
      </c>
      <c r="BL461">
        <v>0</v>
      </c>
      <c r="BM461">
        <v>-124304441344</v>
      </c>
      <c r="BN461">
        <v>2.149383544921875</v>
      </c>
      <c r="BP461">
        <v>65535</v>
      </c>
      <c r="BQ461">
        <v>65535</v>
      </c>
      <c r="BR461">
        <v>0</v>
      </c>
      <c r="BS461">
        <v>-5.241145845502615E-4</v>
      </c>
      <c r="BT461">
        <v>0</v>
      </c>
      <c r="BU461">
        <v>8.8269271850585938</v>
      </c>
      <c r="BV461">
        <v>-8.8264093399047852</v>
      </c>
      <c r="BW461" t="s">
        <v>615</v>
      </c>
      <c r="BX461">
        <v>-124304441344</v>
      </c>
      <c r="BY461">
        <v>2.149383544921875</v>
      </c>
      <c r="CB461">
        <v>18.361297607421875</v>
      </c>
      <c r="CC461">
        <v>7.3931293487548828</v>
      </c>
    </row>
    <row r="462" spans="1:83" ht="12.75" customHeight="1">
      <c r="A462" t="s">
        <v>786</v>
      </c>
      <c r="C462" t="s">
        <v>772</v>
      </c>
      <c r="D462">
        <v>460</v>
      </c>
      <c r="F462">
        <v>65535</v>
      </c>
      <c r="I462" t="s">
        <v>786</v>
      </c>
      <c r="R462">
        <v>6.2399992942810059</v>
      </c>
      <c r="T462">
        <v>26.207998275756836</v>
      </c>
      <c r="W462" s="514">
        <v>44245.742928240739</v>
      </c>
      <c r="AN462">
        <v>0</v>
      </c>
      <c r="AO462">
        <v>0</v>
      </c>
      <c r="AP462">
        <v>0</v>
      </c>
      <c r="AS462">
        <v>0</v>
      </c>
      <c r="AT462">
        <v>0</v>
      </c>
      <c r="AU462">
        <v>0</v>
      </c>
      <c r="AW462">
        <v>0</v>
      </c>
      <c r="AZ462">
        <v>0</v>
      </c>
      <c r="BA462">
        <v>-5.241145845502615E-4</v>
      </c>
      <c r="BB462">
        <v>0</v>
      </c>
      <c r="BC462">
        <v>8.8269271850585938</v>
      </c>
      <c r="BD462">
        <v>-8.8264093399047852</v>
      </c>
      <c r="BI462">
        <v>0</v>
      </c>
      <c r="BJ462">
        <v>0</v>
      </c>
      <c r="BK462">
        <v>0</v>
      </c>
      <c r="BL462">
        <v>0</v>
      </c>
      <c r="BM462">
        <v>-124304441344</v>
      </c>
      <c r="BN462">
        <v>2.149383544921875</v>
      </c>
      <c r="BP462">
        <v>65535</v>
      </c>
      <c r="BQ462">
        <v>65535</v>
      </c>
      <c r="BR462">
        <v>0</v>
      </c>
      <c r="BS462">
        <v>-5.241145845502615E-4</v>
      </c>
      <c r="BT462">
        <v>0</v>
      </c>
      <c r="BU462">
        <v>8.8269271850585938</v>
      </c>
      <c r="BV462">
        <v>-8.8264093399047852</v>
      </c>
      <c r="BW462" t="s">
        <v>615</v>
      </c>
      <c r="BX462">
        <v>-124304441344</v>
      </c>
      <c r="BY462">
        <v>2.149383544921875</v>
      </c>
      <c r="CB462">
        <v>19.778478622436523</v>
      </c>
      <c r="CC462">
        <v>6.1792669296264648</v>
      </c>
    </row>
    <row r="463" spans="1:83" ht="12.75" customHeight="1">
      <c r="A463" t="s">
        <v>786</v>
      </c>
      <c r="C463" t="s">
        <v>772</v>
      </c>
      <c r="D463">
        <v>461</v>
      </c>
      <c r="F463">
        <v>65535</v>
      </c>
      <c r="I463" t="s">
        <v>786</v>
      </c>
      <c r="R463">
        <v>6.7600002288818359</v>
      </c>
      <c r="T463">
        <v>28.392000198364258</v>
      </c>
      <c r="W463" s="514">
        <v>44245.742939814816</v>
      </c>
      <c r="AN463">
        <v>0</v>
      </c>
      <c r="AO463">
        <v>0</v>
      </c>
      <c r="AP463">
        <v>0</v>
      </c>
      <c r="AS463">
        <v>0</v>
      </c>
      <c r="AT463">
        <v>0</v>
      </c>
      <c r="AU463">
        <v>0</v>
      </c>
      <c r="AW463">
        <v>0</v>
      </c>
      <c r="AZ463">
        <v>0</v>
      </c>
      <c r="BA463">
        <v>-5.577484262175858E-4</v>
      </c>
      <c r="BB463">
        <v>0</v>
      </c>
      <c r="BC463">
        <v>9.0525588989257813</v>
      </c>
      <c r="BD463">
        <v>-9.0519599914550781</v>
      </c>
      <c r="BI463">
        <v>0</v>
      </c>
      <c r="BJ463">
        <v>0</v>
      </c>
      <c r="BK463">
        <v>0</v>
      </c>
      <c r="BL463">
        <v>0</v>
      </c>
      <c r="BM463">
        <v>-2.2601850449923929E+29</v>
      </c>
      <c r="BN463">
        <v>2.48248291015625</v>
      </c>
      <c r="BP463">
        <v>65535</v>
      </c>
      <c r="BQ463">
        <v>65535</v>
      </c>
      <c r="BR463">
        <v>0</v>
      </c>
      <c r="BS463">
        <v>-5.577484262175858E-4</v>
      </c>
      <c r="BT463">
        <v>0</v>
      </c>
      <c r="BU463">
        <v>9.0525588989257813</v>
      </c>
      <c r="BV463">
        <v>-9.0519599914550781</v>
      </c>
      <c r="BW463" t="s">
        <v>615</v>
      </c>
      <c r="BX463">
        <v>-2.2601850449923929E+29</v>
      </c>
      <c r="BY463">
        <v>2.48248291015625</v>
      </c>
      <c r="CB463">
        <v>19.343687057495117</v>
      </c>
      <c r="CC463">
        <v>6.5684771537780762</v>
      </c>
    </row>
    <row r="464" spans="1:83" ht="12.75" customHeight="1">
      <c r="A464" t="s">
        <v>786</v>
      </c>
      <c r="C464" t="s">
        <v>772</v>
      </c>
      <c r="D464">
        <v>462</v>
      </c>
      <c r="F464">
        <v>65535</v>
      </c>
      <c r="I464" t="s">
        <v>786</v>
      </c>
      <c r="AN464">
        <v>0</v>
      </c>
      <c r="AO464">
        <v>0</v>
      </c>
      <c r="AP464">
        <v>0</v>
      </c>
      <c r="AS464">
        <v>65535</v>
      </c>
      <c r="AT464">
        <v>65535</v>
      </c>
      <c r="AU464">
        <v>65535</v>
      </c>
      <c r="BI464">
        <v>0</v>
      </c>
      <c r="BK464">
        <v>0</v>
      </c>
      <c r="BL464">
        <v>0</v>
      </c>
      <c r="BP464">
        <v>65535</v>
      </c>
      <c r="BQ464">
        <v>65535</v>
      </c>
      <c r="CB464">
        <v>22.116357803344727</v>
      </c>
      <c r="CC464">
        <v>4.5461702346801758</v>
      </c>
    </row>
    <row r="465" spans="1:83" ht="12.75" customHeight="1">
      <c r="A465" t="s">
        <v>786</v>
      </c>
      <c r="C465" t="s">
        <v>772</v>
      </c>
      <c r="D465">
        <v>463</v>
      </c>
      <c r="F465">
        <v>65535</v>
      </c>
      <c r="I465" t="s">
        <v>786</v>
      </c>
      <c r="AN465">
        <v>0</v>
      </c>
      <c r="AO465">
        <v>0</v>
      </c>
      <c r="AP465">
        <v>0</v>
      </c>
      <c r="AS465">
        <v>65535</v>
      </c>
      <c r="AT465">
        <v>65535</v>
      </c>
      <c r="AU465">
        <v>65535</v>
      </c>
      <c r="BI465">
        <v>0</v>
      </c>
      <c r="BK465">
        <v>0</v>
      </c>
      <c r="BL465">
        <v>0</v>
      </c>
      <c r="BP465">
        <v>65535</v>
      </c>
      <c r="BQ465">
        <v>65535</v>
      </c>
      <c r="CB465">
        <v>23.527202606201172</v>
      </c>
      <c r="CC465">
        <v>3.6829361915588379</v>
      </c>
    </row>
    <row r="466" spans="1:83" ht="12.75" customHeight="1">
      <c r="A466" t="s">
        <v>786</v>
      </c>
      <c r="C466" t="s">
        <v>772</v>
      </c>
      <c r="D466">
        <v>464</v>
      </c>
      <c r="F466">
        <v>65535</v>
      </c>
      <c r="I466" t="s">
        <v>786</v>
      </c>
      <c r="AN466">
        <v>0</v>
      </c>
      <c r="AO466">
        <v>0</v>
      </c>
      <c r="AP466">
        <v>0</v>
      </c>
      <c r="AS466">
        <v>65535</v>
      </c>
      <c r="AT466">
        <v>65535</v>
      </c>
      <c r="AU466">
        <v>65535</v>
      </c>
      <c r="BI466">
        <v>0</v>
      </c>
      <c r="BK466">
        <v>0</v>
      </c>
      <c r="BL466">
        <v>0</v>
      </c>
      <c r="BP466">
        <v>65535</v>
      </c>
      <c r="BQ466">
        <v>65535</v>
      </c>
      <c r="CB466">
        <v>28.912090301513672</v>
      </c>
      <c r="CC466">
        <v>0.69829261302947998</v>
      </c>
    </row>
    <row r="467" spans="1:83" ht="12.75" customHeight="1">
      <c r="A467" t="s">
        <v>787</v>
      </c>
      <c r="C467" t="s">
        <v>772</v>
      </c>
      <c r="D467">
        <v>465</v>
      </c>
      <c r="F467">
        <v>65535</v>
      </c>
      <c r="I467" t="s">
        <v>787</v>
      </c>
      <c r="AN467">
        <v>0</v>
      </c>
      <c r="AO467">
        <v>0</v>
      </c>
      <c r="AP467">
        <v>0</v>
      </c>
      <c r="AS467">
        <v>65535</v>
      </c>
      <c r="AT467">
        <v>65535</v>
      </c>
      <c r="AU467">
        <v>65535</v>
      </c>
      <c r="BI467">
        <v>0</v>
      </c>
      <c r="BK467">
        <v>0</v>
      </c>
      <c r="BL467">
        <v>0</v>
      </c>
      <c r="BP467">
        <v>65535</v>
      </c>
      <c r="BQ467">
        <v>65535</v>
      </c>
      <c r="CB467">
        <v>22.116357803344727</v>
      </c>
      <c r="CC467">
        <v>4.5461702346801758</v>
      </c>
    </row>
    <row r="468" spans="1:83" ht="12.75" customHeight="1">
      <c r="A468" t="s">
        <v>788</v>
      </c>
      <c r="C468" t="s">
        <v>772</v>
      </c>
      <c r="D468">
        <v>466</v>
      </c>
      <c r="F468">
        <v>65535</v>
      </c>
      <c r="I468" t="s">
        <v>788</v>
      </c>
      <c r="AN468">
        <v>0</v>
      </c>
      <c r="AO468">
        <v>0</v>
      </c>
      <c r="AP468">
        <v>0</v>
      </c>
      <c r="AS468">
        <v>65535</v>
      </c>
      <c r="AT468">
        <v>65535</v>
      </c>
      <c r="AU468">
        <v>65535</v>
      </c>
      <c r="BI468">
        <v>0</v>
      </c>
      <c r="BK468">
        <v>0</v>
      </c>
      <c r="BL468">
        <v>0</v>
      </c>
      <c r="BP468">
        <v>65535</v>
      </c>
      <c r="BQ468">
        <v>65535</v>
      </c>
      <c r="CB468">
        <v>23.527202606201172</v>
      </c>
      <c r="CC468">
        <v>3.6829361915588379</v>
      </c>
    </row>
    <row r="469" spans="1:83" ht="12.75" customHeight="1">
      <c r="A469" t="s">
        <v>789</v>
      </c>
      <c r="C469" t="s">
        <v>772</v>
      </c>
      <c r="D469">
        <v>467</v>
      </c>
      <c r="F469">
        <v>65535</v>
      </c>
      <c r="I469" t="s">
        <v>789</v>
      </c>
      <c r="R469">
        <v>111.59999847412109</v>
      </c>
      <c r="T469">
        <v>468.72000122070313</v>
      </c>
      <c r="W469" s="514">
        <v>44245.743125000001</v>
      </c>
      <c r="AN469">
        <v>0</v>
      </c>
      <c r="AO469">
        <v>0</v>
      </c>
      <c r="AP469">
        <v>0</v>
      </c>
      <c r="AS469">
        <v>0</v>
      </c>
      <c r="AT469">
        <v>0</v>
      </c>
      <c r="AU469">
        <v>0</v>
      </c>
      <c r="AW469">
        <v>0</v>
      </c>
      <c r="AZ469">
        <v>0</v>
      </c>
      <c r="BA469">
        <v>-5.9618806699290872E-4</v>
      </c>
      <c r="BB469">
        <v>0</v>
      </c>
      <c r="BC469">
        <v>132.8204345703125</v>
      </c>
      <c r="BD469">
        <v>-132.81906127929688</v>
      </c>
      <c r="BI469">
        <v>0</v>
      </c>
      <c r="BJ469">
        <v>0</v>
      </c>
      <c r="BK469">
        <v>0</v>
      </c>
      <c r="BL469">
        <v>0</v>
      </c>
      <c r="BM469">
        <v>-8.2094338249068583E+30</v>
      </c>
      <c r="BN469">
        <v>2.88531494140625</v>
      </c>
      <c r="BP469">
        <v>65535</v>
      </c>
      <c r="BQ469">
        <v>65535</v>
      </c>
      <c r="BR469">
        <v>0</v>
      </c>
      <c r="BS469">
        <v>-5.9618806699290872E-4</v>
      </c>
      <c r="BT469">
        <v>0</v>
      </c>
      <c r="BU469">
        <v>132.8204345703125</v>
      </c>
      <c r="BV469">
        <v>-132.81906127929688</v>
      </c>
      <c r="BW469" t="s">
        <v>615</v>
      </c>
      <c r="BX469">
        <v>-8.2094338249068583E+30</v>
      </c>
      <c r="BY469">
        <v>2.88531494140625</v>
      </c>
      <c r="CB469">
        <v>28.912090301513672</v>
      </c>
      <c r="CC469">
        <v>0.69829261302947998</v>
      </c>
    </row>
    <row r="470" spans="1:83" ht="12.75" customHeight="1">
      <c r="A470" t="s">
        <v>790</v>
      </c>
      <c r="C470" t="s">
        <v>621</v>
      </c>
      <c r="D470">
        <v>468</v>
      </c>
      <c r="F470">
        <v>65535</v>
      </c>
      <c r="I470" t="s">
        <v>790</v>
      </c>
      <c r="AN470">
        <v>0</v>
      </c>
      <c r="AO470">
        <v>0</v>
      </c>
      <c r="AP470">
        <v>0</v>
      </c>
      <c r="AS470">
        <v>65535</v>
      </c>
      <c r="AT470">
        <v>65535</v>
      </c>
      <c r="AU470">
        <v>65535</v>
      </c>
      <c r="BI470">
        <v>0</v>
      </c>
      <c r="BK470">
        <v>0</v>
      </c>
      <c r="BL470">
        <v>0</v>
      </c>
      <c r="BP470">
        <v>65535</v>
      </c>
      <c r="BQ470">
        <v>65535</v>
      </c>
      <c r="CB470">
        <v>19.745401382446289</v>
      </c>
      <c r="CC470">
        <v>6.2339653968811035</v>
      </c>
    </row>
    <row r="471" spans="1:83" ht="12.75" customHeight="1">
      <c r="A471" t="s">
        <v>785</v>
      </c>
      <c r="C471" t="s">
        <v>625</v>
      </c>
      <c r="D471">
        <v>469</v>
      </c>
      <c r="F471">
        <v>65535</v>
      </c>
      <c r="I471" t="s">
        <v>785</v>
      </c>
      <c r="AN471">
        <v>0</v>
      </c>
      <c r="AO471">
        <v>0</v>
      </c>
      <c r="AP471">
        <v>0</v>
      </c>
      <c r="AS471">
        <v>65535</v>
      </c>
      <c r="AT471">
        <v>65535</v>
      </c>
      <c r="AU471">
        <v>65535</v>
      </c>
      <c r="BI471">
        <v>0</v>
      </c>
      <c r="BK471">
        <v>0</v>
      </c>
      <c r="BL471">
        <v>0</v>
      </c>
      <c r="BP471">
        <v>65535</v>
      </c>
      <c r="BQ471">
        <v>65535</v>
      </c>
      <c r="CB471">
        <v>18.805768966674805</v>
      </c>
      <c r="CC471">
        <v>7.0398960113525391</v>
      </c>
      <c r="CD471" t="s">
        <v>616</v>
      </c>
      <c r="CE471" t="s">
        <v>619</v>
      </c>
    </row>
    <row r="472" spans="1:83" ht="12.75" customHeight="1">
      <c r="A472" t="s">
        <v>791</v>
      </c>
      <c r="C472" t="s">
        <v>694</v>
      </c>
      <c r="D472">
        <v>470</v>
      </c>
      <c r="F472">
        <v>65535</v>
      </c>
      <c r="I472" t="s">
        <v>791</v>
      </c>
      <c r="R472">
        <v>9.3600034713745117</v>
      </c>
      <c r="T472">
        <v>39.31201171875</v>
      </c>
      <c r="W472" s="514">
        <v>44245.742812500001</v>
      </c>
      <c r="AN472">
        <v>0</v>
      </c>
      <c r="AO472">
        <v>0</v>
      </c>
      <c r="AP472">
        <v>0</v>
      </c>
      <c r="AS472">
        <v>0</v>
      </c>
      <c r="AT472">
        <v>0</v>
      </c>
      <c r="AU472">
        <v>0</v>
      </c>
      <c r="AW472">
        <v>0</v>
      </c>
      <c r="AZ472">
        <v>0</v>
      </c>
      <c r="BA472">
        <v>-3.8550273166038096E-4</v>
      </c>
      <c r="BB472">
        <v>0</v>
      </c>
      <c r="BC472">
        <v>15.564014434814453</v>
      </c>
      <c r="BD472">
        <v>-15.563601493835449</v>
      </c>
      <c r="BI472">
        <v>0</v>
      </c>
      <c r="BJ472">
        <v>0</v>
      </c>
      <c r="BK472">
        <v>0</v>
      </c>
      <c r="BL472">
        <v>0</v>
      </c>
      <c r="BM472">
        <v>3.3443017556781179E-28</v>
      </c>
      <c r="BN472">
        <v>0.805908203125</v>
      </c>
      <c r="BP472">
        <v>65535</v>
      </c>
      <c r="BQ472">
        <v>65535</v>
      </c>
      <c r="BR472">
        <v>0</v>
      </c>
      <c r="BS472">
        <v>-3.8550273166038096E-4</v>
      </c>
      <c r="BT472">
        <v>0</v>
      </c>
      <c r="BU472">
        <v>15.564014434814453</v>
      </c>
      <c r="BV472">
        <v>-15.563601493835449</v>
      </c>
      <c r="BW472" t="s">
        <v>615</v>
      </c>
      <c r="BX472">
        <v>3.3443017556781179E-28</v>
      </c>
      <c r="BY472">
        <v>0.805908203125</v>
      </c>
      <c r="CB472">
        <v>18.492700576782227</v>
      </c>
      <c r="CC472">
        <v>7.2283225059509277</v>
      </c>
    </row>
    <row r="473" spans="1:83" ht="12.75" customHeight="1">
      <c r="A473" t="s">
        <v>712</v>
      </c>
      <c r="C473" t="s">
        <v>635</v>
      </c>
      <c r="D473">
        <v>471</v>
      </c>
      <c r="F473">
        <v>65535</v>
      </c>
      <c r="I473" t="s">
        <v>712</v>
      </c>
      <c r="R473">
        <v>9.3600034713745117</v>
      </c>
      <c r="T473">
        <v>39.31201171875</v>
      </c>
      <c r="W473" s="514">
        <v>44245.742812500001</v>
      </c>
      <c r="AN473">
        <v>0</v>
      </c>
      <c r="AO473">
        <v>0</v>
      </c>
      <c r="AP473">
        <v>0</v>
      </c>
      <c r="AS473">
        <v>0</v>
      </c>
      <c r="AT473">
        <v>0</v>
      </c>
      <c r="AU473">
        <v>0</v>
      </c>
      <c r="AW473">
        <v>0</v>
      </c>
      <c r="AZ473">
        <v>0</v>
      </c>
      <c r="BA473">
        <v>-3.8550273166038096E-4</v>
      </c>
      <c r="BB473">
        <v>0</v>
      </c>
      <c r="BC473">
        <v>15.564014434814453</v>
      </c>
      <c r="BD473">
        <v>-15.563601493835449</v>
      </c>
      <c r="BI473">
        <v>0</v>
      </c>
      <c r="BJ473">
        <v>0</v>
      </c>
      <c r="BK473">
        <v>0</v>
      </c>
      <c r="BL473">
        <v>0</v>
      </c>
      <c r="BM473">
        <v>3.3443017556781179E-28</v>
      </c>
      <c r="BN473">
        <v>0.805908203125</v>
      </c>
      <c r="BP473">
        <v>65535</v>
      </c>
      <c r="BQ473">
        <v>65535</v>
      </c>
      <c r="BR473">
        <v>0</v>
      </c>
      <c r="BS473">
        <v>-3.8550273166038096E-4</v>
      </c>
      <c r="BT473">
        <v>0</v>
      </c>
      <c r="BU473">
        <v>15.564014434814453</v>
      </c>
      <c r="BV473">
        <v>-15.563601493835449</v>
      </c>
      <c r="BW473" t="s">
        <v>615</v>
      </c>
      <c r="BX473">
        <v>3.3443017556781179E-28</v>
      </c>
      <c r="BY473">
        <v>0.805908203125</v>
      </c>
      <c r="CB473">
        <v>18.529254913330078</v>
      </c>
      <c r="CC473">
        <v>7.1777396202087402</v>
      </c>
      <c r="CD473" t="s">
        <v>709</v>
      </c>
      <c r="CE473" t="s">
        <v>710</v>
      </c>
    </row>
    <row r="474" spans="1:83" ht="12.75" customHeight="1">
      <c r="A474" t="s">
        <v>792</v>
      </c>
      <c r="C474" t="s">
        <v>635</v>
      </c>
      <c r="D474">
        <v>472</v>
      </c>
      <c r="F474">
        <v>65535</v>
      </c>
      <c r="I474" t="s">
        <v>792</v>
      </c>
      <c r="R474">
        <v>9.3600034713745117</v>
      </c>
      <c r="T474">
        <v>39.31201171875</v>
      </c>
      <c r="W474" s="514">
        <v>44245.742812500001</v>
      </c>
      <c r="AN474">
        <v>0</v>
      </c>
      <c r="AO474">
        <v>0</v>
      </c>
      <c r="AP474">
        <v>0</v>
      </c>
      <c r="AS474">
        <v>0</v>
      </c>
      <c r="AT474">
        <v>0</v>
      </c>
      <c r="AU474">
        <v>0</v>
      </c>
      <c r="AW474">
        <v>0</v>
      </c>
      <c r="AZ474">
        <v>0</v>
      </c>
      <c r="BA474">
        <v>-3.8550273166038096E-4</v>
      </c>
      <c r="BB474">
        <v>0</v>
      </c>
      <c r="BC474">
        <v>15.564014434814453</v>
      </c>
      <c r="BD474">
        <v>-15.563601493835449</v>
      </c>
      <c r="BI474">
        <v>0</v>
      </c>
      <c r="BJ474">
        <v>0</v>
      </c>
      <c r="BK474">
        <v>0</v>
      </c>
      <c r="BL474">
        <v>0</v>
      </c>
      <c r="BM474">
        <v>3.3443017556781179E-28</v>
      </c>
      <c r="BN474">
        <v>0.805908203125</v>
      </c>
      <c r="BP474">
        <v>65535</v>
      </c>
      <c r="BQ474">
        <v>65535</v>
      </c>
      <c r="BR474">
        <v>0</v>
      </c>
      <c r="BS474">
        <v>-3.8550273166038096E-4</v>
      </c>
      <c r="BT474">
        <v>0</v>
      </c>
      <c r="BU474">
        <v>15.564014434814453</v>
      </c>
      <c r="BV474">
        <v>-15.563601493835449</v>
      </c>
      <c r="BW474" t="s">
        <v>615</v>
      </c>
      <c r="BX474">
        <v>3.3443017556781179E-28</v>
      </c>
      <c r="BY474">
        <v>0.805908203125</v>
      </c>
      <c r="CB474">
        <v>18.574638366699219</v>
      </c>
      <c r="CC474">
        <v>7.1292800903320313</v>
      </c>
      <c r="CD474" t="s">
        <v>617</v>
      </c>
      <c r="CE474" t="s">
        <v>623</v>
      </c>
    </row>
    <row r="475" spans="1:83" ht="12.75" customHeight="1">
      <c r="A475" t="s">
        <v>793</v>
      </c>
      <c r="C475" t="s">
        <v>635</v>
      </c>
      <c r="D475">
        <v>473</v>
      </c>
      <c r="F475">
        <v>65535</v>
      </c>
      <c r="I475" t="s">
        <v>793</v>
      </c>
      <c r="R475">
        <v>7.7999982833862305</v>
      </c>
      <c r="T475">
        <v>32.759994506835938</v>
      </c>
      <c r="W475" s="514">
        <v>44245.742824074077</v>
      </c>
      <c r="AN475">
        <v>0</v>
      </c>
      <c r="AO475">
        <v>0</v>
      </c>
      <c r="AP475">
        <v>0</v>
      </c>
      <c r="AS475">
        <v>0</v>
      </c>
      <c r="AT475">
        <v>0</v>
      </c>
      <c r="AU475">
        <v>0</v>
      </c>
      <c r="AW475">
        <v>0</v>
      </c>
      <c r="AZ475">
        <v>0</v>
      </c>
      <c r="BA475">
        <v>-5.2172329742461443E-4</v>
      </c>
      <c r="BB475">
        <v>0</v>
      </c>
      <c r="BC475">
        <v>11.092475891113281</v>
      </c>
      <c r="BD475">
        <v>-11.091865539550781</v>
      </c>
      <c r="BI475">
        <v>0</v>
      </c>
      <c r="BJ475">
        <v>0</v>
      </c>
      <c r="BK475">
        <v>0</v>
      </c>
      <c r="BL475">
        <v>0</v>
      </c>
      <c r="BM475">
        <v>48622374912</v>
      </c>
      <c r="BN475">
        <v>2.126922607421875</v>
      </c>
      <c r="BP475">
        <v>65535</v>
      </c>
      <c r="BQ475">
        <v>65535</v>
      </c>
      <c r="BR475">
        <v>0</v>
      </c>
      <c r="BS475">
        <v>-5.2172329742461443E-4</v>
      </c>
      <c r="BT475">
        <v>0</v>
      </c>
      <c r="BU475">
        <v>11.092475891113281</v>
      </c>
      <c r="BV475">
        <v>-11.091865539550781</v>
      </c>
      <c r="BW475" t="s">
        <v>615</v>
      </c>
      <c r="BX475">
        <v>48622374912</v>
      </c>
      <c r="BY475">
        <v>2.126922607421875</v>
      </c>
      <c r="CB475">
        <v>18.650167465209961</v>
      </c>
      <c r="CC475">
        <v>7.1862478256225586</v>
      </c>
      <c r="CD475" t="s">
        <v>631</v>
      </c>
      <c r="CE475" t="s">
        <v>632</v>
      </c>
    </row>
    <row r="476" spans="1:83" ht="12.75" customHeight="1">
      <c r="A476" t="s">
        <v>657</v>
      </c>
      <c r="C476" t="s">
        <v>635</v>
      </c>
      <c r="D476">
        <v>474</v>
      </c>
      <c r="F476">
        <v>65535</v>
      </c>
      <c r="I476" t="s">
        <v>657</v>
      </c>
      <c r="R476">
        <v>7.7999982833862305</v>
      </c>
      <c r="T476">
        <v>32.759994506835938</v>
      </c>
      <c r="W476" s="514">
        <v>44245.742824074077</v>
      </c>
      <c r="AN476">
        <v>0</v>
      </c>
      <c r="AO476">
        <v>0</v>
      </c>
      <c r="AP476">
        <v>0</v>
      </c>
      <c r="AS476">
        <v>0</v>
      </c>
      <c r="AT476">
        <v>0</v>
      </c>
      <c r="AU476">
        <v>0</v>
      </c>
      <c r="AW476">
        <v>0</v>
      </c>
      <c r="AZ476">
        <v>0</v>
      </c>
      <c r="BA476">
        <v>-5.2172329742461443E-4</v>
      </c>
      <c r="BB476">
        <v>0</v>
      </c>
      <c r="BC476">
        <v>11.092475891113281</v>
      </c>
      <c r="BD476">
        <v>-11.091865539550781</v>
      </c>
      <c r="BI476">
        <v>0</v>
      </c>
      <c r="BJ476">
        <v>0</v>
      </c>
      <c r="BK476">
        <v>0</v>
      </c>
      <c r="BL476">
        <v>0</v>
      </c>
      <c r="BM476">
        <v>48622374912</v>
      </c>
      <c r="BN476">
        <v>2.126922607421875</v>
      </c>
      <c r="BP476">
        <v>65535</v>
      </c>
      <c r="BQ476">
        <v>65535</v>
      </c>
      <c r="BR476">
        <v>0</v>
      </c>
      <c r="BS476">
        <v>-5.2172329742461443E-4</v>
      </c>
      <c r="BT476">
        <v>0</v>
      </c>
      <c r="BU476">
        <v>11.092475891113281</v>
      </c>
      <c r="BV476">
        <v>-11.091865539550781</v>
      </c>
      <c r="BW476" t="s">
        <v>615</v>
      </c>
      <c r="BX476">
        <v>48622374912</v>
      </c>
      <c r="BY476">
        <v>2.126922607421875</v>
      </c>
      <c r="CB476">
        <v>19.24894905090332</v>
      </c>
      <c r="CC476">
        <v>6.8145103454589844</v>
      </c>
      <c r="CD476" t="s">
        <v>631</v>
      </c>
      <c r="CE476" t="s">
        <v>632</v>
      </c>
    </row>
    <row r="477" spans="1:83" ht="12.75" customHeight="1">
      <c r="A477" t="s">
        <v>685</v>
      </c>
      <c r="C477" t="s">
        <v>694</v>
      </c>
      <c r="D477">
        <v>475</v>
      </c>
      <c r="F477">
        <v>65535</v>
      </c>
      <c r="I477" t="s">
        <v>685</v>
      </c>
      <c r="R477">
        <v>7.7999982833862305</v>
      </c>
      <c r="T477">
        <v>32.759994506835938</v>
      </c>
      <c r="W477" s="514">
        <v>44245.742824074077</v>
      </c>
      <c r="AN477">
        <v>0</v>
      </c>
      <c r="AO477">
        <v>0</v>
      </c>
      <c r="AP477">
        <v>0</v>
      </c>
      <c r="AS477">
        <v>0</v>
      </c>
      <c r="AT477">
        <v>0</v>
      </c>
      <c r="AU477">
        <v>0</v>
      </c>
      <c r="AW477">
        <v>0</v>
      </c>
      <c r="AZ477">
        <v>0</v>
      </c>
      <c r="BA477">
        <v>-5.2172329742461443E-4</v>
      </c>
      <c r="BB477">
        <v>0</v>
      </c>
      <c r="BC477">
        <v>11.092475891113281</v>
      </c>
      <c r="BD477">
        <v>-11.091865539550781</v>
      </c>
      <c r="BI477">
        <v>0</v>
      </c>
      <c r="BJ477">
        <v>0</v>
      </c>
      <c r="BK477">
        <v>0</v>
      </c>
      <c r="BL477">
        <v>0</v>
      </c>
      <c r="BM477">
        <v>48622374912</v>
      </c>
      <c r="BN477">
        <v>2.126922607421875</v>
      </c>
      <c r="BP477">
        <v>65535</v>
      </c>
      <c r="BQ477">
        <v>65535</v>
      </c>
      <c r="BR477">
        <v>0</v>
      </c>
      <c r="BS477">
        <v>-5.2172329742461443E-4</v>
      </c>
      <c r="BT477">
        <v>0</v>
      </c>
      <c r="BU477">
        <v>11.092475891113281</v>
      </c>
      <c r="BV477">
        <v>-11.091865539550781</v>
      </c>
      <c r="BW477" t="s">
        <v>615</v>
      </c>
      <c r="BX477">
        <v>48622374912</v>
      </c>
      <c r="BY477">
        <v>2.126922607421875</v>
      </c>
      <c r="CB477">
        <v>24.933876037597656</v>
      </c>
      <c r="CC477">
        <v>3.0086116790771484</v>
      </c>
    </row>
    <row r="478" spans="1:83" ht="12.75" customHeight="1">
      <c r="A478" t="s">
        <v>773</v>
      </c>
      <c r="C478" t="s">
        <v>635</v>
      </c>
      <c r="D478">
        <v>476</v>
      </c>
      <c r="F478">
        <v>65535</v>
      </c>
      <c r="I478" t="s">
        <v>773</v>
      </c>
      <c r="R478">
        <v>7.7999944686889648</v>
      </c>
      <c r="T478">
        <v>32.759975433349609</v>
      </c>
      <c r="W478" s="514">
        <v>44245.742858796293</v>
      </c>
      <c r="AN478">
        <v>0</v>
      </c>
      <c r="AO478">
        <v>0</v>
      </c>
      <c r="AP478">
        <v>0</v>
      </c>
      <c r="AS478">
        <v>0</v>
      </c>
      <c r="AT478">
        <v>0</v>
      </c>
      <c r="AU478">
        <v>0</v>
      </c>
      <c r="AW478">
        <v>0</v>
      </c>
      <c r="AZ478">
        <v>0</v>
      </c>
      <c r="BA478">
        <v>-5.5736274225637317E-4</v>
      </c>
      <c r="BB478">
        <v>0</v>
      </c>
      <c r="BC478">
        <v>10.434837341308594</v>
      </c>
      <c r="BD478">
        <v>-10.434341430664063</v>
      </c>
      <c r="BI478">
        <v>0</v>
      </c>
      <c r="BJ478">
        <v>0</v>
      </c>
      <c r="BK478">
        <v>0</v>
      </c>
      <c r="BL478">
        <v>0</v>
      </c>
      <c r="BM478">
        <v>5.7512407903939759E-22</v>
      </c>
      <c r="BN478">
        <v>2.47845458984375</v>
      </c>
      <c r="BP478">
        <v>65535</v>
      </c>
      <c r="BQ478">
        <v>65535</v>
      </c>
      <c r="BR478">
        <v>0</v>
      </c>
      <c r="BS478">
        <v>-5.5736274225637317E-4</v>
      </c>
      <c r="BT478">
        <v>0</v>
      </c>
      <c r="BU478">
        <v>10.434837341308594</v>
      </c>
      <c r="BV478">
        <v>-10.434341430664063</v>
      </c>
      <c r="BW478" t="s">
        <v>615</v>
      </c>
      <c r="BX478">
        <v>5.7512407903939759E-22</v>
      </c>
      <c r="BY478">
        <v>2.47845458984375</v>
      </c>
      <c r="CB478">
        <v>19.252382278442383</v>
      </c>
      <c r="CC478">
        <v>6.6991314888000488</v>
      </c>
      <c r="CD478" t="s">
        <v>774</v>
      </c>
      <c r="CE478" t="s">
        <v>679</v>
      </c>
    </row>
    <row r="479" spans="1:83" ht="12.75" customHeight="1">
      <c r="A479" t="s">
        <v>773</v>
      </c>
      <c r="C479" t="s">
        <v>635</v>
      </c>
      <c r="D479">
        <v>477</v>
      </c>
      <c r="F479">
        <v>65535</v>
      </c>
      <c r="I479" t="s">
        <v>773</v>
      </c>
      <c r="R479">
        <v>7.7999944686889648</v>
      </c>
      <c r="T479">
        <v>32.759975433349609</v>
      </c>
      <c r="W479" s="514">
        <v>44245.742858796293</v>
      </c>
      <c r="AN479">
        <v>0</v>
      </c>
      <c r="AO479">
        <v>0</v>
      </c>
      <c r="AP479">
        <v>0</v>
      </c>
      <c r="AS479">
        <v>0</v>
      </c>
      <c r="AT479">
        <v>0</v>
      </c>
      <c r="AU479">
        <v>0</v>
      </c>
      <c r="AW479">
        <v>0</v>
      </c>
      <c r="AZ479">
        <v>0</v>
      </c>
      <c r="BA479">
        <v>-5.5736274225637317E-4</v>
      </c>
      <c r="BB479">
        <v>0</v>
      </c>
      <c r="BC479">
        <v>10.434837341308594</v>
      </c>
      <c r="BD479">
        <v>-10.434341430664063</v>
      </c>
      <c r="BI479">
        <v>0</v>
      </c>
      <c r="BJ479">
        <v>0</v>
      </c>
      <c r="BK479">
        <v>0</v>
      </c>
      <c r="BL479">
        <v>0</v>
      </c>
      <c r="BM479">
        <v>5.7512407903939759E-22</v>
      </c>
      <c r="BN479">
        <v>2.47845458984375</v>
      </c>
      <c r="BP479">
        <v>65535</v>
      </c>
      <c r="BQ479">
        <v>65535</v>
      </c>
      <c r="BR479">
        <v>0</v>
      </c>
      <c r="BS479">
        <v>-5.5736274225637317E-4</v>
      </c>
      <c r="BT479">
        <v>0</v>
      </c>
      <c r="BU479">
        <v>10.434837341308594</v>
      </c>
      <c r="BV479">
        <v>-10.434341430664063</v>
      </c>
      <c r="BW479" t="s">
        <v>615</v>
      </c>
      <c r="BX479">
        <v>5.7512407903939759E-22</v>
      </c>
      <c r="BY479">
        <v>2.47845458984375</v>
      </c>
      <c r="CB479">
        <v>18.400123596191406</v>
      </c>
      <c r="CC479">
        <v>7.4688544273376465</v>
      </c>
      <c r="CD479" t="s">
        <v>774</v>
      </c>
      <c r="CE479" t="s">
        <v>679</v>
      </c>
    </row>
    <row r="480" spans="1:83" ht="12.75" customHeight="1">
      <c r="A480" t="s">
        <v>794</v>
      </c>
      <c r="C480" t="s">
        <v>635</v>
      </c>
      <c r="D480">
        <v>478</v>
      </c>
      <c r="F480">
        <v>65535</v>
      </c>
      <c r="I480" t="s">
        <v>794</v>
      </c>
      <c r="R480">
        <v>7.7999944686889648</v>
      </c>
      <c r="T480">
        <v>32.759975433349609</v>
      </c>
      <c r="W480" s="514">
        <v>44245.742858796293</v>
      </c>
      <c r="AN480">
        <v>0</v>
      </c>
      <c r="AO480">
        <v>0</v>
      </c>
      <c r="AP480">
        <v>0</v>
      </c>
      <c r="AS480">
        <v>0</v>
      </c>
      <c r="AT480">
        <v>0</v>
      </c>
      <c r="AU480">
        <v>0</v>
      </c>
      <c r="AW480">
        <v>0</v>
      </c>
      <c r="AZ480">
        <v>0</v>
      </c>
      <c r="BA480">
        <v>-5.5736274225637317E-4</v>
      </c>
      <c r="BB480">
        <v>0</v>
      </c>
      <c r="BC480">
        <v>10.434837341308594</v>
      </c>
      <c r="BD480">
        <v>-10.434341430664063</v>
      </c>
      <c r="BI480">
        <v>0</v>
      </c>
      <c r="BJ480">
        <v>0</v>
      </c>
      <c r="BK480">
        <v>0</v>
      </c>
      <c r="BL480">
        <v>0</v>
      </c>
      <c r="BM480">
        <v>5.7512407903939759E-22</v>
      </c>
      <c r="BN480">
        <v>2.47845458984375</v>
      </c>
      <c r="BP480">
        <v>65535</v>
      </c>
      <c r="BQ480">
        <v>65535</v>
      </c>
      <c r="BR480">
        <v>0</v>
      </c>
      <c r="BS480">
        <v>-5.5736274225637317E-4</v>
      </c>
      <c r="BT480">
        <v>0</v>
      </c>
      <c r="BU480">
        <v>10.434837341308594</v>
      </c>
      <c r="BV480">
        <v>-10.434341430664063</v>
      </c>
      <c r="BW480" t="s">
        <v>615</v>
      </c>
      <c r="BX480">
        <v>5.7512407903939759E-22</v>
      </c>
      <c r="BY480">
        <v>2.47845458984375</v>
      </c>
      <c r="CB480">
        <v>22.04890251159668</v>
      </c>
      <c r="CC480">
        <v>5.0117206573486328</v>
      </c>
      <c r="CD480" t="s">
        <v>616</v>
      </c>
      <c r="CE480" t="s">
        <v>619</v>
      </c>
    </row>
    <row r="481" spans="1:83" ht="12.75" customHeight="1">
      <c r="A481" t="s">
        <v>724</v>
      </c>
      <c r="C481" t="s">
        <v>621</v>
      </c>
      <c r="D481">
        <v>479</v>
      </c>
      <c r="F481">
        <v>65535</v>
      </c>
      <c r="I481" t="s">
        <v>724</v>
      </c>
      <c r="R481">
        <v>7.7999944686889648</v>
      </c>
      <c r="T481">
        <v>32.759975433349609</v>
      </c>
      <c r="W481" s="514">
        <v>44245.742858796293</v>
      </c>
      <c r="AN481">
        <v>0</v>
      </c>
      <c r="AO481">
        <v>0</v>
      </c>
      <c r="AP481">
        <v>0</v>
      </c>
      <c r="AS481">
        <v>0</v>
      </c>
      <c r="AT481">
        <v>0</v>
      </c>
      <c r="AU481">
        <v>0</v>
      </c>
      <c r="AW481">
        <v>0</v>
      </c>
      <c r="AZ481">
        <v>0</v>
      </c>
      <c r="BA481">
        <v>-5.5736274225637317E-4</v>
      </c>
      <c r="BB481">
        <v>0</v>
      </c>
      <c r="BC481">
        <v>10.434837341308594</v>
      </c>
      <c r="BD481">
        <v>-10.434341430664063</v>
      </c>
      <c r="BI481">
        <v>0</v>
      </c>
      <c r="BJ481">
        <v>0</v>
      </c>
      <c r="BK481">
        <v>0</v>
      </c>
      <c r="BL481">
        <v>0</v>
      </c>
      <c r="BM481">
        <v>5.7512407903939759E-22</v>
      </c>
      <c r="BN481">
        <v>2.47845458984375</v>
      </c>
      <c r="BP481">
        <v>65535</v>
      </c>
      <c r="BQ481">
        <v>65535</v>
      </c>
      <c r="BR481">
        <v>0</v>
      </c>
      <c r="BS481">
        <v>-5.5736274225637317E-4</v>
      </c>
      <c r="BT481">
        <v>0</v>
      </c>
      <c r="BU481">
        <v>10.434837341308594</v>
      </c>
      <c r="BV481">
        <v>-10.434341430664063</v>
      </c>
      <c r="BW481" t="s">
        <v>615</v>
      </c>
      <c r="BX481">
        <v>5.7512407903939759E-22</v>
      </c>
      <c r="BY481">
        <v>2.47845458984375</v>
      </c>
      <c r="CB481">
        <v>22.215604782104492</v>
      </c>
      <c r="CC481">
        <v>4.6069068908691406</v>
      </c>
    </row>
    <row r="482" spans="1:83" ht="12.75" customHeight="1">
      <c r="A482" t="s">
        <v>773</v>
      </c>
      <c r="C482" t="s">
        <v>694</v>
      </c>
      <c r="D482">
        <v>480</v>
      </c>
      <c r="F482">
        <v>65535</v>
      </c>
      <c r="I482" t="s">
        <v>773</v>
      </c>
      <c r="R482">
        <v>7.7999944686889648</v>
      </c>
      <c r="T482">
        <v>32.759975433349609</v>
      </c>
      <c r="W482" s="514">
        <v>44245.742858796293</v>
      </c>
      <c r="AN482">
        <v>0</v>
      </c>
      <c r="AO482">
        <v>0</v>
      </c>
      <c r="AP482">
        <v>0</v>
      </c>
      <c r="AS482">
        <v>0</v>
      </c>
      <c r="AT482">
        <v>0</v>
      </c>
      <c r="AU482">
        <v>0</v>
      </c>
      <c r="AW482">
        <v>0</v>
      </c>
      <c r="AZ482">
        <v>0</v>
      </c>
      <c r="BA482">
        <v>-5.5736274225637317E-4</v>
      </c>
      <c r="BB482">
        <v>0</v>
      </c>
      <c r="BC482">
        <v>10.434837341308594</v>
      </c>
      <c r="BD482">
        <v>-10.434341430664063</v>
      </c>
      <c r="BI482">
        <v>0</v>
      </c>
      <c r="BJ482">
        <v>0</v>
      </c>
      <c r="BK482">
        <v>0</v>
      </c>
      <c r="BL482">
        <v>0</v>
      </c>
      <c r="BM482">
        <v>5.7512407903939759E-22</v>
      </c>
      <c r="BN482">
        <v>2.47845458984375</v>
      </c>
      <c r="BP482">
        <v>65535</v>
      </c>
      <c r="BQ482">
        <v>65535</v>
      </c>
      <c r="BR482">
        <v>0</v>
      </c>
      <c r="BS482">
        <v>-5.5736274225637317E-4</v>
      </c>
      <c r="BT482">
        <v>0</v>
      </c>
      <c r="BU482">
        <v>10.434837341308594</v>
      </c>
      <c r="BV482">
        <v>-10.434341430664063</v>
      </c>
      <c r="BW482" t="s">
        <v>615</v>
      </c>
      <c r="BX482">
        <v>5.7512407903939759E-22</v>
      </c>
      <c r="BY482">
        <v>2.47845458984375</v>
      </c>
      <c r="CB482">
        <v>19.778478622436523</v>
      </c>
      <c r="CC482">
        <v>6.1792669296264648</v>
      </c>
      <c r="CD482" t="s">
        <v>774</v>
      </c>
      <c r="CE482" t="s">
        <v>679</v>
      </c>
    </row>
    <row r="483" spans="1:83" ht="12.75" customHeight="1">
      <c r="A483" t="s">
        <v>724</v>
      </c>
      <c r="C483" t="s">
        <v>694</v>
      </c>
      <c r="D483">
        <v>481</v>
      </c>
      <c r="F483">
        <v>65535</v>
      </c>
      <c r="I483" t="s">
        <v>724</v>
      </c>
      <c r="R483">
        <v>7.280001163482666</v>
      </c>
      <c r="T483">
        <v>30.576005935668945</v>
      </c>
      <c r="W483" s="514">
        <v>44245.742905092593</v>
      </c>
      <c r="AN483">
        <v>0</v>
      </c>
      <c r="AO483">
        <v>0</v>
      </c>
      <c r="AP483">
        <v>0</v>
      </c>
      <c r="AS483">
        <v>0</v>
      </c>
      <c r="AT483">
        <v>0</v>
      </c>
      <c r="AU483">
        <v>0</v>
      </c>
      <c r="AW483">
        <v>0</v>
      </c>
      <c r="AZ483">
        <v>0</v>
      </c>
      <c r="BA483">
        <v>-5.4936431115493178E-4</v>
      </c>
      <c r="BB483">
        <v>0</v>
      </c>
      <c r="BC483">
        <v>9.9062042236328125</v>
      </c>
      <c r="BD483">
        <v>-9.9055871963500977</v>
      </c>
      <c r="BI483">
        <v>0</v>
      </c>
      <c r="BJ483">
        <v>0</v>
      </c>
      <c r="BK483">
        <v>0</v>
      </c>
      <c r="BL483">
        <v>0</v>
      </c>
      <c r="BM483">
        <v>2.4326769765270484E-11</v>
      </c>
      <c r="BN483">
        <v>2.3984375</v>
      </c>
      <c r="BP483">
        <v>65535</v>
      </c>
      <c r="BQ483">
        <v>65535</v>
      </c>
      <c r="BR483">
        <v>0</v>
      </c>
      <c r="BS483">
        <v>-5.4936431115493178E-4</v>
      </c>
      <c r="BT483">
        <v>0</v>
      </c>
      <c r="BU483">
        <v>9.9062042236328125</v>
      </c>
      <c r="BV483">
        <v>-9.9055871963500977</v>
      </c>
      <c r="BW483" t="s">
        <v>615</v>
      </c>
      <c r="BX483">
        <v>2.4326769765270484E-11</v>
      </c>
      <c r="BY483">
        <v>2.3984375</v>
      </c>
      <c r="CB483">
        <v>21.926904678344727</v>
      </c>
      <c r="CC483">
        <v>4.6111984252929688</v>
      </c>
    </row>
    <row r="484" spans="1:83" ht="12.75" customHeight="1">
      <c r="A484" t="s">
        <v>795</v>
      </c>
      <c r="C484" t="s">
        <v>635</v>
      </c>
      <c r="D484">
        <v>482</v>
      </c>
      <c r="F484">
        <v>65535</v>
      </c>
      <c r="I484" t="s">
        <v>795</v>
      </c>
      <c r="R484">
        <v>7.280001163482666</v>
      </c>
      <c r="T484">
        <v>30.576005935668945</v>
      </c>
      <c r="W484" s="514">
        <v>44245.742905092593</v>
      </c>
      <c r="AN484">
        <v>0</v>
      </c>
      <c r="AO484">
        <v>0</v>
      </c>
      <c r="AP484">
        <v>0</v>
      </c>
      <c r="AS484">
        <v>0</v>
      </c>
      <c r="AT484">
        <v>0</v>
      </c>
      <c r="AU484">
        <v>0</v>
      </c>
      <c r="AW484">
        <v>0</v>
      </c>
      <c r="AZ484">
        <v>0</v>
      </c>
      <c r="BA484">
        <v>-5.4936431115493178E-4</v>
      </c>
      <c r="BB484">
        <v>0</v>
      </c>
      <c r="BC484">
        <v>9.9062042236328125</v>
      </c>
      <c r="BD484">
        <v>-9.9055871963500977</v>
      </c>
      <c r="BI484">
        <v>0</v>
      </c>
      <c r="BJ484">
        <v>0</v>
      </c>
      <c r="BK484">
        <v>0</v>
      </c>
      <c r="BL484">
        <v>0</v>
      </c>
      <c r="BM484">
        <v>2.4326769765270484E-11</v>
      </c>
      <c r="BN484">
        <v>2.3984375</v>
      </c>
      <c r="BP484">
        <v>65535</v>
      </c>
      <c r="BQ484">
        <v>65535</v>
      </c>
      <c r="BR484">
        <v>0</v>
      </c>
      <c r="BS484">
        <v>-5.4936431115493178E-4</v>
      </c>
      <c r="BT484">
        <v>0</v>
      </c>
      <c r="BU484">
        <v>9.9062042236328125</v>
      </c>
      <c r="BV484">
        <v>-9.9055871963500977</v>
      </c>
      <c r="BW484" t="s">
        <v>615</v>
      </c>
      <c r="BX484">
        <v>2.4326769765270484E-11</v>
      </c>
      <c r="BY484">
        <v>2.3984375</v>
      </c>
      <c r="CB484">
        <v>18.637947082519531</v>
      </c>
      <c r="CC484">
        <v>7.255988597869873</v>
      </c>
      <c r="CD484" t="s">
        <v>678</v>
      </c>
      <c r="CE484" t="s">
        <v>679</v>
      </c>
    </row>
    <row r="485" spans="1:83" ht="12.75" customHeight="1">
      <c r="A485" t="s">
        <v>796</v>
      </c>
      <c r="C485" t="s">
        <v>635</v>
      </c>
      <c r="D485">
        <v>483</v>
      </c>
      <c r="F485">
        <v>65535</v>
      </c>
      <c r="I485" t="s">
        <v>796</v>
      </c>
      <c r="R485">
        <v>7.280001163482666</v>
      </c>
      <c r="T485">
        <v>30.576005935668945</v>
      </c>
      <c r="W485" s="514">
        <v>44245.742905092593</v>
      </c>
      <c r="AN485">
        <v>0</v>
      </c>
      <c r="AO485">
        <v>0</v>
      </c>
      <c r="AP485">
        <v>0</v>
      </c>
      <c r="AS485">
        <v>0</v>
      </c>
      <c r="AT485">
        <v>0</v>
      </c>
      <c r="AU485">
        <v>0</v>
      </c>
      <c r="AW485">
        <v>0</v>
      </c>
      <c r="AZ485">
        <v>0</v>
      </c>
      <c r="BA485">
        <v>-5.4936431115493178E-4</v>
      </c>
      <c r="BB485">
        <v>0</v>
      </c>
      <c r="BC485">
        <v>9.9062042236328125</v>
      </c>
      <c r="BD485">
        <v>-9.9055871963500977</v>
      </c>
      <c r="BI485">
        <v>0</v>
      </c>
      <c r="BJ485">
        <v>0</v>
      </c>
      <c r="BK485">
        <v>0</v>
      </c>
      <c r="BL485">
        <v>0</v>
      </c>
      <c r="BM485">
        <v>2.4326769765270484E-11</v>
      </c>
      <c r="BN485">
        <v>2.3984375</v>
      </c>
      <c r="BP485">
        <v>65535</v>
      </c>
      <c r="BQ485">
        <v>65535</v>
      </c>
      <c r="BR485">
        <v>0</v>
      </c>
      <c r="BS485">
        <v>-5.4936431115493178E-4</v>
      </c>
      <c r="BT485">
        <v>0</v>
      </c>
      <c r="BU485">
        <v>9.9062042236328125</v>
      </c>
      <c r="BV485">
        <v>-9.9055871963500977</v>
      </c>
      <c r="BW485" t="s">
        <v>615</v>
      </c>
      <c r="BX485">
        <v>2.4326769765270484E-11</v>
      </c>
      <c r="BY485">
        <v>2.3984375</v>
      </c>
      <c r="CB485">
        <v>20.659940719604492</v>
      </c>
      <c r="CC485">
        <v>5.4541282653808594</v>
      </c>
    </row>
    <row r="486" spans="1:83" ht="12.75" customHeight="1">
      <c r="A486" t="s">
        <v>797</v>
      </c>
      <c r="C486" t="s">
        <v>625</v>
      </c>
      <c r="D486">
        <v>484</v>
      </c>
      <c r="F486">
        <v>65535</v>
      </c>
      <c r="I486" t="s">
        <v>797</v>
      </c>
      <c r="R486">
        <v>7.280001163482666</v>
      </c>
      <c r="T486">
        <v>30.576005935668945</v>
      </c>
      <c r="W486" s="514">
        <v>44245.742905092593</v>
      </c>
      <c r="AN486">
        <v>0</v>
      </c>
      <c r="AO486">
        <v>0</v>
      </c>
      <c r="AP486">
        <v>0</v>
      </c>
      <c r="AS486">
        <v>0</v>
      </c>
      <c r="AT486">
        <v>0</v>
      </c>
      <c r="AU486">
        <v>0</v>
      </c>
      <c r="AW486">
        <v>0</v>
      </c>
      <c r="AZ486">
        <v>0</v>
      </c>
      <c r="BA486">
        <v>-5.4936431115493178E-4</v>
      </c>
      <c r="BB486">
        <v>0</v>
      </c>
      <c r="BC486">
        <v>9.9062042236328125</v>
      </c>
      <c r="BD486">
        <v>-9.9055871963500977</v>
      </c>
      <c r="BI486">
        <v>0</v>
      </c>
      <c r="BJ486">
        <v>0</v>
      </c>
      <c r="BK486">
        <v>0</v>
      </c>
      <c r="BL486">
        <v>0</v>
      </c>
      <c r="BM486">
        <v>2.4326769765270484E-11</v>
      </c>
      <c r="BN486">
        <v>2.3984375</v>
      </c>
      <c r="BP486">
        <v>65535</v>
      </c>
      <c r="BQ486">
        <v>65535</v>
      </c>
      <c r="BR486">
        <v>0</v>
      </c>
      <c r="BS486">
        <v>-5.4936431115493178E-4</v>
      </c>
      <c r="BT486">
        <v>0</v>
      </c>
      <c r="BU486">
        <v>9.9062042236328125</v>
      </c>
      <c r="BV486">
        <v>-9.9055871963500977</v>
      </c>
      <c r="BW486" t="s">
        <v>615</v>
      </c>
      <c r="BX486">
        <v>2.4326769765270484E-11</v>
      </c>
      <c r="BY486">
        <v>2.3984375</v>
      </c>
      <c r="CB486">
        <v>19.745401382446289</v>
      </c>
      <c r="CC486">
        <v>6.2339653968811035</v>
      </c>
    </row>
    <row r="487" spans="1:83" ht="12.75" customHeight="1">
      <c r="A487" t="s">
        <v>798</v>
      </c>
      <c r="C487" t="s">
        <v>625</v>
      </c>
      <c r="D487">
        <v>485</v>
      </c>
      <c r="F487">
        <v>65535</v>
      </c>
      <c r="I487" t="s">
        <v>798</v>
      </c>
      <c r="R487">
        <v>7.280001163482666</v>
      </c>
      <c r="T487">
        <v>30.576005935668945</v>
      </c>
      <c r="W487" s="514">
        <v>44245.742905092593</v>
      </c>
      <c r="AN487">
        <v>0</v>
      </c>
      <c r="AO487">
        <v>0</v>
      </c>
      <c r="AP487">
        <v>0</v>
      </c>
      <c r="AS487">
        <v>0</v>
      </c>
      <c r="AT487">
        <v>0</v>
      </c>
      <c r="AU487">
        <v>0</v>
      </c>
      <c r="AW487">
        <v>0</v>
      </c>
      <c r="AZ487">
        <v>0</v>
      </c>
      <c r="BA487">
        <v>-5.4936431115493178E-4</v>
      </c>
      <c r="BB487">
        <v>0</v>
      </c>
      <c r="BC487">
        <v>9.9062042236328125</v>
      </c>
      <c r="BD487">
        <v>-9.9055871963500977</v>
      </c>
      <c r="BI487">
        <v>0</v>
      </c>
      <c r="BJ487">
        <v>0</v>
      </c>
      <c r="BK487">
        <v>0</v>
      </c>
      <c r="BL487">
        <v>0</v>
      </c>
      <c r="BM487">
        <v>2.4326769765270484E-11</v>
      </c>
      <c r="BN487">
        <v>2.3984375</v>
      </c>
      <c r="BP487">
        <v>65535</v>
      </c>
      <c r="BQ487">
        <v>65535</v>
      </c>
      <c r="BR487">
        <v>0</v>
      </c>
      <c r="BS487">
        <v>-5.4936431115493178E-4</v>
      </c>
      <c r="BT487">
        <v>0</v>
      </c>
      <c r="BU487">
        <v>9.9062042236328125</v>
      </c>
      <c r="BV487">
        <v>-9.9055871963500977</v>
      </c>
      <c r="BW487" t="s">
        <v>615</v>
      </c>
      <c r="BX487">
        <v>2.4326769765270484E-11</v>
      </c>
      <c r="BY487">
        <v>2.3984375</v>
      </c>
      <c r="CB487">
        <v>18.805768966674805</v>
      </c>
      <c r="CC487">
        <v>7.0398960113525391</v>
      </c>
    </row>
    <row r="488" spans="1:83" ht="12.75" customHeight="1">
      <c r="A488" t="s">
        <v>799</v>
      </c>
      <c r="C488" t="s">
        <v>635</v>
      </c>
      <c r="D488">
        <v>486</v>
      </c>
      <c r="F488">
        <v>65535</v>
      </c>
      <c r="I488" t="s">
        <v>799</v>
      </c>
      <c r="R488">
        <v>7.280001163482666</v>
      </c>
      <c r="T488">
        <v>30.576005935668945</v>
      </c>
      <c r="W488" s="514">
        <v>44245.742905092593</v>
      </c>
      <c r="AN488">
        <v>0</v>
      </c>
      <c r="AO488">
        <v>0</v>
      </c>
      <c r="AP488">
        <v>0</v>
      </c>
      <c r="AS488">
        <v>0</v>
      </c>
      <c r="AT488">
        <v>0</v>
      </c>
      <c r="AU488">
        <v>0</v>
      </c>
      <c r="AW488">
        <v>0</v>
      </c>
      <c r="AZ488">
        <v>0</v>
      </c>
      <c r="BA488">
        <v>-5.4936431115493178E-4</v>
      </c>
      <c r="BB488">
        <v>0</v>
      </c>
      <c r="BC488">
        <v>9.9062042236328125</v>
      </c>
      <c r="BD488">
        <v>-9.9055871963500977</v>
      </c>
      <c r="BI488">
        <v>0</v>
      </c>
      <c r="BJ488">
        <v>0</v>
      </c>
      <c r="BK488">
        <v>0</v>
      </c>
      <c r="BL488">
        <v>0</v>
      </c>
      <c r="BM488">
        <v>2.4326769765270484E-11</v>
      </c>
      <c r="BN488">
        <v>2.3984375</v>
      </c>
      <c r="BP488">
        <v>65535</v>
      </c>
      <c r="BQ488">
        <v>65535</v>
      </c>
      <c r="BR488">
        <v>0</v>
      </c>
      <c r="BS488">
        <v>-5.4936431115493178E-4</v>
      </c>
      <c r="BT488">
        <v>0</v>
      </c>
      <c r="BU488">
        <v>9.9062042236328125</v>
      </c>
      <c r="BV488">
        <v>-9.9055871963500977</v>
      </c>
      <c r="BW488" t="s">
        <v>615</v>
      </c>
      <c r="BX488">
        <v>2.4326769765270484E-11</v>
      </c>
      <c r="BY488">
        <v>2.3984375</v>
      </c>
      <c r="CB488">
        <v>18.492700576782227</v>
      </c>
      <c r="CC488">
        <v>7.2283225059509277</v>
      </c>
      <c r="CD488" t="s">
        <v>616</v>
      </c>
      <c r="CE488" t="s">
        <v>619</v>
      </c>
    </row>
    <row r="489" spans="1:83" ht="12.75" customHeight="1">
      <c r="A489" t="s">
        <v>800</v>
      </c>
      <c r="C489" t="s">
        <v>635</v>
      </c>
      <c r="D489">
        <v>487</v>
      </c>
      <c r="F489">
        <v>65535</v>
      </c>
      <c r="I489" t="s">
        <v>800</v>
      </c>
      <c r="R489">
        <v>7.280001163482666</v>
      </c>
      <c r="T489">
        <v>30.576005935668945</v>
      </c>
      <c r="W489" s="514">
        <v>44245.742905092593</v>
      </c>
      <c r="AN489">
        <v>0</v>
      </c>
      <c r="AO489">
        <v>0</v>
      </c>
      <c r="AP489">
        <v>0</v>
      </c>
      <c r="AS489">
        <v>0</v>
      </c>
      <c r="AT489">
        <v>0</v>
      </c>
      <c r="AU489">
        <v>0</v>
      </c>
      <c r="AW489">
        <v>0</v>
      </c>
      <c r="AZ489">
        <v>0</v>
      </c>
      <c r="BA489">
        <v>-5.4936431115493178E-4</v>
      </c>
      <c r="BB489">
        <v>0</v>
      </c>
      <c r="BC489">
        <v>9.9062042236328125</v>
      </c>
      <c r="BD489">
        <v>-9.9055871963500977</v>
      </c>
      <c r="BI489">
        <v>0</v>
      </c>
      <c r="BJ489">
        <v>0</v>
      </c>
      <c r="BK489">
        <v>0</v>
      </c>
      <c r="BL489">
        <v>0</v>
      </c>
      <c r="BM489">
        <v>2.4326769765270484E-11</v>
      </c>
      <c r="BN489">
        <v>2.3984375</v>
      </c>
      <c r="BP489">
        <v>65535</v>
      </c>
      <c r="BQ489">
        <v>65535</v>
      </c>
      <c r="BR489">
        <v>0</v>
      </c>
      <c r="BS489">
        <v>-5.4936431115493178E-4</v>
      </c>
      <c r="BT489">
        <v>0</v>
      </c>
      <c r="BU489">
        <v>9.9062042236328125</v>
      </c>
      <c r="BV489">
        <v>-9.9055871963500977</v>
      </c>
      <c r="BW489" t="s">
        <v>615</v>
      </c>
      <c r="BX489">
        <v>2.4326769765270484E-11</v>
      </c>
      <c r="BY489">
        <v>2.3984375</v>
      </c>
      <c r="CB489">
        <v>18.529254913330078</v>
      </c>
      <c r="CC489">
        <v>7.1777396202087402</v>
      </c>
      <c r="CD489" t="s">
        <v>622</v>
      </c>
      <c r="CE489" t="s">
        <v>623</v>
      </c>
    </row>
    <row r="490" spans="1:83" ht="12.75" customHeight="1">
      <c r="A490" t="s">
        <v>801</v>
      </c>
      <c r="C490" t="s">
        <v>635</v>
      </c>
      <c r="D490">
        <v>488</v>
      </c>
      <c r="F490">
        <v>65535</v>
      </c>
      <c r="I490" t="s">
        <v>801</v>
      </c>
      <c r="AN490">
        <v>0</v>
      </c>
      <c r="AO490">
        <v>0</v>
      </c>
      <c r="AP490">
        <v>0</v>
      </c>
      <c r="AS490">
        <v>65535</v>
      </c>
      <c r="AT490">
        <v>65535</v>
      </c>
      <c r="AU490">
        <v>65535</v>
      </c>
      <c r="BI490">
        <v>0</v>
      </c>
      <c r="BK490">
        <v>0</v>
      </c>
      <c r="BL490">
        <v>0</v>
      </c>
      <c r="BP490">
        <v>65535</v>
      </c>
      <c r="BQ490">
        <v>65535</v>
      </c>
      <c r="CB490">
        <v>18.574638366699219</v>
      </c>
      <c r="CC490">
        <v>7.1292800903320313</v>
      </c>
      <c r="CD490" t="s">
        <v>616</v>
      </c>
      <c r="CE490" t="s">
        <v>619</v>
      </c>
    </row>
    <row r="491" spans="1:83" ht="12.75" customHeight="1">
      <c r="A491" t="s">
        <v>626</v>
      </c>
      <c r="C491" t="s">
        <v>621</v>
      </c>
      <c r="D491">
        <v>489</v>
      </c>
      <c r="F491">
        <v>65535</v>
      </c>
      <c r="I491" t="s">
        <v>626</v>
      </c>
      <c r="AN491">
        <v>0</v>
      </c>
      <c r="AO491">
        <v>0</v>
      </c>
      <c r="AP491">
        <v>0</v>
      </c>
      <c r="AS491">
        <v>65535</v>
      </c>
      <c r="AT491">
        <v>65535</v>
      </c>
      <c r="AU491">
        <v>65535</v>
      </c>
      <c r="BI491">
        <v>0</v>
      </c>
      <c r="BK491">
        <v>0</v>
      </c>
      <c r="BL491">
        <v>0</v>
      </c>
      <c r="BP491">
        <v>65535</v>
      </c>
      <c r="BQ491">
        <v>65535</v>
      </c>
      <c r="CB491">
        <v>19.745401382446289</v>
      </c>
      <c r="CC491">
        <v>6.2339653968811035</v>
      </c>
    </row>
    <row r="492" spans="1:83" ht="12.75" customHeight="1">
      <c r="A492" t="s">
        <v>802</v>
      </c>
      <c r="C492" t="s">
        <v>621</v>
      </c>
      <c r="D492">
        <v>490</v>
      </c>
      <c r="F492">
        <v>65535</v>
      </c>
      <c r="I492" t="s">
        <v>802</v>
      </c>
      <c r="R492">
        <v>36.479988098144531</v>
      </c>
      <c r="T492">
        <v>153.21595764160156</v>
      </c>
      <c r="W492" s="514">
        <v>44245.74287037037</v>
      </c>
      <c r="AN492">
        <v>0</v>
      </c>
      <c r="AO492">
        <v>0</v>
      </c>
      <c r="AP492">
        <v>0</v>
      </c>
      <c r="AS492">
        <v>0</v>
      </c>
      <c r="AT492">
        <v>0</v>
      </c>
      <c r="AU492">
        <v>0</v>
      </c>
      <c r="AW492">
        <v>0</v>
      </c>
      <c r="AZ492">
        <v>0</v>
      </c>
      <c r="BA492">
        <v>-5.2463856991380453E-4</v>
      </c>
      <c r="BB492">
        <v>0</v>
      </c>
      <c r="BC492">
        <v>-11.285629272460938</v>
      </c>
      <c r="BD492">
        <v>11.28624153137207</v>
      </c>
      <c r="BI492">
        <v>0</v>
      </c>
      <c r="BJ492">
        <v>0</v>
      </c>
      <c r="BK492">
        <v>0</v>
      </c>
      <c r="BL492">
        <v>0</v>
      </c>
      <c r="BM492">
        <v>-8.5686288286979106E-8</v>
      </c>
      <c r="BN492">
        <v>2.165557861328125</v>
      </c>
      <c r="BP492">
        <v>65535</v>
      </c>
      <c r="BQ492">
        <v>65535</v>
      </c>
      <c r="BR492">
        <v>0</v>
      </c>
      <c r="BS492">
        <v>-5.2463856991380453E-4</v>
      </c>
      <c r="BT492">
        <v>0</v>
      </c>
      <c r="BU492">
        <v>-11.285629272460938</v>
      </c>
      <c r="BV492">
        <v>11.28624153137207</v>
      </c>
      <c r="BW492" t="s">
        <v>615</v>
      </c>
      <c r="BX492">
        <v>-8.5686288286979106E-8</v>
      </c>
      <c r="BY492">
        <v>2.165557861328125</v>
      </c>
      <c r="CB492">
        <v>18.805768966674805</v>
      </c>
      <c r="CC492">
        <v>7.0398960113525391</v>
      </c>
    </row>
    <row r="493" spans="1:83" ht="12.75" customHeight="1">
      <c r="A493" t="s">
        <v>803</v>
      </c>
      <c r="C493" t="s">
        <v>621</v>
      </c>
      <c r="D493">
        <v>491</v>
      </c>
      <c r="F493">
        <v>65535</v>
      </c>
      <c r="I493" t="s">
        <v>803</v>
      </c>
      <c r="R493">
        <v>36.719997406005859</v>
      </c>
      <c r="T493">
        <v>154.22398376464844</v>
      </c>
      <c r="W493" s="514">
        <v>44245.742881944447</v>
      </c>
      <c r="AN493">
        <v>0</v>
      </c>
      <c r="AO493">
        <v>0</v>
      </c>
      <c r="AP493">
        <v>0</v>
      </c>
      <c r="AS493">
        <v>0</v>
      </c>
      <c r="AT493">
        <v>0</v>
      </c>
      <c r="AU493">
        <v>0</v>
      </c>
      <c r="AW493">
        <v>0</v>
      </c>
      <c r="AZ493">
        <v>0</v>
      </c>
      <c r="BA493">
        <v>-5.2772142225876451E-4</v>
      </c>
      <c r="BB493">
        <v>0</v>
      </c>
      <c r="BC493">
        <v>-11.108200073242188</v>
      </c>
      <c r="BD493">
        <v>11.108931541442871</v>
      </c>
      <c r="BI493">
        <v>0</v>
      </c>
      <c r="BJ493">
        <v>0</v>
      </c>
      <c r="BK493">
        <v>0</v>
      </c>
      <c r="BL493">
        <v>0</v>
      </c>
      <c r="BM493">
        <v>5.0483674503823031E+33</v>
      </c>
      <c r="BN493">
        <v>2.195648193359375</v>
      </c>
      <c r="BP493">
        <v>65535</v>
      </c>
      <c r="BQ493">
        <v>65535</v>
      </c>
      <c r="BR493">
        <v>0</v>
      </c>
      <c r="BS493">
        <v>-5.2772142225876451E-4</v>
      </c>
      <c r="BT493">
        <v>0</v>
      </c>
      <c r="BU493">
        <v>-11.108200073242188</v>
      </c>
      <c r="BV493">
        <v>11.108931541442871</v>
      </c>
      <c r="BW493" t="s">
        <v>615</v>
      </c>
      <c r="BX493">
        <v>5.0483674503823031E+33</v>
      </c>
      <c r="BY493">
        <v>2.195648193359375</v>
      </c>
      <c r="CB493">
        <v>18.492700576782227</v>
      </c>
      <c r="CC493">
        <v>7.2283225059509277</v>
      </c>
    </row>
    <row r="494" spans="1:83" ht="12.75" customHeight="1">
      <c r="A494" t="s">
        <v>804</v>
      </c>
      <c r="C494" t="s">
        <v>621</v>
      </c>
      <c r="D494">
        <v>492</v>
      </c>
      <c r="F494">
        <v>65535</v>
      </c>
      <c r="I494" t="s">
        <v>804</v>
      </c>
      <c r="R494">
        <v>36.719997406005859</v>
      </c>
      <c r="T494">
        <v>154.22398376464844</v>
      </c>
      <c r="W494" s="514">
        <v>44245.742893518516</v>
      </c>
      <c r="AN494">
        <v>0</v>
      </c>
      <c r="AO494">
        <v>0</v>
      </c>
      <c r="AP494">
        <v>0</v>
      </c>
      <c r="AS494">
        <v>0</v>
      </c>
      <c r="AT494">
        <v>0</v>
      </c>
      <c r="AU494">
        <v>0</v>
      </c>
      <c r="AW494">
        <v>0</v>
      </c>
      <c r="AZ494">
        <v>0</v>
      </c>
      <c r="BA494">
        <v>-5.0788070075213909E-4</v>
      </c>
      <c r="BB494">
        <v>0</v>
      </c>
      <c r="BC494">
        <v>-7.8674163818359375</v>
      </c>
      <c r="BD494">
        <v>7.8680248260498047</v>
      </c>
      <c r="BI494">
        <v>0</v>
      </c>
      <c r="BJ494">
        <v>0</v>
      </c>
      <c r="BK494">
        <v>0</v>
      </c>
      <c r="BL494">
        <v>0</v>
      </c>
      <c r="BM494">
        <v>-1.1923361214264197E-21</v>
      </c>
      <c r="BN494">
        <v>2.001007080078125</v>
      </c>
      <c r="BP494">
        <v>65535</v>
      </c>
      <c r="BQ494">
        <v>65535</v>
      </c>
      <c r="BR494">
        <v>0</v>
      </c>
      <c r="BS494">
        <v>-5.0788070075213909E-4</v>
      </c>
      <c r="BT494">
        <v>0</v>
      </c>
      <c r="BU494">
        <v>-7.8674163818359375</v>
      </c>
      <c r="BV494">
        <v>7.8680248260498047</v>
      </c>
      <c r="BW494" t="s">
        <v>615</v>
      </c>
      <c r="BX494">
        <v>-1.1923361214264197E-21</v>
      </c>
      <c r="BY494">
        <v>2.001007080078125</v>
      </c>
      <c r="CB494">
        <v>18.529254913330078</v>
      </c>
      <c r="CC494">
        <v>7.1777396202087402</v>
      </c>
    </row>
    <row r="495" spans="1:83" ht="12.75" customHeight="1">
      <c r="A495" t="s">
        <v>805</v>
      </c>
      <c r="C495" t="s">
        <v>621</v>
      </c>
      <c r="D495">
        <v>493</v>
      </c>
      <c r="F495">
        <v>65535</v>
      </c>
      <c r="I495" t="s">
        <v>805</v>
      </c>
      <c r="R495">
        <v>36.719997406005859</v>
      </c>
      <c r="T495">
        <v>154.22398376464844</v>
      </c>
      <c r="W495" s="514">
        <v>44245.742893518516</v>
      </c>
      <c r="AN495">
        <v>0</v>
      </c>
      <c r="AO495">
        <v>0</v>
      </c>
      <c r="AP495">
        <v>0</v>
      </c>
      <c r="AS495">
        <v>0</v>
      </c>
      <c r="AT495">
        <v>0</v>
      </c>
      <c r="AU495">
        <v>0</v>
      </c>
      <c r="AW495">
        <v>0</v>
      </c>
      <c r="AZ495">
        <v>0</v>
      </c>
      <c r="BA495">
        <v>-5.0788070075213909E-4</v>
      </c>
      <c r="BB495">
        <v>0</v>
      </c>
      <c r="BC495">
        <v>-7.8674163818359375</v>
      </c>
      <c r="BD495">
        <v>7.8680248260498047</v>
      </c>
      <c r="BI495">
        <v>0</v>
      </c>
      <c r="BJ495">
        <v>0</v>
      </c>
      <c r="BK495">
        <v>0</v>
      </c>
      <c r="BL495">
        <v>0</v>
      </c>
      <c r="BM495">
        <v>-1.1923361214264197E-21</v>
      </c>
      <c r="BN495">
        <v>2.001007080078125</v>
      </c>
      <c r="BP495">
        <v>65535</v>
      </c>
      <c r="BQ495">
        <v>65535</v>
      </c>
      <c r="BR495">
        <v>0</v>
      </c>
      <c r="BS495">
        <v>-5.0788070075213909E-4</v>
      </c>
      <c r="BT495">
        <v>0</v>
      </c>
      <c r="BU495">
        <v>-7.8674163818359375</v>
      </c>
      <c r="BV495">
        <v>7.8680248260498047</v>
      </c>
      <c r="BW495" t="s">
        <v>615</v>
      </c>
      <c r="BX495">
        <v>-1.1923361214264197E-21</v>
      </c>
      <c r="BY495">
        <v>2.001007080078125</v>
      </c>
      <c r="CB495">
        <v>18.574638366699219</v>
      </c>
      <c r="CC495">
        <v>7.1292800903320313</v>
      </c>
    </row>
    <row r="496" spans="1:83" ht="12.75" customHeight="1">
      <c r="A496" t="s">
        <v>804</v>
      </c>
      <c r="C496" t="s">
        <v>694</v>
      </c>
      <c r="D496">
        <v>494</v>
      </c>
      <c r="F496">
        <v>65535</v>
      </c>
      <c r="I496" t="s">
        <v>804</v>
      </c>
      <c r="AN496">
        <v>0</v>
      </c>
      <c r="AO496">
        <v>0</v>
      </c>
      <c r="AP496">
        <v>0</v>
      </c>
      <c r="AS496">
        <v>65535</v>
      </c>
      <c r="AT496">
        <v>65535</v>
      </c>
      <c r="AU496">
        <v>65535</v>
      </c>
      <c r="BI496">
        <v>0</v>
      </c>
      <c r="BK496">
        <v>0</v>
      </c>
      <c r="BL496">
        <v>0</v>
      </c>
      <c r="BP496">
        <v>65535</v>
      </c>
      <c r="BQ496">
        <v>65535</v>
      </c>
      <c r="CB496">
        <v>22.726751327514648</v>
      </c>
      <c r="CC496">
        <v>3.8910064697265625</v>
      </c>
    </row>
    <row r="497" spans="1:81" ht="12.75" customHeight="1">
      <c r="A497" t="s">
        <v>805</v>
      </c>
      <c r="C497" t="s">
        <v>694</v>
      </c>
      <c r="D497">
        <v>495</v>
      </c>
      <c r="F497">
        <v>65535</v>
      </c>
      <c r="I497" t="s">
        <v>805</v>
      </c>
      <c r="AN497">
        <v>0</v>
      </c>
      <c r="AO497">
        <v>0</v>
      </c>
      <c r="AP497">
        <v>0</v>
      </c>
      <c r="AS497">
        <v>65535</v>
      </c>
      <c r="AT497">
        <v>65535</v>
      </c>
      <c r="AU497">
        <v>65535</v>
      </c>
      <c r="BI497">
        <v>0</v>
      </c>
      <c r="BK497">
        <v>0</v>
      </c>
      <c r="BL497">
        <v>0</v>
      </c>
      <c r="BP497">
        <v>65535</v>
      </c>
      <c r="BQ497">
        <v>65535</v>
      </c>
      <c r="CB497">
        <v>18.650167465209961</v>
      </c>
      <c r="CC497">
        <v>7.1862478256225586</v>
      </c>
    </row>
    <row r="498" spans="1:81" ht="12.75" customHeight="1">
      <c r="A498" t="s">
        <v>806</v>
      </c>
      <c r="C498" t="s">
        <v>625</v>
      </c>
      <c r="D498">
        <v>496</v>
      </c>
      <c r="F498">
        <v>65535</v>
      </c>
      <c r="I498" t="s">
        <v>806</v>
      </c>
      <c r="AN498">
        <v>0</v>
      </c>
      <c r="AO498">
        <v>0</v>
      </c>
      <c r="AP498">
        <v>0</v>
      </c>
      <c r="AS498">
        <v>65535</v>
      </c>
      <c r="AT498">
        <v>65535</v>
      </c>
      <c r="AU498">
        <v>65535</v>
      </c>
      <c r="BI498">
        <v>0</v>
      </c>
      <c r="BK498">
        <v>0</v>
      </c>
      <c r="BL498">
        <v>0</v>
      </c>
      <c r="BP498">
        <v>65535</v>
      </c>
      <c r="BQ498">
        <v>65535</v>
      </c>
      <c r="CB498">
        <v>19.24894905090332</v>
      </c>
      <c r="CC498">
        <v>6.8145103454589844</v>
      </c>
    </row>
    <row r="499" spans="1:81" ht="12.75" customHeight="1">
      <c r="A499" t="s">
        <v>807</v>
      </c>
      <c r="C499" t="s">
        <v>625</v>
      </c>
      <c r="D499">
        <v>497</v>
      </c>
      <c r="F499">
        <v>65535</v>
      </c>
      <c r="I499" t="s">
        <v>807</v>
      </c>
      <c r="AN499">
        <v>0</v>
      </c>
      <c r="AO499">
        <v>0</v>
      </c>
      <c r="AP499">
        <v>0</v>
      </c>
      <c r="AS499">
        <v>65535</v>
      </c>
      <c r="AT499">
        <v>65535</v>
      </c>
      <c r="AU499">
        <v>65535</v>
      </c>
      <c r="BI499">
        <v>0</v>
      </c>
      <c r="BK499">
        <v>0</v>
      </c>
      <c r="BL499">
        <v>0</v>
      </c>
      <c r="BP499">
        <v>65535</v>
      </c>
      <c r="BQ499">
        <v>65535</v>
      </c>
      <c r="CB499">
        <v>24.933876037597656</v>
      </c>
      <c r="CC499">
        <v>3.0086116790771484</v>
      </c>
    </row>
    <row r="500" spans="1:81" ht="12.75" customHeight="1">
      <c r="A500" t="s">
        <v>805</v>
      </c>
      <c r="C500" t="s">
        <v>625</v>
      </c>
      <c r="D500">
        <v>498</v>
      </c>
      <c r="F500">
        <v>65535</v>
      </c>
      <c r="I500" t="s">
        <v>805</v>
      </c>
      <c r="AN500">
        <v>0</v>
      </c>
      <c r="AO500">
        <v>0</v>
      </c>
      <c r="AP500">
        <v>0</v>
      </c>
      <c r="AS500">
        <v>65535</v>
      </c>
      <c r="AT500">
        <v>65535</v>
      </c>
      <c r="AU500">
        <v>65535</v>
      </c>
      <c r="BI500">
        <v>0</v>
      </c>
      <c r="BK500">
        <v>0</v>
      </c>
      <c r="BL500">
        <v>0</v>
      </c>
      <c r="BP500">
        <v>65535</v>
      </c>
      <c r="BQ500">
        <v>65535</v>
      </c>
      <c r="CB500">
        <v>19.252382278442383</v>
      </c>
      <c r="CC500">
        <v>6.6991314888000488</v>
      </c>
    </row>
    <row r="501" spans="1:81" ht="12.75" customHeight="1">
      <c r="A501" t="s">
        <v>805</v>
      </c>
      <c r="C501" t="s">
        <v>635</v>
      </c>
      <c r="D501">
        <v>499</v>
      </c>
      <c r="F501">
        <v>65535</v>
      </c>
      <c r="I501" t="s">
        <v>805</v>
      </c>
      <c r="R501">
        <v>37.999988555908203</v>
      </c>
      <c r="T501">
        <v>159.59996032714844</v>
      </c>
      <c r="W501" s="514">
        <v>44245.743368055555</v>
      </c>
      <c r="AN501">
        <v>0</v>
      </c>
      <c r="AO501">
        <v>0</v>
      </c>
      <c r="AP501">
        <v>0</v>
      </c>
      <c r="AS501">
        <v>0</v>
      </c>
      <c r="AT501">
        <v>0</v>
      </c>
      <c r="AU501">
        <v>0</v>
      </c>
      <c r="AW501">
        <v>0</v>
      </c>
      <c r="AZ501">
        <v>0</v>
      </c>
      <c r="BA501">
        <v>-4.1965441778302193E-4</v>
      </c>
      <c r="BB501">
        <v>0</v>
      </c>
      <c r="BC501">
        <v>26.385246276855469</v>
      </c>
      <c r="BD501">
        <v>-26.384616851806641</v>
      </c>
      <c r="BI501">
        <v>0</v>
      </c>
      <c r="BJ501">
        <v>0</v>
      </c>
      <c r="BK501">
        <v>0</v>
      </c>
      <c r="BL501">
        <v>0</v>
      </c>
      <c r="BM501">
        <v>1.4075046055950224E-4</v>
      </c>
      <c r="BN501">
        <v>1.1337890625</v>
      </c>
      <c r="BP501">
        <v>65535</v>
      </c>
      <c r="BQ501">
        <v>65535</v>
      </c>
      <c r="BR501">
        <v>0</v>
      </c>
      <c r="BS501">
        <v>-4.1965441778302193E-4</v>
      </c>
      <c r="BT501">
        <v>0</v>
      </c>
      <c r="BU501">
        <v>26.385246276855469</v>
      </c>
      <c r="BV501">
        <v>-26.384616851806641</v>
      </c>
      <c r="BW501" t="s">
        <v>615</v>
      </c>
      <c r="BX501">
        <v>1.4075046055950224E-4</v>
      </c>
      <c r="BY501">
        <v>1.1337890625</v>
      </c>
      <c r="CB501">
        <v>18.400123596191406</v>
      </c>
      <c r="CC501">
        <v>7.4688544273376465</v>
      </c>
    </row>
    <row r="502" spans="1:81" ht="12.75" customHeight="1">
      <c r="A502" t="s">
        <v>804</v>
      </c>
      <c r="C502" t="s">
        <v>635</v>
      </c>
      <c r="D502">
        <v>500</v>
      </c>
      <c r="F502">
        <v>65535</v>
      </c>
      <c r="I502" t="s">
        <v>804</v>
      </c>
      <c r="R502">
        <v>37.999988555908203</v>
      </c>
      <c r="T502">
        <v>159.59996032714844</v>
      </c>
      <c r="W502" s="514">
        <v>44245.743368055555</v>
      </c>
      <c r="AN502">
        <v>0</v>
      </c>
      <c r="AO502">
        <v>0</v>
      </c>
      <c r="AP502">
        <v>0</v>
      </c>
      <c r="AS502">
        <v>0</v>
      </c>
      <c r="AT502">
        <v>0</v>
      </c>
      <c r="AU502">
        <v>0</v>
      </c>
      <c r="AW502">
        <v>0</v>
      </c>
      <c r="AZ502">
        <v>0</v>
      </c>
      <c r="BA502">
        <v>-4.1965441778302193E-4</v>
      </c>
      <c r="BB502">
        <v>0</v>
      </c>
      <c r="BC502">
        <v>26.385246276855469</v>
      </c>
      <c r="BD502">
        <v>-26.384616851806641</v>
      </c>
      <c r="BI502">
        <v>0</v>
      </c>
      <c r="BJ502">
        <v>0</v>
      </c>
      <c r="BK502">
        <v>0</v>
      </c>
      <c r="BL502">
        <v>0</v>
      </c>
      <c r="BM502">
        <v>1.4075046055950224E-4</v>
      </c>
      <c r="BN502">
        <v>1.1337890625</v>
      </c>
      <c r="BP502">
        <v>65535</v>
      </c>
      <c r="BQ502">
        <v>65535</v>
      </c>
      <c r="BR502">
        <v>0</v>
      </c>
      <c r="BS502">
        <v>-4.1965441778302193E-4</v>
      </c>
      <c r="BT502">
        <v>0</v>
      </c>
      <c r="BU502">
        <v>26.385246276855469</v>
      </c>
      <c r="BV502">
        <v>-26.384616851806641</v>
      </c>
      <c r="BW502" t="s">
        <v>615</v>
      </c>
      <c r="BX502">
        <v>1.4075046055950224E-4</v>
      </c>
      <c r="BY502">
        <v>1.1337890625</v>
      </c>
      <c r="CB502">
        <v>22.04890251159668</v>
      </c>
      <c r="CC502">
        <v>5.0117206573486328</v>
      </c>
    </row>
    <row r="503" spans="1:81" ht="12.75" customHeight="1">
      <c r="A503" t="s">
        <v>806</v>
      </c>
      <c r="C503" t="s">
        <v>635</v>
      </c>
      <c r="D503">
        <v>501</v>
      </c>
      <c r="F503">
        <v>65535</v>
      </c>
      <c r="I503" t="s">
        <v>806</v>
      </c>
      <c r="R503">
        <v>37.999988555908203</v>
      </c>
      <c r="T503">
        <v>159.59996032714844</v>
      </c>
      <c r="W503" s="514">
        <v>44245.743368055555</v>
      </c>
      <c r="AN503">
        <v>0</v>
      </c>
      <c r="AO503">
        <v>0</v>
      </c>
      <c r="AP503">
        <v>0</v>
      </c>
      <c r="AS503">
        <v>0</v>
      </c>
      <c r="AT503">
        <v>0</v>
      </c>
      <c r="AU503">
        <v>0</v>
      </c>
      <c r="AW503">
        <v>0</v>
      </c>
      <c r="AZ503">
        <v>0</v>
      </c>
      <c r="BA503">
        <v>-4.1965441778302193E-4</v>
      </c>
      <c r="BB503">
        <v>0</v>
      </c>
      <c r="BC503">
        <v>26.385246276855469</v>
      </c>
      <c r="BD503">
        <v>-26.384616851806641</v>
      </c>
      <c r="BI503">
        <v>0</v>
      </c>
      <c r="BJ503">
        <v>0</v>
      </c>
      <c r="BK503">
        <v>0</v>
      </c>
      <c r="BL503">
        <v>0</v>
      </c>
      <c r="BM503">
        <v>1.4075046055950224E-4</v>
      </c>
      <c r="BN503">
        <v>1.1337890625</v>
      </c>
      <c r="BP503">
        <v>65535</v>
      </c>
      <c r="BQ503">
        <v>65535</v>
      </c>
      <c r="BR503">
        <v>0</v>
      </c>
      <c r="BS503">
        <v>-4.1965441778302193E-4</v>
      </c>
      <c r="BT503">
        <v>0</v>
      </c>
      <c r="BU503">
        <v>26.385246276855469</v>
      </c>
      <c r="BV503">
        <v>-26.384616851806641</v>
      </c>
      <c r="BW503" t="s">
        <v>615</v>
      </c>
      <c r="BX503">
        <v>1.4075046055950224E-4</v>
      </c>
      <c r="BY503">
        <v>1.1337890625</v>
      </c>
      <c r="CB503">
        <v>22.215604782104492</v>
      </c>
      <c r="CC503">
        <v>4.6069068908691406</v>
      </c>
    </row>
    <row r="504" spans="1:81" ht="12.75" customHeight="1">
      <c r="A504" t="s">
        <v>807</v>
      </c>
      <c r="C504" t="s">
        <v>635</v>
      </c>
      <c r="D504">
        <v>502</v>
      </c>
      <c r="F504">
        <v>65535</v>
      </c>
      <c r="I504" t="s">
        <v>807</v>
      </c>
      <c r="R504">
        <v>37.999988555908203</v>
      </c>
      <c r="T504">
        <v>159.59996032714844</v>
      </c>
      <c r="W504" s="514">
        <v>44245.743368055555</v>
      </c>
      <c r="AN504">
        <v>0</v>
      </c>
      <c r="AO504">
        <v>0</v>
      </c>
      <c r="AP504">
        <v>0</v>
      </c>
      <c r="AS504">
        <v>0</v>
      </c>
      <c r="AT504">
        <v>0</v>
      </c>
      <c r="AU504">
        <v>0</v>
      </c>
      <c r="AW504">
        <v>0</v>
      </c>
      <c r="AZ504">
        <v>0</v>
      </c>
      <c r="BA504">
        <v>-4.1965441778302193E-4</v>
      </c>
      <c r="BB504">
        <v>0</v>
      </c>
      <c r="BC504">
        <v>26.385246276855469</v>
      </c>
      <c r="BD504">
        <v>-26.384616851806641</v>
      </c>
      <c r="BI504">
        <v>0</v>
      </c>
      <c r="BJ504">
        <v>0</v>
      </c>
      <c r="BK504">
        <v>0</v>
      </c>
      <c r="BL504">
        <v>0</v>
      </c>
      <c r="BM504">
        <v>1.4075046055950224E-4</v>
      </c>
      <c r="BN504">
        <v>1.1337890625</v>
      </c>
      <c r="BP504">
        <v>65535</v>
      </c>
      <c r="BQ504">
        <v>65535</v>
      </c>
      <c r="BR504">
        <v>0</v>
      </c>
      <c r="BS504">
        <v>-4.1965441778302193E-4</v>
      </c>
      <c r="BT504">
        <v>0</v>
      </c>
      <c r="BU504">
        <v>26.385246276855469</v>
      </c>
      <c r="BV504">
        <v>-26.384616851806641</v>
      </c>
      <c r="BW504" t="s">
        <v>615</v>
      </c>
      <c r="BX504">
        <v>1.4075046055950224E-4</v>
      </c>
      <c r="BY504">
        <v>1.1337890625</v>
      </c>
      <c r="CB504">
        <v>19.565608978271484</v>
      </c>
      <c r="CC504">
        <v>6.4924674034118652</v>
      </c>
    </row>
    <row r="505" spans="1:81" ht="12.75" customHeight="1">
      <c r="A505" t="s">
        <v>806</v>
      </c>
      <c r="C505" t="s">
        <v>621</v>
      </c>
      <c r="D505">
        <v>503</v>
      </c>
      <c r="F505">
        <v>65535</v>
      </c>
      <c r="I505" t="s">
        <v>806</v>
      </c>
      <c r="R505">
        <v>37.999988555908203</v>
      </c>
      <c r="T505">
        <v>159.59996032714844</v>
      </c>
      <c r="W505" s="514">
        <v>44245.743368055555</v>
      </c>
      <c r="AN505">
        <v>0</v>
      </c>
      <c r="AO505">
        <v>0</v>
      </c>
      <c r="AP505">
        <v>0</v>
      </c>
      <c r="AS505">
        <v>0</v>
      </c>
      <c r="AT505">
        <v>0</v>
      </c>
      <c r="AU505">
        <v>0</v>
      </c>
      <c r="AW505">
        <v>0</v>
      </c>
      <c r="AZ505">
        <v>0</v>
      </c>
      <c r="BA505">
        <v>-4.1965441778302193E-4</v>
      </c>
      <c r="BB505">
        <v>0</v>
      </c>
      <c r="BC505">
        <v>26.385246276855469</v>
      </c>
      <c r="BD505">
        <v>-26.384616851806641</v>
      </c>
      <c r="BI505">
        <v>0</v>
      </c>
      <c r="BJ505">
        <v>0</v>
      </c>
      <c r="BK505">
        <v>0</v>
      </c>
      <c r="BL505">
        <v>0</v>
      </c>
      <c r="BM505">
        <v>1.4075046055950224E-4</v>
      </c>
      <c r="BN505">
        <v>1.1337890625</v>
      </c>
      <c r="BP505">
        <v>65535</v>
      </c>
      <c r="BQ505">
        <v>65535</v>
      </c>
      <c r="BR505">
        <v>0</v>
      </c>
      <c r="BS505">
        <v>-4.1965441778302193E-4</v>
      </c>
      <c r="BT505">
        <v>0</v>
      </c>
      <c r="BU505">
        <v>26.385246276855469</v>
      </c>
      <c r="BV505">
        <v>-26.384616851806641</v>
      </c>
      <c r="BW505" t="s">
        <v>615</v>
      </c>
      <c r="BX505">
        <v>1.4075046055950224E-4</v>
      </c>
      <c r="BY505">
        <v>1.1337890625</v>
      </c>
      <c r="CB505">
        <v>20.477558135986328</v>
      </c>
      <c r="CC505">
        <v>5.8544230461120605</v>
      </c>
    </row>
    <row r="506" spans="1:81" ht="12.75" customHeight="1">
      <c r="A506" t="s">
        <v>807</v>
      </c>
      <c r="C506" t="s">
        <v>621</v>
      </c>
      <c r="D506">
        <v>504</v>
      </c>
      <c r="F506">
        <v>65535</v>
      </c>
      <c r="I506" t="s">
        <v>807</v>
      </c>
      <c r="R506">
        <v>34.719989776611328</v>
      </c>
      <c r="T506">
        <v>145.82395935058594</v>
      </c>
      <c r="W506" s="514">
        <v>44245.742800925924</v>
      </c>
      <c r="AN506">
        <v>0</v>
      </c>
      <c r="AO506">
        <v>0</v>
      </c>
      <c r="AP506">
        <v>0</v>
      </c>
      <c r="AS506">
        <v>0</v>
      </c>
      <c r="AT506">
        <v>0</v>
      </c>
      <c r="AU506">
        <v>0</v>
      </c>
      <c r="AW506">
        <v>0</v>
      </c>
      <c r="AZ506">
        <v>0</v>
      </c>
      <c r="BA506">
        <v>-4.8671721015125513E-4</v>
      </c>
      <c r="BB506">
        <v>0</v>
      </c>
      <c r="BC506">
        <v>-7.2655792236328125</v>
      </c>
      <c r="BD506">
        <v>7.2662315368652344</v>
      </c>
      <c r="BI506">
        <v>0</v>
      </c>
      <c r="BJ506">
        <v>0</v>
      </c>
      <c r="BK506">
        <v>0</v>
      </c>
      <c r="BL506">
        <v>0</v>
      </c>
      <c r="BM506">
        <v>4.8018016538438018E-18</v>
      </c>
      <c r="BN506">
        <v>1.791229248046875</v>
      </c>
      <c r="BP506">
        <v>65535</v>
      </c>
      <c r="BQ506">
        <v>65535</v>
      </c>
      <c r="BR506">
        <v>0</v>
      </c>
      <c r="BS506">
        <v>-4.8671721015125513E-4</v>
      </c>
      <c r="BT506">
        <v>0</v>
      </c>
      <c r="BU506">
        <v>-7.2655792236328125</v>
      </c>
      <c r="BV506">
        <v>7.2662315368652344</v>
      </c>
      <c r="BW506" t="s">
        <v>615</v>
      </c>
      <c r="BX506">
        <v>4.8018016538438018E-18</v>
      </c>
      <c r="BY506">
        <v>1.791229248046875</v>
      </c>
      <c r="CB506">
        <v>19.778478622436523</v>
      </c>
      <c r="CC506">
        <v>6.1792669296264648</v>
      </c>
    </row>
    <row r="507" spans="1:81" ht="12.75" customHeight="1">
      <c r="A507" t="s">
        <v>808</v>
      </c>
      <c r="C507" t="s">
        <v>621</v>
      </c>
      <c r="D507">
        <v>505</v>
      </c>
      <c r="F507">
        <v>65535</v>
      </c>
      <c r="I507" t="s">
        <v>808</v>
      </c>
      <c r="R507">
        <v>34.719989776611328</v>
      </c>
      <c r="T507">
        <v>145.82395935058594</v>
      </c>
      <c r="W507" s="514">
        <v>44245.742800925924</v>
      </c>
      <c r="AN507">
        <v>0</v>
      </c>
      <c r="AO507">
        <v>0</v>
      </c>
      <c r="AP507">
        <v>0</v>
      </c>
      <c r="AS507">
        <v>0</v>
      </c>
      <c r="AT507">
        <v>0</v>
      </c>
      <c r="AU507">
        <v>0</v>
      </c>
      <c r="AW507">
        <v>0</v>
      </c>
      <c r="AZ507">
        <v>0</v>
      </c>
      <c r="BA507">
        <v>-4.8671721015125513E-4</v>
      </c>
      <c r="BB507">
        <v>0</v>
      </c>
      <c r="BC507">
        <v>-7.2655792236328125</v>
      </c>
      <c r="BD507">
        <v>7.2662315368652344</v>
      </c>
      <c r="BI507">
        <v>0</v>
      </c>
      <c r="BJ507">
        <v>0</v>
      </c>
      <c r="BK507">
        <v>0</v>
      </c>
      <c r="BL507">
        <v>0</v>
      </c>
      <c r="BM507">
        <v>4.8018016538438018E-18</v>
      </c>
      <c r="BN507">
        <v>1.791229248046875</v>
      </c>
      <c r="BP507">
        <v>65535</v>
      </c>
      <c r="BQ507">
        <v>65535</v>
      </c>
      <c r="BR507">
        <v>0</v>
      </c>
      <c r="BS507">
        <v>-4.8671721015125513E-4</v>
      </c>
      <c r="BT507">
        <v>0</v>
      </c>
      <c r="BU507">
        <v>-7.2655792236328125</v>
      </c>
      <c r="BV507">
        <v>7.2662315368652344</v>
      </c>
      <c r="BW507" t="s">
        <v>615</v>
      </c>
      <c r="BX507">
        <v>4.8018016538438018E-18</v>
      </c>
      <c r="BY507">
        <v>1.791229248046875</v>
      </c>
      <c r="CB507">
        <v>18.650167465209961</v>
      </c>
      <c r="CC507">
        <v>7.1862478256225586</v>
      </c>
    </row>
    <row r="508" spans="1:81" ht="12.75" customHeight="1">
      <c r="A508" t="s">
        <v>804</v>
      </c>
      <c r="C508" t="s">
        <v>625</v>
      </c>
      <c r="D508">
        <v>506</v>
      </c>
      <c r="F508">
        <v>65535</v>
      </c>
      <c r="I508" t="s">
        <v>804</v>
      </c>
      <c r="R508">
        <v>34.719989776611328</v>
      </c>
      <c r="T508">
        <v>145.82395935058594</v>
      </c>
      <c r="W508" s="514">
        <v>44245.742800925924</v>
      </c>
      <c r="AN508">
        <v>0</v>
      </c>
      <c r="AO508">
        <v>0</v>
      </c>
      <c r="AP508">
        <v>0</v>
      </c>
      <c r="AS508">
        <v>0</v>
      </c>
      <c r="AT508">
        <v>0</v>
      </c>
      <c r="AU508">
        <v>0</v>
      </c>
      <c r="AW508">
        <v>0</v>
      </c>
      <c r="AZ508">
        <v>0</v>
      </c>
      <c r="BA508">
        <v>-4.8671721015125513E-4</v>
      </c>
      <c r="BB508">
        <v>0</v>
      </c>
      <c r="BC508">
        <v>-7.2655792236328125</v>
      </c>
      <c r="BD508">
        <v>7.2662315368652344</v>
      </c>
      <c r="BI508">
        <v>0</v>
      </c>
      <c r="BJ508">
        <v>0</v>
      </c>
      <c r="BK508">
        <v>0</v>
      </c>
      <c r="BL508">
        <v>0</v>
      </c>
      <c r="BM508">
        <v>4.8018016538438018E-18</v>
      </c>
      <c r="BN508">
        <v>1.791229248046875</v>
      </c>
      <c r="BP508">
        <v>65535</v>
      </c>
      <c r="BQ508">
        <v>65535</v>
      </c>
      <c r="BR508">
        <v>0</v>
      </c>
      <c r="BS508">
        <v>-4.8671721015125513E-4</v>
      </c>
      <c r="BT508">
        <v>0</v>
      </c>
      <c r="BU508">
        <v>-7.2655792236328125</v>
      </c>
      <c r="BV508">
        <v>7.2662315368652344</v>
      </c>
      <c r="BW508" t="s">
        <v>615</v>
      </c>
      <c r="BX508">
        <v>4.8018016538438018E-18</v>
      </c>
      <c r="BY508">
        <v>1.791229248046875</v>
      </c>
      <c r="CB508">
        <v>19.24894905090332</v>
      </c>
      <c r="CC508">
        <v>6.8145103454589844</v>
      </c>
    </row>
    <row r="509" spans="1:81" ht="12.75" customHeight="1">
      <c r="A509" t="s">
        <v>808</v>
      </c>
      <c r="C509" t="s">
        <v>635</v>
      </c>
      <c r="D509">
        <v>507</v>
      </c>
      <c r="F509">
        <v>65535</v>
      </c>
      <c r="I509" t="s">
        <v>808</v>
      </c>
      <c r="R509">
        <v>34.719989776611328</v>
      </c>
      <c r="T509">
        <v>145.82395935058594</v>
      </c>
      <c r="W509" s="514">
        <v>44245.742800925924</v>
      </c>
      <c r="AN509">
        <v>0</v>
      </c>
      <c r="AO509">
        <v>0</v>
      </c>
      <c r="AP509">
        <v>0</v>
      </c>
      <c r="AS509">
        <v>0</v>
      </c>
      <c r="AT509">
        <v>0</v>
      </c>
      <c r="AU509">
        <v>0</v>
      </c>
      <c r="AW509">
        <v>0</v>
      </c>
      <c r="AZ509">
        <v>0</v>
      </c>
      <c r="BA509">
        <v>-4.8671721015125513E-4</v>
      </c>
      <c r="BB509">
        <v>0</v>
      </c>
      <c r="BC509">
        <v>-7.2655792236328125</v>
      </c>
      <c r="BD509">
        <v>7.2662315368652344</v>
      </c>
      <c r="BI509">
        <v>0</v>
      </c>
      <c r="BJ509">
        <v>0</v>
      </c>
      <c r="BK509">
        <v>0</v>
      </c>
      <c r="BL509">
        <v>0</v>
      </c>
      <c r="BM509">
        <v>4.8018016538438018E-18</v>
      </c>
      <c r="BN509">
        <v>1.791229248046875</v>
      </c>
      <c r="BP509">
        <v>65535</v>
      </c>
      <c r="BQ509">
        <v>65535</v>
      </c>
      <c r="BR509">
        <v>0</v>
      </c>
      <c r="BS509">
        <v>-4.8671721015125513E-4</v>
      </c>
      <c r="BT509">
        <v>0</v>
      </c>
      <c r="BU509">
        <v>-7.2655792236328125</v>
      </c>
      <c r="BV509">
        <v>7.2662315368652344</v>
      </c>
      <c r="BW509" t="s">
        <v>615</v>
      </c>
      <c r="BX509">
        <v>4.8018016538438018E-18</v>
      </c>
      <c r="BY509">
        <v>1.791229248046875</v>
      </c>
      <c r="CB509">
        <v>24.933876037597656</v>
      </c>
      <c r="CC509">
        <v>3.0086116790771484</v>
      </c>
    </row>
    <row r="510" spans="1:81" ht="12.75" customHeight="1">
      <c r="A510" t="s">
        <v>808</v>
      </c>
      <c r="C510" t="s">
        <v>625</v>
      </c>
      <c r="D510">
        <v>508</v>
      </c>
      <c r="F510">
        <v>65535</v>
      </c>
      <c r="I510" t="s">
        <v>808</v>
      </c>
      <c r="R510">
        <v>34.719989776611328</v>
      </c>
      <c r="T510">
        <v>145.82395935058594</v>
      </c>
      <c r="W510" s="514">
        <v>44245.742800925924</v>
      </c>
      <c r="AN510">
        <v>0</v>
      </c>
      <c r="AO510">
        <v>0</v>
      </c>
      <c r="AP510">
        <v>0</v>
      </c>
      <c r="AS510">
        <v>0</v>
      </c>
      <c r="AT510">
        <v>0</v>
      </c>
      <c r="AU510">
        <v>0</v>
      </c>
      <c r="AW510">
        <v>0</v>
      </c>
      <c r="AZ510">
        <v>0</v>
      </c>
      <c r="BA510">
        <v>-4.8671721015125513E-4</v>
      </c>
      <c r="BB510">
        <v>0</v>
      </c>
      <c r="BC510">
        <v>-7.2655792236328125</v>
      </c>
      <c r="BD510">
        <v>7.2662315368652344</v>
      </c>
      <c r="BI510">
        <v>0</v>
      </c>
      <c r="BJ510">
        <v>0</v>
      </c>
      <c r="BK510">
        <v>0</v>
      </c>
      <c r="BL510">
        <v>0</v>
      </c>
      <c r="BM510">
        <v>4.8018016538438018E-18</v>
      </c>
      <c r="BN510">
        <v>1.791229248046875</v>
      </c>
      <c r="BP510">
        <v>65535</v>
      </c>
      <c r="BQ510">
        <v>65535</v>
      </c>
      <c r="BR510">
        <v>0</v>
      </c>
      <c r="BS510">
        <v>-4.8671721015125513E-4</v>
      </c>
      <c r="BT510">
        <v>0</v>
      </c>
      <c r="BU510">
        <v>-7.2655792236328125</v>
      </c>
      <c r="BV510">
        <v>7.2662315368652344</v>
      </c>
      <c r="BW510" t="s">
        <v>615</v>
      </c>
      <c r="BX510">
        <v>4.8018016538438018E-18</v>
      </c>
      <c r="BY510">
        <v>1.791229248046875</v>
      </c>
      <c r="CB510">
        <v>19.252382278442383</v>
      </c>
      <c r="CC510">
        <v>6.6991314888000488</v>
      </c>
    </row>
    <row r="511" spans="1:81" ht="12.75" customHeight="1">
      <c r="A511" t="s">
        <v>756</v>
      </c>
      <c r="C511" t="s">
        <v>694</v>
      </c>
      <c r="D511">
        <v>509</v>
      </c>
      <c r="F511">
        <v>65535</v>
      </c>
      <c r="I511" t="s">
        <v>756</v>
      </c>
      <c r="AN511">
        <v>0</v>
      </c>
      <c r="AO511">
        <v>0</v>
      </c>
      <c r="AP511">
        <v>0</v>
      </c>
      <c r="AS511">
        <v>65535</v>
      </c>
      <c r="AT511">
        <v>65535</v>
      </c>
      <c r="AU511">
        <v>65535</v>
      </c>
      <c r="BI511">
        <v>0</v>
      </c>
      <c r="BK511">
        <v>0</v>
      </c>
      <c r="BL511">
        <v>0</v>
      </c>
      <c r="BP511">
        <v>65535</v>
      </c>
      <c r="BQ511">
        <v>65535</v>
      </c>
      <c r="CB511">
        <v>18.400123596191406</v>
      </c>
      <c r="CC511">
        <v>7.4688544273376465</v>
      </c>
    </row>
    <row r="512" spans="1:81" ht="12.75" customHeight="1">
      <c r="A512" t="s">
        <v>806</v>
      </c>
      <c r="C512" t="s">
        <v>694</v>
      </c>
      <c r="D512">
        <v>510</v>
      </c>
      <c r="F512">
        <v>65535</v>
      </c>
      <c r="I512" t="s">
        <v>806</v>
      </c>
      <c r="AN512">
        <v>0</v>
      </c>
      <c r="AO512">
        <v>0</v>
      </c>
      <c r="AP512">
        <v>0</v>
      </c>
      <c r="AS512">
        <v>65535</v>
      </c>
      <c r="AT512">
        <v>65535</v>
      </c>
      <c r="AU512">
        <v>65535</v>
      </c>
      <c r="BI512">
        <v>0</v>
      </c>
      <c r="BK512">
        <v>0</v>
      </c>
      <c r="BL512">
        <v>0</v>
      </c>
      <c r="BP512">
        <v>65535</v>
      </c>
      <c r="BQ512">
        <v>65535</v>
      </c>
      <c r="CB512">
        <v>22.04890251159668</v>
      </c>
      <c r="CC512">
        <v>5.0117206573486328</v>
      </c>
    </row>
    <row r="513" spans="1:83" ht="12.75" customHeight="1">
      <c r="A513" t="s">
        <v>807</v>
      </c>
      <c r="C513" t="s">
        <v>694</v>
      </c>
      <c r="D513">
        <v>511</v>
      </c>
      <c r="F513">
        <v>65535</v>
      </c>
      <c r="I513" t="s">
        <v>807</v>
      </c>
      <c r="R513">
        <v>36.719997406005859</v>
      </c>
      <c r="T513">
        <v>154.22398376464844</v>
      </c>
      <c r="W513" s="514">
        <v>44245.742893518516</v>
      </c>
      <c r="AN513">
        <v>0</v>
      </c>
      <c r="AO513">
        <v>0</v>
      </c>
      <c r="AP513">
        <v>0</v>
      </c>
      <c r="AS513">
        <v>0</v>
      </c>
      <c r="AT513">
        <v>0</v>
      </c>
      <c r="AU513">
        <v>0</v>
      </c>
      <c r="AW513">
        <v>0</v>
      </c>
      <c r="AZ513">
        <v>0</v>
      </c>
      <c r="BA513">
        <v>-5.0788070075213909E-4</v>
      </c>
      <c r="BB513">
        <v>0</v>
      </c>
      <c r="BC513">
        <v>-7.8674163818359375</v>
      </c>
      <c r="BD513">
        <v>7.8680248260498047</v>
      </c>
      <c r="BI513">
        <v>0</v>
      </c>
      <c r="BJ513">
        <v>0</v>
      </c>
      <c r="BK513">
        <v>0</v>
      </c>
      <c r="BL513">
        <v>0</v>
      </c>
      <c r="BM513">
        <v>-1.1923361214264197E-21</v>
      </c>
      <c r="BN513">
        <v>2.001007080078125</v>
      </c>
      <c r="BP513">
        <v>65535</v>
      </c>
      <c r="BQ513">
        <v>65535</v>
      </c>
      <c r="BR513">
        <v>0</v>
      </c>
      <c r="BS513">
        <v>-5.0788070075213909E-4</v>
      </c>
      <c r="BT513">
        <v>0</v>
      </c>
      <c r="BU513">
        <v>-7.8674163818359375</v>
      </c>
      <c r="BV513">
        <v>7.8680248260498047</v>
      </c>
      <c r="BW513" t="s">
        <v>615</v>
      </c>
      <c r="BX513">
        <v>-1.1923361214264197E-21</v>
      </c>
      <c r="BY513">
        <v>2.001007080078125</v>
      </c>
      <c r="CB513">
        <v>22.215604782104492</v>
      </c>
      <c r="CC513">
        <v>4.6069068908691406</v>
      </c>
    </row>
    <row r="514" spans="1:83" ht="12.75" customHeight="1">
      <c r="A514" t="s">
        <v>808</v>
      </c>
      <c r="C514" t="s">
        <v>694</v>
      </c>
      <c r="D514">
        <v>512</v>
      </c>
      <c r="F514">
        <v>65535</v>
      </c>
      <c r="I514" t="s">
        <v>808</v>
      </c>
      <c r="AN514">
        <v>0</v>
      </c>
      <c r="AO514">
        <v>0</v>
      </c>
      <c r="AP514">
        <v>0</v>
      </c>
      <c r="AS514">
        <v>65535</v>
      </c>
      <c r="AT514">
        <v>65535</v>
      </c>
      <c r="AU514">
        <v>65535</v>
      </c>
      <c r="BI514">
        <v>0</v>
      </c>
      <c r="BK514">
        <v>0</v>
      </c>
      <c r="BL514">
        <v>0</v>
      </c>
      <c r="BP514">
        <v>65535</v>
      </c>
      <c r="BQ514">
        <v>65535</v>
      </c>
      <c r="CB514">
        <v>23.028108596801758</v>
      </c>
      <c r="CC514">
        <v>3.7910871505737305</v>
      </c>
    </row>
    <row r="515" spans="1:83" ht="12.75" customHeight="1">
      <c r="A515" t="s">
        <v>756</v>
      </c>
      <c r="C515" t="s">
        <v>621</v>
      </c>
      <c r="D515">
        <v>513</v>
      </c>
      <c r="F515">
        <v>65535</v>
      </c>
      <c r="I515" t="s">
        <v>756</v>
      </c>
      <c r="R515">
        <v>9.3600034713745117</v>
      </c>
      <c r="T515">
        <v>39.31201171875</v>
      </c>
      <c r="W515" s="514">
        <v>44245.742812500001</v>
      </c>
      <c r="AN515">
        <v>0</v>
      </c>
      <c r="AO515">
        <v>0</v>
      </c>
      <c r="AP515">
        <v>0</v>
      </c>
      <c r="AS515">
        <v>0</v>
      </c>
      <c r="AT515">
        <v>0</v>
      </c>
      <c r="AU515">
        <v>0</v>
      </c>
      <c r="AW515">
        <v>0</v>
      </c>
      <c r="AZ515">
        <v>0</v>
      </c>
      <c r="BA515">
        <v>-3.8550273166038096E-4</v>
      </c>
      <c r="BB515">
        <v>0</v>
      </c>
      <c r="BC515">
        <v>15.564014434814453</v>
      </c>
      <c r="BD515">
        <v>-15.563601493835449</v>
      </c>
      <c r="BI515">
        <v>0</v>
      </c>
      <c r="BJ515">
        <v>0</v>
      </c>
      <c r="BK515">
        <v>0</v>
      </c>
      <c r="BL515">
        <v>0</v>
      </c>
      <c r="BM515">
        <v>3.3443017556781179E-28</v>
      </c>
      <c r="BN515">
        <v>0.805908203125</v>
      </c>
      <c r="BP515">
        <v>65535</v>
      </c>
      <c r="BQ515">
        <v>65535</v>
      </c>
      <c r="BR515">
        <v>0</v>
      </c>
      <c r="BS515">
        <v>-3.8550273166038096E-4</v>
      </c>
      <c r="BT515">
        <v>0</v>
      </c>
      <c r="BU515">
        <v>15.564014434814453</v>
      </c>
      <c r="BV515">
        <v>-15.563601493835449</v>
      </c>
      <c r="BW515" t="s">
        <v>615</v>
      </c>
      <c r="BX515">
        <v>3.3443017556781179E-28</v>
      </c>
      <c r="BY515">
        <v>0.805908203125</v>
      </c>
      <c r="CB515">
        <v>23.310371398925781</v>
      </c>
      <c r="CC515">
        <v>3.1227648258209229</v>
      </c>
    </row>
    <row r="516" spans="1:83" ht="12.75" customHeight="1">
      <c r="A516" t="s">
        <v>773</v>
      </c>
      <c r="C516" t="s">
        <v>772</v>
      </c>
      <c r="D516">
        <v>514</v>
      </c>
      <c r="F516">
        <v>65535</v>
      </c>
      <c r="I516" t="s">
        <v>773</v>
      </c>
      <c r="R516">
        <v>9.3600034713745117</v>
      </c>
      <c r="T516">
        <v>39.31201171875</v>
      </c>
      <c r="W516" s="514">
        <v>44245.742812500001</v>
      </c>
      <c r="AN516">
        <v>0</v>
      </c>
      <c r="AO516">
        <v>0</v>
      </c>
      <c r="AP516">
        <v>0</v>
      </c>
      <c r="AS516">
        <v>0</v>
      </c>
      <c r="AT516">
        <v>0</v>
      </c>
      <c r="AU516">
        <v>0</v>
      </c>
      <c r="AW516">
        <v>0</v>
      </c>
      <c r="AZ516">
        <v>0</v>
      </c>
      <c r="BA516">
        <v>-3.8550273166038096E-4</v>
      </c>
      <c r="BB516">
        <v>0</v>
      </c>
      <c r="BC516">
        <v>15.564014434814453</v>
      </c>
      <c r="BD516">
        <v>-15.563601493835449</v>
      </c>
      <c r="BI516">
        <v>0</v>
      </c>
      <c r="BJ516">
        <v>0</v>
      </c>
      <c r="BK516">
        <v>0</v>
      </c>
      <c r="BL516">
        <v>0</v>
      </c>
      <c r="BM516">
        <v>3.3443017556781179E-28</v>
      </c>
      <c r="BN516">
        <v>0.805908203125</v>
      </c>
      <c r="BP516">
        <v>65535</v>
      </c>
      <c r="BQ516">
        <v>65535</v>
      </c>
      <c r="BR516">
        <v>0</v>
      </c>
      <c r="BS516">
        <v>-3.8550273166038096E-4</v>
      </c>
      <c r="BT516">
        <v>0</v>
      </c>
      <c r="BU516">
        <v>15.564014434814453</v>
      </c>
      <c r="BV516">
        <v>-15.563601493835449</v>
      </c>
      <c r="BW516" t="s">
        <v>615</v>
      </c>
      <c r="BX516">
        <v>3.3443017556781179E-28</v>
      </c>
      <c r="BY516">
        <v>0.805908203125</v>
      </c>
      <c r="CB516">
        <v>19.889692306518555</v>
      </c>
      <c r="CC516">
        <v>5.672971248626709</v>
      </c>
      <c r="CD516" t="s">
        <v>774</v>
      </c>
      <c r="CE516" t="s">
        <v>679</v>
      </c>
    </row>
    <row r="517" spans="1:83" ht="12.75" customHeight="1">
      <c r="A517" t="s">
        <v>773</v>
      </c>
      <c r="C517" t="s">
        <v>772</v>
      </c>
      <c r="D517">
        <v>515</v>
      </c>
      <c r="F517">
        <v>65535</v>
      </c>
      <c r="I517" t="s">
        <v>773</v>
      </c>
      <c r="R517">
        <v>9.3600034713745117</v>
      </c>
      <c r="T517">
        <v>39.31201171875</v>
      </c>
      <c r="W517" s="514">
        <v>44245.742812500001</v>
      </c>
      <c r="AN517">
        <v>0</v>
      </c>
      <c r="AO517">
        <v>0</v>
      </c>
      <c r="AP517">
        <v>0</v>
      </c>
      <c r="AS517">
        <v>0</v>
      </c>
      <c r="AT517">
        <v>0</v>
      </c>
      <c r="AU517">
        <v>0</v>
      </c>
      <c r="AW517">
        <v>0</v>
      </c>
      <c r="AZ517">
        <v>0</v>
      </c>
      <c r="BA517">
        <v>-3.8550273166038096E-4</v>
      </c>
      <c r="BB517">
        <v>0</v>
      </c>
      <c r="BC517">
        <v>15.564014434814453</v>
      </c>
      <c r="BD517">
        <v>-15.563601493835449</v>
      </c>
      <c r="BI517">
        <v>0</v>
      </c>
      <c r="BJ517">
        <v>0</v>
      </c>
      <c r="BK517">
        <v>0</v>
      </c>
      <c r="BL517">
        <v>0</v>
      </c>
      <c r="BM517">
        <v>3.3443017556781179E-28</v>
      </c>
      <c r="BN517">
        <v>0.805908203125</v>
      </c>
      <c r="BP517">
        <v>65535</v>
      </c>
      <c r="BQ517">
        <v>65535</v>
      </c>
      <c r="BR517">
        <v>0</v>
      </c>
      <c r="BS517">
        <v>-3.8550273166038096E-4</v>
      </c>
      <c r="BT517">
        <v>0</v>
      </c>
      <c r="BU517">
        <v>15.564014434814453</v>
      </c>
      <c r="BV517">
        <v>-15.563601493835449</v>
      </c>
      <c r="BW517" t="s">
        <v>615</v>
      </c>
      <c r="BX517">
        <v>3.3443017556781179E-28</v>
      </c>
      <c r="BY517">
        <v>0.805908203125</v>
      </c>
      <c r="CB517">
        <v>19.593198776245117</v>
      </c>
      <c r="CC517">
        <v>6.0992279052734375</v>
      </c>
      <c r="CD517" t="s">
        <v>774</v>
      </c>
      <c r="CE517" t="s">
        <v>679</v>
      </c>
    </row>
    <row r="518" spans="1:83" ht="12.75" customHeight="1">
      <c r="A518" t="s">
        <v>660</v>
      </c>
      <c r="C518" t="s">
        <v>772</v>
      </c>
      <c r="D518">
        <v>516</v>
      </c>
      <c r="F518">
        <v>65535</v>
      </c>
      <c r="I518" t="s">
        <v>660</v>
      </c>
      <c r="R518">
        <v>9.3600034713745117</v>
      </c>
      <c r="T518">
        <v>39.31201171875</v>
      </c>
      <c r="W518" s="514">
        <v>44245.742812500001</v>
      </c>
      <c r="AN518">
        <v>0</v>
      </c>
      <c r="AO518">
        <v>0</v>
      </c>
      <c r="AP518">
        <v>0</v>
      </c>
      <c r="AS518">
        <v>0</v>
      </c>
      <c r="AT518">
        <v>0</v>
      </c>
      <c r="AU518">
        <v>0</v>
      </c>
      <c r="AW518">
        <v>0</v>
      </c>
      <c r="AZ518">
        <v>0</v>
      </c>
      <c r="BA518">
        <v>-3.8550273166038096E-4</v>
      </c>
      <c r="BB518">
        <v>0</v>
      </c>
      <c r="BC518">
        <v>15.564014434814453</v>
      </c>
      <c r="BD518">
        <v>-15.563601493835449</v>
      </c>
      <c r="BI518">
        <v>0</v>
      </c>
      <c r="BJ518">
        <v>0</v>
      </c>
      <c r="BK518">
        <v>0</v>
      </c>
      <c r="BL518">
        <v>0</v>
      </c>
      <c r="BM518">
        <v>3.3443017556781179E-28</v>
      </c>
      <c r="BN518">
        <v>0.805908203125</v>
      </c>
      <c r="BP518">
        <v>65535</v>
      </c>
      <c r="BQ518">
        <v>65535</v>
      </c>
      <c r="BR518">
        <v>0</v>
      </c>
      <c r="BS518">
        <v>-3.8550273166038096E-4</v>
      </c>
      <c r="BT518">
        <v>0</v>
      </c>
      <c r="BU518">
        <v>15.564014434814453</v>
      </c>
      <c r="BV518">
        <v>-15.563601493835449</v>
      </c>
      <c r="BW518" t="s">
        <v>615</v>
      </c>
      <c r="BX518">
        <v>3.3443017556781179E-28</v>
      </c>
      <c r="BY518">
        <v>0.805908203125</v>
      </c>
      <c r="CB518">
        <v>21.554195404052734</v>
      </c>
      <c r="CC518">
        <v>4.8889150619506836</v>
      </c>
      <c r="CD518" t="s">
        <v>616</v>
      </c>
      <c r="CE518" t="s">
        <v>619</v>
      </c>
    </row>
    <row r="519" spans="1:83" ht="12.75" customHeight="1">
      <c r="A519" t="s">
        <v>809</v>
      </c>
      <c r="C519" t="s">
        <v>694</v>
      </c>
      <c r="D519">
        <v>517</v>
      </c>
      <c r="F519">
        <v>65535</v>
      </c>
      <c r="I519" t="s">
        <v>809</v>
      </c>
      <c r="R519">
        <v>9.3600034713745117</v>
      </c>
      <c r="T519">
        <v>39.31201171875</v>
      </c>
      <c r="W519" s="514">
        <v>44245.742812500001</v>
      </c>
      <c r="AN519">
        <v>0</v>
      </c>
      <c r="AO519">
        <v>0</v>
      </c>
      <c r="AP519">
        <v>0</v>
      </c>
      <c r="AS519">
        <v>0</v>
      </c>
      <c r="AT519">
        <v>0</v>
      </c>
      <c r="AU519">
        <v>0</v>
      </c>
      <c r="AW519">
        <v>0</v>
      </c>
      <c r="AZ519">
        <v>0</v>
      </c>
      <c r="BA519">
        <v>-3.8550273166038096E-4</v>
      </c>
      <c r="BB519">
        <v>0</v>
      </c>
      <c r="BC519">
        <v>15.564014434814453</v>
      </c>
      <c r="BD519">
        <v>-15.563601493835449</v>
      </c>
      <c r="BI519">
        <v>0</v>
      </c>
      <c r="BJ519">
        <v>0</v>
      </c>
      <c r="BK519">
        <v>0</v>
      </c>
      <c r="BL519">
        <v>0</v>
      </c>
      <c r="BM519">
        <v>3.3443017556781179E-28</v>
      </c>
      <c r="BN519">
        <v>0.805908203125</v>
      </c>
      <c r="BP519">
        <v>65535</v>
      </c>
      <c r="BQ519">
        <v>65535</v>
      </c>
      <c r="BR519">
        <v>0</v>
      </c>
      <c r="BS519">
        <v>-3.8550273166038096E-4</v>
      </c>
      <c r="BT519">
        <v>0</v>
      </c>
      <c r="BU519">
        <v>15.564014434814453</v>
      </c>
      <c r="BV519">
        <v>-15.563601493835449</v>
      </c>
      <c r="BW519" t="s">
        <v>615</v>
      </c>
      <c r="BX519">
        <v>3.3443017556781179E-28</v>
      </c>
      <c r="BY519">
        <v>0.805908203125</v>
      </c>
      <c r="CB519">
        <v>19.745401382446289</v>
      </c>
      <c r="CC519">
        <v>6.2339653968811035</v>
      </c>
    </row>
    <row r="520" spans="1:83" ht="12.75" customHeight="1">
      <c r="A520" t="s">
        <v>810</v>
      </c>
      <c r="C520" t="s">
        <v>694</v>
      </c>
      <c r="D520">
        <v>518</v>
      </c>
      <c r="F520">
        <v>65535</v>
      </c>
      <c r="I520" t="s">
        <v>810</v>
      </c>
      <c r="R520">
        <v>9.3600034713745117</v>
      </c>
      <c r="T520">
        <v>39.31201171875</v>
      </c>
      <c r="W520" s="514">
        <v>44245.742812500001</v>
      </c>
      <c r="AN520">
        <v>0</v>
      </c>
      <c r="AO520">
        <v>0</v>
      </c>
      <c r="AP520">
        <v>0</v>
      </c>
      <c r="AS520">
        <v>0</v>
      </c>
      <c r="AT520">
        <v>0</v>
      </c>
      <c r="AU520">
        <v>0</v>
      </c>
      <c r="AW520">
        <v>0</v>
      </c>
      <c r="AZ520">
        <v>0</v>
      </c>
      <c r="BA520">
        <v>-3.8550273166038096E-4</v>
      </c>
      <c r="BB520">
        <v>0</v>
      </c>
      <c r="BC520">
        <v>15.564014434814453</v>
      </c>
      <c r="BD520">
        <v>-15.563601493835449</v>
      </c>
      <c r="BI520">
        <v>0</v>
      </c>
      <c r="BJ520">
        <v>0</v>
      </c>
      <c r="BK520">
        <v>0</v>
      </c>
      <c r="BL520">
        <v>0</v>
      </c>
      <c r="BM520">
        <v>3.3443017556781179E-28</v>
      </c>
      <c r="BN520">
        <v>0.805908203125</v>
      </c>
      <c r="BP520">
        <v>65535</v>
      </c>
      <c r="BQ520">
        <v>65535</v>
      </c>
      <c r="BR520">
        <v>0</v>
      </c>
      <c r="BS520">
        <v>-3.8550273166038096E-4</v>
      </c>
      <c r="BT520">
        <v>0</v>
      </c>
      <c r="BU520">
        <v>15.564014434814453</v>
      </c>
      <c r="BV520">
        <v>-15.563601493835449</v>
      </c>
      <c r="BW520" t="s">
        <v>615</v>
      </c>
      <c r="BX520">
        <v>3.3443017556781179E-28</v>
      </c>
      <c r="BY520">
        <v>0.805908203125</v>
      </c>
      <c r="CB520">
        <v>18.805768966674805</v>
      </c>
      <c r="CC520">
        <v>7.0398960113525391</v>
      </c>
    </row>
    <row r="521" spans="1:83" ht="12.75" customHeight="1">
      <c r="A521" t="s">
        <v>777</v>
      </c>
      <c r="C521" t="s">
        <v>635</v>
      </c>
      <c r="D521">
        <v>519</v>
      </c>
      <c r="F521">
        <v>65535</v>
      </c>
      <c r="I521" t="s">
        <v>777</v>
      </c>
      <c r="R521">
        <v>9.3600034713745117</v>
      </c>
      <c r="T521">
        <v>39.31201171875</v>
      </c>
      <c r="W521" s="514">
        <v>44245.742812500001</v>
      </c>
      <c r="AN521">
        <v>0</v>
      </c>
      <c r="AO521">
        <v>0</v>
      </c>
      <c r="AP521">
        <v>0</v>
      </c>
      <c r="AS521">
        <v>0</v>
      </c>
      <c r="AT521">
        <v>0</v>
      </c>
      <c r="AU521">
        <v>0</v>
      </c>
      <c r="AW521">
        <v>0</v>
      </c>
      <c r="AZ521">
        <v>0</v>
      </c>
      <c r="BA521">
        <v>-3.8550273166038096E-4</v>
      </c>
      <c r="BB521">
        <v>0</v>
      </c>
      <c r="BC521">
        <v>15.564014434814453</v>
      </c>
      <c r="BD521">
        <v>-15.563601493835449</v>
      </c>
      <c r="BI521">
        <v>0</v>
      </c>
      <c r="BJ521">
        <v>0</v>
      </c>
      <c r="BK521">
        <v>0</v>
      </c>
      <c r="BL521">
        <v>0</v>
      </c>
      <c r="BM521">
        <v>3.3443017556781179E-28</v>
      </c>
      <c r="BN521">
        <v>0.805908203125</v>
      </c>
      <c r="BP521">
        <v>65535</v>
      </c>
      <c r="BQ521">
        <v>65535</v>
      </c>
      <c r="BR521">
        <v>0</v>
      </c>
      <c r="BS521">
        <v>-3.8550273166038096E-4</v>
      </c>
      <c r="BT521">
        <v>0</v>
      </c>
      <c r="BU521">
        <v>15.564014434814453</v>
      </c>
      <c r="BV521">
        <v>-15.563601493835449</v>
      </c>
      <c r="BW521" t="s">
        <v>615</v>
      </c>
      <c r="BX521">
        <v>3.3443017556781179E-28</v>
      </c>
      <c r="BY521">
        <v>0.805908203125</v>
      </c>
      <c r="CB521">
        <v>18.492700576782227</v>
      </c>
      <c r="CC521">
        <v>7.2283225059509277</v>
      </c>
      <c r="CD521" t="s">
        <v>709</v>
      </c>
      <c r="CE521" t="s">
        <v>710</v>
      </c>
    </row>
    <row r="522" spans="1:83" ht="12.75" customHeight="1">
      <c r="A522" t="s">
        <v>624</v>
      </c>
      <c r="C522" t="s">
        <v>694</v>
      </c>
      <c r="D522">
        <v>520</v>
      </c>
      <c r="F522">
        <v>65535</v>
      </c>
      <c r="I522" t="s">
        <v>624</v>
      </c>
      <c r="R522">
        <v>7.7999982833862305</v>
      </c>
      <c r="T522">
        <v>32.759994506835938</v>
      </c>
      <c r="W522" s="514">
        <v>44245.742824074077</v>
      </c>
      <c r="AN522">
        <v>0</v>
      </c>
      <c r="AO522">
        <v>0</v>
      </c>
      <c r="AP522">
        <v>0</v>
      </c>
      <c r="AS522">
        <v>0</v>
      </c>
      <c r="AT522">
        <v>0</v>
      </c>
      <c r="AU522">
        <v>0</v>
      </c>
      <c r="AW522">
        <v>0</v>
      </c>
      <c r="AZ522">
        <v>0</v>
      </c>
      <c r="BA522">
        <v>-5.2172329742461443E-4</v>
      </c>
      <c r="BB522">
        <v>0</v>
      </c>
      <c r="BC522">
        <v>11.092475891113281</v>
      </c>
      <c r="BD522">
        <v>-11.091865539550781</v>
      </c>
      <c r="BI522">
        <v>0</v>
      </c>
      <c r="BJ522">
        <v>0</v>
      </c>
      <c r="BK522">
        <v>0</v>
      </c>
      <c r="BL522">
        <v>0</v>
      </c>
      <c r="BM522">
        <v>48622374912</v>
      </c>
      <c r="BN522">
        <v>2.126922607421875</v>
      </c>
      <c r="BP522">
        <v>65535</v>
      </c>
      <c r="BQ522">
        <v>65535</v>
      </c>
      <c r="BR522">
        <v>0</v>
      </c>
      <c r="BS522">
        <v>-5.2172329742461443E-4</v>
      </c>
      <c r="BT522">
        <v>0</v>
      </c>
      <c r="BU522">
        <v>11.092475891113281</v>
      </c>
      <c r="BV522">
        <v>-11.091865539550781</v>
      </c>
      <c r="BW522" t="s">
        <v>615</v>
      </c>
      <c r="BX522">
        <v>48622374912</v>
      </c>
      <c r="BY522">
        <v>2.126922607421875</v>
      </c>
      <c r="CB522">
        <v>18.529254913330078</v>
      </c>
      <c r="CC522">
        <v>7.1777396202087402</v>
      </c>
    </row>
    <row r="523" spans="1:83" ht="12.75" customHeight="1">
      <c r="A523" t="s">
        <v>695</v>
      </c>
      <c r="C523" t="s">
        <v>694</v>
      </c>
      <c r="D523">
        <v>521</v>
      </c>
      <c r="F523">
        <v>65535</v>
      </c>
      <c r="I523" t="s">
        <v>695</v>
      </c>
      <c r="R523">
        <v>7.7999982833862305</v>
      </c>
      <c r="T523">
        <v>32.759994506835938</v>
      </c>
      <c r="W523" s="514">
        <v>44245.742824074077</v>
      </c>
      <c r="AN523">
        <v>0</v>
      </c>
      <c r="AO523">
        <v>0</v>
      </c>
      <c r="AP523">
        <v>0</v>
      </c>
      <c r="AS523">
        <v>0</v>
      </c>
      <c r="AT523">
        <v>0</v>
      </c>
      <c r="AU523">
        <v>0</v>
      </c>
      <c r="AW523">
        <v>0</v>
      </c>
      <c r="AZ523">
        <v>0</v>
      </c>
      <c r="BA523">
        <v>-5.2172329742461443E-4</v>
      </c>
      <c r="BB523">
        <v>0</v>
      </c>
      <c r="BC523">
        <v>11.092475891113281</v>
      </c>
      <c r="BD523">
        <v>-11.091865539550781</v>
      </c>
      <c r="BI523">
        <v>0</v>
      </c>
      <c r="BJ523">
        <v>0</v>
      </c>
      <c r="BK523">
        <v>0</v>
      </c>
      <c r="BL523">
        <v>0</v>
      </c>
      <c r="BM523">
        <v>48622374912</v>
      </c>
      <c r="BN523">
        <v>2.126922607421875</v>
      </c>
      <c r="BP523">
        <v>65535</v>
      </c>
      <c r="BQ523">
        <v>65535</v>
      </c>
      <c r="BR523">
        <v>0</v>
      </c>
      <c r="BS523">
        <v>-5.2172329742461443E-4</v>
      </c>
      <c r="BT523">
        <v>0</v>
      </c>
      <c r="BU523">
        <v>11.092475891113281</v>
      </c>
      <c r="BV523">
        <v>-11.091865539550781</v>
      </c>
      <c r="BW523" t="s">
        <v>615</v>
      </c>
      <c r="BX523">
        <v>48622374912</v>
      </c>
      <c r="BY523">
        <v>2.126922607421875</v>
      </c>
      <c r="CB523">
        <v>18.574638366699219</v>
      </c>
      <c r="CC523">
        <v>7.1292800903320313</v>
      </c>
    </row>
    <row r="524" spans="1:83" ht="12.75" customHeight="1">
      <c r="A524" t="s">
        <v>728</v>
      </c>
      <c r="C524" t="s">
        <v>694</v>
      </c>
      <c r="D524">
        <v>522</v>
      </c>
      <c r="F524">
        <v>65535</v>
      </c>
      <c r="I524" t="s">
        <v>728</v>
      </c>
      <c r="AN524">
        <v>0</v>
      </c>
      <c r="AO524">
        <v>0</v>
      </c>
      <c r="AP524">
        <v>0</v>
      </c>
      <c r="AS524">
        <v>65535</v>
      </c>
      <c r="AT524">
        <v>65535</v>
      </c>
      <c r="AU524">
        <v>65535</v>
      </c>
      <c r="BI524">
        <v>0</v>
      </c>
      <c r="BK524">
        <v>0</v>
      </c>
      <c r="BL524">
        <v>0</v>
      </c>
      <c r="BP524">
        <v>65535</v>
      </c>
      <c r="BQ524">
        <v>65535</v>
      </c>
      <c r="CB524">
        <v>19.565608978271484</v>
      </c>
      <c r="CC524">
        <v>6.4924674034118652</v>
      </c>
    </row>
    <row r="525" spans="1:83" ht="12.75" customHeight="1">
      <c r="A525" t="s">
        <v>728</v>
      </c>
      <c r="C525" t="s">
        <v>694</v>
      </c>
      <c r="D525">
        <v>523</v>
      </c>
      <c r="F525">
        <v>65535</v>
      </c>
      <c r="I525" t="s">
        <v>728</v>
      </c>
      <c r="R525">
        <v>7.280001163482666</v>
      </c>
      <c r="T525">
        <v>30.576005935668945</v>
      </c>
      <c r="W525" s="514">
        <v>44245.742905092593</v>
      </c>
      <c r="AN525">
        <v>0</v>
      </c>
      <c r="AO525">
        <v>0</v>
      </c>
      <c r="AP525">
        <v>0</v>
      </c>
      <c r="AS525">
        <v>0</v>
      </c>
      <c r="AT525">
        <v>0</v>
      </c>
      <c r="AU525">
        <v>0</v>
      </c>
      <c r="AW525">
        <v>0</v>
      </c>
      <c r="AZ525">
        <v>0</v>
      </c>
      <c r="BA525">
        <v>-5.4936431115493178E-4</v>
      </c>
      <c r="BB525">
        <v>0</v>
      </c>
      <c r="BC525">
        <v>9.9062042236328125</v>
      </c>
      <c r="BD525">
        <v>-9.9055871963500977</v>
      </c>
      <c r="BI525">
        <v>0</v>
      </c>
      <c r="BJ525">
        <v>0</v>
      </c>
      <c r="BK525">
        <v>0</v>
      </c>
      <c r="BL525">
        <v>0</v>
      </c>
      <c r="BM525">
        <v>2.4326769765270484E-11</v>
      </c>
      <c r="BN525">
        <v>2.3984375</v>
      </c>
      <c r="BP525">
        <v>65535</v>
      </c>
      <c r="BQ525">
        <v>65535</v>
      </c>
      <c r="BR525">
        <v>0</v>
      </c>
      <c r="BS525">
        <v>-5.4936431115493178E-4</v>
      </c>
      <c r="BT525">
        <v>0</v>
      </c>
      <c r="BU525">
        <v>9.9062042236328125</v>
      </c>
      <c r="BV525">
        <v>-9.9055871963500977</v>
      </c>
      <c r="BW525" t="s">
        <v>615</v>
      </c>
      <c r="BX525">
        <v>2.4326769765270484E-11</v>
      </c>
      <c r="BY525">
        <v>2.3984375</v>
      </c>
      <c r="CB525">
        <v>20.477558135986328</v>
      </c>
      <c r="CC525">
        <v>5.8544230461120605</v>
      </c>
    </row>
    <row r="526" spans="1:83" ht="12.75" customHeight="1">
      <c r="A526" t="s">
        <v>728</v>
      </c>
      <c r="C526" t="s">
        <v>694</v>
      </c>
      <c r="D526">
        <v>524</v>
      </c>
      <c r="F526">
        <v>65535</v>
      </c>
      <c r="I526" t="s">
        <v>728</v>
      </c>
      <c r="AN526">
        <v>0</v>
      </c>
      <c r="AO526">
        <v>0</v>
      </c>
      <c r="AP526">
        <v>0</v>
      </c>
      <c r="AS526">
        <v>65535</v>
      </c>
      <c r="AT526">
        <v>65535</v>
      </c>
      <c r="AU526">
        <v>65535</v>
      </c>
      <c r="BI526">
        <v>0</v>
      </c>
      <c r="BK526">
        <v>0</v>
      </c>
      <c r="BL526">
        <v>0</v>
      </c>
      <c r="BP526">
        <v>65535</v>
      </c>
      <c r="BQ526">
        <v>65535</v>
      </c>
      <c r="CB526">
        <v>19.745401382446289</v>
      </c>
      <c r="CC526">
        <v>6.2339653968811035</v>
      </c>
    </row>
    <row r="527" spans="1:83" ht="12.75" customHeight="1">
      <c r="A527" t="s">
        <v>728</v>
      </c>
      <c r="C527" t="s">
        <v>694</v>
      </c>
      <c r="D527">
        <v>525</v>
      </c>
      <c r="F527">
        <v>65535</v>
      </c>
      <c r="I527" t="s">
        <v>728</v>
      </c>
      <c r="AN527">
        <v>0</v>
      </c>
      <c r="AO527">
        <v>0</v>
      </c>
      <c r="AP527">
        <v>0</v>
      </c>
      <c r="AS527">
        <v>65535</v>
      </c>
      <c r="AT527">
        <v>65535</v>
      </c>
      <c r="AU527">
        <v>65535</v>
      </c>
      <c r="BI527">
        <v>0</v>
      </c>
      <c r="BK527">
        <v>0</v>
      </c>
      <c r="BL527">
        <v>0</v>
      </c>
      <c r="BP527">
        <v>65535</v>
      </c>
      <c r="BQ527">
        <v>65535</v>
      </c>
      <c r="CB527">
        <v>18.805768966674805</v>
      </c>
      <c r="CC527">
        <v>7.0398960113525391</v>
      </c>
    </row>
    <row r="528" spans="1:83" ht="12.75" customHeight="1">
      <c r="A528" t="s">
        <v>728</v>
      </c>
      <c r="C528" t="s">
        <v>694</v>
      </c>
      <c r="D528">
        <v>526</v>
      </c>
      <c r="F528">
        <v>65535</v>
      </c>
      <c r="I528" t="s">
        <v>728</v>
      </c>
      <c r="AN528">
        <v>0</v>
      </c>
      <c r="AO528">
        <v>0</v>
      </c>
      <c r="AP528">
        <v>0</v>
      </c>
      <c r="AS528">
        <v>65535</v>
      </c>
      <c r="AT528">
        <v>65535</v>
      </c>
      <c r="AU528">
        <v>65535</v>
      </c>
      <c r="BI528">
        <v>0</v>
      </c>
      <c r="BK528">
        <v>0</v>
      </c>
      <c r="BL528">
        <v>0</v>
      </c>
      <c r="BP528">
        <v>65535</v>
      </c>
      <c r="BQ528">
        <v>65535</v>
      </c>
      <c r="CB528">
        <v>18.492700576782227</v>
      </c>
      <c r="CC528">
        <v>7.2283225059509277</v>
      </c>
    </row>
    <row r="529" spans="1:81" ht="12.75" customHeight="1">
      <c r="A529" t="s">
        <v>728</v>
      </c>
      <c r="C529" t="s">
        <v>694</v>
      </c>
      <c r="D529">
        <v>527</v>
      </c>
      <c r="F529">
        <v>65535</v>
      </c>
      <c r="I529" t="s">
        <v>728</v>
      </c>
      <c r="AN529">
        <v>0</v>
      </c>
      <c r="AO529">
        <v>0</v>
      </c>
      <c r="AP529">
        <v>0</v>
      </c>
      <c r="AS529">
        <v>65535</v>
      </c>
      <c r="AT529">
        <v>65535</v>
      </c>
      <c r="AU529">
        <v>65535</v>
      </c>
      <c r="BI529">
        <v>0</v>
      </c>
      <c r="BK529">
        <v>0</v>
      </c>
      <c r="BL529">
        <v>0</v>
      </c>
      <c r="BP529">
        <v>65535</v>
      </c>
      <c r="BQ529">
        <v>65535</v>
      </c>
      <c r="CB529">
        <v>18.529254913330078</v>
      </c>
      <c r="CC529">
        <v>7.1777396202087402</v>
      </c>
    </row>
    <row r="530" spans="1:81" ht="12.75" customHeight="1">
      <c r="A530" t="s">
        <v>728</v>
      </c>
      <c r="C530" t="s">
        <v>694</v>
      </c>
      <c r="D530">
        <v>528</v>
      </c>
      <c r="F530">
        <v>65535</v>
      </c>
      <c r="I530" t="s">
        <v>728</v>
      </c>
      <c r="AN530">
        <v>0</v>
      </c>
      <c r="AO530">
        <v>0</v>
      </c>
      <c r="AP530">
        <v>0</v>
      </c>
      <c r="AS530">
        <v>65535</v>
      </c>
      <c r="AT530">
        <v>65535</v>
      </c>
      <c r="AU530">
        <v>65535</v>
      </c>
      <c r="BI530">
        <v>0</v>
      </c>
      <c r="BK530">
        <v>0</v>
      </c>
      <c r="BL530">
        <v>0</v>
      </c>
      <c r="BP530">
        <v>65535</v>
      </c>
      <c r="BQ530">
        <v>65535</v>
      </c>
      <c r="CB530">
        <v>18.574638366699219</v>
      </c>
      <c r="CC530">
        <v>7.1292800903320313</v>
      </c>
    </row>
    <row r="531" spans="1:81" ht="12.75" customHeight="1">
      <c r="A531" t="s">
        <v>728</v>
      </c>
      <c r="C531" t="s">
        <v>694</v>
      </c>
      <c r="D531">
        <v>529</v>
      </c>
      <c r="F531">
        <v>65535</v>
      </c>
      <c r="I531" t="s">
        <v>728</v>
      </c>
      <c r="AN531">
        <v>0</v>
      </c>
      <c r="AO531">
        <v>0</v>
      </c>
      <c r="AP531">
        <v>0</v>
      </c>
      <c r="AS531">
        <v>65535</v>
      </c>
      <c r="AT531">
        <v>65535</v>
      </c>
      <c r="AU531">
        <v>65535</v>
      </c>
      <c r="BI531">
        <v>0</v>
      </c>
      <c r="BK531">
        <v>0</v>
      </c>
      <c r="BL531">
        <v>0</v>
      </c>
      <c r="BP531">
        <v>65535</v>
      </c>
      <c r="BQ531">
        <v>65535</v>
      </c>
      <c r="CB531">
        <v>19.745401382446289</v>
      </c>
      <c r="CC531">
        <v>6.2339653968811035</v>
      </c>
    </row>
    <row r="532" spans="1:81" ht="12.75" customHeight="1">
      <c r="A532" t="s">
        <v>728</v>
      </c>
      <c r="C532" t="s">
        <v>694</v>
      </c>
      <c r="D532">
        <v>530</v>
      </c>
      <c r="F532">
        <v>65535</v>
      </c>
      <c r="I532" t="s">
        <v>728</v>
      </c>
      <c r="R532">
        <v>5.6000008583068848</v>
      </c>
      <c r="T532">
        <v>23.520004272460938</v>
      </c>
      <c r="W532" s="514">
        <v>44245.742835648147</v>
      </c>
      <c r="AN532">
        <v>0</v>
      </c>
      <c r="AO532">
        <v>0</v>
      </c>
      <c r="AP532">
        <v>0</v>
      </c>
      <c r="AS532">
        <v>0</v>
      </c>
      <c r="AT532">
        <v>0</v>
      </c>
      <c r="AU532">
        <v>0</v>
      </c>
      <c r="AW532">
        <v>0</v>
      </c>
      <c r="AZ532">
        <v>0</v>
      </c>
      <c r="BA532">
        <v>-5.2173779113218188E-4</v>
      </c>
      <c r="BB532">
        <v>0</v>
      </c>
      <c r="BC532">
        <v>7.9564628601074219</v>
      </c>
      <c r="BD532">
        <v>-7.955843448638916</v>
      </c>
      <c r="BI532">
        <v>0</v>
      </c>
      <c r="BJ532">
        <v>0</v>
      </c>
      <c r="BK532">
        <v>0</v>
      </c>
      <c r="BL532">
        <v>0</v>
      </c>
      <c r="BM532">
        <v>2.1258426320214879E+27</v>
      </c>
      <c r="BN532">
        <v>2.128814697265625</v>
      </c>
      <c r="BP532">
        <v>65535</v>
      </c>
      <c r="BQ532">
        <v>65535</v>
      </c>
      <c r="BR532">
        <v>0</v>
      </c>
      <c r="BS532">
        <v>-5.2173779113218188E-4</v>
      </c>
      <c r="BT532">
        <v>0</v>
      </c>
      <c r="BU532">
        <v>7.9564628601074219</v>
      </c>
      <c r="BV532">
        <v>-7.955843448638916</v>
      </c>
      <c r="BW532" t="s">
        <v>615</v>
      </c>
      <c r="BX532">
        <v>2.1258426320214879E+27</v>
      </c>
      <c r="BY532">
        <v>2.128814697265625</v>
      </c>
      <c r="CB532">
        <v>18.805768966674805</v>
      </c>
      <c r="CC532">
        <v>7.0398960113525391</v>
      </c>
    </row>
    <row r="533" spans="1:81" ht="12.75" customHeight="1">
      <c r="A533" t="s">
        <v>728</v>
      </c>
      <c r="C533" t="s">
        <v>694</v>
      </c>
      <c r="D533">
        <v>531</v>
      </c>
      <c r="F533">
        <v>65535</v>
      </c>
      <c r="I533" t="s">
        <v>728</v>
      </c>
      <c r="R533">
        <v>5.6000008583068848</v>
      </c>
      <c r="T533">
        <v>23.520004272460938</v>
      </c>
      <c r="W533" s="514">
        <v>44245.742835648147</v>
      </c>
      <c r="AN533">
        <v>0</v>
      </c>
      <c r="AO533">
        <v>0</v>
      </c>
      <c r="AP533">
        <v>0</v>
      </c>
      <c r="AS533">
        <v>0</v>
      </c>
      <c r="AT533">
        <v>0</v>
      </c>
      <c r="AU533">
        <v>0</v>
      </c>
      <c r="AW533">
        <v>0</v>
      </c>
      <c r="AZ533">
        <v>0</v>
      </c>
      <c r="BA533">
        <v>-5.2173779113218188E-4</v>
      </c>
      <c r="BB533">
        <v>0</v>
      </c>
      <c r="BC533">
        <v>7.9564628601074219</v>
      </c>
      <c r="BD533">
        <v>-7.955843448638916</v>
      </c>
      <c r="BI533">
        <v>0</v>
      </c>
      <c r="BJ533">
        <v>0</v>
      </c>
      <c r="BK533">
        <v>0</v>
      </c>
      <c r="BL533">
        <v>0</v>
      </c>
      <c r="BM533">
        <v>2.1258426320214879E+27</v>
      </c>
      <c r="BN533">
        <v>2.128814697265625</v>
      </c>
      <c r="BP533">
        <v>65535</v>
      </c>
      <c r="BQ533">
        <v>65535</v>
      </c>
      <c r="BR533">
        <v>0</v>
      </c>
      <c r="BS533">
        <v>-5.2173779113218188E-4</v>
      </c>
      <c r="BT533">
        <v>0</v>
      </c>
      <c r="BU533">
        <v>7.9564628601074219</v>
      </c>
      <c r="BV533">
        <v>-7.955843448638916</v>
      </c>
      <c r="BW533" t="s">
        <v>615</v>
      </c>
      <c r="BX533">
        <v>2.1258426320214879E+27</v>
      </c>
      <c r="BY533">
        <v>2.128814697265625</v>
      </c>
      <c r="CB533">
        <v>18.492700576782227</v>
      </c>
      <c r="CC533">
        <v>7.2283225059509277</v>
      </c>
    </row>
    <row r="534" spans="1:81" ht="12.75" customHeight="1">
      <c r="A534" t="s">
        <v>728</v>
      </c>
      <c r="C534" t="s">
        <v>694</v>
      </c>
      <c r="D534">
        <v>532</v>
      </c>
      <c r="F534">
        <v>65535</v>
      </c>
      <c r="I534" t="s">
        <v>728</v>
      </c>
      <c r="R534">
        <v>5.6000008583068848</v>
      </c>
      <c r="T534">
        <v>23.520004272460938</v>
      </c>
      <c r="W534" s="514">
        <v>44245.742835648147</v>
      </c>
      <c r="AN534">
        <v>0</v>
      </c>
      <c r="AO534">
        <v>0</v>
      </c>
      <c r="AP534">
        <v>0</v>
      </c>
      <c r="AS534">
        <v>0</v>
      </c>
      <c r="AT534">
        <v>0</v>
      </c>
      <c r="AU534">
        <v>0</v>
      </c>
      <c r="AW534">
        <v>0</v>
      </c>
      <c r="AZ534">
        <v>0</v>
      </c>
      <c r="BA534">
        <v>-5.2173779113218188E-4</v>
      </c>
      <c r="BB534">
        <v>0</v>
      </c>
      <c r="BC534">
        <v>7.9564628601074219</v>
      </c>
      <c r="BD534">
        <v>-7.955843448638916</v>
      </c>
      <c r="BI534">
        <v>0</v>
      </c>
      <c r="BJ534">
        <v>0</v>
      </c>
      <c r="BK534">
        <v>0</v>
      </c>
      <c r="BL534">
        <v>0</v>
      </c>
      <c r="BM534">
        <v>2.1258426320214879E+27</v>
      </c>
      <c r="BN534">
        <v>2.128814697265625</v>
      </c>
      <c r="BP534">
        <v>65535</v>
      </c>
      <c r="BQ534">
        <v>65535</v>
      </c>
      <c r="BR534">
        <v>0</v>
      </c>
      <c r="BS534">
        <v>-5.2173779113218188E-4</v>
      </c>
      <c r="BT534">
        <v>0</v>
      </c>
      <c r="BU534">
        <v>7.9564628601074219</v>
      </c>
      <c r="BV534">
        <v>-7.955843448638916</v>
      </c>
      <c r="BW534" t="s">
        <v>615</v>
      </c>
      <c r="BX534">
        <v>2.1258426320214879E+27</v>
      </c>
      <c r="BY534">
        <v>2.128814697265625</v>
      </c>
      <c r="CB534">
        <v>18.529254913330078</v>
      </c>
      <c r="CC534">
        <v>7.1777396202087402</v>
      </c>
    </row>
    <row r="535" spans="1:81" ht="12.75" customHeight="1">
      <c r="A535" t="s">
        <v>728</v>
      </c>
      <c r="C535" t="s">
        <v>694</v>
      </c>
      <c r="D535">
        <v>533</v>
      </c>
      <c r="F535">
        <v>65535</v>
      </c>
      <c r="I535" t="s">
        <v>728</v>
      </c>
      <c r="R535">
        <v>5.6000008583068848</v>
      </c>
      <c r="T535">
        <v>23.520004272460938</v>
      </c>
      <c r="W535" s="514">
        <v>44245.742835648147</v>
      </c>
      <c r="AN535">
        <v>0</v>
      </c>
      <c r="AO535">
        <v>0</v>
      </c>
      <c r="AP535">
        <v>0</v>
      </c>
      <c r="AS535">
        <v>0</v>
      </c>
      <c r="AT535">
        <v>0</v>
      </c>
      <c r="AU535">
        <v>0</v>
      </c>
      <c r="AW535">
        <v>0</v>
      </c>
      <c r="AZ535">
        <v>0</v>
      </c>
      <c r="BA535">
        <v>-5.2173779113218188E-4</v>
      </c>
      <c r="BB535">
        <v>0</v>
      </c>
      <c r="BC535">
        <v>7.9564628601074219</v>
      </c>
      <c r="BD535">
        <v>-7.955843448638916</v>
      </c>
      <c r="BI535">
        <v>0</v>
      </c>
      <c r="BJ535">
        <v>0</v>
      </c>
      <c r="BK535">
        <v>0</v>
      </c>
      <c r="BL535">
        <v>0</v>
      </c>
      <c r="BM535">
        <v>2.1258426320214879E+27</v>
      </c>
      <c r="BN535">
        <v>2.128814697265625</v>
      </c>
      <c r="BP535">
        <v>65535</v>
      </c>
      <c r="BQ535">
        <v>65535</v>
      </c>
      <c r="BR535">
        <v>0</v>
      </c>
      <c r="BS535">
        <v>-5.2173779113218188E-4</v>
      </c>
      <c r="BT535">
        <v>0</v>
      </c>
      <c r="BU535">
        <v>7.9564628601074219</v>
      </c>
      <c r="BV535">
        <v>-7.955843448638916</v>
      </c>
      <c r="BW535" t="s">
        <v>615</v>
      </c>
      <c r="BX535">
        <v>2.1258426320214879E+27</v>
      </c>
      <c r="BY535">
        <v>2.128814697265625</v>
      </c>
      <c r="CB535">
        <v>18.574638366699219</v>
      </c>
      <c r="CC535">
        <v>7.1292800903320313</v>
      </c>
    </row>
    <row r="536" spans="1:81" ht="12.75" customHeight="1">
      <c r="A536" t="s">
        <v>728</v>
      </c>
      <c r="C536" t="s">
        <v>694</v>
      </c>
      <c r="D536">
        <v>534</v>
      </c>
      <c r="F536">
        <v>65535</v>
      </c>
      <c r="I536" t="s">
        <v>728</v>
      </c>
      <c r="R536">
        <v>5.6000008583068848</v>
      </c>
      <c r="T536">
        <v>23.520004272460938</v>
      </c>
      <c r="W536" s="514">
        <v>44245.742835648147</v>
      </c>
      <c r="AN536">
        <v>0</v>
      </c>
      <c r="AO536">
        <v>0</v>
      </c>
      <c r="AP536">
        <v>0</v>
      </c>
      <c r="AS536">
        <v>0</v>
      </c>
      <c r="AT536">
        <v>0</v>
      </c>
      <c r="AU536">
        <v>0</v>
      </c>
      <c r="AW536">
        <v>0</v>
      </c>
      <c r="AZ536">
        <v>0</v>
      </c>
      <c r="BA536">
        <v>-5.2173779113218188E-4</v>
      </c>
      <c r="BB536">
        <v>0</v>
      </c>
      <c r="BC536">
        <v>7.9564628601074219</v>
      </c>
      <c r="BD536">
        <v>-7.955843448638916</v>
      </c>
      <c r="BI536">
        <v>0</v>
      </c>
      <c r="BJ536">
        <v>0</v>
      </c>
      <c r="BK536">
        <v>0</v>
      </c>
      <c r="BL536">
        <v>0</v>
      </c>
      <c r="BM536">
        <v>2.1258426320214879E+27</v>
      </c>
      <c r="BN536">
        <v>2.128814697265625</v>
      </c>
      <c r="BP536">
        <v>65535</v>
      </c>
      <c r="BQ536">
        <v>65535</v>
      </c>
      <c r="BR536">
        <v>0</v>
      </c>
      <c r="BS536">
        <v>-5.2173779113218188E-4</v>
      </c>
      <c r="BT536">
        <v>0</v>
      </c>
      <c r="BU536">
        <v>7.9564628601074219</v>
      </c>
      <c r="BV536">
        <v>-7.955843448638916</v>
      </c>
      <c r="BW536" t="s">
        <v>615</v>
      </c>
      <c r="BX536">
        <v>2.1258426320214879E+27</v>
      </c>
      <c r="BY536">
        <v>2.128814697265625</v>
      </c>
      <c r="CB536">
        <v>19.745401382446289</v>
      </c>
      <c r="CC536">
        <v>6.2339653968811035</v>
      </c>
    </row>
    <row r="537" spans="1:81" ht="12.75" customHeight="1">
      <c r="A537" t="s">
        <v>728</v>
      </c>
      <c r="C537" t="s">
        <v>694</v>
      </c>
      <c r="D537">
        <v>535</v>
      </c>
      <c r="F537">
        <v>65535</v>
      </c>
      <c r="I537" t="s">
        <v>728</v>
      </c>
      <c r="R537">
        <v>5.6000008583068848</v>
      </c>
      <c r="T537">
        <v>23.520004272460938</v>
      </c>
      <c r="W537" s="514">
        <v>44245.742835648147</v>
      </c>
      <c r="AN537">
        <v>0</v>
      </c>
      <c r="AO537">
        <v>0</v>
      </c>
      <c r="AP537">
        <v>0</v>
      </c>
      <c r="AS537">
        <v>0</v>
      </c>
      <c r="AT537">
        <v>0</v>
      </c>
      <c r="AU537">
        <v>0</v>
      </c>
      <c r="AW537">
        <v>0</v>
      </c>
      <c r="AZ537">
        <v>0</v>
      </c>
      <c r="BA537">
        <v>-5.2173779113218188E-4</v>
      </c>
      <c r="BB537">
        <v>0</v>
      </c>
      <c r="BC537">
        <v>7.9564628601074219</v>
      </c>
      <c r="BD537">
        <v>-7.955843448638916</v>
      </c>
      <c r="BI537">
        <v>0</v>
      </c>
      <c r="BJ537">
        <v>0</v>
      </c>
      <c r="BK537">
        <v>0</v>
      </c>
      <c r="BL537">
        <v>0</v>
      </c>
      <c r="BM537">
        <v>2.1258426320214879E+27</v>
      </c>
      <c r="BN537">
        <v>2.128814697265625</v>
      </c>
      <c r="BP537">
        <v>65535</v>
      </c>
      <c r="BQ537">
        <v>65535</v>
      </c>
      <c r="BR537">
        <v>0</v>
      </c>
      <c r="BS537">
        <v>-5.2173779113218188E-4</v>
      </c>
      <c r="BT537">
        <v>0</v>
      </c>
      <c r="BU537">
        <v>7.9564628601074219</v>
      </c>
      <c r="BV537">
        <v>-7.955843448638916</v>
      </c>
      <c r="BW537" t="s">
        <v>615</v>
      </c>
      <c r="BX537">
        <v>2.1258426320214879E+27</v>
      </c>
      <c r="BY537">
        <v>2.128814697265625</v>
      </c>
      <c r="CB537">
        <v>18.805768966674805</v>
      </c>
      <c r="CC537">
        <v>7.0398960113525391</v>
      </c>
    </row>
    <row r="538" spans="1:81" ht="12.75" customHeight="1">
      <c r="A538" t="s">
        <v>728</v>
      </c>
      <c r="C538" t="s">
        <v>694</v>
      </c>
      <c r="D538">
        <v>536</v>
      </c>
      <c r="F538">
        <v>65535</v>
      </c>
      <c r="I538" t="s">
        <v>728</v>
      </c>
      <c r="R538">
        <v>5.6000008583068848</v>
      </c>
      <c r="T538">
        <v>23.520004272460938</v>
      </c>
      <c r="W538" s="514">
        <v>44245.742835648147</v>
      </c>
      <c r="AN538">
        <v>0</v>
      </c>
      <c r="AO538">
        <v>0</v>
      </c>
      <c r="AP538">
        <v>0</v>
      </c>
      <c r="AS538">
        <v>0</v>
      </c>
      <c r="AT538">
        <v>0</v>
      </c>
      <c r="AU538">
        <v>0</v>
      </c>
      <c r="AW538">
        <v>0</v>
      </c>
      <c r="AZ538">
        <v>0</v>
      </c>
      <c r="BA538">
        <v>-5.2173779113218188E-4</v>
      </c>
      <c r="BB538">
        <v>0</v>
      </c>
      <c r="BC538">
        <v>7.9564628601074219</v>
      </c>
      <c r="BD538">
        <v>-7.955843448638916</v>
      </c>
      <c r="BI538">
        <v>0</v>
      </c>
      <c r="BJ538">
        <v>0</v>
      </c>
      <c r="BK538">
        <v>0</v>
      </c>
      <c r="BL538">
        <v>0</v>
      </c>
      <c r="BM538">
        <v>2.1258426320214879E+27</v>
      </c>
      <c r="BN538">
        <v>2.128814697265625</v>
      </c>
      <c r="BP538">
        <v>65535</v>
      </c>
      <c r="BQ538">
        <v>65535</v>
      </c>
      <c r="BR538">
        <v>0</v>
      </c>
      <c r="BS538">
        <v>-5.2173779113218188E-4</v>
      </c>
      <c r="BT538">
        <v>0</v>
      </c>
      <c r="BU538">
        <v>7.9564628601074219</v>
      </c>
      <c r="BV538">
        <v>-7.955843448638916</v>
      </c>
      <c r="BW538" t="s">
        <v>615</v>
      </c>
      <c r="BX538">
        <v>2.1258426320214879E+27</v>
      </c>
      <c r="BY538">
        <v>2.128814697265625</v>
      </c>
      <c r="CB538">
        <v>18.492700576782227</v>
      </c>
      <c r="CC538">
        <v>7.2283225059509277</v>
      </c>
    </row>
    <row r="539" spans="1:81" ht="12.75" customHeight="1">
      <c r="A539" t="s">
        <v>728</v>
      </c>
      <c r="C539" t="s">
        <v>694</v>
      </c>
      <c r="D539">
        <v>537</v>
      </c>
      <c r="F539">
        <v>65535</v>
      </c>
      <c r="I539" t="s">
        <v>728</v>
      </c>
      <c r="AN539">
        <v>0</v>
      </c>
      <c r="AO539">
        <v>0</v>
      </c>
      <c r="AP539">
        <v>0</v>
      </c>
      <c r="AS539">
        <v>65535</v>
      </c>
      <c r="AT539">
        <v>65535</v>
      </c>
      <c r="AU539">
        <v>65535</v>
      </c>
      <c r="BI539">
        <v>0</v>
      </c>
      <c r="BK539">
        <v>0</v>
      </c>
      <c r="BL539">
        <v>0</v>
      </c>
      <c r="BP539">
        <v>65535</v>
      </c>
      <c r="BQ539">
        <v>65535</v>
      </c>
      <c r="CB539">
        <v>18.529254913330078</v>
      </c>
      <c r="CC539">
        <v>7.1777396202087402</v>
      </c>
    </row>
    <row r="540" spans="1:81" ht="12.75" customHeight="1">
      <c r="A540" t="s">
        <v>728</v>
      </c>
      <c r="C540" t="s">
        <v>694</v>
      </c>
      <c r="D540">
        <v>538</v>
      </c>
      <c r="F540">
        <v>65535</v>
      </c>
      <c r="I540" t="s">
        <v>728</v>
      </c>
      <c r="R540">
        <v>6.2399992942810059</v>
      </c>
      <c r="T540">
        <v>26.207998275756836</v>
      </c>
      <c r="W540" s="514">
        <v>44245.742928240739</v>
      </c>
      <c r="AN540">
        <v>0</v>
      </c>
      <c r="AO540">
        <v>0</v>
      </c>
      <c r="AP540">
        <v>0</v>
      </c>
      <c r="AS540">
        <v>0</v>
      </c>
      <c r="AT540">
        <v>0</v>
      </c>
      <c r="AU540">
        <v>0</v>
      </c>
      <c r="AW540">
        <v>0</v>
      </c>
      <c r="AZ540">
        <v>0</v>
      </c>
      <c r="BA540">
        <v>-5.241145845502615E-4</v>
      </c>
      <c r="BB540">
        <v>0</v>
      </c>
      <c r="BC540">
        <v>8.8269271850585938</v>
      </c>
      <c r="BD540">
        <v>-8.8264093399047852</v>
      </c>
      <c r="BI540">
        <v>0</v>
      </c>
      <c r="BJ540">
        <v>0</v>
      </c>
      <c r="BK540">
        <v>0</v>
      </c>
      <c r="BL540">
        <v>0</v>
      </c>
      <c r="BM540">
        <v>-124304441344</v>
      </c>
      <c r="BN540">
        <v>2.149383544921875</v>
      </c>
      <c r="BP540">
        <v>65535</v>
      </c>
      <c r="BQ540">
        <v>65535</v>
      </c>
      <c r="BR540">
        <v>0</v>
      </c>
      <c r="BS540">
        <v>-5.241145845502615E-4</v>
      </c>
      <c r="BT540">
        <v>0</v>
      </c>
      <c r="BU540">
        <v>8.8269271850585938</v>
      </c>
      <c r="BV540">
        <v>-8.8264093399047852</v>
      </c>
      <c r="BW540" t="s">
        <v>615</v>
      </c>
      <c r="BX540">
        <v>-124304441344</v>
      </c>
      <c r="BY540">
        <v>2.149383544921875</v>
      </c>
      <c r="CB540">
        <v>18.574638366699219</v>
      </c>
      <c r="CC540">
        <v>7.1292800903320313</v>
      </c>
    </row>
    <row r="541" spans="1:81" ht="12.75" customHeight="1">
      <c r="A541" t="s">
        <v>728</v>
      </c>
      <c r="C541" t="s">
        <v>694</v>
      </c>
      <c r="D541">
        <v>539</v>
      </c>
      <c r="F541">
        <v>65535</v>
      </c>
      <c r="I541" t="s">
        <v>728</v>
      </c>
      <c r="R541">
        <v>6.2399992942810059</v>
      </c>
      <c r="T541">
        <v>26.207998275756836</v>
      </c>
      <c r="W541" s="514">
        <v>44245.742928240739</v>
      </c>
      <c r="AN541">
        <v>0</v>
      </c>
      <c r="AO541">
        <v>0</v>
      </c>
      <c r="AP541">
        <v>0</v>
      </c>
      <c r="AS541">
        <v>0</v>
      </c>
      <c r="AT541">
        <v>0</v>
      </c>
      <c r="AU541">
        <v>0</v>
      </c>
      <c r="AW541">
        <v>0</v>
      </c>
      <c r="AZ541">
        <v>0</v>
      </c>
      <c r="BA541">
        <v>-5.241145845502615E-4</v>
      </c>
      <c r="BB541">
        <v>0</v>
      </c>
      <c r="BC541">
        <v>8.8269271850585938</v>
      </c>
      <c r="BD541">
        <v>-8.8264093399047852</v>
      </c>
      <c r="BI541">
        <v>0</v>
      </c>
      <c r="BJ541">
        <v>0</v>
      </c>
      <c r="BK541">
        <v>0</v>
      </c>
      <c r="BL541">
        <v>0</v>
      </c>
      <c r="BM541">
        <v>-124304441344</v>
      </c>
      <c r="BN541">
        <v>2.149383544921875</v>
      </c>
      <c r="BP541">
        <v>65535</v>
      </c>
      <c r="BQ541">
        <v>65535</v>
      </c>
      <c r="BR541">
        <v>0</v>
      </c>
      <c r="BS541">
        <v>-5.241145845502615E-4</v>
      </c>
      <c r="BT541">
        <v>0</v>
      </c>
      <c r="BU541">
        <v>8.8269271850585938</v>
      </c>
      <c r="BV541">
        <v>-8.8264093399047852</v>
      </c>
      <c r="BW541" t="s">
        <v>615</v>
      </c>
      <c r="BX541">
        <v>-124304441344</v>
      </c>
      <c r="BY541">
        <v>2.149383544921875</v>
      </c>
      <c r="CB541">
        <v>18.694280624389648</v>
      </c>
      <c r="CC541">
        <v>7.1456766128540039</v>
      </c>
    </row>
    <row r="542" spans="1:81" ht="12.75" customHeight="1">
      <c r="A542" t="s">
        <v>728</v>
      </c>
      <c r="C542" t="s">
        <v>694</v>
      </c>
      <c r="D542">
        <v>540</v>
      </c>
      <c r="F542">
        <v>65535</v>
      </c>
      <c r="I542" t="s">
        <v>728</v>
      </c>
      <c r="R542">
        <v>6.7600002288818359</v>
      </c>
      <c r="T542">
        <v>28.392000198364258</v>
      </c>
      <c r="W542" s="514">
        <v>44245.742939814816</v>
      </c>
      <c r="AN542">
        <v>0</v>
      </c>
      <c r="AO542">
        <v>0</v>
      </c>
      <c r="AP542">
        <v>0</v>
      </c>
      <c r="AS542">
        <v>0</v>
      </c>
      <c r="AT542">
        <v>0</v>
      </c>
      <c r="AU542">
        <v>0</v>
      </c>
      <c r="AW542">
        <v>0</v>
      </c>
      <c r="AZ542">
        <v>0</v>
      </c>
      <c r="BA542">
        <v>-5.577484262175858E-4</v>
      </c>
      <c r="BB542">
        <v>0</v>
      </c>
      <c r="BC542">
        <v>9.0525588989257813</v>
      </c>
      <c r="BD542">
        <v>-9.0519599914550781</v>
      </c>
      <c r="BI542">
        <v>0</v>
      </c>
      <c r="BJ542">
        <v>0</v>
      </c>
      <c r="BK542">
        <v>0</v>
      </c>
      <c r="BL542">
        <v>0</v>
      </c>
      <c r="BM542">
        <v>-2.2601850449923929E+29</v>
      </c>
      <c r="BN542">
        <v>2.48248291015625</v>
      </c>
      <c r="BP542">
        <v>65535</v>
      </c>
      <c r="BQ542">
        <v>65535</v>
      </c>
      <c r="BR542">
        <v>0</v>
      </c>
      <c r="BS542">
        <v>-5.577484262175858E-4</v>
      </c>
      <c r="BT542">
        <v>0</v>
      </c>
      <c r="BU542">
        <v>9.0525588989257813</v>
      </c>
      <c r="BV542">
        <v>-9.0519599914550781</v>
      </c>
      <c r="BW542" t="s">
        <v>615</v>
      </c>
      <c r="BX542">
        <v>-2.2601850449923929E+29</v>
      </c>
      <c r="BY542">
        <v>2.48248291015625</v>
      </c>
      <c r="CB542">
        <v>19.745401382446289</v>
      </c>
      <c r="CC542">
        <v>6.2339653968811035</v>
      </c>
    </row>
    <row r="543" spans="1:81" ht="12.75" customHeight="1">
      <c r="A543" t="s">
        <v>728</v>
      </c>
      <c r="C543" t="s">
        <v>694</v>
      </c>
      <c r="D543">
        <v>541</v>
      </c>
      <c r="F543">
        <v>65535</v>
      </c>
      <c r="I543" t="s">
        <v>728</v>
      </c>
      <c r="R543">
        <v>6.7600002288818359</v>
      </c>
      <c r="T543">
        <v>28.392000198364258</v>
      </c>
      <c r="W543" s="514">
        <v>44245.742939814816</v>
      </c>
      <c r="AN543">
        <v>0</v>
      </c>
      <c r="AO543">
        <v>0</v>
      </c>
      <c r="AP543">
        <v>0</v>
      </c>
      <c r="AS543">
        <v>0</v>
      </c>
      <c r="AT543">
        <v>0</v>
      </c>
      <c r="AU543">
        <v>0</v>
      </c>
      <c r="AW543">
        <v>0</v>
      </c>
      <c r="AZ543">
        <v>0</v>
      </c>
      <c r="BA543">
        <v>-5.577484262175858E-4</v>
      </c>
      <c r="BB543">
        <v>0</v>
      </c>
      <c r="BC543">
        <v>9.0525588989257813</v>
      </c>
      <c r="BD543">
        <v>-9.0519599914550781</v>
      </c>
      <c r="BI543">
        <v>0</v>
      </c>
      <c r="BJ543">
        <v>0</v>
      </c>
      <c r="BK543">
        <v>0</v>
      </c>
      <c r="BL543">
        <v>0</v>
      </c>
      <c r="BM543">
        <v>-2.2601850449923929E+29</v>
      </c>
      <c r="BN543">
        <v>2.48248291015625</v>
      </c>
      <c r="BP543">
        <v>65535</v>
      </c>
      <c r="BQ543">
        <v>65535</v>
      </c>
      <c r="BR543">
        <v>0</v>
      </c>
      <c r="BS543">
        <v>-5.577484262175858E-4</v>
      </c>
      <c r="BT543">
        <v>0</v>
      </c>
      <c r="BU543">
        <v>9.0525588989257813</v>
      </c>
      <c r="BV543">
        <v>-9.0519599914550781</v>
      </c>
      <c r="BW543" t="s">
        <v>615</v>
      </c>
      <c r="BX543">
        <v>-2.2601850449923929E+29</v>
      </c>
      <c r="BY543">
        <v>2.48248291015625</v>
      </c>
      <c r="CB543">
        <v>18.805768966674805</v>
      </c>
      <c r="CC543">
        <v>7.0398960113525391</v>
      </c>
    </row>
    <row r="544" spans="1:81" ht="12.75" customHeight="1">
      <c r="A544" t="s">
        <v>728</v>
      </c>
      <c r="C544" t="s">
        <v>694</v>
      </c>
      <c r="D544">
        <v>542</v>
      </c>
      <c r="F544">
        <v>65535</v>
      </c>
      <c r="I544" t="s">
        <v>728</v>
      </c>
      <c r="R544">
        <v>6.7600002288818359</v>
      </c>
      <c r="T544">
        <v>28.392000198364258</v>
      </c>
      <c r="W544" s="514">
        <v>44245.742951388886</v>
      </c>
      <c r="AN544">
        <v>0</v>
      </c>
      <c r="AO544">
        <v>0</v>
      </c>
      <c r="AP544">
        <v>0</v>
      </c>
      <c r="AS544">
        <v>0</v>
      </c>
      <c r="AT544">
        <v>0</v>
      </c>
      <c r="AU544">
        <v>0</v>
      </c>
      <c r="AW544">
        <v>0</v>
      </c>
      <c r="AZ544">
        <v>0</v>
      </c>
      <c r="BA544">
        <v>-5.4024398559704423E-4</v>
      </c>
      <c r="BB544">
        <v>0</v>
      </c>
      <c r="BC544">
        <v>9.2025299072265625</v>
      </c>
      <c r="BD544">
        <v>-9.2020769119262695</v>
      </c>
      <c r="BI544">
        <v>0</v>
      </c>
      <c r="BJ544">
        <v>0</v>
      </c>
      <c r="BK544">
        <v>0</v>
      </c>
      <c r="BL544">
        <v>0</v>
      </c>
      <c r="BM544">
        <v>-3.1471894519914559E+38</v>
      </c>
      <c r="BN544">
        <v>2.3111572265625</v>
      </c>
      <c r="BP544">
        <v>65535</v>
      </c>
      <c r="BQ544">
        <v>65535</v>
      </c>
      <c r="BR544">
        <v>0</v>
      </c>
      <c r="BS544">
        <v>-5.4024398559704423E-4</v>
      </c>
      <c r="BT544">
        <v>0</v>
      </c>
      <c r="BU544">
        <v>9.2025299072265625</v>
      </c>
      <c r="BV544">
        <v>-9.2020769119262695</v>
      </c>
      <c r="BW544" t="s">
        <v>615</v>
      </c>
      <c r="BX544">
        <v>-3.1471894519914559E+38</v>
      </c>
      <c r="BY544">
        <v>2.3111572265625</v>
      </c>
      <c r="CB544">
        <v>18.492700576782227</v>
      </c>
      <c r="CC544">
        <v>7.2283225059509277</v>
      </c>
    </row>
    <row r="545" spans="1:81" ht="12.75" customHeight="1">
      <c r="A545" t="s">
        <v>728</v>
      </c>
      <c r="C545" t="s">
        <v>694</v>
      </c>
      <c r="D545">
        <v>543</v>
      </c>
      <c r="F545">
        <v>65535</v>
      </c>
      <c r="I545" t="s">
        <v>728</v>
      </c>
      <c r="R545">
        <v>5.6000008583068848</v>
      </c>
      <c r="T545">
        <v>23.520004272460938</v>
      </c>
      <c r="W545" s="514">
        <v>44245.742835648147</v>
      </c>
      <c r="AN545">
        <v>0</v>
      </c>
      <c r="AO545">
        <v>0</v>
      </c>
      <c r="AP545">
        <v>0</v>
      </c>
      <c r="AS545">
        <v>0</v>
      </c>
      <c r="AT545">
        <v>0</v>
      </c>
      <c r="AU545">
        <v>0</v>
      </c>
      <c r="AW545">
        <v>0</v>
      </c>
      <c r="AZ545">
        <v>0</v>
      </c>
      <c r="BA545">
        <v>-5.2173779113218188E-4</v>
      </c>
      <c r="BB545">
        <v>0</v>
      </c>
      <c r="BC545">
        <v>7.9564628601074219</v>
      </c>
      <c r="BD545">
        <v>-7.955843448638916</v>
      </c>
      <c r="BI545">
        <v>0</v>
      </c>
      <c r="BJ545">
        <v>0</v>
      </c>
      <c r="BK545">
        <v>0</v>
      </c>
      <c r="BL545">
        <v>0</v>
      </c>
      <c r="BM545">
        <v>2.1258426320214879E+27</v>
      </c>
      <c r="BN545">
        <v>2.128814697265625</v>
      </c>
      <c r="BP545">
        <v>65535</v>
      </c>
      <c r="BQ545">
        <v>65535</v>
      </c>
      <c r="BR545">
        <v>0</v>
      </c>
      <c r="BS545">
        <v>-5.2173779113218188E-4</v>
      </c>
      <c r="BT545">
        <v>0</v>
      </c>
      <c r="BU545">
        <v>7.9564628601074219</v>
      </c>
      <c r="BV545">
        <v>-7.955843448638916</v>
      </c>
      <c r="BW545" t="s">
        <v>615</v>
      </c>
      <c r="BX545">
        <v>2.1258426320214879E+27</v>
      </c>
      <c r="BY545">
        <v>2.128814697265625</v>
      </c>
      <c r="CB545">
        <v>18.529254913330078</v>
      </c>
      <c r="CC545">
        <v>7.1777396202087402</v>
      </c>
    </row>
    <row r="546" spans="1:81" ht="12.75" customHeight="1">
      <c r="A546" t="s">
        <v>728</v>
      </c>
      <c r="C546" t="s">
        <v>694</v>
      </c>
      <c r="D546">
        <v>544</v>
      </c>
      <c r="F546">
        <v>65535</v>
      </c>
      <c r="I546" t="s">
        <v>728</v>
      </c>
      <c r="R546">
        <v>5.6000008583068848</v>
      </c>
      <c r="T546">
        <v>23.520004272460938</v>
      </c>
      <c r="W546" s="514">
        <v>44245.742835648147</v>
      </c>
      <c r="AN546">
        <v>0</v>
      </c>
      <c r="AO546">
        <v>0</v>
      </c>
      <c r="AP546">
        <v>0</v>
      </c>
      <c r="AS546">
        <v>0</v>
      </c>
      <c r="AT546">
        <v>0</v>
      </c>
      <c r="AU546">
        <v>0</v>
      </c>
      <c r="AW546">
        <v>0</v>
      </c>
      <c r="AZ546">
        <v>0</v>
      </c>
      <c r="BA546">
        <v>-5.2173779113218188E-4</v>
      </c>
      <c r="BB546">
        <v>0</v>
      </c>
      <c r="BC546">
        <v>7.9564628601074219</v>
      </c>
      <c r="BD546">
        <v>-7.955843448638916</v>
      </c>
      <c r="BI546">
        <v>0</v>
      </c>
      <c r="BJ546">
        <v>0</v>
      </c>
      <c r="BK546">
        <v>0</v>
      </c>
      <c r="BL546">
        <v>0</v>
      </c>
      <c r="BM546">
        <v>2.1258426320214879E+27</v>
      </c>
      <c r="BN546">
        <v>2.128814697265625</v>
      </c>
      <c r="BP546">
        <v>65535</v>
      </c>
      <c r="BQ546">
        <v>65535</v>
      </c>
      <c r="BR546">
        <v>0</v>
      </c>
      <c r="BS546">
        <v>-5.2173779113218188E-4</v>
      </c>
      <c r="BT546">
        <v>0</v>
      </c>
      <c r="BU546">
        <v>7.9564628601074219</v>
      </c>
      <c r="BV546">
        <v>-7.955843448638916</v>
      </c>
      <c r="BW546" t="s">
        <v>615</v>
      </c>
      <c r="BX546">
        <v>2.1258426320214879E+27</v>
      </c>
      <c r="BY546">
        <v>2.128814697265625</v>
      </c>
      <c r="CB546">
        <v>18.574638366699219</v>
      </c>
      <c r="CC546">
        <v>7.1292800903320313</v>
      </c>
    </row>
    <row r="547" spans="1:81" ht="12.75" customHeight="1">
      <c r="A547" t="s">
        <v>728</v>
      </c>
      <c r="C547" t="s">
        <v>694</v>
      </c>
      <c r="D547">
        <v>545</v>
      </c>
      <c r="F547">
        <v>65535</v>
      </c>
      <c r="I547" t="s">
        <v>728</v>
      </c>
      <c r="R547">
        <v>5.6000008583068848</v>
      </c>
      <c r="T547">
        <v>23.520004272460938</v>
      </c>
      <c r="W547" s="514">
        <v>44245.742835648147</v>
      </c>
      <c r="AN547">
        <v>0</v>
      </c>
      <c r="AO547">
        <v>0</v>
      </c>
      <c r="AP547">
        <v>0</v>
      </c>
      <c r="AS547">
        <v>0</v>
      </c>
      <c r="AT547">
        <v>0</v>
      </c>
      <c r="AU547">
        <v>0</v>
      </c>
      <c r="AW547">
        <v>0</v>
      </c>
      <c r="AZ547">
        <v>0</v>
      </c>
      <c r="BA547">
        <v>-5.2173779113218188E-4</v>
      </c>
      <c r="BB547">
        <v>0</v>
      </c>
      <c r="BC547">
        <v>7.9564628601074219</v>
      </c>
      <c r="BD547">
        <v>-7.955843448638916</v>
      </c>
      <c r="BI547">
        <v>0</v>
      </c>
      <c r="BJ547">
        <v>0</v>
      </c>
      <c r="BK547">
        <v>0</v>
      </c>
      <c r="BL547">
        <v>0</v>
      </c>
      <c r="BM547">
        <v>2.1258426320214879E+27</v>
      </c>
      <c r="BN547">
        <v>2.128814697265625</v>
      </c>
      <c r="BP547">
        <v>65535</v>
      </c>
      <c r="BQ547">
        <v>65535</v>
      </c>
      <c r="BR547">
        <v>0</v>
      </c>
      <c r="BS547">
        <v>-5.2173779113218188E-4</v>
      </c>
      <c r="BT547">
        <v>0</v>
      </c>
      <c r="BU547">
        <v>7.9564628601074219</v>
      </c>
      <c r="BV547">
        <v>-7.955843448638916</v>
      </c>
      <c r="BW547" t="s">
        <v>615</v>
      </c>
      <c r="BX547">
        <v>2.1258426320214879E+27</v>
      </c>
      <c r="BY547">
        <v>2.128814697265625</v>
      </c>
      <c r="CB547">
        <v>18.861175537109375</v>
      </c>
      <c r="CC547">
        <v>6.9196820259094238</v>
      </c>
    </row>
    <row r="548" spans="1:81" ht="12.75" customHeight="1">
      <c r="A548" t="s">
        <v>728</v>
      </c>
      <c r="C548" t="s">
        <v>694</v>
      </c>
      <c r="D548">
        <v>546</v>
      </c>
      <c r="F548">
        <v>65535</v>
      </c>
      <c r="I548" t="s">
        <v>728</v>
      </c>
      <c r="R548">
        <v>5.6000008583068848</v>
      </c>
      <c r="T548">
        <v>23.520004272460938</v>
      </c>
      <c r="W548" s="514">
        <v>44245.742835648147</v>
      </c>
      <c r="AN548">
        <v>0</v>
      </c>
      <c r="AO548">
        <v>0</v>
      </c>
      <c r="AP548">
        <v>0</v>
      </c>
      <c r="AS548">
        <v>0</v>
      </c>
      <c r="AT548">
        <v>0</v>
      </c>
      <c r="AU548">
        <v>0</v>
      </c>
      <c r="AW548">
        <v>0</v>
      </c>
      <c r="AZ548">
        <v>0</v>
      </c>
      <c r="BA548">
        <v>-5.2173779113218188E-4</v>
      </c>
      <c r="BB548">
        <v>0</v>
      </c>
      <c r="BC548">
        <v>7.9564628601074219</v>
      </c>
      <c r="BD548">
        <v>-7.955843448638916</v>
      </c>
      <c r="BI548">
        <v>0</v>
      </c>
      <c r="BJ548">
        <v>0</v>
      </c>
      <c r="BK548">
        <v>0</v>
      </c>
      <c r="BL548">
        <v>0</v>
      </c>
      <c r="BM548">
        <v>2.1258426320214879E+27</v>
      </c>
      <c r="BN548">
        <v>2.128814697265625</v>
      </c>
      <c r="BP548">
        <v>65535</v>
      </c>
      <c r="BQ548">
        <v>65535</v>
      </c>
      <c r="BR548">
        <v>0</v>
      </c>
      <c r="BS548">
        <v>-5.2173779113218188E-4</v>
      </c>
      <c r="BT548">
        <v>0</v>
      </c>
      <c r="BU548">
        <v>7.9564628601074219</v>
      </c>
      <c r="BV548">
        <v>-7.955843448638916</v>
      </c>
      <c r="BW548" t="s">
        <v>615</v>
      </c>
      <c r="BX548">
        <v>2.1258426320214879E+27</v>
      </c>
      <c r="BY548">
        <v>2.128814697265625</v>
      </c>
      <c r="CB548">
        <v>18.717206954956055</v>
      </c>
      <c r="CC548">
        <v>7.1509356498718262</v>
      </c>
    </row>
    <row r="549" spans="1:81" ht="12.75" customHeight="1">
      <c r="A549" t="s">
        <v>728</v>
      </c>
      <c r="C549" t="s">
        <v>694</v>
      </c>
      <c r="D549">
        <v>547</v>
      </c>
      <c r="F549">
        <v>65535</v>
      </c>
      <c r="I549" t="s">
        <v>728</v>
      </c>
      <c r="R549">
        <v>5.6000008583068848</v>
      </c>
      <c r="T549">
        <v>23.520004272460938</v>
      </c>
      <c r="W549" s="514">
        <v>44245.742835648147</v>
      </c>
      <c r="AN549">
        <v>0</v>
      </c>
      <c r="AO549">
        <v>0</v>
      </c>
      <c r="AP549">
        <v>0</v>
      </c>
      <c r="AS549">
        <v>0</v>
      </c>
      <c r="AT549">
        <v>0</v>
      </c>
      <c r="AU549">
        <v>0</v>
      </c>
      <c r="AW549">
        <v>0</v>
      </c>
      <c r="AZ549">
        <v>0</v>
      </c>
      <c r="BA549">
        <v>-5.2173779113218188E-4</v>
      </c>
      <c r="BB549">
        <v>0</v>
      </c>
      <c r="BC549">
        <v>7.9564628601074219</v>
      </c>
      <c r="BD549">
        <v>-7.955843448638916</v>
      </c>
      <c r="BI549">
        <v>0</v>
      </c>
      <c r="BJ549">
        <v>0</v>
      </c>
      <c r="BK549">
        <v>0</v>
      </c>
      <c r="BL549">
        <v>0</v>
      </c>
      <c r="BM549">
        <v>2.1258426320214879E+27</v>
      </c>
      <c r="BN549">
        <v>2.128814697265625</v>
      </c>
      <c r="BP549">
        <v>65535</v>
      </c>
      <c r="BQ549">
        <v>65535</v>
      </c>
      <c r="BR549">
        <v>0</v>
      </c>
      <c r="BS549">
        <v>-5.2173779113218188E-4</v>
      </c>
      <c r="BT549">
        <v>0</v>
      </c>
      <c r="BU549">
        <v>7.9564628601074219</v>
      </c>
      <c r="BV549">
        <v>-7.955843448638916</v>
      </c>
      <c r="BW549" t="s">
        <v>615</v>
      </c>
      <c r="BX549">
        <v>2.1258426320214879E+27</v>
      </c>
      <c r="BY549">
        <v>2.128814697265625</v>
      </c>
      <c r="CB549">
        <v>19.452579498291016</v>
      </c>
      <c r="CC549">
        <v>6.4726452827453613</v>
      </c>
    </row>
    <row r="550" spans="1:81" ht="12.75" customHeight="1">
      <c r="A550" t="s">
        <v>728</v>
      </c>
      <c r="C550" t="s">
        <v>694</v>
      </c>
      <c r="D550">
        <v>548</v>
      </c>
      <c r="F550">
        <v>65535</v>
      </c>
      <c r="I550" t="s">
        <v>728</v>
      </c>
      <c r="R550">
        <v>5.5999999046325684</v>
      </c>
      <c r="T550">
        <v>23.520000457763672</v>
      </c>
      <c r="W550" s="514">
        <v>44245.742847222224</v>
      </c>
      <c r="AN550">
        <v>0</v>
      </c>
      <c r="AO550">
        <v>0</v>
      </c>
      <c r="AP550">
        <v>0</v>
      </c>
      <c r="AS550">
        <v>0</v>
      </c>
      <c r="AT550">
        <v>0</v>
      </c>
      <c r="AU550">
        <v>0</v>
      </c>
      <c r="AW550">
        <v>0</v>
      </c>
      <c r="AZ550">
        <v>0</v>
      </c>
      <c r="BA550">
        <v>-5.0092663150280714E-4</v>
      </c>
      <c r="BB550">
        <v>0</v>
      </c>
      <c r="BC550">
        <v>8.1472740173339844</v>
      </c>
      <c r="BD550">
        <v>-8.1467552185058594</v>
      </c>
      <c r="BI550">
        <v>0</v>
      </c>
      <c r="BJ550">
        <v>0</v>
      </c>
      <c r="BK550">
        <v>0</v>
      </c>
      <c r="BL550">
        <v>0</v>
      </c>
      <c r="BM550">
        <v>104806248</v>
      </c>
      <c r="BN550">
        <v>1.93939208984375</v>
      </c>
      <c r="BP550">
        <v>65535</v>
      </c>
      <c r="BQ550">
        <v>65535</v>
      </c>
      <c r="BR550">
        <v>0</v>
      </c>
      <c r="BS550">
        <v>-5.0092663150280714E-4</v>
      </c>
      <c r="BT550">
        <v>0</v>
      </c>
      <c r="BU550">
        <v>8.1472740173339844</v>
      </c>
      <c r="BV550">
        <v>-8.1467552185058594</v>
      </c>
      <c r="BW550" t="s">
        <v>615</v>
      </c>
      <c r="BX550">
        <v>104806248</v>
      </c>
      <c r="BY550">
        <v>1.93939208984375</v>
      </c>
      <c r="CB550">
        <v>20.159645080566406</v>
      </c>
      <c r="CC550">
        <v>6.0271506309509277</v>
      </c>
    </row>
    <row r="551" spans="1:81" ht="12.75" customHeight="1">
      <c r="A551" t="s">
        <v>728</v>
      </c>
      <c r="C551" t="s">
        <v>694</v>
      </c>
      <c r="D551">
        <v>549</v>
      </c>
      <c r="F551">
        <v>65535</v>
      </c>
      <c r="I551" t="s">
        <v>728</v>
      </c>
      <c r="R551">
        <v>5.5999999046325684</v>
      </c>
      <c r="T551">
        <v>23.520000457763672</v>
      </c>
      <c r="W551" s="514">
        <v>44245.742847222224</v>
      </c>
      <c r="AN551">
        <v>0</v>
      </c>
      <c r="AO551">
        <v>0</v>
      </c>
      <c r="AP551">
        <v>0</v>
      </c>
      <c r="AS551">
        <v>0</v>
      </c>
      <c r="AT551">
        <v>0</v>
      </c>
      <c r="AU551">
        <v>0</v>
      </c>
      <c r="AW551">
        <v>0</v>
      </c>
      <c r="AZ551">
        <v>0</v>
      </c>
      <c r="BA551">
        <v>-5.0092663150280714E-4</v>
      </c>
      <c r="BB551">
        <v>0</v>
      </c>
      <c r="BC551">
        <v>8.1472740173339844</v>
      </c>
      <c r="BD551">
        <v>-8.1467552185058594</v>
      </c>
      <c r="BI551">
        <v>0</v>
      </c>
      <c r="BJ551">
        <v>0</v>
      </c>
      <c r="BK551">
        <v>0</v>
      </c>
      <c r="BL551">
        <v>0</v>
      </c>
      <c r="BM551">
        <v>104806248</v>
      </c>
      <c r="BN551">
        <v>1.93939208984375</v>
      </c>
      <c r="BP551">
        <v>65535</v>
      </c>
      <c r="BQ551">
        <v>65535</v>
      </c>
      <c r="BR551">
        <v>0</v>
      </c>
      <c r="BS551">
        <v>-5.0092663150280714E-4</v>
      </c>
      <c r="BT551">
        <v>0</v>
      </c>
      <c r="BU551">
        <v>8.1472740173339844</v>
      </c>
      <c r="BV551">
        <v>-8.1467552185058594</v>
      </c>
      <c r="BW551" t="s">
        <v>615</v>
      </c>
      <c r="BX551">
        <v>104806248</v>
      </c>
      <c r="BY551">
        <v>1.93939208984375</v>
      </c>
      <c r="CB551">
        <v>19.452579498291016</v>
      </c>
      <c r="CC551">
        <v>6.4726452827453613</v>
      </c>
    </row>
    <row r="552" spans="1:81" ht="12.75" customHeight="1">
      <c r="A552" t="s">
        <v>728</v>
      </c>
      <c r="C552" t="s">
        <v>694</v>
      </c>
      <c r="D552">
        <v>550</v>
      </c>
      <c r="F552">
        <v>65535</v>
      </c>
      <c r="I552" t="s">
        <v>728</v>
      </c>
      <c r="R552">
        <v>6.2399992942810059</v>
      </c>
      <c r="T552">
        <v>26.207998275756836</v>
      </c>
      <c r="W552" s="514">
        <v>44245.742928240739</v>
      </c>
      <c r="AN552">
        <v>0</v>
      </c>
      <c r="AO552">
        <v>0</v>
      </c>
      <c r="AP552">
        <v>0</v>
      </c>
      <c r="AS552">
        <v>0</v>
      </c>
      <c r="AT552">
        <v>0</v>
      </c>
      <c r="AU552">
        <v>0</v>
      </c>
      <c r="AW552">
        <v>0</v>
      </c>
      <c r="AZ552">
        <v>0</v>
      </c>
      <c r="BA552">
        <v>-5.241145845502615E-4</v>
      </c>
      <c r="BB552">
        <v>0</v>
      </c>
      <c r="BC552">
        <v>8.8269271850585938</v>
      </c>
      <c r="BD552">
        <v>-8.8264093399047852</v>
      </c>
      <c r="BI552">
        <v>0</v>
      </c>
      <c r="BJ552">
        <v>0</v>
      </c>
      <c r="BK552">
        <v>0</v>
      </c>
      <c r="BL552">
        <v>0</v>
      </c>
      <c r="BM552">
        <v>-124304441344</v>
      </c>
      <c r="BN552">
        <v>2.149383544921875</v>
      </c>
      <c r="BP552">
        <v>65535</v>
      </c>
      <c r="BQ552">
        <v>65535</v>
      </c>
      <c r="BR552">
        <v>0</v>
      </c>
      <c r="BS552">
        <v>-5.241145845502615E-4</v>
      </c>
      <c r="BT552">
        <v>0</v>
      </c>
      <c r="BU552">
        <v>8.8269271850585938</v>
      </c>
      <c r="BV552">
        <v>-8.8264093399047852</v>
      </c>
      <c r="BW552" t="s">
        <v>615</v>
      </c>
      <c r="BX552">
        <v>-124304441344</v>
      </c>
      <c r="BY552">
        <v>2.149383544921875</v>
      </c>
      <c r="CB552">
        <v>20.159645080566406</v>
      </c>
      <c r="CC552">
        <v>6.0271506309509277</v>
      </c>
    </row>
    <row r="553" spans="1:81" ht="12.75" customHeight="1">
      <c r="A553" t="s">
        <v>728</v>
      </c>
      <c r="C553" t="s">
        <v>694</v>
      </c>
      <c r="D553">
        <v>551</v>
      </c>
      <c r="F553">
        <v>65535</v>
      </c>
      <c r="I553" t="s">
        <v>728</v>
      </c>
      <c r="R553">
        <v>6.2399992942810059</v>
      </c>
      <c r="T553">
        <v>26.207998275756836</v>
      </c>
      <c r="W553" s="514">
        <v>44245.742928240739</v>
      </c>
      <c r="AN553">
        <v>0</v>
      </c>
      <c r="AO553">
        <v>0</v>
      </c>
      <c r="AP553">
        <v>0</v>
      </c>
      <c r="AS553">
        <v>0</v>
      </c>
      <c r="AT553">
        <v>0</v>
      </c>
      <c r="AU553">
        <v>0</v>
      </c>
      <c r="AW553">
        <v>0</v>
      </c>
      <c r="AZ553">
        <v>0</v>
      </c>
      <c r="BA553">
        <v>-5.241145845502615E-4</v>
      </c>
      <c r="BB553">
        <v>0</v>
      </c>
      <c r="BC553">
        <v>8.8269271850585938</v>
      </c>
      <c r="BD553">
        <v>-8.8264093399047852</v>
      </c>
      <c r="BI553">
        <v>0</v>
      </c>
      <c r="BJ553">
        <v>0</v>
      </c>
      <c r="BK553">
        <v>0</v>
      </c>
      <c r="BL553">
        <v>0</v>
      </c>
      <c r="BM553">
        <v>-124304441344</v>
      </c>
      <c r="BN553">
        <v>2.149383544921875</v>
      </c>
      <c r="BP553">
        <v>65535</v>
      </c>
      <c r="BQ553">
        <v>65535</v>
      </c>
      <c r="BR553">
        <v>0</v>
      </c>
      <c r="BS553">
        <v>-5.241145845502615E-4</v>
      </c>
      <c r="BT553">
        <v>0</v>
      </c>
      <c r="BU553">
        <v>8.8269271850585938</v>
      </c>
      <c r="BV553">
        <v>-8.8264093399047852</v>
      </c>
      <c r="BW553" t="s">
        <v>615</v>
      </c>
      <c r="BX553">
        <v>-124304441344</v>
      </c>
      <c r="BY553">
        <v>2.149383544921875</v>
      </c>
      <c r="CB553">
        <v>18.251897811889648</v>
      </c>
      <c r="CC553">
        <v>7.5134954452514648</v>
      </c>
    </row>
    <row r="554" spans="1:81" ht="12.75" customHeight="1">
      <c r="A554" t="s">
        <v>728</v>
      </c>
      <c r="C554" t="s">
        <v>694</v>
      </c>
      <c r="D554">
        <v>552</v>
      </c>
      <c r="F554">
        <v>65535</v>
      </c>
      <c r="I554" t="s">
        <v>728</v>
      </c>
      <c r="R554">
        <v>6.2399992942810059</v>
      </c>
      <c r="T554">
        <v>26.207998275756836</v>
      </c>
      <c r="W554" s="514">
        <v>44245.742928240739</v>
      </c>
      <c r="AN554">
        <v>0</v>
      </c>
      <c r="AO554">
        <v>0</v>
      </c>
      <c r="AP554">
        <v>0</v>
      </c>
      <c r="AS554">
        <v>0</v>
      </c>
      <c r="AT554">
        <v>0</v>
      </c>
      <c r="AU554">
        <v>0</v>
      </c>
      <c r="AW554">
        <v>0</v>
      </c>
      <c r="AZ554">
        <v>0</v>
      </c>
      <c r="BA554">
        <v>-5.241145845502615E-4</v>
      </c>
      <c r="BB554">
        <v>0</v>
      </c>
      <c r="BC554">
        <v>8.8269271850585938</v>
      </c>
      <c r="BD554">
        <v>-8.8264093399047852</v>
      </c>
      <c r="BI554">
        <v>0</v>
      </c>
      <c r="BJ554">
        <v>0</v>
      </c>
      <c r="BK554">
        <v>0</v>
      </c>
      <c r="BL554">
        <v>0</v>
      </c>
      <c r="BM554">
        <v>-124304441344</v>
      </c>
      <c r="BN554">
        <v>2.149383544921875</v>
      </c>
      <c r="BP554">
        <v>65535</v>
      </c>
      <c r="BQ554">
        <v>65535</v>
      </c>
      <c r="BR554">
        <v>0</v>
      </c>
      <c r="BS554">
        <v>-5.241145845502615E-4</v>
      </c>
      <c r="BT554">
        <v>0</v>
      </c>
      <c r="BU554">
        <v>8.8269271850585938</v>
      </c>
      <c r="BV554">
        <v>-8.8264093399047852</v>
      </c>
      <c r="BW554" t="s">
        <v>615</v>
      </c>
      <c r="BX554">
        <v>-124304441344</v>
      </c>
      <c r="BY554">
        <v>2.149383544921875</v>
      </c>
      <c r="CB554">
        <v>18.262939453125</v>
      </c>
      <c r="CC554">
        <v>7.5190587043762207</v>
      </c>
    </row>
    <row r="555" spans="1:81" ht="12.75" customHeight="1">
      <c r="A555" t="s">
        <v>728</v>
      </c>
      <c r="C555" t="s">
        <v>694</v>
      </c>
      <c r="D555">
        <v>553</v>
      </c>
      <c r="F555">
        <v>65535</v>
      </c>
      <c r="I555" t="s">
        <v>728</v>
      </c>
      <c r="R555">
        <v>6.2399992942810059</v>
      </c>
      <c r="T555">
        <v>26.207998275756836</v>
      </c>
      <c r="W555" s="514">
        <v>44245.742928240739</v>
      </c>
      <c r="AN555">
        <v>0</v>
      </c>
      <c r="AO555">
        <v>0</v>
      </c>
      <c r="AP555">
        <v>0</v>
      </c>
      <c r="AS555">
        <v>0</v>
      </c>
      <c r="AT555">
        <v>0</v>
      </c>
      <c r="AU555">
        <v>0</v>
      </c>
      <c r="AW555">
        <v>0</v>
      </c>
      <c r="AZ555">
        <v>0</v>
      </c>
      <c r="BA555">
        <v>-5.241145845502615E-4</v>
      </c>
      <c r="BB555">
        <v>0</v>
      </c>
      <c r="BC555">
        <v>8.8269271850585938</v>
      </c>
      <c r="BD555">
        <v>-8.8264093399047852</v>
      </c>
      <c r="BI555">
        <v>0</v>
      </c>
      <c r="BJ555">
        <v>0</v>
      </c>
      <c r="BK555">
        <v>0</v>
      </c>
      <c r="BL555">
        <v>0</v>
      </c>
      <c r="BM555">
        <v>-124304441344</v>
      </c>
      <c r="BN555">
        <v>2.149383544921875</v>
      </c>
      <c r="BP555">
        <v>65535</v>
      </c>
      <c r="BQ555">
        <v>65535</v>
      </c>
      <c r="BR555">
        <v>0</v>
      </c>
      <c r="BS555">
        <v>-5.241145845502615E-4</v>
      </c>
      <c r="BT555">
        <v>0</v>
      </c>
      <c r="BU555">
        <v>8.8269271850585938</v>
      </c>
      <c r="BV555">
        <v>-8.8264093399047852</v>
      </c>
      <c r="BW555" t="s">
        <v>615</v>
      </c>
      <c r="BX555">
        <v>-124304441344</v>
      </c>
      <c r="BY555">
        <v>2.149383544921875</v>
      </c>
      <c r="CB555">
        <v>18.251897811889648</v>
      </c>
      <c r="CC555">
        <v>7.5134954452514648</v>
      </c>
    </row>
    <row r="556" spans="1:81" ht="12.75" customHeight="1">
      <c r="A556" t="s">
        <v>728</v>
      </c>
      <c r="C556" t="s">
        <v>694</v>
      </c>
      <c r="D556">
        <v>554</v>
      </c>
      <c r="F556">
        <v>65535</v>
      </c>
      <c r="I556" t="s">
        <v>728</v>
      </c>
      <c r="R556">
        <v>6.2399992942810059</v>
      </c>
      <c r="T556">
        <v>26.207998275756836</v>
      </c>
      <c r="W556" s="514">
        <v>44245.742928240739</v>
      </c>
      <c r="AN556">
        <v>0</v>
      </c>
      <c r="AO556">
        <v>0</v>
      </c>
      <c r="AP556">
        <v>0</v>
      </c>
      <c r="AS556">
        <v>0</v>
      </c>
      <c r="AT556">
        <v>0</v>
      </c>
      <c r="AU556">
        <v>0</v>
      </c>
      <c r="AW556">
        <v>0</v>
      </c>
      <c r="AZ556">
        <v>0</v>
      </c>
      <c r="BA556">
        <v>-5.241145845502615E-4</v>
      </c>
      <c r="BB556">
        <v>0</v>
      </c>
      <c r="BC556">
        <v>8.8269271850585938</v>
      </c>
      <c r="BD556">
        <v>-8.8264093399047852</v>
      </c>
      <c r="BI556">
        <v>0</v>
      </c>
      <c r="BJ556">
        <v>0</v>
      </c>
      <c r="BK556">
        <v>0</v>
      </c>
      <c r="BL556">
        <v>0</v>
      </c>
      <c r="BM556">
        <v>-124304441344</v>
      </c>
      <c r="BN556">
        <v>2.149383544921875</v>
      </c>
      <c r="BP556">
        <v>65535</v>
      </c>
      <c r="BQ556">
        <v>65535</v>
      </c>
      <c r="BR556">
        <v>0</v>
      </c>
      <c r="BS556">
        <v>-5.241145845502615E-4</v>
      </c>
      <c r="BT556">
        <v>0</v>
      </c>
      <c r="BU556">
        <v>8.8269271850585938</v>
      </c>
      <c r="BV556">
        <v>-8.8264093399047852</v>
      </c>
      <c r="BW556" t="s">
        <v>615</v>
      </c>
      <c r="BX556">
        <v>-124304441344</v>
      </c>
      <c r="BY556">
        <v>2.149383544921875</v>
      </c>
      <c r="CB556">
        <v>18.262939453125</v>
      </c>
      <c r="CC556">
        <v>7.5190587043762207</v>
      </c>
    </row>
    <row r="557" spans="1:81" ht="12.75" customHeight="1">
      <c r="A557" t="s">
        <v>728</v>
      </c>
      <c r="C557" t="s">
        <v>694</v>
      </c>
      <c r="D557">
        <v>555</v>
      </c>
      <c r="F557">
        <v>65535</v>
      </c>
      <c r="I557" t="s">
        <v>728</v>
      </c>
      <c r="R557">
        <v>6.7600002288818359</v>
      </c>
      <c r="T557">
        <v>28.392000198364258</v>
      </c>
      <c r="W557" s="514">
        <v>44245.742939814816</v>
      </c>
      <c r="AN557">
        <v>0</v>
      </c>
      <c r="AO557">
        <v>0</v>
      </c>
      <c r="AP557">
        <v>0</v>
      </c>
      <c r="AS557">
        <v>0</v>
      </c>
      <c r="AT557">
        <v>0</v>
      </c>
      <c r="AU557">
        <v>0</v>
      </c>
      <c r="AW557">
        <v>0</v>
      </c>
      <c r="AZ557">
        <v>0</v>
      </c>
      <c r="BA557">
        <v>-5.577484262175858E-4</v>
      </c>
      <c r="BB557">
        <v>0</v>
      </c>
      <c r="BC557">
        <v>9.0525588989257813</v>
      </c>
      <c r="BD557">
        <v>-9.0519599914550781</v>
      </c>
      <c r="BI557">
        <v>0</v>
      </c>
      <c r="BJ557">
        <v>0</v>
      </c>
      <c r="BK557">
        <v>0</v>
      </c>
      <c r="BL557">
        <v>0</v>
      </c>
      <c r="BM557">
        <v>-2.2601850449923929E+29</v>
      </c>
      <c r="BN557">
        <v>2.48248291015625</v>
      </c>
      <c r="BP557">
        <v>65535</v>
      </c>
      <c r="BQ557">
        <v>65535</v>
      </c>
      <c r="BR557">
        <v>0</v>
      </c>
      <c r="BS557">
        <v>-5.577484262175858E-4</v>
      </c>
      <c r="BT557">
        <v>0</v>
      </c>
      <c r="BU557">
        <v>9.0525588989257813</v>
      </c>
      <c r="BV557">
        <v>-9.0519599914550781</v>
      </c>
      <c r="BW557" t="s">
        <v>615</v>
      </c>
      <c r="BX557">
        <v>-2.2601850449923929E+29</v>
      </c>
      <c r="BY557">
        <v>2.48248291015625</v>
      </c>
      <c r="CB557">
        <v>18.650167465209961</v>
      </c>
      <c r="CC557">
        <v>7.1862478256225586</v>
      </c>
    </row>
    <row r="558" spans="1:81" ht="12.75" customHeight="1">
      <c r="A558" t="s">
        <v>728</v>
      </c>
      <c r="C558" t="s">
        <v>694</v>
      </c>
      <c r="D558">
        <v>556</v>
      </c>
      <c r="F558">
        <v>65535</v>
      </c>
      <c r="I558" t="s">
        <v>728</v>
      </c>
      <c r="R558">
        <v>6.7600002288818359</v>
      </c>
      <c r="T558">
        <v>28.392000198364258</v>
      </c>
      <c r="W558" s="514">
        <v>44245.742939814816</v>
      </c>
      <c r="AN558">
        <v>0</v>
      </c>
      <c r="AO558">
        <v>0</v>
      </c>
      <c r="AP558">
        <v>0</v>
      </c>
      <c r="AS558">
        <v>0</v>
      </c>
      <c r="AT558">
        <v>0</v>
      </c>
      <c r="AU558">
        <v>0</v>
      </c>
      <c r="AW558">
        <v>0</v>
      </c>
      <c r="AZ558">
        <v>0</v>
      </c>
      <c r="BA558">
        <v>-5.577484262175858E-4</v>
      </c>
      <c r="BB558">
        <v>0</v>
      </c>
      <c r="BC558">
        <v>9.0525588989257813</v>
      </c>
      <c r="BD558">
        <v>-9.0519599914550781</v>
      </c>
      <c r="BI558">
        <v>0</v>
      </c>
      <c r="BJ558">
        <v>0</v>
      </c>
      <c r="BK558">
        <v>0</v>
      </c>
      <c r="BL558">
        <v>0</v>
      </c>
      <c r="BM558">
        <v>-2.2601850449923929E+29</v>
      </c>
      <c r="BN558">
        <v>2.48248291015625</v>
      </c>
      <c r="BP558">
        <v>65535</v>
      </c>
      <c r="BQ558">
        <v>65535</v>
      </c>
      <c r="BR558">
        <v>0</v>
      </c>
      <c r="BS558">
        <v>-5.577484262175858E-4</v>
      </c>
      <c r="BT558">
        <v>0</v>
      </c>
      <c r="BU558">
        <v>9.0525588989257813</v>
      </c>
      <c r="BV558">
        <v>-9.0519599914550781</v>
      </c>
      <c r="BW558" t="s">
        <v>615</v>
      </c>
      <c r="BX558">
        <v>-2.2601850449923929E+29</v>
      </c>
      <c r="BY558">
        <v>2.48248291015625</v>
      </c>
      <c r="CB558">
        <v>19.24894905090332</v>
      </c>
      <c r="CC558">
        <v>6.8145103454589844</v>
      </c>
    </row>
    <row r="559" spans="1:81" ht="12.75" customHeight="1">
      <c r="A559" t="s">
        <v>728</v>
      </c>
      <c r="C559" t="s">
        <v>694</v>
      </c>
      <c r="D559">
        <v>557</v>
      </c>
      <c r="F559">
        <v>65535</v>
      </c>
      <c r="I559" t="s">
        <v>728</v>
      </c>
      <c r="R559">
        <v>6.7600002288818359</v>
      </c>
      <c r="T559">
        <v>28.392000198364258</v>
      </c>
      <c r="W559" s="514">
        <v>44245.742939814816</v>
      </c>
      <c r="AN559">
        <v>0</v>
      </c>
      <c r="AO559">
        <v>0</v>
      </c>
      <c r="AP559">
        <v>0</v>
      </c>
      <c r="AS559">
        <v>0</v>
      </c>
      <c r="AT559">
        <v>0</v>
      </c>
      <c r="AU559">
        <v>0</v>
      </c>
      <c r="AW559">
        <v>0</v>
      </c>
      <c r="AZ559">
        <v>0</v>
      </c>
      <c r="BA559">
        <v>-5.577484262175858E-4</v>
      </c>
      <c r="BB559">
        <v>0</v>
      </c>
      <c r="BC559">
        <v>9.0525588989257813</v>
      </c>
      <c r="BD559">
        <v>-9.0519599914550781</v>
      </c>
      <c r="BI559">
        <v>0</v>
      </c>
      <c r="BJ559">
        <v>0</v>
      </c>
      <c r="BK559">
        <v>0</v>
      </c>
      <c r="BL559">
        <v>0</v>
      </c>
      <c r="BM559">
        <v>-2.2601850449923929E+29</v>
      </c>
      <c r="BN559">
        <v>2.48248291015625</v>
      </c>
      <c r="BP559">
        <v>65535</v>
      </c>
      <c r="BQ559">
        <v>65535</v>
      </c>
      <c r="BR559">
        <v>0</v>
      </c>
      <c r="BS559">
        <v>-5.577484262175858E-4</v>
      </c>
      <c r="BT559">
        <v>0</v>
      </c>
      <c r="BU559">
        <v>9.0525588989257813</v>
      </c>
      <c r="BV559">
        <v>-9.0519599914550781</v>
      </c>
      <c r="BW559" t="s">
        <v>615</v>
      </c>
      <c r="BX559">
        <v>-2.2601850449923929E+29</v>
      </c>
      <c r="BY559">
        <v>2.48248291015625</v>
      </c>
      <c r="CB559">
        <v>24.933876037597656</v>
      </c>
      <c r="CC559">
        <v>3.0086116790771484</v>
      </c>
    </row>
    <row r="560" spans="1:81" ht="12.75" customHeight="1">
      <c r="A560" t="s">
        <v>728</v>
      </c>
      <c r="C560" t="s">
        <v>694</v>
      </c>
      <c r="D560">
        <v>558</v>
      </c>
      <c r="F560">
        <v>65535</v>
      </c>
      <c r="I560" t="s">
        <v>728</v>
      </c>
      <c r="R560">
        <v>6.7600002288818359</v>
      </c>
      <c r="T560">
        <v>28.392000198364258</v>
      </c>
      <c r="W560" s="514">
        <v>44245.742939814816</v>
      </c>
      <c r="AN560">
        <v>0</v>
      </c>
      <c r="AO560">
        <v>0</v>
      </c>
      <c r="AP560">
        <v>0</v>
      </c>
      <c r="AS560">
        <v>0</v>
      </c>
      <c r="AT560">
        <v>0</v>
      </c>
      <c r="AU560">
        <v>0</v>
      </c>
      <c r="AW560">
        <v>0</v>
      </c>
      <c r="AZ560">
        <v>0</v>
      </c>
      <c r="BA560">
        <v>-5.577484262175858E-4</v>
      </c>
      <c r="BB560">
        <v>0</v>
      </c>
      <c r="BC560">
        <v>9.0525588989257813</v>
      </c>
      <c r="BD560">
        <v>-9.0519599914550781</v>
      </c>
      <c r="BI560">
        <v>0</v>
      </c>
      <c r="BJ560">
        <v>0</v>
      </c>
      <c r="BK560">
        <v>0</v>
      </c>
      <c r="BL560">
        <v>0</v>
      </c>
      <c r="BM560">
        <v>-2.2601850449923929E+29</v>
      </c>
      <c r="BN560">
        <v>2.48248291015625</v>
      </c>
      <c r="BP560">
        <v>65535</v>
      </c>
      <c r="BQ560">
        <v>65535</v>
      </c>
      <c r="BR560">
        <v>0</v>
      </c>
      <c r="BS560">
        <v>-5.577484262175858E-4</v>
      </c>
      <c r="BT560">
        <v>0</v>
      </c>
      <c r="BU560">
        <v>9.0525588989257813</v>
      </c>
      <c r="BV560">
        <v>-9.0519599914550781</v>
      </c>
      <c r="BW560" t="s">
        <v>615</v>
      </c>
      <c r="BX560">
        <v>-2.2601850449923929E+29</v>
      </c>
      <c r="BY560">
        <v>2.48248291015625</v>
      </c>
      <c r="CB560">
        <v>19.252382278442383</v>
      </c>
      <c r="CC560">
        <v>6.6991314888000488</v>
      </c>
    </row>
    <row r="561" spans="1:81" ht="12.75" customHeight="1">
      <c r="A561" t="s">
        <v>728</v>
      </c>
      <c r="C561" t="s">
        <v>694</v>
      </c>
      <c r="D561">
        <v>559</v>
      </c>
      <c r="F561">
        <v>65535</v>
      </c>
      <c r="I561" t="s">
        <v>728</v>
      </c>
      <c r="R561">
        <v>6.7600002288818359</v>
      </c>
      <c r="T561">
        <v>28.392000198364258</v>
      </c>
      <c r="W561" s="514">
        <v>44245.742939814816</v>
      </c>
      <c r="AN561">
        <v>0</v>
      </c>
      <c r="AO561">
        <v>0</v>
      </c>
      <c r="AP561">
        <v>0</v>
      </c>
      <c r="AS561">
        <v>0</v>
      </c>
      <c r="AT561">
        <v>0</v>
      </c>
      <c r="AU561">
        <v>0</v>
      </c>
      <c r="AW561">
        <v>0</v>
      </c>
      <c r="AZ561">
        <v>0</v>
      </c>
      <c r="BA561">
        <v>-5.577484262175858E-4</v>
      </c>
      <c r="BB561">
        <v>0</v>
      </c>
      <c r="BC561">
        <v>9.0525588989257813</v>
      </c>
      <c r="BD561">
        <v>-9.0519599914550781</v>
      </c>
      <c r="BI561">
        <v>0</v>
      </c>
      <c r="BJ561">
        <v>0</v>
      </c>
      <c r="BK561">
        <v>0</v>
      </c>
      <c r="BL561">
        <v>0</v>
      </c>
      <c r="BM561">
        <v>-2.2601850449923929E+29</v>
      </c>
      <c r="BN561">
        <v>2.48248291015625</v>
      </c>
      <c r="BP561">
        <v>65535</v>
      </c>
      <c r="BQ561">
        <v>65535</v>
      </c>
      <c r="BR561">
        <v>0</v>
      </c>
      <c r="BS561">
        <v>-5.577484262175858E-4</v>
      </c>
      <c r="BT561">
        <v>0</v>
      </c>
      <c r="BU561">
        <v>9.0525588989257813</v>
      </c>
      <c r="BV561">
        <v>-9.0519599914550781</v>
      </c>
      <c r="BW561" t="s">
        <v>615</v>
      </c>
      <c r="BX561">
        <v>-2.2601850449923929E+29</v>
      </c>
      <c r="BY561">
        <v>2.48248291015625</v>
      </c>
      <c r="CB561">
        <v>18.400123596191406</v>
      </c>
      <c r="CC561">
        <v>7.4688544273376465</v>
      </c>
    </row>
    <row r="562" spans="1:81" ht="12.75" customHeight="1">
      <c r="A562" t="s">
        <v>728</v>
      </c>
      <c r="C562" t="s">
        <v>694</v>
      </c>
      <c r="D562">
        <v>560</v>
      </c>
      <c r="F562">
        <v>65535</v>
      </c>
      <c r="I562" t="s">
        <v>728</v>
      </c>
      <c r="R562">
        <v>6.7600002288818359</v>
      </c>
      <c r="T562">
        <v>28.392000198364258</v>
      </c>
      <c r="W562" s="514">
        <v>44245.742951388886</v>
      </c>
      <c r="AN562">
        <v>0</v>
      </c>
      <c r="AO562">
        <v>0</v>
      </c>
      <c r="AP562">
        <v>0</v>
      </c>
      <c r="AS562">
        <v>0</v>
      </c>
      <c r="AT562">
        <v>0</v>
      </c>
      <c r="AU562">
        <v>0</v>
      </c>
      <c r="AW562">
        <v>0</v>
      </c>
      <c r="AZ562">
        <v>0</v>
      </c>
      <c r="BA562">
        <v>-5.4024398559704423E-4</v>
      </c>
      <c r="BB562">
        <v>0</v>
      </c>
      <c r="BC562">
        <v>9.2025299072265625</v>
      </c>
      <c r="BD562">
        <v>-9.2020769119262695</v>
      </c>
      <c r="BI562">
        <v>0</v>
      </c>
      <c r="BJ562">
        <v>0</v>
      </c>
      <c r="BK562">
        <v>0</v>
      </c>
      <c r="BL562">
        <v>0</v>
      </c>
      <c r="BM562">
        <v>-3.1471894519914559E+38</v>
      </c>
      <c r="BN562">
        <v>2.3111572265625</v>
      </c>
      <c r="BP562">
        <v>65535</v>
      </c>
      <c r="BQ562">
        <v>65535</v>
      </c>
      <c r="BR562">
        <v>0</v>
      </c>
      <c r="BS562">
        <v>-5.4024398559704423E-4</v>
      </c>
      <c r="BT562">
        <v>0</v>
      </c>
      <c r="BU562">
        <v>9.2025299072265625</v>
      </c>
      <c r="BV562">
        <v>-9.2020769119262695</v>
      </c>
      <c r="BW562" t="s">
        <v>615</v>
      </c>
      <c r="BX562">
        <v>-3.1471894519914559E+38</v>
      </c>
      <c r="BY562">
        <v>2.3111572265625</v>
      </c>
      <c r="CB562">
        <v>22.04890251159668</v>
      </c>
      <c r="CC562">
        <v>5.0117206573486328</v>
      </c>
    </row>
    <row r="563" spans="1:81" ht="12.75" customHeight="1">
      <c r="A563" t="s">
        <v>728</v>
      </c>
      <c r="C563" t="s">
        <v>694</v>
      </c>
      <c r="D563">
        <v>561</v>
      </c>
      <c r="F563">
        <v>65535</v>
      </c>
      <c r="I563" t="s">
        <v>728</v>
      </c>
      <c r="R563">
        <v>6.7600002288818359</v>
      </c>
      <c r="T563">
        <v>28.392000198364258</v>
      </c>
      <c r="W563" s="514">
        <v>44245.742951388886</v>
      </c>
      <c r="AN563">
        <v>0</v>
      </c>
      <c r="AO563">
        <v>0</v>
      </c>
      <c r="AP563">
        <v>0</v>
      </c>
      <c r="AS563">
        <v>0</v>
      </c>
      <c r="AT563">
        <v>0</v>
      </c>
      <c r="AU563">
        <v>0</v>
      </c>
      <c r="AW563">
        <v>0</v>
      </c>
      <c r="AZ563">
        <v>0</v>
      </c>
      <c r="BA563">
        <v>-5.4024398559704423E-4</v>
      </c>
      <c r="BB563">
        <v>0</v>
      </c>
      <c r="BC563">
        <v>9.2025299072265625</v>
      </c>
      <c r="BD563">
        <v>-9.2020769119262695</v>
      </c>
      <c r="BI563">
        <v>0</v>
      </c>
      <c r="BJ563">
        <v>0</v>
      </c>
      <c r="BK563">
        <v>0</v>
      </c>
      <c r="BL563">
        <v>0</v>
      </c>
      <c r="BM563">
        <v>-3.1471894519914559E+38</v>
      </c>
      <c r="BN563">
        <v>2.3111572265625</v>
      </c>
      <c r="BP563">
        <v>65535</v>
      </c>
      <c r="BQ563">
        <v>65535</v>
      </c>
      <c r="BR563">
        <v>0</v>
      </c>
      <c r="BS563">
        <v>-5.4024398559704423E-4</v>
      </c>
      <c r="BT563">
        <v>0</v>
      </c>
      <c r="BU563">
        <v>9.2025299072265625</v>
      </c>
      <c r="BV563">
        <v>-9.2020769119262695</v>
      </c>
      <c r="BW563" t="s">
        <v>615</v>
      </c>
      <c r="BX563">
        <v>-3.1471894519914559E+38</v>
      </c>
      <c r="BY563">
        <v>2.3111572265625</v>
      </c>
      <c r="CB563">
        <v>22.215604782104492</v>
      </c>
      <c r="CC563">
        <v>4.6069068908691406</v>
      </c>
    </row>
    <row r="564" spans="1:81" ht="12.75" customHeight="1">
      <c r="A564" t="s">
        <v>728</v>
      </c>
      <c r="C564" t="s">
        <v>694</v>
      </c>
      <c r="D564">
        <v>562</v>
      </c>
      <c r="F564">
        <v>65535</v>
      </c>
      <c r="I564" t="s">
        <v>728</v>
      </c>
      <c r="R564">
        <v>6.7600002288818359</v>
      </c>
      <c r="T564">
        <v>28.392000198364258</v>
      </c>
      <c r="W564" s="514">
        <v>44245.742951388886</v>
      </c>
      <c r="AN564">
        <v>0</v>
      </c>
      <c r="AO564">
        <v>0</v>
      </c>
      <c r="AP564">
        <v>0</v>
      </c>
      <c r="AS564">
        <v>0</v>
      </c>
      <c r="AT564">
        <v>0</v>
      </c>
      <c r="AU564">
        <v>0</v>
      </c>
      <c r="AW564">
        <v>0</v>
      </c>
      <c r="AZ564">
        <v>0</v>
      </c>
      <c r="BA564">
        <v>-5.4024398559704423E-4</v>
      </c>
      <c r="BB564">
        <v>0</v>
      </c>
      <c r="BC564">
        <v>9.2025299072265625</v>
      </c>
      <c r="BD564">
        <v>-9.2020769119262695</v>
      </c>
      <c r="BI564">
        <v>0</v>
      </c>
      <c r="BJ564">
        <v>0</v>
      </c>
      <c r="BK564">
        <v>0</v>
      </c>
      <c r="BL564">
        <v>0</v>
      </c>
      <c r="BM564">
        <v>-3.1471894519914559E+38</v>
      </c>
      <c r="BN564">
        <v>2.3111572265625</v>
      </c>
      <c r="BP564">
        <v>65535</v>
      </c>
      <c r="BQ564">
        <v>65535</v>
      </c>
      <c r="BR564">
        <v>0</v>
      </c>
      <c r="BS564">
        <v>-5.4024398559704423E-4</v>
      </c>
      <c r="BT564">
        <v>0</v>
      </c>
      <c r="BU564">
        <v>9.2025299072265625</v>
      </c>
      <c r="BV564">
        <v>-9.2020769119262695</v>
      </c>
      <c r="BW564" t="s">
        <v>615</v>
      </c>
      <c r="BX564">
        <v>-3.1471894519914559E+38</v>
      </c>
      <c r="BY564">
        <v>2.3111572265625</v>
      </c>
      <c r="CB564">
        <v>18.650167465209961</v>
      </c>
      <c r="CC564">
        <v>7.1862478256225586</v>
      </c>
    </row>
    <row r="565" spans="1:81" ht="12.75" customHeight="1">
      <c r="A565" t="s">
        <v>728</v>
      </c>
      <c r="C565" t="s">
        <v>694</v>
      </c>
      <c r="D565">
        <v>563</v>
      </c>
      <c r="F565">
        <v>65535</v>
      </c>
      <c r="I565" t="s">
        <v>728</v>
      </c>
      <c r="R565">
        <v>6.7600002288818359</v>
      </c>
      <c r="T565">
        <v>28.392000198364258</v>
      </c>
      <c r="W565" s="514">
        <v>44245.742951388886</v>
      </c>
      <c r="AN565">
        <v>0</v>
      </c>
      <c r="AO565">
        <v>0</v>
      </c>
      <c r="AP565">
        <v>0</v>
      </c>
      <c r="AS565">
        <v>0</v>
      </c>
      <c r="AT565">
        <v>0</v>
      </c>
      <c r="AU565">
        <v>0</v>
      </c>
      <c r="AW565">
        <v>0</v>
      </c>
      <c r="AZ565">
        <v>0</v>
      </c>
      <c r="BA565">
        <v>-5.4024398559704423E-4</v>
      </c>
      <c r="BB565">
        <v>0</v>
      </c>
      <c r="BC565">
        <v>9.2025299072265625</v>
      </c>
      <c r="BD565">
        <v>-9.2020769119262695</v>
      </c>
      <c r="BI565">
        <v>0</v>
      </c>
      <c r="BJ565">
        <v>0</v>
      </c>
      <c r="BK565">
        <v>0</v>
      </c>
      <c r="BL565">
        <v>0</v>
      </c>
      <c r="BM565">
        <v>-3.1471894519914559E+38</v>
      </c>
      <c r="BN565">
        <v>2.3111572265625</v>
      </c>
      <c r="BP565">
        <v>65535</v>
      </c>
      <c r="BQ565">
        <v>65535</v>
      </c>
      <c r="BR565">
        <v>0</v>
      </c>
      <c r="BS565">
        <v>-5.4024398559704423E-4</v>
      </c>
      <c r="BT565">
        <v>0</v>
      </c>
      <c r="BU565">
        <v>9.2025299072265625</v>
      </c>
      <c r="BV565">
        <v>-9.2020769119262695</v>
      </c>
      <c r="BW565" t="s">
        <v>615</v>
      </c>
      <c r="BX565">
        <v>-3.1471894519914559E+38</v>
      </c>
      <c r="BY565">
        <v>2.3111572265625</v>
      </c>
      <c r="CB565">
        <v>19.24894905090332</v>
      </c>
      <c r="CC565">
        <v>6.8145103454589844</v>
      </c>
    </row>
    <row r="566" spans="1:81" ht="12.75" customHeight="1">
      <c r="A566" t="s">
        <v>728</v>
      </c>
      <c r="C566" t="s">
        <v>694</v>
      </c>
      <c r="D566">
        <v>564</v>
      </c>
      <c r="F566">
        <v>65535</v>
      </c>
      <c r="I566" t="s">
        <v>728</v>
      </c>
      <c r="R566">
        <v>6.7600002288818359</v>
      </c>
      <c r="T566">
        <v>28.392000198364258</v>
      </c>
      <c r="W566" s="514">
        <v>44245.742951388886</v>
      </c>
      <c r="AN566">
        <v>0</v>
      </c>
      <c r="AO566">
        <v>0</v>
      </c>
      <c r="AP566">
        <v>0</v>
      </c>
      <c r="AS566">
        <v>0</v>
      </c>
      <c r="AT566">
        <v>0</v>
      </c>
      <c r="AU566">
        <v>0</v>
      </c>
      <c r="AW566">
        <v>0</v>
      </c>
      <c r="AZ566">
        <v>0</v>
      </c>
      <c r="BA566">
        <v>-5.4024398559704423E-4</v>
      </c>
      <c r="BB566">
        <v>0</v>
      </c>
      <c r="BC566">
        <v>9.2025299072265625</v>
      </c>
      <c r="BD566">
        <v>-9.2020769119262695</v>
      </c>
      <c r="BI566">
        <v>0</v>
      </c>
      <c r="BJ566">
        <v>0</v>
      </c>
      <c r="BK566">
        <v>0</v>
      </c>
      <c r="BL566">
        <v>0</v>
      </c>
      <c r="BM566">
        <v>-3.1471894519914559E+38</v>
      </c>
      <c r="BN566">
        <v>2.3111572265625</v>
      </c>
      <c r="BP566">
        <v>65535</v>
      </c>
      <c r="BQ566">
        <v>65535</v>
      </c>
      <c r="BR566">
        <v>0</v>
      </c>
      <c r="BS566">
        <v>-5.4024398559704423E-4</v>
      </c>
      <c r="BT566">
        <v>0</v>
      </c>
      <c r="BU566">
        <v>9.2025299072265625</v>
      </c>
      <c r="BV566">
        <v>-9.2020769119262695</v>
      </c>
      <c r="BW566" t="s">
        <v>615</v>
      </c>
      <c r="BX566">
        <v>-3.1471894519914559E+38</v>
      </c>
      <c r="BY566">
        <v>2.3111572265625</v>
      </c>
      <c r="CB566">
        <v>24.933876037597656</v>
      </c>
      <c r="CC566">
        <v>3.0086116790771484</v>
      </c>
    </row>
    <row r="567" spans="1:81" ht="12.75" customHeight="1">
      <c r="A567" t="s">
        <v>728</v>
      </c>
      <c r="C567" t="s">
        <v>694</v>
      </c>
      <c r="D567">
        <v>565</v>
      </c>
      <c r="F567">
        <v>65535</v>
      </c>
      <c r="I567" t="s">
        <v>728</v>
      </c>
      <c r="R567">
        <v>5.6000008583068848</v>
      </c>
      <c r="T567">
        <v>23.520004272460938</v>
      </c>
      <c r="W567" s="514">
        <v>44245.742835648147</v>
      </c>
      <c r="AN567">
        <v>0</v>
      </c>
      <c r="AO567">
        <v>0</v>
      </c>
      <c r="AP567">
        <v>0</v>
      </c>
      <c r="AS567">
        <v>0</v>
      </c>
      <c r="AT567">
        <v>0</v>
      </c>
      <c r="AU567">
        <v>0</v>
      </c>
      <c r="AW567">
        <v>0</v>
      </c>
      <c r="AZ567">
        <v>0</v>
      </c>
      <c r="BA567">
        <v>-5.2173779113218188E-4</v>
      </c>
      <c r="BB567">
        <v>0</v>
      </c>
      <c r="BC567">
        <v>7.9564628601074219</v>
      </c>
      <c r="BD567">
        <v>-7.955843448638916</v>
      </c>
      <c r="BI567">
        <v>0</v>
      </c>
      <c r="BJ567">
        <v>0</v>
      </c>
      <c r="BK567">
        <v>0</v>
      </c>
      <c r="BL567">
        <v>0</v>
      </c>
      <c r="BM567">
        <v>2.1258426320214879E+27</v>
      </c>
      <c r="BN567">
        <v>2.128814697265625</v>
      </c>
      <c r="BP567">
        <v>65535</v>
      </c>
      <c r="BQ567">
        <v>65535</v>
      </c>
      <c r="BR567">
        <v>0</v>
      </c>
      <c r="BS567">
        <v>-5.2173779113218188E-4</v>
      </c>
      <c r="BT567">
        <v>0</v>
      </c>
      <c r="BU567">
        <v>7.9564628601074219</v>
      </c>
      <c r="BV567">
        <v>-7.955843448638916</v>
      </c>
      <c r="BW567" t="s">
        <v>615</v>
      </c>
      <c r="BX567">
        <v>2.1258426320214879E+27</v>
      </c>
      <c r="BY567">
        <v>2.128814697265625</v>
      </c>
      <c r="CB567">
        <v>19.252382278442383</v>
      </c>
      <c r="CC567">
        <v>6.6991314888000488</v>
      </c>
    </row>
    <row r="568" spans="1:81" ht="12.75" customHeight="1">
      <c r="A568" t="s">
        <v>728</v>
      </c>
      <c r="C568" t="s">
        <v>694</v>
      </c>
      <c r="D568">
        <v>566</v>
      </c>
      <c r="F568">
        <v>65535</v>
      </c>
      <c r="I568" t="s">
        <v>728</v>
      </c>
      <c r="AN568">
        <v>0</v>
      </c>
      <c r="AO568">
        <v>0</v>
      </c>
      <c r="AP568">
        <v>0</v>
      </c>
      <c r="AS568">
        <v>65535</v>
      </c>
      <c r="AT568">
        <v>65535</v>
      </c>
      <c r="AU568">
        <v>65535</v>
      </c>
      <c r="BI568">
        <v>0</v>
      </c>
      <c r="BK568">
        <v>0</v>
      </c>
      <c r="BL568">
        <v>0</v>
      </c>
      <c r="BP568">
        <v>65535</v>
      </c>
      <c r="BQ568">
        <v>65535</v>
      </c>
      <c r="CB568">
        <v>18.400123596191406</v>
      </c>
      <c r="CC568">
        <v>7.4688544273376465</v>
      </c>
    </row>
    <row r="569" spans="1:81" ht="12.75" customHeight="1">
      <c r="A569" t="s">
        <v>728</v>
      </c>
      <c r="C569" t="s">
        <v>694</v>
      </c>
      <c r="D569">
        <v>567</v>
      </c>
      <c r="F569">
        <v>65535</v>
      </c>
      <c r="I569" t="s">
        <v>728</v>
      </c>
      <c r="AN569">
        <v>0</v>
      </c>
      <c r="AO569">
        <v>0</v>
      </c>
      <c r="AP569">
        <v>0</v>
      </c>
      <c r="AS569">
        <v>65535</v>
      </c>
      <c r="AT569">
        <v>65535</v>
      </c>
      <c r="AU569">
        <v>65535</v>
      </c>
      <c r="BI569">
        <v>0</v>
      </c>
      <c r="BK569">
        <v>0</v>
      </c>
      <c r="BL569">
        <v>0</v>
      </c>
      <c r="BP569">
        <v>65535</v>
      </c>
      <c r="BQ569">
        <v>65535</v>
      </c>
      <c r="CB569">
        <v>22.04890251159668</v>
      </c>
      <c r="CC569">
        <v>5.0117206573486328</v>
      </c>
    </row>
    <row r="570" spans="1:81" ht="12.75" customHeight="1">
      <c r="A570" t="s">
        <v>728</v>
      </c>
      <c r="C570" t="s">
        <v>694</v>
      </c>
      <c r="D570">
        <v>568</v>
      </c>
      <c r="F570">
        <v>65535</v>
      </c>
      <c r="I570" t="s">
        <v>728</v>
      </c>
      <c r="AN570">
        <v>0</v>
      </c>
      <c r="AO570">
        <v>0</v>
      </c>
      <c r="AP570">
        <v>0</v>
      </c>
      <c r="AS570">
        <v>65535</v>
      </c>
      <c r="AT570">
        <v>65535</v>
      </c>
      <c r="AU570">
        <v>65535</v>
      </c>
      <c r="BI570">
        <v>0</v>
      </c>
      <c r="BK570">
        <v>0</v>
      </c>
      <c r="BL570">
        <v>0</v>
      </c>
      <c r="BP570">
        <v>65535</v>
      </c>
      <c r="BQ570">
        <v>65535</v>
      </c>
      <c r="CB570">
        <v>22.215604782104492</v>
      </c>
      <c r="CC570">
        <v>4.6069068908691406</v>
      </c>
    </row>
    <row r="571" spans="1:81" ht="12.75" customHeight="1">
      <c r="A571" t="s">
        <v>728</v>
      </c>
      <c r="C571" t="s">
        <v>694</v>
      </c>
      <c r="D571">
        <v>569</v>
      </c>
      <c r="F571">
        <v>65535</v>
      </c>
      <c r="I571" t="s">
        <v>728</v>
      </c>
      <c r="R571">
        <v>6.7600002288818359</v>
      </c>
      <c r="T571">
        <v>28.392000198364258</v>
      </c>
      <c r="W571" s="514">
        <v>44245.742951388886</v>
      </c>
      <c r="AN571">
        <v>0</v>
      </c>
      <c r="AO571">
        <v>0</v>
      </c>
      <c r="AP571">
        <v>0</v>
      </c>
      <c r="AS571">
        <v>0</v>
      </c>
      <c r="AT571">
        <v>0</v>
      </c>
      <c r="AU571">
        <v>0</v>
      </c>
      <c r="AW571">
        <v>0</v>
      </c>
      <c r="AZ571">
        <v>0</v>
      </c>
      <c r="BA571">
        <v>-5.4024398559704423E-4</v>
      </c>
      <c r="BB571">
        <v>0</v>
      </c>
      <c r="BC571">
        <v>9.2025299072265625</v>
      </c>
      <c r="BD571">
        <v>-9.2020769119262695</v>
      </c>
      <c r="BI571">
        <v>0</v>
      </c>
      <c r="BJ571">
        <v>0</v>
      </c>
      <c r="BK571">
        <v>0</v>
      </c>
      <c r="BL571">
        <v>0</v>
      </c>
      <c r="BM571">
        <v>-3.1471894519914559E+38</v>
      </c>
      <c r="BN571">
        <v>2.3111572265625</v>
      </c>
      <c r="BP571">
        <v>65535</v>
      </c>
      <c r="BQ571">
        <v>65535</v>
      </c>
      <c r="BR571">
        <v>0</v>
      </c>
      <c r="BS571">
        <v>-5.4024398559704423E-4</v>
      </c>
      <c r="BT571">
        <v>0</v>
      </c>
      <c r="BU571">
        <v>9.2025299072265625</v>
      </c>
      <c r="BV571">
        <v>-9.2020769119262695</v>
      </c>
      <c r="BW571" t="s">
        <v>615</v>
      </c>
      <c r="BX571">
        <v>-3.1471894519914559E+38</v>
      </c>
      <c r="BY571">
        <v>2.3111572265625</v>
      </c>
      <c r="CB571">
        <v>23.463809967041016</v>
      </c>
      <c r="CC571">
        <v>3.3669064044952393</v>
      </c>
    </row>
    <row r="572" spans="1:81" ht="12.75" customHeight="1">
      <c r="A572" t="s">
        <v>728</v>
      </c>
      <c r="C572" t="s">
        <v>694</v>
      </c>
      <c r="D572">
        <v>570</v>
      </c>
      <c r="F572">
        <v>65535</v>
      </c>
      <c r="I572" t="s">
        <v>728</v>
      </c>
      <c r="R572">
        <v>6.7600002288818359</v>
      </c>
      <c r="T572">
        <v>28.392000198364258</v>
      </c>
      <c r="W572" s="514">
        <v>44245.742951388886</v>
      </c>
      <c r="AN572">
        <v>0</v>
      </c>
      <c r="AO572">
        <v>0</v>
      </c>
      <c r="AP572">
        <v>0</v>
      </c>
      <c r="AS572">
        <v>0</v>
      </c>
      <c r="AT572">
        <v>0</v>
      </c>
      <c r="AU572">
        <v>0</v>
      </c>
      <c r="AW572">
        <v>0</v>
      </c>
      <c r="AZ572">
        <v>0</v>
      </c>
      <c r="BA572">
        <v>-5.4024398559704423E-4</v>
      </c>
      <c r="BB572">
        <v>0</v>
      </c>
      <c r="BC572">
        <v>9.2025299072265625</v>
      </c>
      <c r="BD572">
        <v>-9.2020769119262695</v>
      </c>
      <c r="BI572">
        <v>0</v>
      </c>
      <c r="BJ572">
        <v>0</v>
      </c>
      <c r="BK572">
        <v>0</v>
      </c>
      <c r="BL572">
        <v>0</v>
      </c>
      <c r="BM572">
        <v>-3.1471894519914559E+38</v>
      </c>
      <c r="BN572">
        <v>2.3111572265625</v>
      </c>
      <c r="BP572">
        <v>65535</v>
      </c>
      <c r="BQ572">
        <v>65535</v>
      </c>
      <c r="BR572">
        <v>0</v>
      </c>
      <c r="BS572">
        <v>-5.4024398559704423E-4</v>
      </c>
      <c r="BT572">
        <v>0</v>
      </c>
      <c r="BU572">
        <v>9.2025299072265625</v>
      </c>
      <c r="BV572">
        <v>-9.2020769119262695</v>
      </c>
      <c r="BW572" t="s">
        <v>615</v>
      </c>
      <c r="BX572">
        <v>-3.1471894519914559E+38</v>
      </c>
      <c r="BY572">
        <v>2.3111572265625</v>
      </c>
      <c r="CB572">
        <v>23.463809967041016</v>
      </c>
      <c r="CC572">
        <v>3.3669064044952393</v>
      </c>
    </row>
    <row r="573" spans="1:81" ht="12.75" customHeight="1">
      <c r="A573" t="s">
        <v>728</v>
      </c>
      <c r="C573" t="s">
        <v>694</v>
      </c>
      <c r="D573">
        <v>571</v>
      </c>
      <c r="F573">
        <v>65535</v>
      </c>
      <c r="I573" t="s">
        <v>728</v>
      </c>
      <c r="R573">
        <v>6.7600002288818359</v>
      </c>
      <c r="T573">
        <v>28.392000198364258</v>
      </c>
      <c r="W573" s="514">
        <v>44245.742951388886</v>
      </c>
      <c r="AN573">
        <v>0</v>
      </c>
      <c r="AO573">
        <v>0</v>
      </c>
      <c r="AP573">
        <v>0</v>
      </c>
      <c r="AS573">
        <v>0</v>
      </c>
      <c r="AT573">
        <v>0</v>
      </c>
      <c r="AU573">
        <v>0</v>
      </c>
      <c r="AW573">
        <v>0</v>
      </c>
      <c r="AZ573">
        <v>0</v>
      </c>
      <c r="BA573">
        <v>-5.4024398559704423E-4</v>
      </c>
      <c r="BB573">
        <v>0</v>
      </c>
      <c r="BC573">
        <v>9.2025299072265625</v>
      </c>
      <c r="BD573">
        <v>-9.2020769119262695</v>
      </c>
      <c r="BI573">
        <v>0</v>
      </c>
      <c r="BJ573">
        <v>0</v>
      </c>
      <c r="BK573">
        <v>0</v>
      </c>
      <c r="BL573">
        <v>0</v>
      </c>
      <c r="BM573">
        <v>-3.1471894519914559E+38</v>
      </c>
      <c r="BN573">
        <v>2.3111572265625</v>
      </c>
      <c r="BP573">
        <v>65535</v>
      </c>
      <c r="BQ573">
        <v>65535</v>
      </c>
      <c r="BR573">
        <v>0</v>
      </c>
      <c r="BS573">
        <v>-5.4024398559704423E-4</v>
      </c>
      <c r="BT573">
        <v>0</v>
      </c>
      <c r="BU573">
        <v>9.2025299072265625</v>
      </c>
      <c r="BV573">
        <v>-9.2020769119262695</v>
      </c>
      <c r="BW573" t="s">
        <v>615</v>
      </c>
      <c r="BX573">
        <v>-3.1471894519914559E+38</v>
      </c>
      <c r="BY573">
        <v>2.3111572265625</v>
      </c>
      <c r="CB573">
        <v>19.344205856323242</v>
      </c>
      <c r="CC573">
        <v>6.7095818519592285</v>
      </c>
    </row>
    <row r="574" spans="1:81" ht="12.75" customHeight="1">
      <c r="A574" t="s">
        <v>728</v>
      </c>
      <c r="C574" t="s">
        <v>694</v>
      </c>
      <c r="D574">
        <v>572</v>
      </c>
      <c r="F574">
        <v>65535</v>
      </c>
      <c r="I574" t="s">
        <v>728</v>
      </c>
      <c r="R574">
        <v>6.7600002288818359</v>
      </c>
      <c r="T574">
        <v>28.392000198364258</v>
      </c>
      <c r="W574" s="514">
        <v>44245.742951388886</v>
      </c>
      <c r="AN574">
        <v>0</v>
      </c>
      <c r="AO574">
        <v>0</v>
      </c>
      <c r="AP574">
        <v>0</v>
      </c>
      <c r="AS574">
        <v>0</v>
      </c>
      <c r="AT574">
        <v>0</v>
      </c>
      <c r="AU574">
        <v>0</v>
      </c>
      <c r="AW574">
        <v>0</v>
      </c>
      <c r="AZ574">
        <v>0</v>
      </c>
      <c r="BA574">
        <v>-5.4024398559704423E-4</v>
      </c>
      <c r="BB574">
        <v>0</v>
      </c>
      <c r="BC574">
        <v>9.2025299072265625</v>
      </c>
      <c r="BD574">
        <v>-9.2020769119262695</v>
      </c>
      <c r="BI574">
        <v>0</v>
      </c>
      <c r="BJ574">
        <v>0</v>
      </c>
      <c r="BK574">
        <v>0</v>
      </c>
      <c r="BL574">
        <v>0</v>
      </c>
      <c r="BM574">
        <v>-3.1471894519914559E+38</v>
      </c>
      <c r="BN574">
        <v>2.3111572265625</v>
      </c>
      <c r="BP574">
        <v>65535</v>
      </c>
      <c r="BQ574">
        <v>65535</v>
      </c>
      <c r="BR574">
        <v>0</v>
      </c>
      <c r="BS574">
        <v>-5.4024398559704423E-4</v>
      </c>
      <c r="BT574">
        <v>0</v>
      </c>
      <c r="BU574">
        <v>9.2025299072265625</v>
      </c>
      <c r="BV574">
        <v>-9.2020769119262695</v>
      </c>
      <c r="BW574" t="s">
        <v>615</v>
      </c>
      <c r="BX574">
        <v>-3.1471894519914559E+38</v>
      </c>
      <c r="BY574">
        <v>2.3111572265625</v>
      </c>
      <c r="CB574">
        <v>18.840543746948242</v>
      </c>
      <c r="CC574">
        <v>6.8517498970031738</v>
      </c>
    </row>
    <row r="575" spans="1:81" ht="12.75" customHeight="1">
      <c r="A575" t="s">
        <v>728</v>
      </c>
      <c r="C575" t="s">
        <v>694</v>
      </c>
      <c r="D575">
        <v>573</v>
      </c>
      <c r="F575">
        <v>65535</v>
      </c>
      <c r="I575" t="s">
        <v>728</v>
      </c>
      <c r="R575">
        <v>6.7600002288818359</v>
      </c>
      <c r="T575">
        <v>28.392000198364258</v>
      </c>
      <c r="W575" s="514">
        <v>44245.742951388886</v>
      </c>
      <c r="AN575">
        <v>0</v>
      </c>
      <c r="AO575">
        <v>0</v>
      </c>
      <c r="AP575">
        <v>0</v>
      </c>
      <c r="AS575">
        <v>0</v>
      </c>
      <c r="AT575">
        <v>0</v>
      </c>
      <c r="AU575">
        <v>0</v>
      </c>
      <c r="AW575">
        <v>0</v>
      </c>
      <c r="AZ575">
        <v>0</v>
      </c>
      <c r="BA575">
        <v>-5.4024398559704423E-4</v>
      </c>
      <c r="BB575">
        <v>0</v>
      </c>
      <c r="BC575">
        <v>9.2025299072265625</v>
      </c>
      <c r="BD575">
        <v>-9.2020769119262695</v>
      </c>
      <c r="BI575">
        <v>0</v>
      </c>
      <c r="BJ575">
        <v>0</v>
      </c>
      <c r="BK575">
        <v>0</v>
      </c>
      <c r="BL575">
        <v>0</v>
      </c>
      <c r="BM575">
        <v>-3.1471894519914559E+38</v>
      </c>
      <c r="BN575">
        <v>2.3111572265625</v>
      </c>
      <c r="BP575">
        <v>65535</v>
      </c>
      <c r="BQ575">
        <v>65535</v>
      </c>
      <c r="BR575">
        <v>0</v>
      </c>
      <c r="BS575">
        <v>-5.4024398559704423E-4</v>
      </c>
      <c r="BT575">
        <v>0</v>
      </c>
      <c r="BU575">
        <v>9.2025299072265625</v>
      </c>
      <c r="BV575">
        <v>-9.2020769119262695</v>
      </c>
      <c r="BW575" t="s">
        <v>615</v>
      </c>
      <c r="BX575">
        <v>-3.1471894519914559E+38</v>
      </c>
      <c r="BY575">
        <v>2.3111572265625</v>
      </c>
      <c r="CB575">
        <v>18.796525955200195</v>
      </c>
      <c r="CC575">
        <v>6.8382463455200195</v>
      </c>
    </row>
    <row r="576" spans="1:81" ht="12.75" customHeight="1">
      <c r="A576" t="s">
        <v>728</v>
      </c>
      <c r="C576" t="s">
        <v>694</v>
      </c>
      <c r="D576">
        <v>574</v>
      </c>
      <c r="F576">
        <v>65535</v>
      </c>
      <c r="I576" t="s">
        <v>728</v>
      </c>
      <c r="AN576">
        <v>0</v>
      </c>
      <c r="AO576">
        <v>0</v>
      </c>
      <c r="AP576">
        <v>0</v>
      </c>
      <c r="AS576">
        <v>65535</v>
      </c>
      <c r="AT576">
        <v>65535</v>
      </c>
      <c r="AU576">
        <v>65535</v>
      </c>
      <c r="BI576">
        <v>0</v>
      </c>
      <c r="BK576">
        <v>0</v>
      </c>
      <c r="BL576">
        <v>0</v>
      </c>
      <c r="BP576">
        <v>65535</v>
      </c>
      <c r="BQ576">
        <v>65535</v>
      </c>
      <c r="CB576">
        <v>18.924209594726563</v>
      </c>
      <c r="CC576">
        <v>6.7019295692443848</v>
      </c>
    </row>
    <row r="577" spans="1:81" ht="12.75" customHeight="1">
      <c r="A577" t="s">
        <v>728</v>
      </c>
      <c r="C577" t="s">
        <v>694</v>
      </c>
      <c r="D577">
        <v>575</v>
      </c>
      <c r="F577">
        <v>65535</v>
      </c>
      <c r="I577" t="s">
        <v>728</v>
      </c>
      <c r="R577">
        <v>9.3600034713745117</v>
      </c>
      <c r="T577">
        <v>39.31201171875</v>
      </c>
      <c r="W577" s="514">
        <v>44245.742812500001</v>
      </c>
      <c r="AN577">
        <v>0</v>
      </c>
      <c r="AO577">
        <v>0</v>
      </c>
      <c r="AP577">
        <v>0</v>
      </c>
      <c r="AS577">
        <v>0</v>
      </c>
      <c r="AT577">
        <v>0</v>
      </c>
      <c r="AU577">
        <v>0</v>
      </c>
      <c r="AW577">
        <v>0</v>
      </c>
      <c r="AZ577">
        <v>0</v>
      </c>
      <c r="BA577">
        <v>-3.8550273166038096E-4</v>
      </c>
      <c r="BB577">
        <v>0</v>
      </c>
      <c r="BC577">
        <v>15.564014434814453</v>
      </c>
      <c r="BD577">
        <v>-15.563601493835449</v>
      </c>
      <c r="BI577">
        <v>0</v>
      </c>
      <c r="BJ577">
        <v>0</v>
      </c>
      <c r="BK577">
        <v>0</v>
      </c>
      <c r="BL577">
        <v>0</v>
      </c>
      <c r="BM577">
        <v>3.3443017556781179E-28</v>
      </c>
      <c r="BN577">
        <v>0.805908203125</v>
      </c>
      <c r="BP577">
        <v>65535</v>
      </c>
      <c r="BQ577">
        <v>65535</v>
      </c>
      <c r="BR577">
        <v>0</v>
      </c>
      <c r="BS577">
        <v>-3.8550273166038096E-4</v>
      </c>
      <c r="BT577">
        <v>0</v>
      </c>
      <c r="BU577">
        <v>15.564014434814453</v>
      </c>
      <c r="BV577">
        <v>-15.563601493835449</v>
      </c>
      <c r="BW577" t="s">
        <v>615</v>
      </c>
      <c r="BX577">
        <v>3.3443017556781179E-28</v>
      </c>
      <c r="BY577">
        <v>0.805908203125</v>
      </c>
      <c r="CB577">
        <v>19.56983757019043</v>
      </c>
      <c r="CC577">
        <v>6.3959445953369141</v>
      </c>
    </row>
    <row r="578" spans="1:81" ht="12.75" customHeight="1">
      <c r="A578" t="s">
        <v>728</v>
      </c>
      <c r="C578" t="s">
        <v>694</v>
      </c>
      <c r="D578">
        <v>576</v>
      </c>
      <c r="F578">
        <v>65535</v>
      </c>
      <c r="I578" t="s">
        <v>728</v>
      </c>
      <c r="R578">
        <v>9.3600034713745117</v>
      </c>
      <c r="T578">
        <v>39.31201171875</v>
      </c>
      <c r="W578" s="514">
        <v>44245.742812500001</v>
      </c>
      <c r="AN578">
        <v>0</v>
      </c>
      <c r="AO578">
        <v>0</v>
      </c>
      <c r="AP578">
        <v>0</v>
      </c>
      <c r="AS578">
        <v>0</v>
      </c>
      <c r="AT578">
        <v>0</v>
      </c>
      <c r="AU578">
        <v>0</v>
      </c>
      <c r="AW578">
        <v>0</v>
      </c>
      <c r="AZ578">
        <v>0</v>
      </c>
      <c r="BA578">
        <v>-3.8550273166038096E-4</v>
      </c>
      <c r="BB578">
        <v>0</v>
      </c>
      <c r="BC578">
        <v>15.564014434814453</v>
      </c>
      <c r="BD578">
        <v>-15.563601493835449</v>
      </c>
      <c r="BI578">
        <v>0</v>
      </c>
      <c r="BJ578">
        <v>0</v>
      </c>
      <c r="BK578">
        <v>0</v>
      </c>
      <c r="BL578">
        <v>0</v>
      </c>
      <c r="BM578">
        <v>3.3443017556781179E-28</v>
      </c>
      <c r="BN578">
        <v>0.805908203125</v>
      </c>
      <c r="BP578">
        <v>65535</v>
      </c>
      <c r="BQ578">
        <v>65535</v>
      </c>
      <c r="BR578">
        <v>0</v>
      </c>
      <c r="BS578">
        <v>-3.8550273166038096E-4</v>
      </c>
      <c r="BT578">
        <v>0</v>
      </c>
      <c r="BU578">
        <v>15.564014434814453</v>
      </c>
      <c r="BV578">
        <v>-15.563601493835449</v>
      </c>
      <c r="BW578" t="s">
        <v>615</v>
      </c>
      <c r="BX578">
        <v>3.3443017556781179E-28</v>
      </c>
      <c r="BY578">
        <v>0.805908203125</v>
      </c>
      <c r="CB578">
        <v>20.33521842956543</v>
      </c>
      <c r="CC578">
        <v>5.9441714286804199</v>
      </c>
    </row>
    <row r="579" spans="1:81" ht="12.75" customHeight="1">
      <c r="A579" t="s">
        <v>728</v>
      </c>
      <c r="C579" t="s">
        <v>694</v>
      </c>
      <c r="D579">
        <v>577</v>
      </c>
      <c r="F579">
        <v>65535</v>
      </c>
      <c r="I579" t="s">
        <v>728</v>
      </c>
      <c r="R579">
        <v>7.7999982833862305</v>
      </c>
      <c r="T579">
        <v>32.759994506835938</v>
      </c>
      <c r="W579" s="514">
        <v>44245.742824074077</v>
      </c>
      <c r="AN579">
        <v>0</v>
      </c>
      <c r="AO579">
        <v>0</v>
      </c>
      <c r="AP579">
        <v>0</v>
      </c>
      <c r="AS579">
        <v>0</v>
      </c>
      <c r="AT579">
        <v>0</v>
      </c>
      <c r="AU579">
        <v>0</v>
      </c>
      <c r="AW579">
        <v>0</v>
      </c>
      <c r="AZ579">
        <v>0</v>
      </c>
      <c r="BA579">
        <v>-5.2172329742461443E-4</v>
      </c>
      <c r="BB579">
        <v>0</v>
      </c>
      <c r="BC579">
        <v>11.092475891113281</v>
      </c>
      <c r="BD579">
        <v>-11.091865539550781</v>
      </c>
      <c r="BI579">
        <v>0</v>
      </c>
      <c r="BJ579">
        <v>0</v>
      </c>
      <c r="BK579">
        <v>0</v>
      </c>
      <c r="BL579">
        <v>0</v>
      </c>
      <c r="BM579">
        <v>48622374912</v>
      </c>
      <c r="BN579">
        <v>2.126922607421875</v>
      </c>
      <c r="BP579">
        <v>65535</v>
      </c>
      <c r="BQ579">
        <v>65535</v>
      </c>
      <c r="BR579">
        <v>0</v>
      </c>
      <c r="BS579">
        <v>-5.2172329742461443E-4</v>
      </c>
      <c r="BT579">
        <v>0</v>
      </c>
      <c r="BU579">
        <v>11.092475891113281</v>
      </c>
      <c r="BV579">
        <v>-11.091865539550781</v>
      </c>
      <c r="BW579" t="s">
        <v>615</v>
      </c>
      <c r="BX579">
        <v>48622374912</v>
      </c>
      <c r="BY579">
        <v>2.126922607421875</v>
      </c>
      <c r="CB579">
        <v>19.618566513061523</v>
      </c>
      <c r="CC579">
        <v>6.4387960433959961</v>
      </c>
    </row>
    <row r="580" spans="1:81" ht="12.75" customHeight="1">
      <c r="A580" t="s">
        <v>728</v>
      </c>
      <c r="C580" t="s">
        <v>694</v>
      </c>
      <c r="D580">
        <v>578</v>
      </c>
      <c r="F580">
        <v>65535</v>
      </c>
      <c r="I580" t="s">
        <v>728</v>
      </c>
      <c r="R580">
        <v>7.7999982833862305</v>
      </c>
      <c r="T580">
        <v>32.759994506835938</v>
      </c>
      <c r="W580" s="514">
        <v>44245.742824074077</v>
      </c>
      <c r="AN580">
        <v>0</v>
      </c>
      <c r="AO580">
        <v>0</v>
      </c>
      <c r="AP580">
        <v>0</v>
      </c>
      <c r="AS580">
        <v>0</v>
      </c>
      <c r="AT580">
        <v>0</v>
      </c>
      <c r="AU580">
        <v>0</v>
      </c>
      <c r="AW580">
        <v>0</v>
      </c>
      <c r="AZ580">
        <v>0</v>
      </c>
      <c r="BA580">
        <v>-5.2172329742461443E-4</v>
      </c>
      <c r="BB580">
        <v>0</v>
      </c>
      <c r="BC580">
        <v>11.092475891113281</v>
      </c>
      <c r="BD580">
        <v>-11.091865539550781</v>
      </c>
      <c r="BI580">
        <v>0</v>
      </c>
      <c r="BJ580">
        <v>0</v>
      </c>
      <c r="BK580">
        <v>0</v>
      </c>
      <c r="BL580">
        <v>0</v>
      </c>
      <c r="BM580">
        <v>48622374912</v>
      </c>
      <c r="BN580">
        <v>2.126922607421875</v>
      </c>
      <c r="BP580">
        <v>65535</v>
      </c>
      <c r="BQ580">
        <v>65535</v>
      </c>
      <c r="BR580">
        <v>0</v>
      </c>
      <c r="BS580">
        <v>-5.2172329742461443E-4</v>
      </c>
      <c r="BT580">
        <v>0</v>
      </c>
      <c r="BU580">
        <v>11.092475891113281</v>
      </c>
      <c r="BV580">
        <v>-11.091865539550781</v>
      </c>
      <c r="BW580" t="s">
        <v>615</v>
      </c>
      <c r="BX580">
        <v>48622374912</v>
      </c>
      <c r="BY580">
        <v>2.126922607421875</v>
      </c>
      <c r="CB580">
        <v>18.650167465209961</v>
      </c>
      <c r="CC580">
        <v>7.1862478256225586</v>
      </c>
    </row>
    <row r="581" spans="1:81" ht="12.75" customHeight="1">
      <c r="A581" t="s">
        <v>728</v>
      </c>
      <c r="C581" t="s">
        <v>694</v>
      </c>
      <c r="D581">
        <v>579</v>
      </c>
      <c r="F581">
        <v>65535</v>
      </c>
      <c r="I581" t="s">
        <v>728</v>
      </c>
      <c r="R581">
        <v>7.7999944686889648</v>
      </c>
      <c r="T581">
        <v>32.759975433349609</v>
      </c>
      <c r="W581" s="514">
        <v>44245.742858796293</v>
      </c>
      <c r="AN581">
        <v>0</v>
      </c>
      <c r="AO581">
        <v>0</v>
      </c>
      <c r="AP581">
        <v>0</v>
      </c>
      <c r="AS581">
        <v>0</v>
      </c>
      <c r="AT581">
        <v>0</v>
      </c>
      <c r="AU581">
        <v>0</v>
      </c>
      <c r="AW581">
        <v>0</v>
      </c>
      <c r="AZ581">
        <v>0</v>
      </c>
      <c r="BA581">
        <v>-5.5736274225637317E-4</v>
      </c>
      <c r="BB581">
        <v>0</v>
      </c>
      <c r="BC581">
        <v>10.434837341308594</v>
      </c>
      <c r="BD581">
        <v>-10.434341430664063</v>
      </c>
      <c r="BI581">
        <v>0</v>
      </c>
      <c r="BJ581">
        <v>0</v>
      </c>
      <c r="BK581">
        <v>0</v>
      </c>
      <c r="BL581">
        <v>0</v>
      </c>
      <c r="BM581">
        <v>5.7512407903939759E-22</v>
      </c>
      <c r="BN581">
        <v>2.47845458984375</v>
      </c>
      <c r="BP581">
        <v>65535</v>
      </c>
      <c r="BQ581">
        <v>65535</v>
      </c>
      <c r="BR581">
        <v>0</v>
      </c>
      <c r="BS581">
        <v>-5.5736274225637317E-4</v>
      </c>
      <c r="BT581">
        <v>0</v>
      </c>
      <c r="BU581">
        <v>10.434837341308594</v>
      </c>
      <c r="BV581">
        <v>-10.434341430664063</v>
      </c>
      <c r="BW581" t="s">
        <v>615</v>
      </c>
      <c r="BX581">
        <v>5.7512407903939759E-22</v>
      </c>
      <c r="BY581">
        <v>2.47845458984375</v>
      </c>
      <c r="CB581">
        <v>19.24894905090332</v>
      </c>
      <c r="CC581">
        <v>6.8145103454589844</v>
      </c>
    </row>
    <row r="582" spans="1:81" ht="12.75" customHeight="1">
      <c r="A582" t="s">
        <v>728</v>
      </c>
      <c r="C582" t="s">
        <v>694</v>
      </c>
      <c r="D582">
        <v>580</v>
      </c>
      <c r="F582">
        <v>65535</v>
      </c>
      <c r="I582" t="s">
        <v>728</v>
      </c>
      <c r="R582">
        <v>7.7999944686889648</v>
      </c>
      <c r="T582">
        <v>32.759975433349609</v>
      </c>
      <c r="W582" s="514">
        <v>44245.742858796293</v>
      </c>
      <c r="AN582">
        <v>0</v>
      </c>
      <c r="AO582">
        <v>0</v>
      </c>
      <c r="AP582">
        <v>0</v>
      </c>
      <c r="AS582">
        <v>0</v>
      </c>
      <c r="AT582">
        <v>0</v>
      </c>
      <c r="AU582">
        <v>0</v>
      </c>
      <c r="AW582">
        <v>0</v>
      </c>
      <c r="AZ582">
        <v>0</v>
      </c>
      <c r="BA582">
        <v>-5.5736274225637317E-4</v>
      </c>
      <c r="BB582">
        <v>0</v>
      </c>
      <c r="BC582">
        <v>10.434837341308594</v>
      </c>
      <c r="BD582">
        <v>-10.434341430664063</v>
      </c>
      <c r="BI582">
        <v>0</v>
      </c>
      <c r="BJ582">
        <v>0</v>
      </c>
      <c r="BK582">
        <v>0</v>
      </c>
      <c r="BL582">
        <v>0</v>
      </c>
      <c r="BM582">
        <v>5.7512407903939759E-22</v>
      </c>
      <c r="BN582">
        <v>2.47845458984375</v>
      </c>
      <c r="BP582">
        <v>65535</v>
      </c>
      <c r="BQ582">
        <v>65535</v>
      </c>
      <c r="BR582">
        <v>0</v>
      </c>
      <c r="BS582">
        <v>-5.5736274225637317E-4</v>
      </c>
      <c r="BT582">
        <v>0</v>
      </c>
      <c r="BU582">
        <v>10.434837341308594</v>
      </c>
      <c r="BV582">
        <v>-10.434341430664063</v>
      </c>
      <c r="BW582" t="s">
        <v>615</v>
      </c>
      <c r="BX582">
        <v>5.7512407903939759E-22</v>
      </c>
      <c r="BY582">
        <v>2.47845458984375</v>
      </c>
      <c r="CB582">
        <v>24.933876037597656</v>
      </c>
      <c r="CC582">
        <v>3.0086116790771484</v>
      </c>
    </row>
    <row r="583" spans="1:81" ht="12.75" customHeight="1">
      <c r="A583" t="s">
        <v>728</v>
      </c>
      <c r="C583" t="s">
        <v>694</v>
      </c>
      <c r="D583">
        <v>581</v>
      </c>
      <c r="F583">
        <v>65535</v>
      </c>
      <c r="I583" t="s">
        <v>728</v>
      </c>
      <c r="R583">
        <v>7.7999944686889648</v>
      </c>
      <c r="T583">
        <v>32.759975433349609</v>
      </c>
      <c r="W583" s="514">
        <v>44245.742858796293</v>
      </c>
      <c r="AN583">
        <v>0</v>
      </c>
      <c r="AO583">
        <v>0</v>
      </c>
      <c r="AP583">
        <v>0</v>
      </c>
      <c r="AS583">
        <v>0</v>
      </c>
      <c r="AT583">
        <v>0</v>
      </c>
      <c r="AU583">
        <v>0</v>
      </c>
      <c r="AW583">
        <v>0</v>
      </c>
      <c r="AZ583">
        <v>0</v>
      </c>
      <c r="BA583">
        <v>-5.5736274225637317E-4</v>
      </c>
      <c r="BB583">
        <v>0</v>
      </c>
      <c r="BC583">
        <v>10.434837341308594</v>
      </c>
      <c r="BD583">
        <v>-10.434341430664063</v>
      </c>
      <c r="BI583">
        <v>0</v>
      </c>
      <c r="BJ583">
        <v>0</v>
      </c>
      <c r="BK583">
        <v>0</v>
      </c>
      <c r="BL583">
        <v>0</v>
      </c>
      <c r="BM583">
        <v>5.7512407903939759E-22</v>
      </c>
      <c r="BN583">
        <v>2.47845458984375</v>
      </c>
      <c r="BP583">
        <v>65535</v>
      </c>
      <c r="BQ583">
        <v>65535</v>
      </c>
      <c r="BR583">
        <v>0</v>
      </c>
      <c r="BS583">
        <v>-5.5736274225637317E-4</v>
      </c>
      <c r="BT583">
        <v>0</v>
      </c>
      <c r="BU583">
        <v>10.434837341308594</v>
      </c>
      <c r="BV583">
        <v>-10.434341430664063</v>
      </c>
      <c r="BW583" t="s">
        <v>615</v>
      </c>
      <c r="BX583">
        <v>5.7512407903939759E-22</v>
      </c>
      <c r="BY583">
        <v>2.47845458984375</v>
      </c>
      <c r="CB583">
        <v>19.252382278442383</v>
      </c>
      <c r="CC583">
        <v>6.6991314888000488</v>
      </c>
    </row>
    <row r="584" spans="1:81" ht="12.75" customHeight="1">
      <c r="A584" t="s">
        <v>728</v>
      </c>
      <c r="C584" t="s">
        <v>694</v>
      </c>
      <c r="D584">
        <v>582</v>
      </c>
      <c r="F584">
        <v>65535</v>
      </c>
      <c r="I584" t="s">
        <v>728</v>
      </c>
      <c r="R584">
        <v>7.7999944686889648</v>
      </c>
      <c r="T584">
        <v>32.759975433349609</v>
      </c>
      <c r="W584" s="514">
        <v>44245.742858796293</v>
      </c>
      <c r="AN584">
        <v>0</v>
      </c>
      <c r="AO584">
        <v>0</v>
      </c>
      <c r="AP584">
        <v>0</v>
      </c>
      <c r="AS584">
        <v>0</v>
      </c>
      <c r="AT584">
        <v>0</v>
      </c>
      <c r="AU584">
        <v>0</v>
      </c>
      <c r="AW584">
        <v>0</v>
      </c>
      <c r="AZ584">
        <v>0</v>
      </c>
      <c r="BA584">
        <v>-5.5736274225637317E-4</v>
      </c>
      <c r="BB584">
        <v>0</v>
      </c>
      <c r="BC584">
        <v>10.434837341308594</v>
      </c>
      <c r="BD584">
        <v>-10.434341430664063</v>
      </c>
      <c r="BI584">
        <v>0</v>
      </c>
      <c r="BJ584">
        <v>0</v>
      </c>
      <c r="BK584">
        <v>0</v>
      </c>
      <c r="BL584">
        <v>0</v>
      </c>
      <c r="BM584">
        <v>5.7512407903939759E-22</v>
      </c>
      <c r="BN584">
        <v>2.47845458984375</v>
      </c>
      <c r="BP584">
        <v>65535</v>
      </c>
      <c r="BQ584">
        <v>65535</v>
      </c>
      <c r="BR584">
        <v>0</v>
      </c>
      <c r="BS584">
        <v>-5.5736274225637317E-4</v>
      </c>
      <c r="BT584">
        <v>0</v>
      </c>
      <c r="BU584">
        <v>10.434837341308594</v>
      </c>
      <c r="BV584">
        <v>-10.434341430664063</v>
      </c>
      <c r="BW584" t="s">
        <v>615</v>
      </c>
      <c r="BX584">
        <v>5.7512407903939759E-22</v>
      </c>
      <c r="BY584">
        <v>2.47845458984375</v>
      </c>
      <c r="CB584">
        <v>18.400123596191406</v>
      </c>
      <c r="CC584">
        <v>7.4688544273376465</v>
      </c>
    </row>
    <row r="585" spans="1:81" ht="12.75" customHeight="1">
      <c r="A585" t="s">
        <v>728</v>
      </c>
      <c r="C585" t="s">
        <v>694</v>
      </c>
      <c r="D585">
        <v>583</v>
      </c>
      <c r="F585">
        <v>65535</v>
      </c>
      <c r="I585" t="s">
        <v>728</v>
      </c>
      <c r="R585">
        <v>7.7999944686889648</v>
      </c>
      <c r="T585">
        <v>32.759975433349609</v>
      </c>
      <c r="W585" s="514">
        <v>44245.742858796293</v>
      </c>
      <c r="AN585">
        <v>0</v>
      </c>
      <c r="AO585">
        <v>0</v>
      </c>
      <c r="AP585">
        <v>0</v>
      </c>
      <c r="AS585">
        <v>0</v>
      </c>
      <c r="AT585">
        <v>0</v>
      </c>
      <c r="AU585">
        <v>0</v>
      </c>
      <c r="AW585">
        <v>0</v>
      </c>
      <c r="AZ585">
        <v>0</v>
      </c>
      <c r="BA585">
        <v>-5.5736274225637317E-4</v>
      </c>
      <c r="BB585">
        <v>0</v>
      </c>
      <c r="BC585">
        <v>10.434837341308594</v>
      </c>
      <c r="BD585">
        <v>-10.434341430664063</v>
      </c>
      <c r="BI585">
        <v>0</v>
      </c>
      <c r="BJ585">
        <v>0</v>
      </c>
      <c r="BK585">
        <v>0</v>
      </c>
      <c r="BL585">
        <v>0</v>
      </c>
      <c r="BM585">
        <v>5.7512407903939759E-22</v>
      </c>
      <c r="BN585">
        <v>2.47845458984375</v>
      </c>
      <c r="BP585">
        <v>65535</v>
      </c>
      <c r="BQ585">
        <v>65535</v>
      </c>
      <c r="BR585">
        <v>0</v>
      </c>
      <c r="BS585">
        <v>-5.5736274225637317E-4</v>
      </c>
      <c r="BT585">
        <v>0</v>
      </c>
      <c r="BU585">
        <v>10.434837341308594</v>
      </c>
      <c r="BV585">
        <v>-10.434341430664063</v>
      </c>
      <c r="BW585" t="s">
        <v>615</v>
      </c>
      <c r="BX585">
        <v>5.7512407903939759E-22</v>
      </c>
      <c r="BY585">
        <v>2.47845458984375</v>
      </c>
      <c r="CB585">
        <v>22.04890251159668</v>
      </c>
      <c r="CC585">
        <v>5.0117206573486328</v>
      </c>
    </row>
    <row r="586" spans="1:81" ht="12.75" customHeight="1">
      <c r="A586" t="s">
        <v>728</v>
      </c>
      <c r="C586" t="s">
        <v>694</v>
      </c>
      <c r="D586">
        <v>584</v>
      </c>
      <c r="F586">
        <v>65535</v>
      </c>
      <c r="I586" t="s">
        <v>728</v>
      </c>
      <c r="R586">
        <v>7.7999944686889648</v>
      </c>
      <c r="T586">
        <v>32.759975433349609</v>
      </c>
      <c r="W586" s="514">
        <v>44245.742858796293</v>
      </c>
      <c r="AN586">
        <v>0</v>
      </c>
      <c r="AO586">
        <v>0</v>
      </c>
      <c r="AP586">
        <v>0</v>
      </c>
      <c r="AS586">
        <v>0</v>
      </c>
      <c r="AT586">
        <v>0</v>
      </c>
      <c r="AU586">
        <v>0</v>
      </c>
      <c r="AW586">
        <v>0</v>
      </c>
      <c r="AZ586">
        <v>0</v>
      </c>
      <c r="BA586">
        <v>-5.5736274225637317E-4</v>
      </c>
      <c r="BB586">
        <v>0</v>
      </c>
      <c r="BC586">
        <v>10.434837341308594</v>
      </c>
      <c r="BD586">
        <v>-10.434341430664063</v>
      </c>
      <c r="BI586">
        <v>0</v>
      </c>
      <c r="BJ586">
        <v>0</v>
      </c>
      <c r="BK586">
        <v>0</v>
      </c>
      <c r="BL586">
        <v>0</v>
      </c>
      <c r="BM586">
        <v>5.7512407903939759E-22</v>
      </c>
      <c r="BN586">
        <v>2.47845458984375</v>
      </c>
      <c r="BP586">
        <v>65535</v>
      </c>
      <c r="BQ586">
        <v>65535</v>
      </c>
      <c r="BR586">
        <v>0</v>
      </c>
      <c r="BS586">
        <v>-5.5736274225637317E-4</v>
      </c>
      <c r="BT586">
        <v>0</v>
      </c>
      <c r="BU586">
        <v>10.434837341308594</v>
      </c>
      <c r="BV586">
        <v>-10.434341430664063</v>
      </c>
      <c r="BW586" t="s">
        <v>615</v>
      </c>
      <c r="BX586">
        <v>5.7512407903939759E-22</v>
      </c>
      <c r="BY586">
        <v>2.47845458984375</v>
      </c>
      <c r="CB586">
        <v>22.215604782104492</v>
      </c>
      <c r="CC586">
        <v>4.6069068908691406</v>
      </c>
    </row>
    <row r="587" spans="1:81" ht="12.75" customHeight="1">
      <c r="A587" t="s">
        <v>728</v>
      </c>
      <c r="C587" t="s">
        <v>694</v>
      </c>
      <c r="D587">
        <v>585</v>
      </c>
      <c r="F587">
        <v>65535</v>
      </c>
      <c r="I587" t="s">
        <v>728</v>
      </c>
      <c r="R587">
        <v>7.7999944686889648</v>
      </c>
      <c r="T587">
        <v>32.759975433349609</v>
      </c>
      <c r="W587" s="514">
        <v>44245.742858796293</v>
      </c>
      <c r="AN587">
        <v>0</v>
      </c>
      <c r="AO587">
        <v>0</v>
      </c>
      <c r="AP587">
        <v>0</v>
      </c>
      <c r="AS587">
        <v>0</v>
      </c>
      <c r="AT587">
        <v>0</v>
      </c>
      <c r="AU587">
        <v>0</v>
      </c>
      <c r="AW587">
        <v>0</v>
      </c>
      <c r="AZ587">
        <v>0</v>
      </c>
      <c r="BA587">
        <v>-5.5736274225637317E-4</v>
      </c>
      <c r="BB587">
        <v>0</v>
      </c>
      <c r="BC587">
        <v>10.434837341308594</v>
      </c>
      <c r="BD587">
        <v>-10.434341430664063</v>
      </c>
      <c r="BI587">
        <v>0</v>
      </c>
      <c r="BJ587">
        <v>0</v>
      </c>
      <c r="BK587">
        <v>0</v>
      </c>
      <c r="BL587">
        <v>0</v>
      </c>
      <c r="BM587">
        <v>5.7512407903939759E-22</v>
      </c>
      <c r="BN587">
        <v>2.47845458984375</v>
      </c>
      <c r="BP587">
        <v>65535</v>
      </c>
      <c r="BQ587">
        <v>65535</v>
      </c>
      <c r="BR587">
        <v>0</v>
      </c>
      <c r="BS587">
        <v>-5.5736274225637317E-4</v>
      </c>
      <c r="BT587">
        <v>0</v>
      </c>
      <c r="BU587">
        <v>10.434837341308594</v>
      </c>
      <c r="BV587">
        <v>-10.434341430664063</v>
      </c>
      <c r="BW587" t="s">
        <v>615</v>
      </c>
      <c r="BX587">
        <v>5.7512407903939759E-22</v>
      </c>
      <c r="BY587">
        <v>2.47845458984375</v>
      </c>
      <c r="CB587">
        <v>19.565608978271484</v>
      </c>
      <c r="CC587">
        <v>6.4924674034118652</v>
      </c>
    </row>
    <row r="588" spans="1:81" ht="12.75" customHeight="1">
      <c r="A588" t="s">
        <v>728</v>
      </c>
      <c r="C588" t="s">
        <v>694</v>
      </c>
      <c r="D588">
        <v>586</v>
      </c>
      <c r="F588">
        <v>65535</v>
      </c>
      <c r="I588" t="s">
        <v>728</v>
      </c>
      <c r="R588">
        <v>7.280001163482666</v>
      </c>
      <c r="T588">
        <v>30.576005935668945</v>
      </c>
      <c r="W588" s="514">
        <v>44245.742905092593</v>
      </c>
      <c r="AN588">
        <v>0</v>
      </c>
      <c r="AO588">
        <v>0</v>
      </c>
      <c r="AP588">
        <v>0</v>
      </c>
      <c r="AS588">
        <v>0</v>
      </c>
      <c r="AT588">
        <v>0</v>
      </c>
      <c r="AU588">
        <v>0</v>
      </c>
      <c r="AW588">
        <v>0</v>
      </c>
      <c r="AZ588">
        <v>0</v>
      </c>
      <c r="BA588">
        <v>-5.4936431115493178E-4</v>
      </c>
      <c r="BB588">
        <v>0</v>
      </c>
      <c r="BC588">
        <v>9.9062042236328125</v>
      </c>
      <c r="BD588">
        <v>-9.9055871963500977</v>
      </c>
      <c r="BI588">
        <v>0</v>
      </c>
      <c r="BJ588">
        <v>0</v>
      </c>
      <c r="BK588">
        <v>0</v>
      </c>
      <c r="BL588">
        <v>0</v>
      </c>
      <c r="BM588">
        <v>2.4326769765270484E-11</v>
      </c>
      <c r="BN588">
        <v>2.3984375</v>
      </c>
      <c r="BP588">
        <v>65535</v>
      </c>
      <c r="BQ588">
        <v>65535</v>
      </c>
      <c r="BR588">
        <v>0</v>
      </c>
      <c r="BS588">
        <v>-5.4936431115493178E-4</v>
      </c>
      <c r="BT588">
        <v>0</v>
      </c>
      <c r="BU588">
        <v>9.9062042236328125</v>
      </c>
      <c r="BV588">
        <v>-9.9055871963500977</v>
      </c>
      <c r="BW588" t="s">
        <v>615</v>
      </c>
      <c r="BX588">
        <v>2.4326769765270484E-11</v>
      </c>
      <c r="BY588">
        <v>2.3984375</v>
      </c>
      <c r="CB588">
        <v>20.477558135986328</v>
      </c>
      <c r="CC588">
        <v>5.8544230461120605</v>
      </c>
    </row>
    <row r="589" spans="1:81" ht="12.75" customHeight="1">
      <c r="A589" t="s">
        <v>728</v>
      </c>
      <c r="C589" t="s">
        <v>694</v>
      </c>
      <c r="D589">
        <v>587</v>
      </c>
      <c r="F589">
        <v>65535</v>
      </c>
      <c r="I589" t="s">
        <v>728</v>
      </c>
      <c r="R589">
        <v>7.280001163482666</v>
      </c>
      <c r="T589">
        <v>30.576005935668945</v>
      </c>
      <c r="W589" s="514">
        <v>44245.742905092593</v>
      </c>
      <c r="AN589">
        <v>0</v>
      </c>
      <c r="AO589">
        <v>0</v>
      </c>
      <c r="AP589">
        <v>0</v>
      </c>
      <c r="AS589">
        <v>0</v>
      </c>
      <c r="AT589">
        <v>0</v>
      </c>
      <c r="AU589">
        <v>0</v>
      </c>
      <c r="AW589">
        <v>0</v>
      </c>
      <c r="AZ589">
        <v>0</v>
      </c>
      <c r="BA589">
        <v>-5.4936431115493178E-4</v>
      </c>
      <c r="BB589">
        <v>0</v>
      </c>
      <c r="BC589">
        <v>9.9062042236328125</v>
      </c>
      <c r="BD589">
        <v>-9.9055871963500977</v>
      </c>
      <c r="BI589">
        <v>0</v>
      </c>
      <c r="BJ589">
        <v>0</v>
      </c>
      <c r="BK589">
        <v>0</v>
      </c>
      <c r="BL589">
        <v>0</v>
      </c>
      <c r="BM589">
        <v>2.4326769765270484E-11</v>
      </c>
      <c r="BN589">
        <v>2.3984375</v>
      </c>
      <c r="BP589">
        <v>65535</v>
      </c>
      <c r="BQ589">
        <v>65535</v>
      </c>
      <c r="BR589">
        <v>0</v>
      </c>
      <c r="BS589">
        <v>-5.4936431115493178E-4</v>
      </c>
      <c r="BT589">
        <v>0</v>
      </c>
      <c r="BU589">
        <v>9.9062042236328125</v>
      </c>
      <c r="BV589">
        <v>-9.9055871963500977</v>
      </c>
      <c r="BW589" t="s">
        <v>615</v>
      </c>
      <c r="BX589">
        <v>2.4326769765270484E-11</v>
      </c>
      <c r="BY589">
        <v>2.3984375</v>
      </c>
      <c r="CB589">
        <v>19.565608978271484</v>
      </c>
      <c r="CC589">
        <v>6.4924674034118652</v>
      </c>
    </row>
    <row r="590" spans="1:81" ht="12.75" customHeight="1">
      <c r="A590" t="s">
        <v>728</v>
      </c>
      <c r="C590" t="s">
        <v>694</v>
      </c>
      <c r="D590">
        <v>588</v>
      </c>
      <c r="F590">
        <v>65535</v>
      </c>
      <c r="I590" t="s">
        <v>728</v>
      </c>
      <c r="R590">
        <v>7.280001163482666</v>
      </c>
      <c r="T590">
        <v>30.576005935668945</v>
      </c>
      <c r="W590" s="514">
        <v>44245.742905092593</v>
      </c>
      <c r="AN590">
        <v>0</v>
      </c>
      <c r="AO590">
        <v>0</v>
      </c>
      <c r="AP590">
        <v>0</v>
      </c>
      <c r="AS590">
        <v>0</v>
      </c>
      <c r="AT590">
        <v>0</v>
      </c>
      <c r="AU590">
        <v>0</v>
      </c>
      <c r="AW590">
        <v>0</v>
      </c>
      <c r="AZ590">
        <v>0</v>
      </c>
      <c r="BA590">
        <v>-5.4936431115493178E-4</v>
      </c>
      <c r="BB590">
        <v>0</v>
      </c>
      <c r="BC590">
        <v>9.9062042236328125</v>
      </c>
      <c r="BD590">
        <v>-9.9055871963500977</v>
      </c>
      <c r="BI590">
        <v>0</v>
      </c>
      <c r="BJ590">
        <v>0</v>
      </c>
      <c r="BK590">
        <v>0</v>
      </c>
      <c r="BL590">
        <v>0</v>
      </c>
      <c r="BM590">
        <v>2.4326769765270484E-11</v>
      </c>
      <c r="BN590">
        <v>2.3984375</v>
      </c>
      <c r="BP590">
        <v>65535</v>
      </c>
      <c r="BQ590">
        <v>65535</v>
      </c>
      <c r="BR590">
        <v>0</v>
      </c>
      <c r="BS590">
        <v>-5.4936431115493178E-4</v>
      </c>
      <c r="BT590">
        <v>0</v>
      </c>
      <c r="BU590">
        <v>9.9062042236328125</v>
      </c>
      <c r="BV590">
        <v>-9.9055871963500977</v>
      </c>
      <c r="BW590" t="s">
        <v>615</v>
      </c>
      <c r="BX590">
        <v>2.4326769765270484E-11</v>
      </c>
      <c r="BY590">
        <v>2.3984375</v>
      </c>
      <c r="CB590">
        <v>20.477558135986328</v>
      </c>
      <c r="CC590">
        <v>5.8544230461120605</v>
      </c>
    </row>
    <row r="591" spans="1:81" ht="12.75" customHeight="1">
      <c r="A591" t="s">
        <v>728</v>
      </c>
      <c r="C591" t="s">
        <v>694</v>
      </c>
      <c r="D591">
        <v>589</v>
      </c>
      <c r="F591">
        <v>65535</v>
      </c>
      <c r="I591" t="s">
        <v>728</v>
      </c>
      <c r="R591">
        <v>7.280001163482666</v>
      </c>
      <c r="T591">
        <v>30.576005935668945</v>
      </c>
      <c r="W591" s="514">
        <v>44245.742905092593</v>
      </c>
      <c r="AN591">
        <v>0</v>
      </c>
      <c r="AO591">
        <v>0</v>
      </c>
      <c r="AP591">
        <v>0</v>
      </c>
      <c r="AS591">
        <v>0</v>
      </c>
      <c r="AT591">
        <v>0</v>
      </c>
      <c r="AU591">
        <v>0</v>
      </c>
      <c r="AW591">
        <v>0</v>
      </c>
      <c r="AZ591">
        <v>0</v>
      </c>
      <c r="BA591">
        <v>-5.4936431115493178E-4</v>
      </c>
      <c r="BB591">
        <v>0</v>
      </c>
      <c r="BC591">
        <v>9.9062042236328125</v>
      </c>
      <c r="BD591">
        <v>-9.9055871963500977</v>
      </c>
      <c r="BI591">
        <v>0</v>
      </c>
      <c r="BJ591">
        <v>0</v>
      </c>
      <c r="BK591">
        <v>0</v>
      </c>
      <c r="BL591">
        <v>0</v>
      </c>
      <c r="BM591">
        <v>2.4326769765270484E-11</v>
      </c>
      <c r="BN591">
        <v>2.3984375</v>
      </c>
      <c r="BP591">
        <v>65535</v>
      </c>
      <c r="BQ591">
        <v>65535</v>
      </c>
      <c r="BR591">
        <v>0</v>
      </c>
      <c r="BS591">
        <v>-5.4936431115493178E-4</v>
      </c>
      <c r="BT591">
        <v>0</v>
      </c>
      <c r="BU591">
        <v>9.9062042236328125</v>
      </c>
      <c r="BV591">
        <v>-9.9055871963500977</v>
      </c>
      <c r="BW591" t="s">
        <v>615</v>
      </c>
      <c r="BX591">
        <v>2.4326769765270484E-11</v>
      </c>
      <c r="BY591">
        <v>2.3984375</v>
      </c>
      <c r="CB591">
        <v>24.09419059753418</v>
      </c>
      <c r="CC591">
        <v>3.5092470645904541</v>
      </c>
    </row>
    <row r="592" spans="1:81" ht="12.75" customHeight="1">
      <c r="A592" t="s">
        <v>728</v>
      </c>
      <c r="C592" t="s">
        <v>694</v>
      </c>
      <c r="D592">
        <v>590</v>
      </c>
      <c r="F592">
        <v>65535</v>
      </c>
      <c r="I592" t="s">
        <v>728</v>
      </c>
      <c r="R592">
        <v>7.280001163482666</v>
      </c>
      <c r="T592">
        <v>30.576005935668945</v>
      </c>
      <c r="W592" s="514">
        <v>44245.742905092593</v>
      </c>
      <c r="AN592">
        <v>0</v>
      </c>
      <c r="AO592">
        <v>0</v>
      </c>
      <c r="AP592">
        <v>0</v>
      </c>
      <c r="AS592">
        <v>0</v>
      </c>
      <c r="AT592">
        <v>0</v>
      </c>
      <c r="AU592">
        <v>0</v>
      </c>
      <c r="AW592">
        <v>0</v>
      </c>
      <c r="AZ592">
        <v>0</v>
      </c>
      <c r="BA592">
        <v>-5.4936431115493178E-4</v>
      </c>
      <c r="BB592">
        <v>0</v>
      </c>
      <c r="BC592">
        <v>9.9062042236328125</v>
      </c>
      <c r="BD592">
        <v>-9.9055871963500977</v>
      </c>
      <c r="BI592">
        <v>0</v>
      </c>
      <c r="BJ592">
        <v>0</v>
      </c>
      <c r="BK592">
        <v>0</v>
      </c>
      <c r="BL592">
        <v>0</v>
      </c>
      <c r="BM592">
        <v>2.4326769765270484E-11</v>
      </c>
      <c r="BN592">
        <v>2.3984375</v>
      </c>
      <c r="BP592">
        <v>65535</v>
      </c>
      <c r="BQ592">
        <v>65535</v>
      </c>
      <c r="BR592">
        <v>0</v>
      </c>
      <c r="BS592">
        <v>-5.4936431115493178E-4</v>
      </c>
      <c r="BT592">
        <v>0</v>
      </c>
      <c r="BU592">
        <v>9.9062042236328125</v>
      </c>
      <c r="BV592">
        <v>-9.9055871963500977</v>
      </c>
      <c r="BW592" t="s">
        <v>615</v>
      </c>
      <c r="BX592">
        <v>2.4326769765270484E-11</v>
      </c>
      <c r="BY592">
        <v>2.3984375</v>
      </c>
      <c r="CB592">
        <v>19.565608978271484</v>
      </c>
      <c r="CC592">
        <v>6.4924674034118652</v>
      </c>
    </row>
    <row r="593" spans="1:81" ht="12.75" customHeight="1">
      <c r="A593" t="s">
        <v>728</v>
      </c>
      <c r="C593" t="s">
        <v>694</v>
      </c>
      <c r="D593">
        <v>591</v>
      </c>
      <c r="F593">
        <v>65535</v>
      </c>
      <c r="I593" t="s">
        <v>728</v>
      </c>
      <c r="R593">
        <v>7.280001163482666</v>
      </c>
      <c r="T593">
        <v>30.576005935668945</v>
      </c>
      <c r="W593" s="514">
        <v>44245.742905092593</v>
      </c>
      <c r="AN593">
        <v>0</v>
      </c>
      <c r="AO593">
        <v>0</v>
      </c>
      <c r="AP593">
        <v>0</v>
      </c>
      <c r="AS593">
        <v>0</v>
      </c>
      <c r="AT593">
        <v>0</v>
      </c>
      <c r="AU593">
        <v>0</v>
      </c>
      <c r="AW593">
        <v>0</v>
      </c>
      <c r="AZ593">
        <v>0</v>
      </c>
      <c r="BA593">
        <v>-5.4936431115493178E-4</v>
      </c>
      <c r="BB593">
        <v>0</v>
      </c>
      <c r="BC593">
        <v>9.9062042236328125</v>
      </c>
      <c r="BD593">
        <v>-9.9055871963500977</v>
      </c>
      <c r="BI593">
        <v>0</v>
      </c>
      <c r="BJ593">
        <v>0</v>
      </c>
      <c r="BK593">
        <v>0</v>
      </c>
      <c r="BL593">
        <v>0</v>
      </c>
      <c r="BM593">
        <v>2.4326769765270484E-11</v>
      </c>
      <c r="BN593">
        <v>2.3984375</v>
      </c>
      <c r="BP593">
        <v>65535</v>
      </c>
      <c r="BQ593">
        <v>65535</v>
      </c>
      <c r="BR593">
        <v>0</v>
      </c>
      <c r="BS593">
        <v>-5.4936431115493178E-4</v>
      </c>
      <c r="BT593">
        <v>0</v>
      </c>
      <c r="BU593">
        <v>9.9062042236328125</v>
      </c>
      <c r="BV593">
        <v>-9.9055871963500977</v>
      </c>
      <c r="BW593" t="s">
        <v>615</v>
      </c>
      <c r="BX593">
        <v>2.4326769765270484E-11</v>
      </c>
      <c r="BY593">
        <v>2.3984375</v>
      </c>
      <c r="CB593">
        <v>20.477558135986328</v>
      </c>
      <c r="CC593">
        <v>5.8544230461120605</v>
      </c>
    </row>
    <row r="594" spans="1:81" ht="12.75" customHeight="1">
      <c r="A594" t="s">
        <v>728</v>
      </c>
      <c r="C594" t="s">
        <v>694</v>
      </c>
      <c r="D594">
        <v>592</v>
      </c>
      <c r="F594">
        <v>65535</v>
      </c>
      <c r="I594" t="s">
        <v>728</v>
      </c>
      <c r="R594">
        <v>7.280001163482666</v>
      </c>
      <c r="T594">
        <v>30.576005935668945</v>
      </c>
      <c r="W594" s="514">
        <v>44245.742905092593</v>
      </c>
      <c r="AN594">
        <v>0</v>
      </c>
      <c r="AO594">
        <v>0</v>
      </c>
      <c r="AP594">
        <v>0</v>
      </c>
      <c r="AS594">
        <v>0</v>
      </c>
      <c r="AT594">
        <v>0</v>
      </c>
      <c r="AU594">
        <v>0</v>
      </c>
      <c r="AW594">
        <v>0</v>
      </c>
      <c r="AZ594">
        <v>0</v>
      </c>
      <c r="BA594">
        <v>-5.4936431115493178E-4</v>
      </c>
      <c r="BB594">
        <v>0</v>
      </c>
      <c r="BC594">
        <v>9.9062042236328125</v>
      </c>
      <c r="BD594">
        <v>-9.9055871963500977</v>
      </c>
      <c r="BI594">
        <v>0</v>
      </c>
      <c r="BJ594">
        <v>0</v>
      </c>
      <c r="BK594">
        <v>0</v>
      </c>
      <c r="BL594">
        <v>0</v>
      </c>
      <c r="BM594">
        <v>2.4326769765270484E-11</v>
      </c>
      <c r="BN594">
        <v>2.3984375</v>
      </c>
      <c r="BP594">
        <v>65535</v>
      </c>
      <c r="BQ594">
        <v>65535</v>
      </c>
      <c r="BR594">
        <v>0</v>
      </c>
      <c r="BS594">
        <v>-5.4936431115493178E-4</v>
      </c>
      <c r="BT594">
        <v>0</v>
      </c>
      <c r="BU594">
        <v>9.9062042236328125</v>
      </c>
      <c r="BV594">
        <v>-9.9055871963500977</v>
      </c>
      <c r="BW594" t="s">
        <v>615</v>
      </c>
      <c r="BX594">
        <v>2.4326769765270484E-11</v>
      </c>
      <c r="BY594">
        <v>2.3984375</v>
      </c>
      <c r="CB594">
        <v>18.194181442260742</v>
      </c>
      <c r="CC594">
        <v>7.5980138778686523</v>
      </c>
    </row>
    <row r="595" spans="1:81" ht="12.75" customHeight="1">
      <c r="A595" t="s">
        <v>728</v>
      </c>
      <c r="C595" t="s">
        <v>694</v>
      </c>
      <c r="D595">
        <v>593</v>
      </c>
      <c r="F595">
        <v>65535</v>
      </c>
      <c r="I595" t="s">
        <v>728</v>
      </c>
      <c r="R595">
        <v>7.8000001907348633</v>
      </c>
      <c r="T595">
        <v>32.759998321533203</v>
      </c>
      <c r="W595" s="514">
        <v>44245.74291666667</v>
      </c>
      <c r="AN595">
        <v>0</v>
      </c>
      <c r="AO595">
        <v>0</v>
      </c>
      <c r="AP595">
        <v>0</v>
      </c>
      <c r="AS595">
        <v>0</v>
      </c>
      <c r="AT595">
        <v>0</v>
      </c>
      <c r="AU595">
        <v>0</v>
      </c>
      <c r="AW595">
        <v>0</v>
      </c>
      <c r="AZ595">
        <v>0</v>
      </c>
      <c r="BA595">
        <v>-5.4153113160282373E-4</v>
      </c>
      <c r="BB595">
        <v>0</v>
      </c>
      <c r="BC595">
        <v>10.747062683105469</v>
      </c>
      <c r="BD595">
        <v>-10.746562957763672</v>
      </c>
      <c r="BI595">
        <v>0</v>
      </c>
      <c r="BJ595">
        <v>0</v>
      </c>
      <c r="BK595">
        <v>0</v>
      </c>
      <c r="BL595">
        <v>0</v>
      </c>
      <c r="BM595">
        <v>8.7486061058570168E-26</v>
      </c>
      <c r="BN595">
        <v>2.322296142578125</v>
      </c>
      <c r="BP595">
        <v>65535</v>
      </c>
      <c r="BQ595">
        <v>65535</v>
      </c>
      <c r="BR595">
        <v>0</v>
      </c>
      <c r="BS595">
        <v>-5.4153113160282373E-4</v>
      </c>
      <c r="BT595">
        <v>0</v>
      </c>
      <c r="BU595">
        <v>10.747062683105469</v>
      </c>
      <c r="BV595">
        <v>-10.746562957763672</v>
      </c>
      <c r="BW595" t="s">
        <v>615</v>
      </c>
      <c r="BX595">
        <v>8.7486061058570168E-26</v>
      </c>
      <c r="BY595">
        <v>2.322296142578125</v>
      </c>
      <c r="CB595">
        <v>27.389915466308594</v>
      </c>
      <c r="CC595">
        <v>1.7980242967605591</v>
      </c>
    </row>
    <row r="596" spans="1:81" ht="12.75" customHeight="1">
      <c r="A596" t="s">
        <v>728</v>
      </c>
      <c r="C596" t="s">
        <v>694</v>
      </c>
      <c r="D596">
        <v>594</v>
      </c>
      <c r="F596">
        <v>65535</v>
      </c>
      <c r="I596" t="s">
        <v>728</v>
      </c>
      <c r="AN596">
        <v>0</v>
      </c>
      <c r="AO596">
        <v>0</v>
      </c>
      <c r="AP596">
        <v>0</v>
      </c>
      <c r="AS596">
        <v>65535</v>
      </c>
      <c r="AT596">
        <v>65535</v>
      </c>
      <c r="AU596">
        <v>65535</v>
      </c>
      <c r="BI596">
        <v>0</v>
      </c>
      <c r="BK596">
        <v>0</v>
      </c>
      <c r="BL596">
        <v>0</v>
      </c>
      <c r="BP596">
        <v>65535</v>
      </c>
      <c r="BQ596">
        <v>65535</v>
      </c>
      <c r="CB596">
        <v>22.70185661315918</v>
      </c>
      <c r="CC596">
        <v>4.0461883544921875</v>
      </c>
    </row>
    <row r="597" spans="1:81" ht="12.75" customHeight="1">
      <c r="A597" t="s">
        <v>728</v>
      </c>
      <c r="C597" t="s">
        <v>694</v>
      </c>
      <c r="D597">
        <v>595</v>
      </c>
      <c r="F597">
        <v>65535</v>
      </c>
      <c r="I597" t="s">
        <v>728</v>
      </c>
      <c r="AN597">
        <v>0</v>
      </c>
      <c r="AO597">
        <v>0</v>
      </c>
      <c r="AP597">
        <v>0</v>
      </c>
      <c r="AS597">
        <v>65535</v>
      </c>
      <c r="AT597">
        <v>65535</v>
      </c>
      <c r="AU597">
        <v>65535</v>
      </c>
      <c r="BI597">
        <v>0</v>
      </c>
      <c r="BK597">
        <v>0</v>
      </c>
      <c r="BL597">
        <v>0</v>
      </c>
      <c r="BP597">
        <v>65535</v>
      </c>
      <c r="BQ597">
        <v>65535</v>
      </c>
      <c r="CB597">
        <v>26.985916137695313</v>
      </c>
      <c r="CC597">
        <v>2.0238120555877686</v>
      </c>
    </row>
    <row r="598" spans="1:81" ht="12.75" customHeight="1">
      <c r="A598" t="s">
        <v>728</v>
      </c>
      <c r="C598" t="s">
        <v>694</v>
      </c>
      <c r="D598">
        <v>596</v>
      </c>
      <c r="F598">
        <v>65535</v>
      </c>
      <c r="I598" t="s">
        <v>728</v>
      </c>
      <c r="AN598">
        <v>0</v>
      </c>
      <c r="AO598">
        <v>0</v>
      </c>
      <c r="AP598">
        <v>0</v>
      </c>
      <c r="AS598">
        <v>65535</v>
      </c>
      <c r="AT598">
        <v>65535</v>
      </c>
      <c r="AU598">
        <v>65535</v>
      </c>
      <c r="BI598">
        <v>0</v>
      </c>
      <c r="BK598">
        <v>0</v>
      </c>
      <c r="BL598">
        <v>0</v>
      </c>
      <c r="BP598">
        <v>65535</v>
      </c>
      <c r="BQ598">
        <v>65535</v>
      </c>
      <c r="CB598">
        <v>19.565608978271484</v>
      </c>
      <c r="CC598">
        <v>6.4924674034118652</v>
      </c>
    </row>
    <row r="599" spans="1:81" ht="12.75" customHeight="1">
      <c r="A599" t="s">
        <v>728</v>
      </c>
      <c r="C599" t="s">
        <v>694</v>
      </c>
      <c r="D599">
        <v>597</v>
      </c>
      <c r="F599">
        <v>65535</v>
      </c>
      <c r="I599" t="s">
        <v>728</v>
      </c>
      <c r="AN599">
        <v>0</v>
      </c>
      <c r="AO599">
        <v>0</v>
      </c>
      <c r="AP599">
        <v>0</v>
      </c>
      <c r="AS599">
        <v>65535</v>
      </c>
      <c r="AT599">
        <v>65535</v>
      </c>
      <c r="AU599">
        <v>65535</v>
      </c>
      <c r="BI599">
        <v>0</v>
      </c>
      <c r="BK599">
        <v>0</v>
      </c>
      <c r="BL599">
        <v>0</v>
      </c>
      <c r="BP599">
        <v>65535</v>
      </c>
      <c r="BQ599">
        <v>65535</v>
      </c>
      <c r="CB599">
        <v>20.477558135986328</v>
      </c>
      <c r="CC599">
        <v>5.8544230461120605</v>
      </c>
    </row>
    <row r="600" spans="1:81" ht="12.75" customHeight="1">
      <c r="A600" t="s">
        <v>728</v>
      </c>
      <c r="C600" t="s">
        <v>694</v>
      </c>
      <c r="D600">
        <v>598</v>
      </c>
      <c r="F600">
        <v>65535</v>
      </c>
      <c r="I600" t="s">
        <v>728</v>
      </c>
      <c r="AN600">
        <v>0</v>
      </c>
      <c r="AO600">
        <v>0</v>
      </c>
      <c r="AP600">
        <v>0</v>
      </c>
      <c r="AS600">
        <v>65535</v>
      </c>
      <c r="AT600">
        <v>65535</v>
      </c>
      <c r="AU600">
        <v>65535</v>
      </c>
      <c r="BI600">
        <v>0</v>
      </c>
      <c r="BK600">
        <v>0</v>
      </c>
      <c r="BL600">
        <v>0</v>
      </c>
      <c r="BP600">
        <v>65535</v>
      </c>
      <c r="BQ600">
        <v>65535</v>
      </c>
      <c r="CB600">
        <v>19.565608978271484</v>
      </c>
      <c r="CC600">
        <v>6.4924674034118652</v>
      </c>
    </row>
    <row r="601" spans="1:81" ht="12.75" customHeight="1">
      <c r="A601" t="s">
        <v>728</v>
      </c>
      <c r="C601" t="s">
        <v>694</v>
      </c>
      <c r="D601">
        <v>599</v>
      </c>
      <c r="F601">
        <v>65535</v>
      </c>
      <c r="I601" t="s">
        <v>728</v>
      </c>
      <c r="R601">
        <v>7.7999958992004395</v>
      </c>
      <c r="T601">
        <v>32.759983062744141</v>
      </c>
      <c r="W601" s="514">
        <v>44245.743194444447</v>
      </c>
      <c r="AN601">
        <v>0</v>
      </c>
      <c r="AO601">
        <v>0</v>
      </c>
      <c r="AP601">
        <v>0</v>
      </c>
      <c r="AS601">
        <v>0</v>
      </c>
      <c r="AT601">
        <v>0</v>
      </c>
      <c r="AU601">
        <v>0</v>
      </c>
      <c r="AW601">
        <v>0</v>
      </c>
      <c r="AZ601">
        <v>0</v>
      </c>
      <c r="BA601">
        <v>-1.4407573326025158E-4</v>
      </c>
      <c r="BB601">
        <v>0</v>
      </c>
      <c r="BC601">
        <v>-87.27520751953125</v>
      </c>
      <c r="BD601">
        <v>87.275413513183594</v>
      </c>
      <c r="BI601">
        <v>0</v>
      </c>
      <c r="BJ601">
        <v>0</v>
      </c>
      <c r="BK601">
        <v>0</v>
      </c>
      <c r="BL601">
        <v>0</v>
      </c>
      <c r="BM601">
        <v>5.8757632970809937E-2</v>
      </c>
      <c r="BN601">
        <v>-1.525543212890625</v>
      </c>
      <c r="BP601">
        <v>65535</v>
      </c>
      <c r="BQ601">
        <v>65535</v>
      </c>
      <c r="BR601">
        <v>0</v>
      </c>
      <c r="BS601">
        <v>-1.4407573326025158E-4</v>
      </c>
      <c r="BT601">
        <v>0</v>
      </c>
      <c r="BU601">
        <v>-87.27520751953125</v>
      </c>
      <c r="BV601">
        <v>87.275413513183594</v>
      </c>
      <c r="BW601" t="s">
        <v>615</v>
      </c>
      <c r="BX601">
        <v>5.8757632970809937E-2</v>
      </c>
      <c r="BY601">
        <v>-1.525543212890625</v>
      </c>
      <c r="CB601">
        <v>20.477558135986328</v>
      </c>
      <c r="CC601">
        <v>5.8544230461120605</v>
      </c>
    </row>
    <row r="602" spans="1:81" ht="12.75" customHeight="1">
      <c r="A602" t="s">
        <v>728</v>
      </c>
      <c r="C602" t="s">
        <v>694</v>
      </c>
      <c r="D602">
        <v>600</v>
      </c>
      <c r="F602">
        <v>65535</v>
      </c>
      <c r="I602" t="s">
        <v>728</v>
      </c>
      <c r="R602">
        <v>8.3599939346313477</v>
      </c>
      <c r="T602">
        <v>35.111976623535156</v>
      </c>
      <c r="W602" s="514">
        <v>44245.742800925924</v>
      </c>
      <c r="AN602">
        <v>0</v>
      </c>
      <c r="AO602">
        <v>0</v>
      </c>
      <c r="AP602">
        <v>0</v>
      </c>
      <c r="AS602">
        <v>0</v>
      </c>
      <c r="AT602">
        <v>0</v>
      </c>
      <c r="AU602">
        <v>0</v>
      </c>
      <c r="AW602">
        <v>0</v>
      </c>
      <c r="AZ602">
        <v>0</v>
      </c>
      <c r="BA602">
        <v>-4.5664582285098732E-4</v>
      </c>
      <c r="BB602">
        <v>0</v>
      </c>
      <c r="BC602">
        <v>-2.6004524230957031</v>
      </c>
      <c r="BD602">
        <v>2.6010000705718994</v>
      </c>
      <c r="BI602">
        <v>0</v>
      </c>
      <c r="BJ602">
        <v>0</v>
      </c>
      <c r="BK602">
        <v>0</v>
      </c>
      <c r="BL602">
        <v>0</v>
      </c>
      <c r="BM602">
        <v>8009040265216</v>
      </c>
      <c r="BN602">
        <v>1.4984130859375</v>
      </c>
      <c r="BP602">
        <v>65535</v>
      </c>
      <c r="BQ602">
        <v>65535</v>
      </c>
      <c r="BR602">
        <v>0</v>
      </c>
      <c r="BS602">
        <v>-4.5664582285098732E-4</v>
      </c>
      <c r="BT602">
        <v>0</v>
      </c>
      <c r="BU602">
        <v>-2.6004524230957031</v>
      </c>
      <c r="BV602">
        <v>2.6010000705718994</v>
      </c>
      <c r="BW602" t="s">
        <v>615</v>
      </c>
      <c r="BX602">
        <v>8009040265216</v>
      </c>
      <c r="BY602">
        <v>1.4984130859375</v>
      </c>
      <c r="CB602">
        <v>23.028108596801758</v>
      </c>
      <c r="CC602">
        <v>3.7910871505737305</v>
      </c>
    </row>
    <row r="603" spans="1:81" ht="12.75" customHeight="1">
      <c r="A603" t="s">
        <v>728</v>
      </c>
      <c r="C603" t="s">
        <v>694</v>
      </c>
      <c r="D603">
        <v>601</v>
      </c>
      <c r="F603">
        <v>65535</v>
      </c>
      <c r="I603" t="s">
        <v>728</v>
      </c>
      <c r="R603">
        <v>8.3599939346313477</v>
      </c>
      <c r="T603">
        <v>35.111976623535156</v>
      </c>
      <c r="W603" s="514">
        <v>44245.742800925924</v>
      </c>
      <c r="AN603">
        <v>0</v>
      </c>
      <c r="AO603">
        <v>0</v>
      </c>
      <c r="AP603">
        <v>0</v>
      </c>
      <c r="AS603">
        <v>0</v>
      </c>
      <c r="AT603">
        <v>0</v>
      </c>
      <c r="AU603">
        <v>0</v>
      </c>
      <c r="AW603">
        <v>0</v>
      </c>
      <c r="AZ603">
        <v>0</v>
      </c>
      <c r="BA603">
        <v>-4.5664582285098732E-4</v>
      </c>
      <c r="BB603">
        <v>0</v>
      </c>
      <c r="BC603">
        <v>-2.6004524230957031</v>
      </c>
      <c r="BD603">
        <v>2.6010000705718994</v>
      </c>
      <c r="BI603">
        <v>0</v>
      </c>
      <c r="BJ603">
        <v>0</v>
      </c>
      <c r="BK603">
        <v>0</v>
      </c>
      <c r="BL603">
        <v>0</v>
      </c>
      <c r="BM603">
        <v>8009040265216</v>
      </c>
      <c r="BN603">
        <v>1.4984130859375</v>
      </c>
      <c r="BP603">
        <v>65535</v>
      </c>
      <c r="BQ603">
        <v>65535</v>
      </c>
      <c r="BR603">
        <v>0</v>
      </c>
      <c r="BS603">
        <v>-4.5664582285098732E-4</v>
      </c>
      <c r="BT603">
        <v>0</v>
      </c>
      <c r="BU603">
        <v>-2.6004524230957031</v>
      </c>
      <c r="BV603">
        <v>2.6010000705718994</v>
      </c>
      <c r="BW603" t="s">
        <v>615</v>
      </c>
      <c r="BX603">
        <v>8009040265216</v>
      </c>
      <c r="BY603">
        <v>1.4984130859375</v>
      </c>
      <c r="CB603">
        <v>23.310371398925781</v>
      </c>
      <c r="CC603">
        <v>3.1227648258209229</v>
      </c>
    </row>
    <row r="604" spans="1:81" ht="12.75" customHeight="1">
      <c r="A604" t="s">
        <v>728</v>
      </c>
      <c r="C604" t="s">
        <v>694</v>
      </c>
      <c r="D604">
        <v>602</v>
      </c>
      <c r="F604">
        <v>65535</v>
      </c>
      <c r="I604" t="s">
        <v>728</v>
      </c>
      <c r="R604">
        <v>3.3599987030029297</v>
      </c>
      <c r="T604">
        <v>14.111993789672852</v>
      </c>
      <c r="W604" s="514">
        <v>44245.742962962962</v>
      </c>
      <c r="AN604">
        <v>0</v>
      </c>
      <c r="AO604">
        <v>0</v>
      </c>
      <c r="AP604">
        <v>0</v>
      </c>
      <c r="AS604">
        <v>0</v>
      </c>
      <c r="AT604">
        <v>0</v>
      </c>
      <c r="AU604">
        <v>0</v>
      </c>
      <c r="AW604">
        <v>0</v>
      </c>
      <c r="AZ604">
        <v>0</v>
      </c>
      <c r="BA604">
        <v>-1.6540315118618309E-4</v>
      </c>
      <c r="BB604">
        <v>0</v>
      </c>
      <c r="BC604">
        <v>6.9972543716430664</v>
      </c>
      <c r="BD604">
        <v>-6.9970850944519043</v>
      </c>
      <c r="BI604">
        <v>0</v>
      </c>
      <c r="BJ604">
        <v>0</v>
      </c>
      <c r="BK604">
        <v>0</v>
      </c>
      <c r="BL604">
        <v>0</v>
      </c>
      <c r="BM604">
        <v>-1.4305261724798253E+29</v>
      </c>
      <c r="BN604">
        <v>-1.382659912109375</v>
      </c>
      <c r="BP604">
        <v>65535</v>
      </c>
      <c r="BQ604">
        <v>65535</v>
      </c>
      <c r="BR604">
        <v>0</v>
      </c>
      <c r="BS604">
        <v>-1.6540315118618309E-4</v>
      </c>
      <c r="BT604">
        <v>0</v>
      </c>
      <c r="BU604">
        <v>6.9972543716430664</v>
      </c>
      <c r="BV604">
        <v>-6.9970850944519043</v>
      </c>
      <c r="BW604" t="s">
        <v>615</v>
      </c>
      <c r="BX604">
        <v>-1.4305261724798253E+29</v>
      </c>
      <c r="BY604">
        <v>-1.382659912109375</v>
      </c>
      <c r="CB604">
        <v>19.889692306518555</v>
      </c>
      <c r="CC604">
        <v>5.672971248626709</v>
      </c>
    </row>
    <row r="605" spans="1:81" ht="12.75" customHeight="1">
      <c r="A605" t="s">
        <v>728</v>
      </c>
      <c r="C605" t="s">
        <v>694</v>
      </c>
      <c r="D605">
        <v>603</v>
      </c>
      <c r="F605">
        <v>65535</v>
      </c>
      <c r="I605" t="s">
        <v>728</v>
      </c>
      <c r="AN605">
        <v>0</v>
      </c>
      <c r="AO605">
        <v>0</v>
      </c>
      <c r="AP605">
        <v>0</v>
      </c>
      <c r="AS605">
        <v>65535</v>
      </c>
      <c r="AT605">
        <v>65535</v>
      </c>
      <c r="AU605">
        <v>65535</v>
      </c>
      <c r="BI605">
        <v>0</v>
      </c>
      <c r="BK605">
        <v>0</v>
      </c>
      <c r="BL605">
        <v>0</v>
      </c>
      <c r="BP605">
        <v>65535</v>
      </c>
      <c r="BQ605">
        <v>65535</v>
      </c>
      <c r="CB605">
        <v>19.593198776245117</v>
      </c>
      <c r="CC605">
        <v>6.0992279052734375</v>
      </c>
    </row>
    <row r="606" spans="1:81" ht="12.75" customHeight="1">
      <c r="A606" t="s">
        <v>728</v>
      </c>
      <c r="C606" t="s">
        <v>694</v>
      </c>
      <c r="D606">
        <v>604</v>
      </c>
      <c r="F606">
        <v>65535</v>
      </c>
      <c r="I606" t="s">
        <v>728</v>
      </c>
      <c r="R606">
        <v>30.599992752075195</v>
      </c>
      <c r="T606">
        <v>128.51997375488281</v>
      </c>
      <c r="W606" s="514">
        <v>44245.742986111109</v>
      </c>
      <c r="AN606">
        <v>0</v>
      </c>
      <c r="AO606">
        <v>0</v>
      </c>
      <c r="AP606">
        <v>0</v>
      </c>
      <c r="AS606">
        <v>0</v>
      </c>
      <c r="AT606">
        <v>0</v>
      </c>
      <c r="AU606">
        <v>0</v>
      </c>
      <c r="AW606">
        <v>0</v>
      </c>
      <c r="AZ606">
        <v>0</v>
      </c>
      <c r="BA606">
        <v>-2.6958579837810248E-5</v>
      </c>
      <c r="BB606">
        <v>0</v>
      </c>
      <c r="BC606">
        <v>-17.584316253662109</v>
      </c>
      <c r="BD606">
        <v>17.584096908569336</v>
      </c>
      <c r="BI606">
        <v>0</v>
      </c>
      <c r="BJ606">
        <v>0</v>
      </c>
      <c r="BK606">
        <v>0</v>
      </c>
      <c r="BL606">
        <v>0</v>
      </c>
      <c r="BM606">
        <v>-1.8914073888072909E+26</v>
      </c>
      <c r="BN606">
        <v>-2.751861572265625</v>
      </c>
      <c r="BP606">
        <v>65535</v>
      </c>
      <c r="BQ606">
        <v>65535</v>
      </c>
      <c r="BR606">
        <v>0</v>
      </c>
      <c r="BS606">
        <v>-2.6958579837810248E-5</v>
      </c>
      <c r="BT606">
        <v>0</v>
      </c>
      <c r="BU606">
        <v>-17.584316253662109</v>
      </c>
      <c r="BV606">
        <v>17.584096908569336</v>
      </c>
      <c r="BW606" t="s">
        <v>615</v>
      </c>
      <c r="BX606">
        <v>-1.8914073888072909E+26</v>
      </c>
      <c r="BY606">
        <v>-2.751861572265625</v>
      </c>
      <c r="CB606">
        <v>19.593198776245117</v>
      </c>
      <c r="CC606">
        <v>6.0992279052734375</v>
      </c>
    </row>
    <row r="607" spans="1:81" ht="12.75" customHeight="1">
      <c r="A607" t="s">
        <v>728</v>
      </c>
      <c r="C607" t="s">
        <v>694</v>
      </c>
      <c r="D607">
        <v>605</v>
      </c>
      <c r="F607">
        <v>65535</v>
      </c>
      <c r="I607" t="s">
        <v>728</v>
      </c>
      <c r="R607">
        <v>30.599992752075195</v>
      </c>
      <c r="T607">
        <v>128.51997375488281</v>
      </c>
      <c r="W607" s="514">
        <v>44245.742986111109</v>
      </c>
      <c r="AN607">
        <v>0</v>
      </c>
      <c r="AO607">
        <v>0</v>
      </c>
      <c r="AP607">
        <v>0</v>
      </c>
      <c r="AS607">
        <v>0</v>
      </c>
      <c r="AT607">
        <v>0</v>
      </c>
      <c r="AU607">
        <v>0</v>
      </c>
      <c r="AW607">
        <v>0</v>
      </c>
      <c r="AZ607">
        <v>0</v>
      </c>
      <c r="BA607">
        <v>-2.6958579837810248E-5</v>
      </c>
      <c r="BB607">
        <v>0</v>
      </c>
      <c r="BC607">
        <v>-17.584316253662109</v>
      </c>
      <c r="BD607">
        <v>17.584096908569336</v>
      </c>
      <c r="BI607">
        <v>0</v>
      </c>
      <c r="BJ607">
        <v>0</v>
      </c>
      <c r="BK607">
        <v>0</v>
      </c>
      <c r="BL607">
        <v>0</v>
      </c>
      <c r="BM607">
        <v>-1.8914073888072909E+26</v>
      </c>
      <c r="BN607">
        <v>-2.751861572265625</v>
      </c>
      <c r="BP607">
        <v>65535</v>
      </c>
      <c r="BQ607">
        <v>65535</v>
      </c>
      <c r="BR607">
        <v>0</v>
      </c>
      <c r="BS607">
        <v>-2.6958579837810248E-5</v>
      </c>
      <c r="BT607">
        <v>0</v>
      </c>
      <c r="BU607">
        <v>-17.584316253662109</v>
      </c>
      <c r="BV607">
        <v>17.584096908569336</v>
      </c>
      <c r="BW607" t="s">
        <v>615</v>
      </c>
      <c r="BX607">
        <v>-1.8914073888072909E+26</v>
      </c>
      <c r="BY607">
        <v>-2.751861572265625</v>
      </c>
      <c r="CB607">
        <v>19.593198776245117</v>
      </c>
      <c r="CC607">
        <v>6.0992279052734375</v>
      </c>
    </row>
    <row r="608" spans="1:81" ht="12.75" customHeight="1">
      <c r="A608" t="s">
        <v>728</v>
      </c>
      <c r="C608" t="s">
        <v>694</v>
      </c>
      <c r="D608">
        <v>606</v>
      </c>
      <c r="F608">
        <v>65535</v>
      </c>
      <c r="I608" t="s">
        <v>728</v>
      </c>
      <c r="AN608">
        <v>0</v>
      </c>
      <c r="AO608">
        <v>0</v>
      </c>
      <c r="AP608">
        <v>0</v>
      </c>
      <c r="AS608">
        <v>65535</v>
      </c>
      <c r="AT608">
        <v>65535</v>
      </c>
      <c r="AU608">
        <v>65535</v>
      </c>
      <c r="BI608">
        <v>0</v>
      </c>
      <c r="BK608">
        <v>0</v>
      </c>
      <c r="BL608">
        <v>0</v>
      </c>
      <c r="BP608">
        <v>65535</v>
      </c>
      <c r="BQ608">
        <v>65535</v>
      </c>
      <c r="CB608">
        <v>19.593198776245117</v>
      </c>
      <c r="CC608">
        <v>6.0992279052734375</v>
      </c>
    </row>
    <row r="609" spans="1:81" ht="12.75" customHeight="1">
      <c r="A609" t="s">
        <v>728</v>
      </c>
      <c r="C609" t="s">
        <v>694</v>
      </c>
      <c r="D609">
        <v>607</v>
      </c>
      <c r="F609">
        <v>65535</v>
      </c>
      <c r="I609" t="s">
        <v>728</v>
      </c>
      <c r="R609">
        <v>30.599992752075195</v>
      </c>
      <c r="T609">
        <v>128.51997375488281</v>
      </c>
      <c r="W609" s="514">
        <v>44245.742986111109</v>
      </c>
      <c r="AN609">
        <v>0</v>
      </c>
      <c r="AO609">
        <v>0</v>
      </c>
      <c r="AP609">
        <v>0</v>
      </c>
      <c r="AS609">
        <v>0</v>
      </c>
      <c r="AT609">
        <v>0</v>
      </c>
      <c r="AU609">
        <v>0</v>
      </c>
      <c r="AW609">
        <v>0</v>
      </c>
      <c r="AZ609">
        <v>0</v>
      </c>
      <c r="BA609">
        <v>-2.6958579837810248E-5</v>
      </c>
      <c r="BB609">
        <v>0</v>
      </c>
      <c r="BC609">
        <v>-17.584316253662109</v>
      </c>
      <c r="BD609">
        <v>17.584096908569336</v>
      </c>
      <c r="BI609">
        <v>0</v>
      </c>
      <c r="BJ609">
        <v>0</v>
      </c>
      <c r="BK609">
        <v>0</v>
      </c>
      <c r="BL609">
        <v>0</v>
      </c>
      <c r="BM609">
        <v>-1.8914073888072909E+26</v>
      </c>
      <c r="BN609">
        <v>-2.751861572265625</v>
      </c>
      <c r="BP609">
        <v>65535</v>
      </c>
      <c r="BQ609">
        <v>65535</v>
      </c>
      <c r="BR609">
        <v>0</v>
      </c>
      <c r="BS609">
        <v>-2.6958579837810248E-5</v>
      </c>
      <c r="BT609">
        <v>0</v>
      </c>
      <c r="BU609">
        <v>-17.584316253662109</v>
      </c>
      <c r="BV609">
        <v>17.584096908569336</v>
      </c>
      <c r="BW609" t="s">
        <v>615</v>
      </c>
      <c r="BX609">
        <v>-1.8914073888072909E+26</v>
      </c>
      <c r="BY609">
        <v>-2.751861572265625</v>
      </c>
      <c r="CB609">
        <v>19.593198776245117</v>
      </c>
      <c r="CC609">
        <v>6.0992279052734375</v>
      </c>
    </row>
    <row r="610" spans="1:81" ht="12.75" customHeight="1">
      <c r="A610" t="s">
        <v>728</v>
      </c>
      <c r="C610" t="s">
        <v>694</v>
      </c>
      <c r="D610">
        <v>608</v>
      </c>
      <c r="F610">
        <v>65535</v>
      </c>
      <c r="I610" t="s">
        <v>728</v>
      </c>
      <c r="AN610">
        <v>0</v>
      </c>
      <c r="AO610">
        <v>0</v>
      </c>
      <c r="AP610">
        <v>0</v>
      </c>
      <c r="AS610">
        <v>65535</v>
      </c>
      <c r="AT610">
        <v>65535</v>
      </c>
      <c r="AU610">
        <v>65535</v>
      </c>
      <c r="BI610">
        <v>0</v>
      </c>
      <c r="BK610">
        <v>0</v>
      </c>
      <c r="BL610">
        <v>0</v>
      </c>
      <c r="BP610">
        <v>65535</v>
      </c>
      <c r="BQ610">
        <v>65535</v>
      </c>
      <c r="CB610">
        <v>19.593198776245117</v>
      </c>
      <c r="CC610">
        <v>6.0992279052734375</v>
      </c>
    </row>
    <row r="611" spans="1:81" ht="12.75" customHeight="1">
      <c r="A611" t="s">
        <v>728</v>
      </c>
      <c r="C611" t="s">
        <v>694</v>
      </c>
      <c r="D611">
        <v>609</v>
      </c>
      <c r="F611">
        <v>65535</v>
      </c>
      <c r="I611" t="s">
        <v>728</v>
      </c>
      <c r="AN611">
        <v>0</v>
      </c>
      <c r="AO611">
        <v>0</v>
      </c>
      <c r="AP611">
        <v>0</v>
      </c>
      <c r="AS611">
        <v>65535</v>
      </c>
      <c r="AT611">
        <v>65535</v>
      </c>
      <c r="AU611">
        <v>65535</v>
      </c>
      <c r="BI611">
        <v>0</v>
      </c>
      <c r="BK611">
        <v>0</v>
      </c>
      <c r="BL611">
        <v>0</v>
      </c>
      <c r="BP611">
        <v>65535</v>
      </c>
      <c r="BQ611">
        <v>65535</v>
      </c>
      <c r="CB611">
        <v>19.593198776245117</v>
      </c>
      <c r="CC611">
        <v>6.0992279052734375</v>
      </c>
    </row>
    <row r="612" spans="1:81" ht="12.75" customHeight="1">
      <c r="A612" t="s">
        <v>728</v>
      </c>
      <c r="C612" t="s">
        <v>694</v>
      </c>
      <c r="D612">
        <v>610</v>
      </c>
      <c r="F612">
        <v>65535</v>
      </c>
      <c r="I612" t="s">
        <v>728</v>
      </c>
      <c r="R612">
        <v>34.840003967285156</v>
      </c>
      <c r="T612">
        <v>146.32801818847656</v>
      </c>
      <c r="W612" s="514">
        <v>44245.742847222224</v>
      </c>
      <c r="AN612">
        <v>0</v>
      </c>
      <c r="AO612">
        <v>0</v>
      </c>
      <c r="AP612">
        <v>0</v>
      </c>
      <c r="AS612">
        <v>0</v>
      </c>
      <c r="AT612">
        <v>0</v>
      </c>
      <c r="AU612">
        <v>0</v>
      </c>
      <c r="AW612">
        <v>0</v>
      </c>
      <c r="AZ612">
        <v>0</v>
      </c>
      <c r="BA612">
        <v>-5.3762685274705291E-4</v>
      </c>
      <c r="BB612">
        <v>-20.1629638671875</v>
      </c>
      <c r="BC612">
        <v>47.308685302734375</v>
      </c>
      <c r="BD612">
        <v>-27.147455215454102</v>
      </c>
      <c r="BI612">
        <v>0</v>
      </c>
      <c r="BJ612">
        <v>0</v>
      </c>
      <c r="BK612">
        <v>0</v>
      </c>
      <c r="BL612">
        <v>0</v>
      </c>
      <c r="BM612">
        <v>-2.1419353542771992E+34</v>
      </c>
      <c r="BN612">
        <v>2.397552490234375</v>
      </c>
      <c r="BP612">
        <v>65535</v>
      </c>
      <c r="BQ612">
        <v>65535</v>
      </c>
      <c r="BR612">
        <v>0</v>
      </c>
      <c r="BS612">
        <v>-5.3762685274705291E-4</v>
      </c>
      <c r="BT612">
        <v>-20.1629638671875</v>
      </c>
      <c r="BU612">
        <v>47.308685302734375</v>
      </c>
      <c r="BV612">
        <v>-27.147455215454102</v>
      </c>
      <c r="BW612" t="s">
        <v>615</v>
      </c>
      <c r="BX612">
        <v>-2.1419353542771992E+34</v>
      </c>
      <c r="BY612">
        <v>2.397552490234375</v>
      </c>
      <c r="CB612">
        <v>19.593198776245117</v>
      </c>
      <c r="CC612">
        <v>6.0992279052734375</v>
      </c>
    </row>
    <row r="613" spans="1:81" ht="12.75" customHeight="1">
      <c r="A613" t="s">
        <v>728</v>
      </c>
      <c r="C613" t="s">
        <v>694</v>
      </c>
      <c r="D613">
        <v>611</v>
      </c>
      <c r="F613">
        <v>65535</v>
      </c>
      <c r="I613" t="s">
        <v>728</v>
      </c>
      <c r="R613">
        <v>95.680007934570313</v>
      </c>
      <c r="T613">
        <v>401.85604858398438</v>
      </c>
      <c r="W613" s="514">
        <v>44245.742997685185</v>
      </c>
      <c r="AN613">
        <v>0</v>
      </c>
      <c r="AO613">
        <v>0</v>
      </c>
      <c r="AP613">
        <v>0</v>
      </c>
      <c r="AS613">
        <v>0</v>
      </c>
      <c r="AT613">
        <v>0</v>
      </c>
      <c r="AU613">
        <v>0</v>
      </c>
      <c r="AW613">
        <v>0</v>
      </c>
      <c r="AZ613">
        <v>0</v>
      </c>
      <c r="BA613">
        <v>-4.9697462236508727E-4</v>
      </c>
      <c r="BB613">
        <v>0</v>
      </c>
      <c r="BC613">
        <v>28.672370910644531</v>
      </c>
      <c r="BD613">
        <v>-28.671808242797852</v>
      </c>
      <c r="BI613">
        <v>0</v>
      </c>
      <c r="BJ613">
        <v>0</v>
      </c>
      <c r="BK613">
        <v>0</v>
      </c>
      <c r="BL613">
        <v>0</v>
      </c>
      <c r="BM613">
        <v>-3.9803766783281725E+18</v>
      </c>
      <c r="BN613">
        <v>1.90673828125</v>
      </c>
      <c r="BP613">
        <v>65535</v>
      </c>
      <c r="BQ613">
        <v>65535</v>
      </c>
      <c r="BR613">
        <v>0</v>
      </c>
      <c r="BS613">
        <v>-4.9697462236508727E-4</v>
      </c>
      <c r="BT613">
        <v>0</v>
      </c>
      <c r="BU613">
        <v>28.672370910644531</v>
      </c>
      <c r="BV613">
        <v>-28.671808242797852</v>
      </c>
      <c r="BW613" t="s">
        <v>615</v>
      </c>
      <c r="BX613">
        <v>-3.9803766783281725E+18</v>
      </c>
      <c r="BY613">
        <v>1.90673828125</v>
      </c>
      <c r="CB613">
        <v>19.593198776245117</v>
      </c>
      <c r="CC613">
        <v>6.0992279052734375</v>
      </c>
    </row>
    <row r="614" spans="1:81" ht="12.75" customHeight="1">
      <c r="A614" t="s">
        <v>728</v>
      </c>
      <c r="C614" t="s">
        <v>694</v>
      </c>
      <c r="D614">
        <v>612</v>
      </c>
      <c r="F614">
        <v>65535</v>
      </c>
      <c r="I614" t="s">
        <v>728</v>
      </c>
      <c r="R614">
        <v>7.9999990463256836</v>
      </c>
      <c r="T614">
        <v>33.599998474121094</v>
      </c>
      <c r="W614" s="514">
        <v>44245.743020833332</v>
      </c>
      <c r="AN614">
        <v>0</v>
      </c>
      <c r="AO614">
        <v>0</v>
      </c>
      <c r="AP614">
        <v>0</v>
      </c>
      <c r="AS614">
        <v>0</v>
      </c>
      <c r="AT614">
        <v>0</v>
      </c>
      <c r="AU614">
        <v>0</v>
      </c>
      <c r="AW614">
        <v>0</v>
      </c>
      <c r="AZ614">
        <v>0</v>
      </c>
      <c r="BA614">
        <v>-6.590737757505849E-5</v>
      </c>
      <c r="BB614">
        <v>0</v>
      </c>
      <c r="BC614">
        <v>-19.034015655517578</v>
      </c>
      <c r="BD614">
        <v>18.934013366699219</v>
      </c>
      <c r="BI614">
        <v>0</v>
      </c>
      <c r="BJ614">
        <v>0</v>
      </c>
      <c r="BK614">
        <v>0</v>
      </c>
      <c r="BL614">
        <v>0</v>
      </c>
      <c r="BM614">
        <v>-5.0909642368424102E-7</v>
      </c>
      <c r="BN614">
        <v>-2.342559814453125</v>
      </c>
      <c r="BP614">
        <v>65535</v>
      </c>
      <c r="BQ614">
        <v>65535</v>
      </c>
      <c r="BR614">
        <v>0</v>
      </c>
      <c r="BS614">
        <v>-6.590737757505849E-5</v>
      </c>
      <c r="BT614">
        <v>0</v>
      </c>
      <c r="BU614">
        <v>-19.034015655517578</v>
      </c>
      <c r="BV614">
        <v>18.934013366699219</v>
      </c>
      <c r="BW614" t="s">
        <v>615</v>
      </c>
      <c r="BX614">
        <v>-5.0909642368424102E-7</v>
      </c>
      <c r="BY614">
        <v>-2.342559814453125</v>
      </c>
      <c r="CB614">
        <v>19.593198776245117</v>
      </c>
      <c r="CC614">
        <v>6.0992279052734375</v>
      </c>
    </row>
    <row r="615" spans="1:81" ht="12.75" customHeight="1">
      <c r="A615" t="s">
        <v>728</v>
      </c>
      <c r="C615" t="s">
        <v>694</v>
      </c>
      <c r="D615">
        <v>613</v>
      </c>
      <c r="F615">
        <v>65535</v>
      </c>
      <c r="I615" t="s">
        <v>728</v>
      </c>
      <c r="AN615">
        <v>0</v>
      </c>
      <c r="AO615">
        <v>0</v>
      </c>
      <c r="AP615">
        <v>0</v>
      </c>
      <c r="AS615">
        <v>65535</v>
      </c>
      <c r="AT615">
        <v>65535</v>
      </c>
      <c r="AU615">
        <v>65535</v>
      </c>
      <c r="BI615">
        <v>0</v>
      </c>
      <c r="BK615">
        <v>0</v>
      </c>
      <c r="BL615">
        <v>0</v>
      </c>
      <c r="BP615">
        <v>65535</v>
      </c>
      <c r="BQ615">
        <v>65535</v>
      </c>
      <c r="CB615">
        <v>19.593198776245117</v>
      </c>
      <c r="CC615">
        <v>6.0992279052734375</v>
      </c>
    </row>
    <row r="616" spans="1:81" ht="12.75" customHeight="1">
      <c r="A616" t="s">
        <v>728</v>
      </c>
      <c r="C616" t="s">
        <v>694</v>
      </c>
      <c r="D616">
        <v>614</v>
      </c>
      <c r="F616">
        <v>65535</v>
      </c>
      <c r="I616" t="s">
        <v>728</v>
      </c>
      <c r="AN616">
        <v>0</v>
      </c>
      <c r="AO616">
        <v>0</v>
      </c>
      <c r="AP616">
        <v>0</v>
      </c>
      <c r="AS616">
        <v>65535</v>
      </c>
      <c r="AT616">
        <v>65535</v>
      </c>
      <c r="AU616">
        <v>65535</v>
      </c>
      <c r="BI616">
        <v>0</v>
      </c>
      <c r="BK616">
        <v>0</v>
      </c>
      <c r="BL616">
        <v>0</v>
      </c>
      <c r="BP616">
        <v>65535</v>
      </c>
      <c r="BQ616">
        <v>65535</v>
      </c>
      <c r="CB616">
        <v>19.593198776245117</v>
      </c>
      <c r="CC616">
        <v>6.0992279052734375</v>
      </c>
    </row>
    <row r="617" spans="1:81" ht="12.75" customHeight="1">
      <c r="A617" t="s">
        <v>728</v>
      </c>
      <c r="C617" t="s">
        <v>694</v>
      </c>
      <c r="D617">
        <v>615</v>
      </c>
      <c r="F617">
        <v>65535</v>
      </c>
      <c r="I617" t="s">
        <v>728</v>
      </c>
      <c r="AN617">
        <v>0</v>
      </c>
      <c r="AO617">
        <v>0</v>
      </c>
      <c r="AP617">
        <v>0</v>
      </c>
      <c r="AS617">
        <v>65535</v>
      </c>
      <c r="AT617">
        <v>65535</v>
      </c>
      <c r="AU617">
        <v>65535</v>
      </c>
      <c r="BI617">
        <v>0</v>
      </c>
      <c r="BK617">
        <v>0</v>
      </c>
      <c r="BL617">
        <v>0</v>
      </c>
      <c r="BP617">
        <v>65535</v>
      </c>
      <c r="BQ617">
        <v>65535</v>
      </c>
      <c r="CB617">
        <v>19.593198776245117</v>
      </c>
      <c r="CC617">
        <v>6.0992279052734375</v>
      </c>
    </row>
    <row r="618" spans="1:81" ht="12.75" customHeight="1">
      <c r="A618" t="s">
        <v>728</v>
      </c>
      <c r="C618" t="s">
        <v>694</v>
      </c>
      <c r="D618">
        <v>616</v>
      </c>
      <c r="F618">
        <v>65535</v>
      </c>
      <c r="I618" t="s">
        <v>728</v>
      </c>
      <c r="AN618">
        <v>0</v>
      </c>
      <c r="AO618">
        <v>0</v>
      </c>
      <c r="AP618">
        <v>0</v>
      </c>
      <c r="AS618">
        <v>65535</v>
      </c>
      <c r="AT618">
        <v>65535</v>
      </c>
      <c r="AU618">
        <v>65535</v>
      </c>
      <c r="BI618">
        <v>0</v>
      </c>
      <c r="BK618">
        <v>0</v>
      </c>
      <c r="BL618">
        <v>0</v>
      </c>
      <c r="BP618">
        <v>65535</v>
      </c>
      <c r="BQ618">
        <v>65535</v>
      </c>
      <c r="CB618">
        <v>19.593198776245117</v>
      </c>
      <c r="CC618">
        <v>6.0992279052734375</v>
      </c>
    </row>
    <row r="619" spans="1:81" ht="12.75" customHeight="1">
      <c r="A619" t="s">
        <v>728</v>
      </c>
      <c r="C619" t="s">
        <v>694</v>
      </c>
      <c r="D619">
        <v>617</v>
      </c>
      <c r="F619">
        <v>65535</v>
      </c>
      <c r="I619" t="s">
        <v>728</v>
      </c>
      <c r="AN619">
        <v>0</v>
      </c>
      <c r="AO619">
        <v>0</v>
      </c>
      <c r="AP619">
        <v>0</v>
      </c>
      <c r="AS619">
        <v>65535</v>
      </c>
      <c r="AT619">
        <v>65535</v>
      </c>
      <c r="AU619">
        <v>65535</v>
      </c>
      <c r="BI619">
        <v>0</v>
      </c>
      <c r="BK619">
        <v>0</v>
      </c>
      <c r="BL619">
        <v>0</v>
      </c>
      <c r="BP619">
        <v>65535</v>
      </c>
      <c r="BQ619">
        <v>65535</v>
      </c>
      <c r="CB619">
        <v>19.593198776245117</v>
      </c>
      <c r="CC619">
        <v>6.0992279052734375</v>
      </c>
    </row>
    <row r="620" spans="1:81" ht="12.75" customHeight="1">
      <c r="A620" t="s">
        <v>728</v>
      </c>
      <c r="C620" t="s">
        <v>694</v>
      </c>
      <c r="D620">
        <v>618</v>
      </c>
      <c r="F620">
        <v>65535</v>
      </c>
      <c r="I620" t="s">
        <v>728</v>
      </c>
      <c r="AN620">
        <v>0</v>
      </c>
      <c r="AO620">
        <v>0</v>
      </c>
      <c r="AP620">
        <v>0</v>
      </c>
      <c r="AS620">
        <v>65535</v>
      </c>
      <c r="AT620">
        <v>65535</v>
      </c>
      <c r="AU620">
        <v>65535</v>
      </c>
      <c r="BI620">
        <v>0</v>
      </c>
      <c r="BK620">
        <v>0</v>
      </c>
      <c r="BL620">
        <v>0</v>
      </c>
      <c r="BP620">
        <v>65535</v>
      </c>
      <c r="BQ620">
        <v>65535</v>
      </c>
      <c r="CB620">
        <v>19.593198776245117</v>
      </c>
      <c r="CC620">
        <v>6.0992279052734375</v>
      </c>
    </row>
    <row r="621" spans="1:81" ht="12.75" customHeight="1">
      <c r="A621" t="s">
        <v>728</v>
      </c>
      <c r="C621" t="s">
        <v>694</v>
      </c>
      <c r="D621">
        <v>619</v>
      </c>
      <c r="F621">
        <v>65535</v>
      </c>
      <c r="I621" t="s">
        <v>728</v>
      </c>
      <c r="AN621">
        <v>0</v>
      </c>
      <c r="AO621">
        <v>0</v>
      </c>
      <c r="AP621">
        <v>0</v>
      </c>
      <c r="AS621">
        <v>65535</v>
      </c>
      <c r="AT621">
        <v>65535</v>
      </c>
      <c r="AU621">
        <v>65535</v>
      </c>
      <c r="BI621">
        <v>0</v>
      </c>
      <c r="BK621">
        <v>0</v>
      </c>
      <c r="BL621">
        <v>0</v>
      </c>
      <c r="BP621">
        <v>65535</v>
      </c>
      <c r="BQ621">
        <v>65535</v>
      </c>
      <c r="CB621">
        <v>19.593198776245117</v>
      </c>
      <c r="CC621">
        <v>6.0992279052734375</v>
      </c>
    </row>
    <row r="622" spans="1:81" ht="12.75" customHeight="1">
      <c r="A622" t="s">
        <v>728</v>
      </c>
      <c r="C622" t="s">
        <v>694</v>
      </c>
      <c r="D622">
        <v>620</v>
      </c>
      <c r="F622">
        <v>65535</v>
      </c>
      <c r="I622" t="s">
        <v>728</v>
      </c>
      <c r="AN622">
        <v>0</v>
      </c>
      <c r="AO622">
        <v>0</v>
      </c>
      <c r="AP622">
        <v>0</v>
      </c>
      <c r="AS622">
        <v>65535</v>
      </c>
      <c r="AT622">
        <v>65535</v>
      </c>
      <c r="AU622">
        <v>65535</v>
      </c>
      <c r="BI622">
        <v>0</v>
      </c>
      <c r="BK622">
        <v>0</v>
      </c>
      <c r="BL622">
        <v>0</v>
      </c>
      <c r="BP622">
        <v>65535</v>
      </c>
      <c r="BQ622">
        <v>65535</v>
      </c>
      <c r="CB622">
        <v>19.593198776245117</v>
      </c>
      <c r="CC622">
        <v>6.0992279052734375</v>
      </c>
    </row>
    <row r="623" spans="1:81" ht="12.75" customHeight="1">
      <c r="A623" t="s">
        <v>728</v>
      </c>
      <c r="C623" t="s">
        <v>694</v>
      </c>
      <c r="D623">
        <v>621</v>
      </c>
      <c r="F623">
        <v>65535</v>
      </c>
      <c r="I623" t="s">
        <v>728</v>
      </c>
      <c r="AN623">
        <v>0</v>
      </c>
      <c r="AO623">
        <v>0</v>
      </c>
      <c r="AP623">
        <v>0</v>
      </c>
      <c r="AS623">
        <v>65535</v>
      </c>
      <c r="AT623">
        <v>65535</v>
      </c>
      <c r="AU623">
        <v>65535</v>
      </c>
      <c r="BI623">
        <v>0</v>
      </c>
      <c r="BK623">
        <v>0</v>
      </c>
      <c r="BL623">
        <v>0</v>
      </c>
      <c r="BP623">
        <v>65535</v>
      </c>
      <c r="BQ623">
        <v>65535</v>
      </c>
      <c r="CB623">
        <v>19.593198776245117</v>
      </c>
      <c r="CC623">
        <v>6.0992279052734375</v>
      </c>
    </row>
    <row r="624" spans="1:81" ht="12.75" customHeight="1">
      <c r="A624" t="s">
        <v>728</v>
      </c>
      <c r="C624" t="s">
        <v>694</v>
      </c>
      <c r="D624">
        <v>622</v>
      </c>
      <c r="F624">
        <v>65535</v>
      </c>
      <c r="I624" t="s">
        <v>728</v>
      </c>
      <c r="AN624">
        <v>0</v>
      </c>
      <c r="AO624">
        <v>0</v>
      </c>
      <c r="AP624">
        <v>0</v>
      </c>
      <c r="AS624">
        <v>65535</v>
      </c>
      <c r="AT624">
        <v>65535</v>
      </c>
      <c r="AU624">
        <v>65535</v>
      </c>
      <c r="BI624">
        <v>0</v>
      </c>
      <c r="BK624">
        <v>0</v>
      </c>
      <c r="BL624">
        <v>0</v>
      </c>
      <c r="BP624">
        <v>65535</v>
      </c>
      <c r="BQ624">
        <v>65535</v>
      </c>
      <c r="CB624">
        <v>19.593198776245117</v>
      </c>
      <c r="CC624">
        <v>6.0992279052734375</v>
      </c>
    </row>
    <row r="625" spans="1:81" ht="12.75" customHeight="1">
      <c r="A625" t="s">
        <v>728</v>
      </c>
      <c r="C625" t="s">
        <v>694</v>
      </c>
      <c r="D625">
        <v>623</v>
      </c>
      <c r="F625">
        <v>65535</v>
      </c>
      <c r="I625" t="s">
        <v>728</v>
      </c>
      <c r="AN625">
        <v>0</v>
      </c>
      <c r="AO625">
        <v>0</v>
      </c>
      <c r="AP625">
        <v>0</v>
      </c>
      <c r="AS625">
        <v>65535</v>
      </c>
      <c r="AT625">
        <v>65535</v>
      </c>
      <c r="AU625">
        <v>65535</v>
      </c>
      <c r="BI625">
        <v>0</v>
      </c>
      <c r="BK625">
        <v>0</v>
      </c>
      <c r="BL625">
        <v>0</v>
      </c>
      <c r="BP625">
        <v>65535</v>
      </c>
      <c r="BQ625">
        <v>65535</v>
      </c>
      <c r="CB625">
        <v>19.593198776245117</v>
      </c>
      <c r="CC625">
        <v>6.0992279052734375</v>
      </c>
    </row>
    <row r="626" spans="1:81" ht="12.75" customHeight="1">
      <c r="A626" t="s">
        <v>728</v>
      </c>
      <c r="C626" t="s">
        <v>694</v>
      </c>
      <c r="D626">
        <v>624</v>
      </c>
      <c r="F626">
        <v>65535</v>
      </c>
      <c r="I626" t="s">
        <v>728</v>
      </c>
      <c r="AN626">
        <v>0</v>
      </c>
      <c r="AO626">
        <v>0</v>
      </c>
      <c r="AP626">
        <v>0</v>
      </c>
      <c r="AS626">
        <v>65535</v>
      </c>
      <c r="AT626">
        <v>65535</v>
      </c>
      <c r="AU626">
        <v>65535</v>
      </c>
      <c r="BI626">
        <v>0</v>
      </c>
      <c r="BK626">
        <v>0</v>
      </c>
      <c r="BL626">
        <v>0</v>
      </c>
      <c r="BP626">
        <v>65535</v>
      </c>
      <c r="BQ626">
        <v>65535</v>
      </c>
      <c r="CB626">
        <v>19.593198776245117</v>
      </c>
      <c r="CC626">
        <v>6.0992279052734375</v>
      </c>
    </row>
    <row r="627" spans="1:81" ht="12.75" customHeight="1">
      <c r="A627" t="s">
        <v>728</v>
      </c>
      <c r="C627" t="s">
        <v>694</v>
      </c>
      <c r="D627">
        <v>625</v>
      </c>
      <c r="F627">
        <v>65535</v>
      </c>
      <c r="I627" t="s">
        <v>728</v>
      </c>
      <c r="AN627">
        <v>0</v>
      </c>
      <c r="AO627">
        <v>0</v>
      </c>
      <c r="AP627">
        <v>0</v>
      </c>
      <c r="AS627">
        <v>65535</v>
      </c>
      <c r="AT627">
        <v>65535</v>
      </c>
      <c r="AU627">
        <v>65535</v>
      </c>
      <c r="BI627">
        <v>0</v>
      </c>
      <c r="BK627">
        <v>0</v>
      </c>
      <c r="BL627">
        <v>0</v>
      </c>
      <c r="BP627">
        <v>65535</v>
      </c>
      <c r="BQ627">
        <v>65535</v>
      </c>
      <c r="CB627">
        <v>19.593198776245117</v>
      </c>
      <c r="CC627">
        <v>6.0992279052734375</v>
      </c>
    </row>
    <row r="628" spans="1:81" ht="12.75" customHeight="1">
      <c r="A628" t="s">
        <v>728</v>
      </c>
      <c r="C628" t="s">
        <v>694</v>
      </c>
      <c r="D628">
        <v>626</v>
      </c>
      <c r="F628">
        <v>65535</v>
      </c>
      <c r="I628" t="s">
        <v>728</v>
      </c>
      <c r="AN628">
        <v>0</v>
      </c>
      <c r="AO628">
        <v>0</v>
      </c>
      <c r="AP628">
        <v>0</v>
      </c>
      <c r="AS628">
        <v>65535</v>
      </c>
      <c r="AT628">
        <v>65535</v>
      </c>
      <c r="AU628">
        <v>65535</v>
      </c>
      <c r="BI628">
        <v>0</v>
      </c>
      <c r="BK628">
        <v>0</v>
      </c>
      <c r="BL628">
        <v>0</v>
      </c>
      <c r="BP628">
        <v>65535</v>
      </c>
      <c r="BQ628">
        <v>65535</v>
      </c>
      <c r="CB628">
        <v>19.593198776245117</v>
      </c>
      <c r="CC628">
        <v>6.0992279052734375</v>
      </c>
    </row>
    <row r="629" spans="1:81" ht="12.75" customHeight="1">
      <c r="A629" t="s">
        <v>728</v>
      </c>
      <c r="C629" t="s">
        <v>694</v>
      </c>
      <c r="D629">
        <v>627</v>
      </c>
      <c r="F629">
        <v>65535</v>
      </c>
      <c r="I629" t="s">
        <v>728</v>
      </c>
      <c r="AN629">
        <v>0</v>
      </c>
      <c r="AO629">
        <v>0</v>
      </c>
      <c r="AP629">
        <v>0</v>
      </c>
      <c r="AS629">
        <v>65535</v>
      </c>
      <c r="AT629">
        <v>65535</v>
      </c>
      <c r="AU629">
        <v>65535</v>
      </c>
      <c r="BI629">
        <v>0</v>
      </c>
      <c r="BK629">
        <v>0</v>
      </c>
      <c r="BL629">
        <v>0</v>
      </c>
      <c r="BP629">
        <v>65535</v>
      </c>
      <c r="BQ629">
        <v>65535</v>
      </c>
      <c r="CB629">
        <v>19.593198776245117</v>
      </c>
      <c r="CC629">
        <v>6.0992279052734375</v>
      </c>
    </row>
    <row r="630" spans="1:81" ht="12.75" customHeight="1">
      <c r="A630" t="s">
        <v>728</v>
      </c>
      <c r="C630" t="s">
        <v>694</v>
      </c>
      <c r="D630">
        <v>628</v>
      </c>
      <c r="F630">
        <v>65535</v>
      </c>
      <c r="I630" t="s">
        <v>728</v>
      </c>
      <c r="AN630">
        <v>0</v>
      </c>
      <c r="AO630">
        <v>0</v>
      </c>
      <c r="AP630">
        <v>0</v>
      </c>
      <c r="AS630">
        <v>65535</v>
      </c>
      <c r="AT630">
        <v>65535</v>
      </c>
      <c r="AU630">
        <v>65535</v>
      </c>
      <c r="BI630">
        <v>0</v>
      </c>
      <c r="BK630">
        <v>0</v>
      </c>
      <c r="BL630">
        <v>0</v>
      </c>
      <c r="BP630">
        <v>65535</v>
      </c>
      <c r="BQ630">
        <v>65535</v>
      </c>
      <c r="CB630">
        <v>19.593198776245117</v>
      </c>
      <c r="CC630">
        <v>6.0992279052734375</v>
      </c>
    </row>
    <row r="631" spans="1:81" ht="12.75" customHeight="1">
      <c r="A631" t="s">
        <v>728</v>
      </c>
      <c r="C631" t="s">
        <v>694</v>
      </c>
      <c r="D631">
        <v>629</v>
      </c>
      <c r="F631">
        <v>65535</v>
      </c>
      <c r="I631" t="s">
        <v>728</v>
      </c>
      <c r="AN631">
        <v>0</v>
      </c>
      <c r="AO631">
        <v>0</v>
      </c>
      <c r="AP631">
        <v>0</v>
      </c>
      <c r="AS631">
        <v>65535</v>
      </c>
      <c r="AT631">
        <v>65535</v>
      </c>
      <c r="AU631">
        <v>65535</v>
      </c>
      <c r="BI631">
        <v>0</v>
      </c>
      <c r="BK631">
        <v>0</v>
      </c>
      <c r="BL631">
        <v>0</v>
      </c>
      <c r="BP631">
        <v>65535</v>
      </c>
      <c r="BQ631">
        <v>65535</v>
      </c>
      <c r="CB631">
        <v>19.593198776245117</v>
      </c>
      <c r="CC631">
        <v>6.0992279052734375</v>
      </c>
    </row>
    <row r="632" spans="1:81" ht="12.75" customHeight="1">
      <c r="A632" t="s">
        <v>728</v>
      </c>
      <c r="C632" t="s">
        <v>694</v>
      </c>
      <c r="D632">
        <v>630</v>
      </c>
      <c r="F632">
        <v>65535</v>
      </c>
      <c r="I632" t="s">
        <v>728</v>
      </c>
      <c r="AN632">
        <v>0</v>
      </c>
      <c r="AO632">
        <v>0</v>
      </c>
      <c r="AP632">
        <v>0</v>
      </c>
      <c r="AS632">
        <v>65535</v>
      </c>
      <c r="AT632">
        <v>65535</v>
      </c>
      <c r="AU632">
        <v>65535</v>
      </c>
      <c r="BI632">
        <v>0</v>
      </c>
      <c r="BK632">
        <v>0</v>
      </c>
      <c r="BL632">
        <v>0</v>
      </c>
      <c r="BP632">
        <v>65535</v>
      </c>
      <c r="BQ632">
        <v>65535</v>
      </c>
      <c r="CB632">
        <v>19.593198776245117</v>
      </c>
      <c r="CC632">
        <v>6.0992279052734375</v>
      </c>
    </row>
    <row r="633" spans="1:81" ht="12.75" customHeight="1">
      <c r="A633" t="s">
        <v>728</v>
      </c>
      <c r="C633" t="s">
        <v>694</v>
      </c>
      <c r="D633">
        <v>631</v>
      </c>
      <c r="F633">
        <v>65535</v>
      </c>
      <c r="I633" t="s">
        <v>728</v>
      </c>
      <c r="R633">
        <v>29.919998168945313</v>
      </c>
      <c r="T633">
        <v>125.66399383544922</v>
      </c>
      <c r="W633" s="514">
        <v>44245.742974537039</v>
      </c>
      <c r="AN633">
        <v>0</v>
      </c>
      <c r="AO633">
        <v>0</v>
      </c>
      <c r="AP633">
        <v>0</v>
      </c>
      <c r="AS633">
        <v>0</v>
      </c>
      <c r="AT633">
        <v>0</v>
      </c>
      <c r="AU633">
        <v>0</v>
      </c>
      <c r="AW633">
        <v>0</v>
      </c>
      <c r="AZ633">
        <v>0</v>
      </c>
      <c r="BA633">
        <v>-9.8132732091471553E-5</v>
      </c>
      <c r="BB633">
        <v>0</v>
      </c>
      <c r="BC633">
        <v>-33.136451721191406</v>
      </c>
      <c r="BD633">
        <v>33.036540985107422</v>
      </c>
      <c r="BI633">
        <v>0</v>
      </c>
      <c r="BJ633">
        <v>0</v>
      </c>
      <c r="BK633">
        <v>0</v>
      </c>
      <c r="BL633">
        <v>0</v>
      </c>
      <c r="BM633">
        <v>-345273120</v>
      </c>
      <c r="BN633">
        <v>-2.03753662109375</v>
      </c>
      <c r="BP633">
        <v>65535</v>
      </c>
      <c r="BQ633">
        <v>65535</v>
      </c>
      <c r="BR633">
        <v>0</v>
      </c>
      <c r="BS633">
        <v>-9.8132732091471553E-5</v>
      </c>
      <c r="BT633">
        <v>0</v>
      </c>
      <c r="BU633">
        <v>-33.136451721191406</v>
      </c>
      <c r="BV633">
        <v>33.036540985107422</v>
      </c>
      <c r="BW633" t="s">
        <v>615</v>
      </c>
      <c r="BX633">
        <v>-345273120</v>
      </c>
      <c r="BY633">
        <v>-2.03753662109375</v>
      </c>
      <c r="CB633">
        <v>19.593198776245117</v>
      </c>
      <c r="CC633">
        <v>6.0992279052734375</v>
      </c>
    </row>
    <row r="634" spans="1:81" ht="12.75" customHeight="1">
      <c r="A634" t="s">
        <v>728</v>
      </c>
      <c r="C634" t="s">
        <v>694</v>
      </c>
      <c r="D634">
        <v>632</v>
      </c>
      <c r="F634">
        <v>65535</v>
      </c>
      <c r="I634" t="s">
        <v>728</v>
      </c>
      <c r="R634">
        <v>29.919998168945313</v>
      </c>
      <c r="T634">
        <v>125.66399383544922</v>
      </c>
      <c r="W634" s="514">
        <v>44245.742974537039</v>
      </c>
      <c r="AN634">
        <v>0</v>
      </c>
      <c r="AO634">
        <v>0</v>
      </c>
      <c r="AP634">
        <v>0</v>
      </c>
      <c r="AS634">
        <v>0</v>
      </c>
      <c r="AT634">
        <v>0</v>
      </c>
      <c r="AU634">
        <v>0</v>
      </c>
      <c r="AW634">
        <v>0</v>
      </c>
      <c r="AZ634">
        <v>0</v>
      </c>
      <c r="BA634">
        <v>-9.8132732091471553E-5</v>
      </c>
      <c r="BB634">
        <v>0</v>
      </c>
      <c r="BC634">
        <v>-33.136451721191406</v>
      </c>
      <c r="BD634">
        <v>33.036540985107422</v>
      </c>
      <c r="BI634">
        <v>0</v>
      </c>
      <c r="BJ634">
        <v>0</v>
      </c>
      <c r="BK634">
        <v>0</v>
      </c>
      <c r="BL634">
        <v>0</v>
      </c>
      <c r="BM634">
        <v>-345273120</v>
      </c>
      <c r="BN634">
        <v>-2.03753662109375</v>
      </c>
      <c r="BP634">
        <v>65535</v>
      </c>
      <c r="BQ634">
        <v>65535</v>
      </c>
      <c r="BR634">
        <v>0</v>
      </c>
      <c r="BS634">
        <v>-9.8132732091471553E-5</v>
      </c>
      <c r="BT634">
        <v>0</v>
      </c>
      <c r="BU634">
        <v>-33.136451721191406</v>
      </c>
      <c r="BV634">
        <v>33.036540985107422</v>
      </c>
      <c r="BW634" t="s">
        <v>615</v>
      </c>
      <c r="BX634">
        <v>-345273120</v>
      </c>
      <c r="BY634">
        <v>-2.03753662109375</v>
      </c>
      <c r="CB634">
        <v>19.593198776245117</v>
      </c>
      <c r="CC634">
        <v>6.0992279052734375</v>
      </c>
    </row>
    <row r="635" spans="1:81" ht="12.75" customHeight="1">
      <c r="A635" t="s">
        <v>728</v>
      </c>
      <c r="C635" t="s">
        <v>694</v>
      </c>
      <c r="D635">
        <v>633</v>
      </c>
      <c r="F635">
        <v>65535</v>
      </c>
      <c r="I635" t="s">
        <v>728</v>
      </c>
      <c r="R635">
        <v>30.599992752075195</v>
      </c>
      <c r="T635">
        <v>128.51997375488281</v>
      </c>
      <c r="W635" s="514">
        <v>44245.742986111109</v>
      </c>
      <c r="AN635">
        <v>0</v>
      </c>
      <c r="AO635">
        <v>0</v>
      </c>
      <c r="AP635">
        <v>0</v>
      </c>
      <c r="AS635">
        <v>0</v>
      </c>
      <c r="AT635">
        <v>0</v>
      </c>
      <c r="AU635">
        <v>0</v>
      </c>
      <c r="AW635">
        <v>0</v>
      </c>
      <c r="AZ635">
        <v>0</v>
      </c>
      <c r="BA635">
        <v>-2.6958579837810248E-5</v>
      </c>
      <c r="BB635">
        <v>0</v>
      </c>
      <c r="BC635">
        <v>-17.584316253662109</v>
      </c>
      <c r="BD635">
        <v>17.584096908569336</v>
      </c>
      <c r="BI635">
        <v>0</v>
      </c>
      <c r="BJ635">
        <v>0</v>
      </c>
      <c r="BK635">
        <v>0</v>
      </c>
      <c r="BL635">
        <v>0</v>
      </c>
      <c r="BM635">
        <v>-1.8914073888072909E+26</v>
      </c>
      <c r="BN635">
        <v>-2.751861572265625</v>
      </c>
      <c r="BP635">
        <v>65535</v>
      </c>
      <c r="BQ635">
        <v>65535</v>
      </c>
      <c r="BR635">
        <v>0</v>
      </c>
      <c r="BS635">
        <v>-2.6958579837810248E-5</v>
      </c>
      <c r="BT635">
        <v>0</v>
      </c>
      <c r="BU635">
        <v>-17.584316253662109</v>
      </c>
      <c r="BV635">
        <v>17.584096908569336</v>
      </c>
      <c r="BW635" t="s">
        <v>615</v>
      </c>
      <c r="BX635">
        <v>-1.8914073888072909E+26</v>
      </c>
      <c r="BY635">
        <v>-2.751861572265625</v>
      </c>
      <c r="CB635">
        <v>19.593198776245117</v>
      </c>
      <c r="CC635">
        <v>6.0992279052734375</v>
      </c>
    </row>
    <row r="636" spans="1:81" ht="12.75" customHeight="1">
      <c r="A636" t="s">
        <v>728</v>
      </c>
      <c r="C636" t="s">
        <v>694</v>
      </c>
      <c r="D636">
        <v>634</v>
      </c>
      <c r="F636">
        <v>65535</v>
      </c>
      <c r="I636" t="s">
        <v>728</v>
      </c>
      <c r="R636">
        <v>30.599992752075195</v>
      </c>
      <c r="T636">
        <v>128.51997375488281</v>
      </c>
      <c r="W636" s="514">
        <v>44245.742986111109</v>
      </c>
      <c r="AN636">
        <v>0</v>
      </c>
      <c r="AO636">
        <v>0</v>
      </c>
      <c r="AP636">
        <v>0</v>
      </c>
      <c r="AS636">
        <v>0</v>
      </c>
      <c r="AT636">
        <v>0</v>
      </c>
      <c r="AU636">
        <v>0</v>
      </c>
      <c r="AW636">
        <v>0</v>
      </c>
      <c r="AZ636">
        <v>0</v>
      </c>
      <c r="BA636">
        <v>-2.6958579837810248E-5</v>
      </c>
      <c r="BB636">
        <v>0</v>
      </c>
      <c r="BC636">
        <v>-17.584316253662109</v>
      </c>
      <c r="BD636">
        <v>17.584096908569336</v>
      </c>
      <c r="BI636">
        <v>0</v>
      </c>
      <c r="BJ636">
        <v>0</v>
      </c>
      <c r="BK636">
        <v>0</v>
      </c>
      <c r="BL636">
        <v>0</v>
      </c>
      <c r="BM636">
        <v>-1.8914073888072909E+26</v>
      </c>
      <c r="BN636">
        <v>-2.751861572265625</v>
      </c>
      <c r="BP636">
        <v>65535</v>
      </c>
      <c r="BQ636">
        <v>65535</v>
      </c>
      <c r="BR636">
        <v>0</v>
      </c>
      <c r="BS636">
        <v>-2.6958579837810248E-5</v>
      </c>
      <c r="BT636">
        <v>0</v>
      </c>
      <c r="BU636">
        <v>-17.584316253662109</v>
      </c>
      <c r="BV636">
        <v>17.584096908569336</v>
      </c>
      <c r="BW636" t="s">
        <v>615</v>
      </c>
      <c r="BX636">
        <v>-1.8914073888072909E+26</v>
      </c>
      <c r="BY636">
        <v>-2.751861572265625</v>
      </c>
      <c r="CB636">
        <v>19.593198776245117</v>
      </c>
      <c r="CC636">
        <v>6.0992279052734375</v>
      </c>
    </row>
    <row r="637" spans="1:81" ht="12.75" customHeight="1">
      <c r="A637" t="s">
        <v>728</v>
      </c>
      <c r="C637" t="s">
        <v>694</v>
      </c>
      <c r="D637">
        <v>635</v>
      </c>
      <c r="F637">
        <v>65535</v>
      </c>
      <c r="I637" t="s">
        <v>728</v>
      </c>
      <c r="R637">
        <v>9.8800010681152344</v>
      </c>
      <c r="T637">
        <v>41.496006011962891</v>
      </c>
      <c r="W637" s="514">
        <v>44245.743009259262</v>
      </c>
      <c r="AN637">
        <v>0</v>
      </c>
      <c r="AO637">
        <v>0</v>
      </c>
      <c r="AP637">
        <v>0</v>
      </c>
      <c r="AS637">
        <v>0</v>
      </c>
      <c r="AT637">
        <v>0</v>
      </c>
      <c r="AU637">
        <v>0</v>
      </c>
      <c r="AW637">
        <v>0</v>
      </c>
      <c r="AZ637">
        <v>0</v>
      </c>
      <c r="BA637">
        <v>-3.9116234984248877E-4</v>
      </c>
      <c r="BB637">
        <v>0</v>
      </c>
      <c r="BC637">
        <v>-0.14745903015136719</v>
      </c>
      <c r="BD637">
        <v>0.14790312945842743</v>
      </c>
      <c r="BI637">
        <v>0</v>
      </c>
      <c r="BJ637">
        <v>0</v>
      </c>
      <c r="BK637">
        <v>0</v>
      </c>
      <c r="BL637">
        <v>0</v>
      </c>
      <c r="BM637">
        <v>6.9616629759108258E-25</v>
      </c>
      <c r="BN637">
        <v>0.850799560546875</v>
      </c>
      <c r="BP637">
        <v>65535</v>
      </c>
      <c r="BQ637">
        <v>65535</v>
      </c>
      <c r="BR637">
        <v>0</v>
      </c>
      <c r="BS637">
        <v>-3.9116234984248877E-4</v>
      </c>
      <c r="BT637">
        <v>0</v>
      </c>
      <c r="BU637">
        <v>-0.14745903015136719</v>
      </c>
      <c r="BV637">
        <v>0.14790312945842743</v>
      </c>
      <c r="BW637" t="s">
        <v>615</v>
      </c>
      <c r="BX637">
        <v>6.9616629759108258E-25</v>
      </c>
      <c r="BY637">
        <v>0.850799560546875</v>
      </c>
      <c r="CB637">
        <v>19.593198776245117</v>
      </c>
      <c r="CC637">
        <v>6.0992279052734375</v>
      </c>
    </row>
    <row r="638" spans="1:81" ht="12.75" customHeight="1">
      <c r="A638" t="s">
        <v>728</v>
      </c>
      <c r="C638" t="s">
        <v>694</v>
      </c>
      <c r="D638">
        <v>636</v>
      </c>
      <c r="F638">
        <v>65535</v>
      </c>
      <c r="I638" t="s">
        <v>728</v>
      </c>
      <c r="R638">
        <v>9.8800010681152344</v>
      </c>
      <c r="T638">
        <v>41.496006011962891</v>
      </c>
      <c r="W638" s="514">
        <v>44245.743009259262</v>
      </c>
      <c r="AN638">
        <v>0</v>
      </c>
      <c r="AO638">
        <v>0</v>
      </c>
      <c r="AP638">
        <v>0</v>
      </c>
      <c r="AS638">
        <v>0</v>
      </c>
      <c r="AT638">
        <v>0</v>
      </c>
      <c r="AU638">
        <v>0</v>
      </c>
      <c r="AW638">
        <v>0</v>
      </c>
      <c r="AZ638">
        <v>0</v>
      </c>
      <c r="BA638">
        <v>-3.9116234984248877E-4</v>
      </c>
      <c r="BB638">
        <v>0</v>
      </c>
      <c r="BC638">
        <v>-0.14745903015136719</v>
      </c>
      <c r="BD638">
        <v>0.14790312945842743</v>
      </c>
      <c r="BI638">
        <v>0</v>
      </c>
      <c r="BJ638">
        <v>0</v>
      </c>
      <c r="BK638">
        <v>0</v>
      </c>
      <c r="BL638">
        <v>0</v>
      </c>
      <c r="BM638">
        <v>6.9616629759108258E-25</v>
      </c>
      <c r="BN638">
        <v>0.850799560546875</v>
      </c>
      <c r="BP638">
        <v>65535</v>
      </c>
      <c r="BQ638">
        <v>65535</v>
      </c>
      <c r="BR638">
        <v>0</v>
      </c>
      <c r="BS638">
        <v>-3.9116234984248877E-4</v>
      </c>
      <c r="BT638">
        <v>0</v>
      </c>
      <c r="BU638">
        <v>-0.14745903015136719</v>
      </c>
      <c r="BV638">
        <v>0.14790312945842743</v>
      </c>
      <c r="BW638" t="s">
        <v>615</v>
      </c>
      <c r="BX638">
        <v>6.9616629759108258E-25</v>
      </c>
      <c r="BY638">
        <v>0.850799560546875</v>
      </c>
      <c r="CB638">
        <v>19.593198776245117</v>
      </c>
      <c r="CC638">
        <v>6.0992279052734375</v>
      </c>
    </row>
    <row r="639" spans="1:81" ht="12.75" customHeight="1">
      <c r="A639" t="s">
        <v>728</v>
      </c>
      <c r="C639" t="s">
        <v>694</v>
      </c>
      <c r="D639">
        <v>637</v>
      </c>
      <c r="F639">
        <v>65535</v>
      </c>
      <c r="I639" t="s">
        <v>728</v>
      </c>
      <c r="AN639">
        <v>0</v>
      </c>
      <c r="AO639">
        <v>0</v>
      </c>
      <c r="AP639">
        <v>0</v>
      </c>
      <c r="AS639">
        <v>65535</v>
      </c>
      <c r="AT639">
        <v>65535</v>
      </c>
      <c r="AU639">
        <v>65535</v>
      </c>
      <c r="BI639">
        <v>0</v>
      </c>
      <c r="BK639">
        <v>0</v>
      </c>
      <c r="BL639">
        <v>0</v>
      </c>
      <c r="BP639">
        <v>65535</v>
      </c>
      <c r="BQ639">
        <v>65535</v>
      </c>
      <c r="CB639">
        <v>19.593198776245117</v>
      </c>
      <c r="CC639">
        <v>6.0992279052734375</v>
      </c>
    </row>
    <row r="640" spans="1:81" ht="12.75" customHeight="1">
      <c r="A640" t="s">
        <v>728</v>
      </c>
      <c r="C640" t="s">
        <v>694</v>
      </c>
      <c r="D640">
        <v>638</v>
      </c>
      <c r="F640">
        <v>65535</v>
      </c>
      <c r="I640" t="s">
        <v>728</v>
      </c>
      <c r="R640">
        <v>9.8799972534179688</v>
      </c>
      <c r="T640">
        <v>41.495990753173828</v>
      </c>
      <c r="W640" s="514">
        <v>44245.74322916667</v>
      </c>
      <c r="AN640">
        <v>0</v>
      </c>
      <c r="AO640">
        <v>0</v>
      </c>
      <c r="AP640">
        <v>0</v>
      </c>
      <c r="AS640">
        <v>0</v>
      </c>
      <c r="AT640">
        <v>0</v>
      </c>
      <c r="AU640">
        <v>0</v>
      </c>
      <c r="AW640">
        <v>0</v>
      </c>
      <c r="AZ640">
        <v>0</v>
      </c>
      <c r="BA640">
        <v>-2.8288067551329732E-4</v>
      </c>
      <c r="BB640">
        <v>0</v>
      </c>
      <c r="BC640">
        <v>4.7528228759765625</v>
      </c>
      <c r="BD640">
        <v>-4.7525448799133301</v>
      </c>
      <c r="BI640">
        <v>0</v>
      </c>
      <c r="BJ640">
        <v>0</v>
      </c>
      <c r="BK640">
        <v>0</v>
      </c>
      <c r="BL640">
        <v>0</v>
      </c>
      <c r="BM640">
        <v>-4.7373144452570807E-24</v>
      </c>
      <c r="BN640">
        <v>-0.231048583984375</v>
      </c>
      <c r="BP640">
        <v>65535</v>
      </c>
      <c r="BQ640">
        <v>65535</v>
      </c>
      <c r="BR640">
        <v>0</v>
      </c>
      <c r="BS640">
        <v>-2.8288067551329732E-4</v>
      </c>
      <c r="BT640">
        <v>0</v>
      </c>
      <c r="BU640">
        <v>4.7528228759765625</v>
      </c>
      <c r="BV640">
        <v>-4.7525448799133301</v>
      </c>
      <c r="BW640" t="s">
        <v>615</v>
      </c>
      <c r="BX640">
        <v>-4.7373144452570807E-24</v>
      </c>
      <c r="BY640">
        <v>-0.231048583984375</v>
      </c>
      <c r="CB640">
        <v>19.593198776245117</v>
      </c>
      <c r="CC640">
        <v>6.0992279052734375</v>
      </c>
    </row>
    <row r="641" spans="1:81" ht="12.75" customHeight="1">
      <c r="A641" t="s">
        <v>728</v>
      </c>
      <c r="C641" t="s">
        <v>694</v>
      </c>
      <c r="D641">
        <v>639</v>
      </c>
      <c r="F641">
        <v>65535</v>
      </c>
      <c r="I641" t="s">
        <v>728</v>
      </c>
      <c r="R641">
        <v>9.8799972534179688</v>
      </c>
      <c r="T641">
        <v>41.495990753173828</v>
      </c>
      <c r="W641" s="514">
        <v>44245.74322916667</v>
      </c>
      <c r="AN641">
        <v>0</v>
      </c>
      <c r="AO641">
        <v>0</v>
      </c>
      <c r="AP641">
        <v>0</v>
      </c>
      <c r="AS641">
        <v>0</v>
      </c>
      <c r="AT641">
        <v>0</v>
      </c>
      <c r="AU641">
        <v>0</v>
      </c>
      <c r="AW641">
        <v>0</v>
      </c>
      <c r="AZ641">
        <v>0</v>
      </c>
      <c r="BA641">
        <v>-2.8288067551329732E-4</v>
      </c>
      <c r="BB641">
        <v>0</v>
      </c>
      <c r="BC641">
        <v>4.7528228759765625</v>
      </c>
      <c r="BD641">
        <v>-4.7525448799133301</v>
      </c>
      <c r="BI641">
        <v>0</v>
      </c>
      <c r="BJ641">
        <v>0</v>
      </c>
      <c r="BK641">
        <v>0</v>
      </c>
      <c r="BL641">
        <v>0</v>
      </c>
      <c r="BM641">
        <v>-4.7373144452570807E-24</v>
      </c>
      <c r="BN641">
        <v>-0.231048583984375</v>
      </c>
      <c r="BP641">
        <v>65535</v>
      </c>
      <c r="BQ641">
        <v>65535</v>
      </c>
      <c r="BR641">
        <v>0</v>
      </c>
      <c r="BS641">
        <v>-2.8288067551329732E-4</v>
      </c>
      <c r="BT641">
        <v>0</v>
      </c>
      <c r="BU641">
        <v>4.7528228759765625</v>
      </c>
      <c r="BV641">
        <v>-4.7525448799133301</v>
      </c>
      <c r="BW641" t="s">
        <v>615</v>
      </c>
      <c r="BX641">
        <v>-4.7373144452570807E-24</v>
      </c>
      <c r="BY641">
        <v>-0.231048583984375</v>
      </c>
      <c r="CB641">
        <v>19.593198776245117</v>
      </c>
      <c r="CC641">
        <v>6.0992279052734375</v>
      </c>
    </row>
    <row r="642" spans="1:81" ht="12.75" customHeight="1">
      <c r="A642" t="s">
        <v>728</v>
      </c>
      <c r="C642" t="s">
        <v>694</v>
      </c>
      <c r="D642">
        <v>640</v>
      </c>
      <c r="F642">
        <v>65535</v>
      </c>
      <c r="I642" t="s">
        <v>728</v>
      </c>
      <c r="AN642">
        <v>0</v>
      </c>
      <c r="AO642">
        <v>0</v>
      </c>
      <c r="AP642">
        <v>0</v>
      </c>
      <c r="AS642">
        <v>65535</v>
      </c>
      <c r="AT642">
        <v>65535</v>
      </c>
      <c r="AU642">
        <v>65535</v>
      </c>
      <c r="BI642">
        <v>0</v>
      </c>
      <c r="BK642">
        <v>0</v>
      </c>
      <c r="BL642">
        <v>0</v>
      </c>
      <c r="BP642">
        <v>65535</v>
      </c>
      <c r="BQ642">
        <v>65535</v>
      </c>
      <c r="CB642">
        <v>19.593198776245117</v>
      </c>
      <c r="CC642">
        <v>6.0992279052734375</v>
      </c>
    </row>
    <row r="643" spans="1:81" ht="12.75" customHeight="1">
      <c r="A643" t="s">
        <v>728</v>
      </c>
      <c r="C643" t="s">
        <v>694</v>
      </c>
      <c r="D643">
        <v>641</v>
      </c>
      <c r="F643">
        <v>65535</v>
      </c>
      <c r="I643" t="s">
        <v>728</v>
      </c>
      <c r="AN643">
        <v>0</v>
      </c>
      <c r="AO643">
        <v>0</v>
      </c>
      <c r="AP643">
        <v>0</v>
      </c>
      <c r="AS643">
        <v>65535</v>
      </c>
      <c r="AT643">
        <v>65535</v>
      </c>
      <c r="AU643">
        <v>65535</v>
      </c>
      <c r="BI643">
        <v>0</v>
      </c>
      <c r="BK643">
        <v>0</v>
      </c>
      <c r="BL643">
        <v>0</v>
      </c>
      <c r="BP643">
        <v>65535</v>
      </c>
      <c r="BQ643">
        <v>65535</v>
      </c>
      <c r="CB643">
        <v>19.593198776245117</v>
      </c>
      <c r="CC643">
        <v>6.0992279052734375</v>
      </c>
    </row>
    <row r="644" spans="1:81" ht="12.75" customHeight="1">
      <c r="A644" t="s">
        <v>728</v>
      </c>
      <c r="C644" t="s">
        <v>694</v>
      </c>
      <c r="D644">
        <v>642</v>
      </c>
      <c r="F644">
        <v>65535</v>
      </c>
      <c r="I644" t="s">
        <v>728</v>
      </c>
      <c r="AN644">
        <v>0</v>
      </c>
      <c r="AO644">
        <v>0</v>
      </c>
      <c r="AP644">
        <v>0</v>
      </c>
      <c r="AS644">
        <v>65535</v>
      </c>
      <c r="AT644">
        <v>65535</v>
      </c>
      <c r="AU644">
        <v>65535</v>
      </c>
      <c r="BI644">
        <v>0</v>
      </c>
      <c r="BK644">
        <v>0</v>
      </c>
      <c r="BL644">
        <v>0</v>
      </c>
      <c r="BP644">
        <v>65535</v>
      </c>
      <c r="BQ644">
        <v>65535</v>
      </c>
      <c r="CB644">
        <v>19.593198776245117</v>
      </c>
      <c r="CC644">
        <v>6.0992279052734375</v>
      </c>
    </row>
    <row r="645" spans="1:81" ht="12.75" customHeight="1">
      <c r="A645" t="s">
        <v>728</v>
      </c>
      <c r="C645" t="s">
        <v>694</v>
      </c>
      <c r="D645">
        <v>643</v>
      </c>
      <c r="F645">
        <v>65535</v>
      </c>
      <c r="I645" t="s">
        <v>728</v>
      </c>
      <c r="AN645">
        <v>0</v>
      </c>
      <c r="AO645">
        <v>0</v>
      </c>
      <c r="AP645">
        <v>0</v>
      </c>
      <c r="AS645">
        <v>65535</v>
      </c>
      <c r="AT645">
        <v>65535</v>
      </c>
      <c r="AU645">
        <v>65535</v>
      </c>
      <c r="BI645">
        <v>0</v>
      </c>
      <c r="BK645">
        <v>0</v>
      </c>
      <c r="BL645">
        <v>0</v>
      </c>
      <c r="BP645">
        <v>65535</v>
      </c>
      <c r="BQ645">
        <v>65535</v>
      </c>
      <c r="CB645">
        <v>19.593198776245117</v>
      </c>
      <c r="CC645">
        <v>6.0992279052734375</v>
      </c>
    </row>
    <row r="646" spans="1:81" ht="12.75" customHeight="1">
      <c r="A646" t="s">
        <v>728</v>
      </c>
      <c r="C646" t="s">
        <v>694</v>
      </c>
      <c r="D646">
        <v>644</v>
      </c>
      <c r="F646">
        <v>65535</v>
      </c>
      <c r="I646" t="s">
        <v>728</v>
      </c>
      <c r="AN646">
        <v>0</v>
      </c>
      <c r="AO646">
        <v>0</v>
      </c>
      <c r="AP646">
        <v>0</v>
      </c>
      <c r="AS646">
        <v>65535</v>
      </c>
      <c r="AT646">
        <v>65535</v>
      </c>
      <c r="AU646">
        <v>65535</v>
      </c>
      <c r="BI646">
        <v>0</v>
      </c>
      <c r="BK646">
        <v>0</v>
      </c>
      <c r="BL646">
        <v>0</v>
      </c>
      <c r="BP646">
        <v>65535</v>
      </c>
      <c r="BQ646">
        <v>65535</v>
      </c>
      <c r="CB646">
        <v>19.593198776245117</v>
      </c>
      <c r="CC646">
        <v>6.0992279052734375</v>
      </c>
    </row>
    <row r="647" spans="1:81" ht="12.75" customHeight="1">
      <c r="A647" t="s">
        <v>728</v>
      </c>
      <c r="C647" t="s">
        <v>694</v>
      </c>
      <c r="D647">
        <v>645</v>
      </c>
      <c r="F647">
        <v>65535</v>
      </c>
      <c r="I647" t="s">
        <v>728</v>
      </c>
      <c r="AN647">
        <v>0</v>
      </c>
      <c r="AO647">
        <v>0</v>
      </c>
      <c r="AP647">
        <v>0</v>
      </c>
      <c r="AS647">
        <v>65535</v>
      </c>
      <c r="AT647">
        <v>65535</v>
      </c>
      <c r="AU647">
        <v>65535</v>
      </c>
      <c r="BI647">
        <v>0</v>
      </c>
      <c r="BK647">
        <v>0</v>
      </c>
      <c r="BL647">
        <v>0</v>
      </c>
      <c r="BP647">
        <v>65535</v>
      </c>
      <c r="BQ647">
        <v>65535</v>
      </c>
      <c r="CB647">
        <v>19.593198776245117</v>
      </c>
      <c r="CC647">
        <v>6.0992279052734375</v>
      </c>
    </row>
    <row r="648" spans="1:81" ht="12.75" customHeight="1">
      <c r="A648" t="s">
        <v>728</v>
      </c>
      <c r="C648" t="s">
        <v>694</v>
      </c>
      <c r="D648">
        <v>646</v>
      </c>
      <c r="F648">
        <v>65535</v>
      </c>
      <c r="I648" t="s">
        <v>728</v>
      </c>
      <c r="AN648">
        <v>0</v>
      </c>
      <c r="AO648">
        <v>0</v>
      </c>
      <c r="AP648">
        <v>0</v>
      </c>
      <c r="AS648">
        <v>65535</v>
      </c>
      <c r="AT648">
        <v>65535</v>
      </c>
      <c r="AU648">
        <v>65535</v>
      </c>
      <c r="BI648">
        <v>0</v>
      </c>
      <c r="BK648">
        <v>0</v>
      </c>
      <c r="BL648">
        <v>0</v>
      </c>
      <c r="BP648">
        <v>65535</v>
      </c>
      <c r="BQ648">
        <v>65535</v>
      </c>
      <c r="CB648">
        <v>19.593198776245117</v>
      </c>
      <c r="CC648">
        <v>6.0992279052734375</v>
      </c>
    </row>
    <row r="649" spans="1:81" ht="12.75" customHeight="1">
      <c r="A649" t="s">
        <v>728</v>
      </c>
      <c r="C649" t="s">
        <v>694</v>
      </c>
      <c r="D649">
        <v>647</v>
      </c>
      <c r="F649">
        <v>65535</v>
      </c>
      <c r="I649" t="s">
        <v>728</v>
      </c>
      <c r="AN649">
        <v>0</v>
      </c>
      <c r="AO649">
        <v>0</v>
      </c>
      <c r="AP649">
        <v>0</v>
      </c>
      <c r="AS649">
        <v>65535</v>
      </c>
      <c r="AT649">
        <v>65535</v>
      </c>
      <c r="AU649">
        <v>65535</v>
      </c>
      <c r="BI649">
        <v>0</v>
      </c>
      <c r="BK649">
        <v>0</v>
      </c>
      <c r="BL649">
        <v>0</v>
      </c>
      <c r="BP649">
        <v>65535</v>
      </c>
      <c r="BQ649">
        <v>65535</v>
      </c>
      <c r="CB649">
        <v>19.593198776245117</v>
      </c>
      <c r="CC649">
        <v>6.0992279052734375</v>
      </c>
    </row>
    <row r="650" spans="1:81" ht="12.75" customHeight="1">
      <c r="A650" t="s">
        <v>728</v>
      </c>
      <c r="C650" t="s">
        <v>694</v>
      </c>
      <c r="D650">
        <v>648</v>
      </c>
      <c r="F650">
        <v>65535</v>
      </c>
      <c r="I650" t="s">
        <v>728</v>
      </c>
      <c r="AN650">
        <v>0</v>
      </c>
      <c r="AO650">
        <v>0</v>
      </c>
      <c r="AP650">
        <v>0</v>
      </c>
      <c r="AS650">
        <v>65535</v>
      </c>
      <c r="AT650">
        <v>65535</v>
      </c>
      <c r="AU650">
        <v>65535</v>
      </c>
      <c r="BI650">
        <v>0</v>
      </c>
      <c r="BK650">
        <v>0</v>
      </c>
      <c r="BL650">
        <v>0</v>
      </c>
      <c r="BP650">
        <v>65535</v>
      </c>
      <c r="BQ650">
        <v>65535</v>
      </c>
      <c r="CB650">
        <v>19.593198776245117</v>
      </c>
      <c r="CC650">
        <v>6.0992279052734375</v>
      </c>
    </row>
    <row r="651" spans="1:81" ht="12.75" customHeight="1">
      <c r="A651" t="s">
        <v>728</v>
      </c>
      <c r="C651" t="s">
        <v>694</v>
      </c>
      <c r="D651">
        <v>649</v>
      </c>
      <c r="F651">
        <v>65535</v>
      </c>
      <c r="I651" t="s">
        <v>728</v>
      </c>
      <c r="AN651">
        <v>0</v>
      </c>
      <c r="AO651">
        <v>0</v>
      </c>
      <c r="AP651">
        <v>0</v>
      </c>
      <c r="AS651">
        <v>65535</v>
      </c>
      <c r="AT651">
        <v>65535</v>
      </c>
      <c r="AU651">
        <v>65535</v>
      </c>
      <c r="BI651">
        <v>0</v>
      </c>
      <c r="BK651">
        <v>0</v>
      </c>
      <c r="BL651">
        <v>0</v>
      </c>
      <c r="BP651">
        <v>65535</v>
      </c>
      <c r="BQ651">
        <v>65535</v>
      </c>
      <c r="CB651">
        <v>19.593198776245117</v>
      </c>
      <c r="CC651">
        <v>6.0992279052734375</v>
      </c>
    </row>
    <row r="652" spans="1:81" ht="12.75" customHeight="1">
      <c r="A652" t="s">
        <v>728</v>
      </c>
      <c r="C652" t="s">
        <v>694</v>
      </c>
      <c r="D652">
        <v>650</v>
      </c>
      <c r="F652">
        <v>65535</v>
      </c>
      <c r="I652" t="s">
        <v>728</v>
      </c>
      <c r="AN652">
        <v>0</v>
      </c>
      <c r="AO652">
        <v>0</v>
      </c>
      <c r="AP652">
        <v>0</v>
      </c>
      <c r="AS652">
        <v>65535</v>
      </c>
      <c r="AT652">
        <v>65535</v>
      </c>
      <c r="AU652">
        <v>65535</v>
      </c>
      <c r="BI652">
        <v>0</v>
      </c>
      <c r="BK652">
        <v>0</v>
      </c>
      <c r="BL652">
        <v>0</v>
      </c>
      <c r="BP652">
        <v>65535</v>
      </c>
      <c r="BQ652">
        <v>65535</v>
      </c>
      <c r="CB652">
        <v>19.593198776245117</v>
      </c>
      <c r="CC652">
        <v>6.0992279052734375</v>
      </c>
    </row>
    <row r="653" spans="1:81" ht="12.75" customHeight="1">
      <c r="A653" t="s">
        <v>728</v>
      </c>
      <c r="C653" t="s">
        <v>694</v>
      </c>
      <c r="D653">
        <v>651</v>
      </c>
      <c r="F653">
        <v>65535</v>
      </c>
      <c r="I653" t="s">
        <v>728</v>
      </c>
      <c r="AN653">
        <v>0</v>
      </c>
      <c r="AO653">
        <v>0</v>
      </c>
      <c r="AP653">
        <v>0</v>
      </c>
      <c r="AS653">
        <v>65535</v>
      </c>
      <c r="AT653">
        <v>65535</v>
      </c>
      <c r="AU653">
        <v>65535</v>
      </c>
      <c r="BI653">
        <v>0</v>
      </c>
      <c r="BK653">
        <v>0</v>
      </c>
      <c r="BL653">
        <v>0</v>
      </c>
      <c r="BP653">
        <v>65535</v>
      </c>
      <c r="BQ653">
        <v>65535</v>
      </c>
      <c r="CB653">
        <v>19.593198776245117</v>
      </c>
      <c r="CC653">
        <v>6.0992279052734375</v>
      </c>
    </row>
    <row r="654" spans="1:81" ht="12.75" customHeight="1">
      <c r="A654" t="s">
        <v>728</v>
      </c>
      <c r="C654" t="s">
        <v>694</v>
      </c>
      <c r="D654">
        <v>652</v>
      </c>
      <c r="F654">
        <v>65535</v>
      </c>
      <c r="I654" t="s">
        <v>728</v>
      </c>
      <c r="AN654">
        <v>0</v>
      </c>
      <c r="AO654">
        <v>0</v>
      </c>
      <c r="AP654">
        <v>0</v>
      </c>
      <c r="AS654">
        <v>65535</v>
      </c>
      <c r="AT654">
        <v>65535</v>
      </c>
      <c r="AU654">
        <v>65535</v>
      </c>
      <c r="BI654">
        <v>0</v>
      </c>
      <c r="BK654">
        <v>0</v>
      </c>
      <c r="BL654">
        <v>0</v>
      </c>
      <c r="BP654">
        <v>65535</v>
      </c>
      <c r="BQ654">
        <v>65535</v>
      </c>
      <c r="CB654">
        <v>19.593198776245117</v>
      </c>
      <c r="CC654">
        <v>6.0992279052734375</v>
      </c>
    </row>
    <row r="655" spans="1:81" ht="12.75" customHeight="1">
      <c r="A655" t="s">
        <v>728</v>
      </c>
      <c r="C655" t="s">
        <v>694</v>
      </c>
      <c r="D655">
        <v>653</v>
      </c>
      <c r="F655">
        <v>65535</v>
      </c>
      <c r="I655" t="s">
        <v>728</v>
      </c>
      <c r="AN655">
        <v>0</v>
      </c>
      <c r="AO655">
        <v>0</v>
      </c>
      <c r="AP655">
        <v>0</v>
      </c>
      <c r="AS655">
        <v>65535</v>
      </c>
      <c r="AT655">
        <v>65535</v>
      </c>
      <c r="AU655">
        <v>65535</v>
      </c>
      <c r="BI655">
        <v>0</v>
      </c>
      <c r="BK655">
        <v>0</v>
      </c>
      <c r="BL655">
        <v>0</v>
      </c>
      <c r="BP655">
        <v>65535</v>
      </c>
      <c r="BQ655">
        <v>65535</v>
      </c>
      <c r="CB655">
        <v>19.593198776245117</v>
      </c>
      <c r="CC655">
        <v>6.0992279052734375</v>
      </c>
    </row>
    <row r="656" spans="1:81" ht="12.75" customHeight="1">
      <c r="A656" t="s">
        <v>728</v>
      </c>
      <c r="C656" t="s">
        <v>694</v>
      </c>
      <c r="D656">
        <v>654</v>
      </c>
      <c r="F656">
        <v>65535</v>
      </c>
      <c r="I656" t="s">
        <v>728</v>
      </c>
      <c r="AN656">
        <v>0</v>
      </c>
      <c r="AO656">
        <v>0</v>
      </c>
      <c r="AP656">
        <v>0</v>
      </c>
      <c r="AS656">
        <v>65535</v>
      </c>
      <c r="AT656">
        <v>65535</v>
      </c>
      <c r="AU656">
        <v>65535</v>
      </c>
      <c r="BI656">
        <v>0</v>
      </c>
      <c r="BK656">
        <v>0</v>
      </c>
      <c r="BL656">
        <v>0</v>
      </c>
      <c r="BP656">
        <v>65535</v>
      </c>
      <c r="BQ656">
        <v>65535</v>
      </c>
      <c r="CB656">
        <v>19.593198776245117</v>
      </c>
      <c r="CC656">
        <v>6.0992279052734375</v>
      </c>
    </row>
    <row r="657" spans="1:81" ht="12.75" customHeight="1">
      <c r="A657" t="s">
        <v>728</v>
      </c>
      <c r="C657" t="s">
        <v>694</v>
      </c>
      <c r="D657">
        <v>655</v>
      </c>
      <c r="F657">
        <v>65535</v>
      </c>
      <c r="I657" t="s">
        <v>728</v>
      </c>
      <c r="AN657">
        <v>0</v>
      </c>
      <c r="AO657">
        <v>0</v>
      </c>
      <c r="AP657">
        <v>0</v>
      </c>
      <c r="AS657">
        <v>65535</v>
      </c>
      <c r="AT657">
        <v>65535</v>
      </c>
      <c r="AU657">
        <v>65535</v>
      </c>
      <c r="BI657">
        <v>0</v>
      </c>
      <c r="BK657">
        <v>0</v>
      </c>
      <c r="BL657">
        <v>0</v>
      </c>
      <c r="BP657">
        <v>65535</v>
      </c>
      <c r="BQ657">
        <v>65535</v>
      </c>
      <c r="CB657">
        <v>19.593198776245117</v>
      </c>
      <c r="CC657">
        <v>6.0992279052734375</v>
      </c>
    </row>
    <row r="658" spans="1:81" ht="12.75" customHeight="1">
      <c r="A658" t="s">
        <v>728</v>
      </c>
      <c r="C658" t="s">
        <v>694</v>
      </c>
      <c r="D658">
        <v>656</v>
      </c>
      <c r="F658">
        <v>65535</v>
      </c>
      <c r="I658" t="s">
        <v>728</v>
      </c>
      <c r="AN658">
        <v>0</v>
      </c>
      <c r="AO658">
        <v>0</v>
      </c>
      <c r="AP658">
        <v>0</v>
      </c>
      <c r="AS658">
        <v>65535</v>
      </c>
      <c r="AT658">
        <v>65535</v>
      </c>
      <c r="AU658">
        <v>65535</v>
      </c>
      <c r="BI658">
        <v>0</v>
      </c>
      <c r="BK658">
        <v>0</v>
      </c>
      <c r="BL658">
        <v>0</v>
      </c>
      <c r="BP658">
        <v>65535</v>
      </c>
      <c r="BQ658">
        <v>65535</v>
      </c>
      <c r="CB658">
        <v>19.593198776245117</v>
      </c>
      <c r="CC658">
        <v>6.0992279052734375</v>
      </c>
    </row>
    <row r="659" spans="1:81" ht="12.75" customHeight="1">
      <c r="A659" t="s">
        <v>728</v>
      </c>
      <c r="C659" t="s">
        <v>694</v>
      </c>
      <c r="D659">
        <v>657</v>
      </c>
      <c r="F659">
        <v>65535</v>
      </c>
      <c r="I659" t="s">
        <v>728</v>
      </c>
      <c r="AN659">
        <v>0</v>
      </c>
      <c r="AO659">
        <v>0</v>
      </c>
      <c r="AP659">
        <v>0</v>
      </c>
      <c r="AS659">
        <v>65535</v>
      </c>
      <c r="AT659">
        <v>65535</v>
      </c>
      <c r="AU659">
        <v>65535</v>
      </c>
      <c r="BI659">
        <v>0</v>
      </c>
      <c r="BK659">
        <v>0</v>
      </c>
      <c r="BL659">
        <v>0</v>
      </c>
      <c r="BP659">
        <v>65535</v>
      </c>
      <c r="BQ659">
        <v>65535</v>
      </c>
      <c r="CB659">
        <v>19.593198776245117</v>
      </c>
      <c r="CC659">
        <v>6.0992279052734375</v>
      </c>
    </row>
    <row r="660" spans="1:81" ht="12.75" customHeight="1">
      <c r="A660" t="s">
        <v>728</v>
      </c>
      <c r="C660" t="s">
        <v>694</v>
      </c>
      <c r="D660">
        <v>658</v>
      </c>
      <c r="F660">
        <v>65535</v>
      </c>
      <c r="I660" t="s">
        <v>728</v>
      </c>
      <c r="AN660">
        <v>0</v>
      </c>
      <c r="AO660">
        <v>0</v>
      </c>
      <c r="AP660">
        <v>0</v>
      </c>
      <c r="AS660">
        <v>65535</v>
      </c>
      <c r="AT660">
        <v>65535</v>
      </c>
      <c r="AU660">
        <v>65535</v>
      </c>
      <c r="BI660">
        <v>0</v>
      </c>
      <c r="BK660">
        <v>0</v>
      </c>
      <c r="BL660">
        <v>0</v>
      </c>
      <c r="BP660">
        <v>65535</v>
      </c>
      <c r="BQ660">
        <v>65535</v>
      </c>
      <c r="CB660">
        <v>19.593198776245117</v>
      </c>
      <c r="CC660">
        <v>6.0992279052734375</v>
      </c>
    </row>
    <row r="661" spans="1:81" ht="12.75" customHeight="1">
      <c r="A661" t="s">
        <v>728</v>
      </c>
      <c r="C661" t="s">
        <v>694</v>
      </c>
      <c r="D661">
        <v>659</v>
      </c>
      <c r="F661">
        <v>65535</v>
      </c>
      <c r="I661" t="s">
        <v>728</v>
      </c>
      <c r="AN661">
        <v>0</v>
      </c>
      <c r="AO661">
        <v>0</v>
      </c>
      <c r="AP661">
        <v>0</v>
      </c>
      <c r="AS661">
        <v>65535</v>
      </c>
      <c r="AT661">
        <v>65535</v>
      </c>
      <c r="AU661">
        <v>65535</v>
      </c>
      <c r="BI661">
        <v>0</v>
      </c>
      <c r="BK661">
        <v>0</v>
      </c>
      <c r="BL661">
        <v>0</v>
      </c>
      <c r="BP661">
        <v>65535</v>
      </c>
      <c r="BQ661">
        <v>65535</v>
      </c>
      <c r="CB661">
        <v>19.593198776245117</v>
      </c>
      <c r="CC661">
        <v>6.0992279052734375</v>
      </c>
    </row>
    <row r="662" spans="1:81" ht="12.75" customHeight="1">
      <c r="A662" t="s">
        <v>728</v>
      </c>
      <c r="C662" t="s">
        <v>694</v>
      </c>
      <c r="D662">
        <v>660</v>
      </c>
      <c r="F662">
        <v>65535</v>
      </c>
      <c r="I662" t="s">
        <v>728</v>
      </c>
      <c r="AN662">
        <v>0</v>
      </c>
      <c r="AO662">
        <v>0</v>
      </c>
      <c r="AP662">
        <v>0</v>
      </c>
      <c r="AS662">
        <v>65535</v>
      </c>
      <c r="AT662">
        <v>65535</v>
      </c>
      <c r="AU662">
        <v>65535</v>
      </c>
      <c r="BI662">
        <v>0</v>
      </c>
      <c r="BK662">
        <v>0</v>
      </c>
      <c r="BL662">
        <v>0</v>
      </c>
      <c r="BP662">
        <v>65535</v>
      </c>
      <c r="BQ662">
        <v>65535</v>
      </c>
      <c r="CB662">
        <v>19.593198776245117</v>
      </c>
      <c r="CC662">
        <v>6.0992279052734375</v>
      </c>
    </row>
    <row r="663" spans="1:81" ht="12.75" customHeight="1">
      <c r="A663" t="s">
        <v>728</v>
      </c>
      <c r="C663" t="s">
        <v>694</v>
      </c>
      <c r="D663">
        <v>661</v>
      </c>
      <c r="F663">
        <v>65535</v>
      </c>
      <c r="I663" t="s">
        <v>728</v>
      </c>
      <c r="AN663">
        <v>0</v>
      </c>
      <c r="AO663">
        <v>0</v>
      </c>
      <c r="AP663">
        <v>0</v>
      </c>
      <c r="AS663">
        <v>65535</v>
      </c>
      <c r="AT663">
        <v>65535</v>
      </c>
      <c r="AU663">
        <v>65535</v>
      </c>
      <c r="BI663">
        <v>0</v>
      </c>
      <c r="BK663">
        <v>0</v>
      </c>
      <c r="BL663">
        <v>0</v>
      </c>
      <c r="BP663">
        <v>65535</v>
      </c>
      <c r="BQ663">
        <v>65535</v>
      </c>
      <c r="CB663">
        <v>19.593198776245117</v>
      </c>
      <c r="CC663">
        <v>6.0992279052734375</v>
      </c>
    </row>
    <row r="664" spans="1:81" ht="12.75" customHeight="1">
      <c r="A664" t="s">
        <v>728</v>
      </c>
      <c r="C664" t="s">
        <v>694</v>
      </c>
      <c r="D664">
        <v>662</v>
      </c>
      <c r="F664">
        <v>65535</v>
      </c>
      <c r="I664" t="s">
        <v>728</v>
      </c>
      <c r="AN664">
        <v>0</v>
      </c>
      <c r="AO664">
        <v>0</v>
      </c>
      <c r="AP664">
        <v>0</v>
      </c>
      <c r="AS664">
        <v>65535</v>
      </c>
      <c r="AT664">
        <v>65535</v>
      </c>
      <c r="AU664">
        <v>65535</v>
      </c>
      <c r="BI664">
        <v>0</v>
      </c>
      <c r="BK664">
        <v>0</v>
      </c>
      <c r="BL664">
        <v>0</v>
      </c>
      <c r="BP664">
        <v>65535</v>
      </c>
      <c r="BQ664">
        <v>65535</v>
      </c>
      <c r="CB664">
        <v>19.593198776245117</v>
      </c>
      <c r="CC664">
        <v>6.0992279052734375</v>
      </c>
    </row>
    <row r="665" spans="1:81" ht="12.75" customHeight="1">
      <c r="A665" t="s">
        <v>728</v>
      </c>
      <c r="C665" t="s">
        <v>694</v>
      </c>
      <c r="D665">
        <v>663</v>
      </c>
      <c r="F665">
        <v>65535</v>
      </c>
      <c r="I665" t="s">
        <v>728</v>
      </c>
      <c r="AN665">
        <v>0</v>
      </c>
      <c r="AO665">
        <v>0</v>
      </c>
      <c r="AP665">
        <v>0</v>
      </c>
      <c r="AS665">
        <v>65535</v>
      </c>
      <c r="AT665">
        <v>65535</v>
      </c>
      <c r="AU665">
        <v>65535</v>
      </c>
      <c r="BI665">
        <v>0</v>
      </c>
      <c r="BK665">
        <v>0</v>
      </c>
      <c r="BL665">
        <v>0</v>
      </c>
      <c r="BP665">
        <v>65535</v>
      </c>
      <c r="BQ665">
        <v>65535</v>
      </c>
      <c r="CB665">
        <v>19.593198776245117</v>
      </c>
      <c r="CC665">
        <v>6.0992279052734375</v>
      </c>
    </row>
    <row r="666" spans="1:81" ht="12.75" customHeight="1">
      <c r="A666" t="s">
        <v>728</v>
      </c>
      <c r="C666" t="s">
        <v>694</v>
      </c>
      <c r="D666">
        <v>664</v>
      </c>
      <c r="F666">
        <v>65535</v>
      </c>
      <c r="I666" t="s">
        <v>728</v>
      </c>
      <c r="AN666">
        <v>0</v>
      </c>
      <c r="AO666">
        <v>0</v>
      </c>
      <c r="AP666">
        <v>0</v>
      </c>
      <c r="AS666">
        <v>65535</v>
      </c>
      <c r="AT666">
        <v>65535</v>
      </c>
      <c r="AU666">
        <v>65535</v>
      </c>
      <c r="BI666">
        <v>0</v>
      </c>
      <c r="BK666">
        <v>0</v>
      </c>
      <c r="BL666">
        <v>0</v>
      </c>
      <c r="BP666">
        <v>65535</v>
      </c>
      <c r="BQ666">
        <v>65535</v>
      </c>
      <c r="CB666">
        <v>19.593198776245117</v>
      </c>
      <c r="CC666">
        <v>6.0992279052734375</v>
      </c>
    </row>
    <row r="667" spans="1:81" ht="12.75" customHeight="1">
      <c r="A667" t="s">
        <v>728</v>
      </c>
      <c r="C667" t="s">
        <v>694</v>
      </c>
      <c r="D667">
        <v>665</v>
      </c>
      <c r="F667">
        <v>65535</v>
      </c>
      <c r="I667" t="s">
        <v>728</v>
      </c>
      <c r="AN667">
        <v>0</v>
      </c>
      <c r="AO667">
        <v>0</v>
      </c>
      <c r="AP667">
        <v>0</v>
      </c>
      <c r="AS667">
        <v>65535</v>
      </c>
      <c r="AT667">
        <v>65535</v>
      </c>
      <c r="AU667">
        <v>65535</v>
      </c>
      <c r="BI667">
        <v>0</v>
      </c>
      <c r="BK667">
        <v>0</v>
      </c>
      <c r="BL667">
        <v>0</v>
      </c>
      <c r="BP667">
        <v>65535</v>
      </c>
      <c r="BQ667">
        <v>65535</v>
      </c>
      <c r="CB667">
        <v>19.593198776245117</v>
      </c>
      <c r="CC667">
        <v>6.0992279052734375</v>
      </c>
    </row>
    <row r="668" spans="1:81" ht="12.75" customHeight="1">
      <c r="A668" t="s">
        <v>728</v>
      </c>
      <c r="C668" t="s">
        <v>694</v>
      </c>
      <c r="D668">
        <v>666</v>
      </c>
      <c r="F668">
        <v>65535</v>
      </c>
      <c r="I668" t="s">
        <v>728</v>
      </c>
      <c r="AN668">
        <v>0</v>
      </c>
      <c r="AO668">
        <v>0</v>
      </c>
      <c r="AP668">
        <v>0</v>
      </c>
      <c r="AS668">
        <v>65535</v>
      </c>
      <c r="AT668">
        <v>65535</v>
      </c>
      <c r="AU668">
        <v>65535</v>
      </c>
      <c r="BI668">
        <v>0</v>
      </c>
      <c r="BK668">
        <v>0</v>
      </c>
      <c r="BL668">
        <v>0</v>
      </c>
      <c r="BP668">
        <v>65535</v>
      </c>
      <c r="BQ668">
        <v>65535</v>
      </c>
      <c r="CB668">
        <v>19.593198776245117</v>
      </c>
      <c r="CC668">
        <v>6.0992279052734375</v>
      </c>
    </row>
    <row r="669" spans="1:81" ht="12.75" customHeight="1">
      <c r="A669" t="s">
        <v>728</v>
      </c>
      <c r="C669" t="s">
        <v>694</v>
      </c>
      <c r="D669">
        <v>667</v>
      </c>
      <c r="F669">
        <v>65535</v>
      </c>
      <c r="I669" t="s">
        <v>728</v>
      </c>
      <c r="AN669">
        <v>0</v>
      </c>
      <c r="AO669">
        <v>0</v>
      </c>
      <c r="AP669">
        <v>0</v>
      </c>
      <c r="AS669">
        <v>65535</v>
      </c>
      <c r="AT669">
        <v>65535</v>
      </c>
      <c r="AU669">
        <v>65535</v>
      </c>
      <c r="BI669">
        <v>0</v>
      </c>
      <c r="BK669">
        <v>0</v>
      </c>
      <c r="BL669">
        <v>0</v>
      </c>
      <c r="BP669">
        <v>65535</v>
      </c>
      <c r="BQ669">
        <v>65535</v>
      </c>
      <c r="CB669">
        <v>19.593198776245117</v>
      </c>
      <c r="CC669">
        <v>6.0992279052734375</v>
      </c>
    </row>
    <row r="670" spans="1:81" ht="12.75" customHeight="1">
      <c r="A670" t="s">
        <v>728</v>
      </c>
      <c r="C670" t="s">
        <v>694</v>
      </c>
      <c r="D670">
        <v>668</v>
      </c>
      <c r="F670">
        <v>65535</v>
      </c>
      <c r="I670" t="s">
        <v>728</v>
      </c>
      <c r="AN670">
        <v>0</v>
      </c>
      <c r="AO670">
        <v>0</v>
      </c>
      <c r="AP670">
        <v>0</v>
      </c>
      <c r="AS670">
        <v>65535</v>
      </c>
      <c r="AT670">
        <v>65535</v>
      </c>
      <c r="AU670">
        <v>65535</v>
      </c>
      <c r="BI670">
        <v>0</v>
      </c>
      <c r="BK670">
        <v>0</v>
      </c>
      <c r="BL670">
        <v>0</v>
      </c>
      <c r="BP670">
        <v>65535</v>
      </c>
      <c r="BQ670">
        <v>65535</v>
      </c>
      <c r="CB670">
        <v>19.593198776245117</v>
      </c>
      <c r="CC670">
        <v>6.0992279052734375</v>
      </c>
    </row>
    <row r="671" spans="1:81" ht="12.75" customHeight="1">
      <c r="A671" t="s">
        <v>728</v>
      </c>
      <c r="C671" t="s">
        <v>694</v>
      </c>
      <c r="D671">
        <v>669</v>
      </c>
      <c r="F671">
        <v>65535</v>
      </c>
      <c r="I671" t="s">
        <v>728</v>
      </c>
      <c r="AN671">
        <v>0</v>
      </c>
      <c r="AO671">
        <v>0</v>
      </c>
      <c r="AP671">
        <v>0</v>
      </c>
      <c r="AS671">
        <v>65535</v>
      </c>
      <c r="AT671">
        <v>65535</v>
      </c>
      <c r="AU671">
        <v>65535</v>
      </c>
      <c r="BI671">
        <v>0</v>
      </c>
      <c r="BK671">
        <v>0</v>
      </c>
      <c r="BL671">
        <v>0</v>
      </c>
      <c r="BP671">
        <v>65535</v>
      </c>
      <c r="BQ671">
        <v>65535</v>
      </c>
      <c r="CB671">
        <v>19.593198776245117</v>
      </c>
      <c r="CC671">
        <v>6.0992279052734375</v>
      </c>
    </row>
    <row r="672" spans="1:81" ht="12.75" customHeight="1">
      <c r="A672" t="s">
        <v>728</v>
      </c>
      <c r="C672" t="s">
        <v>694</v>
      </c>
      <c r="D672">
        <v>670</v>
      </c>
      <c r="F672">
        <v>65535</v>
      </c>
      <c r="I672" t="s">
        <v>728</v>
      </c>
      <c r="AN672">
        <v>0</v>
      </c>
      <c r="AO672">
        <v>0</v>
      </c>
      <c r="AP672">
        <v>0</v>
      </c>
      <c r="AS672">
        <v>65535</v>
      </c>
      <c r="AT672">
        <v>65535</v>
      </c>
      <c r="AU672">
        <v>65535</v>
      </c>
      <c r="BI672">
        <v>0</v>
      </c>
      <c r="BK672">
        <v>0</v>
      </c>
      <c r="BL672">
        <v>0</v>
      </c>
      <c r="BP672">
        <v>65535</v>
      </c>
      <c r="BQ672">
        <v>65535</v>
      </c>
      <c r="CB672">
        <v>19.593198776245117</v>
      </c>
      <c r="CC672">
        <v>6.0992279052734375</v>
      </c>
    </row>
    <row r="673" spans="1:81" ht="12.75" customHeight="1">
      <c r="A673" t="s">
        <v>728</v>
      </c>
      <c r="C673" t="s">
        <v>694</v>
      </c>
      <c r="D673">
        <v>671</v>
      </c>
      <c r="F673">
        <v>65535</v>
      </c>
      <c r="I673" t="s">
        <v>728</v>
      </c>
      <c r="AN673">
        <v>0</v>
      </c>
      <c r="AO673">
        <v>0</v>
      </c>
      <c r="AP673">
        <v>0</v>
      </c>
      <c r="AS673">
        <v>65535</v>
      </c>
      <c r="AT673">
        <v>65535</v>
      </c>
      <c r="AU673">
        <v>65535</v>
      </c>
      <c r="BI673">
        <v>0</v>
      </c>
      <c r="BK673">
        <v>0</v>
      </c>
      <c r="BL673">
        <v>0</v>
      </c>
      <c r="BP673">
        <v>65535</v>
      </c>
      <c r="BQ673">
        <v>65535</v>
      </c>
      <c r="CB673">
        <v>19.593198776245117</v>
      </c>
      <c r="CC673">
        <v>6.0992279052734375</v>
      </c>
    </row>
    <row r="674" spans="1:81" ht="12.75" customHeight="1">
      <c r="A674" t="s">
        <v>728</v>
      </c>
      <c r="C674" t="s">
        <v>694</v>
      </c>
      <c r="D674">
        <v>672</v>
      </c>
      <c r="F674">
        <v>65535</v>
      </c>
      <c r="I674" t="s">
        <v>728</v>
      </c>
      <c r="AN674">
        <v>0</v>
      </c>
      <c r="AO674">
        <v>0</v>
      </c>
      <c r="AP674">
        <v>0</v>
      </c>
      <c r="AS674">
        <v>65535</v>
      </c>
      <c r="AT674">
        <v>65535</v>
      </c>
      <c r="AU674">
        <v>65535</v>
      </c>
      <c r="BI674">
        <v>0</v>
      </c>
      <c r="BK674">
        <v>0</v>
      </c>
      <c r="BL674">
        <v>0</v>
      </c>
      <c r="BP674">
        <v>65535</v>
      </c>
      <c r="BQ674">
        <v>65535</v>
      </c>
      <c r="CB674">
        <v>19.593198776245117</v>
      </c>
      <c r="CC674">
        <v>6.0992279052734375</v>
      </c>
    </row>
    <row r="675" spans="1:81" ht="12.75" customHeight="1">
      <c r="A675" t="s">
        <v>728</v>
      </c>
      <c r="C675" t="s">
        <v>694</v>
      </c>
      <c r="D675">
        <v>673</v>
      </c>
      <c r="F675">
        <v>65535</v>
      </c>
      <c r="I675" t="s">
        <v>728</v>
      </c>
      <c r="AN675">
        <v>0</v>
      </c>
      <c r="AO675">
        <v>0</v>
      </c>
      <c r="AP675">
        <v>0</v>
      </c>
      <c r="AS675">
        <v>65535</v>
      </c>
      <c r="AT675">
        <v>65535</v>
      </c>
      <c r="AU675">
        <v>65535</v>
      </c>
      <c r="BI675">
        <v>0</v>
      </c>
      <c r="BK675">
        <v>0</v>
      </c>
      <c r="BL675">
        <v>0</v>
      </c>
      <c r="BP675">
        <v>65535</v>
      </c>
      <c r="BQ675">
        <v>65535</v>
      </c>
      <c r="CB675">
        <v>19.593198776245117</v>
      </c>
      <c r="CC675">
        <v>6.0992279052734375</v>
      </c>
    </row>
    <row r="676" spans="1:81" ht="12.75" customHeight="1">
      <c r="A676" t="s">
        <v>728</v>
      </c>
      <c r="C676" t="s">
        <v>694</v>
      </c>
      <c r="D676">
        <v>674</v>
      </c>
      <c r="F676">
        <v>65535</v>
      </c>
      <c r="I676" t="s">
        <v>728</v>
      </c>
      <c r="AN676">
        <v>0</v>
      </c>
      <c r="AO676">
        <v>0</v>
      </c>
      <c r="AP676">
        <v>0</v>
      </c>
      <c r="AS676">
        <v>65535</v>
      </c>
      <c r="AT676">
        <v>65535</v>
      </c>
      <c r="AU676">
        <v>65535</v>
      </c>
      <c r="BI676">
        <v>0</v>
      </c>
      <c r="BK676">
        <v>0</v>
      </c>
      <c r="BL676">
        <v>0</v>
      </c>
      <c r="BP676">
        <v>65535</v>
      </c>
      <c r="BQ676">
        <v>65535</v>
      </c>
      <c r="CB676">
        <v>19.593198776245117</v>
      </c>
      <c r="CC676">
        <v>6.0992279052734375</v>
      </c>
    </row>
    <row r="677" spans="1:81" ht="12.75" customHeight="1">
      <c r="A677" t="s">
        <v>728</v>
      </c>
      <c r="C677" t="s">
        <v>694</v>
      </c>
      <c r="D677">
        <v>675</v>
      </c>
      <c r="F677">
        <v>65535</v>
      </c>
      <c r="I677" t="s">
        <v>728</v>
      </c>
      <c r="AN677">
        <v>0</v>
      </c>
      <c r="AO677">
        <v>0</v>
      </c>
      <c r="AP677">
        <v>0</v>
      </c>
      <c r="AS677">
        <v>65535</v>
      </c>
      <c r="AT677">
        <v>65535</v>
      </c>
      <c r="AU677">
        <v>65535</v>
      </c>
      <c r="BI677">
        <v>0</v>
      </c>
      <c r="BK677">
        <v>0</v>
      </c>
      <c r="BL677">
        <v>0</v>
      </c>
      <c r="BP677">
        <v>65535</v>
      </c>
      <c r="BQ677">
        <v>65535</v>
      </c>
      <c r="CB677">
        <v>19.593198776245117</v>
      </c>
      <c r="CC677">
        <v>6.0992279052734375</v>
      </c>
    </row>
    <row r="678" spans="1:81" ht="12.75" customHeight="1">
      <c r="A678" t="s">
        <v>728</v>
      </c>
      <c r="C678" t="s">
        <v>694</v>
      </c>
      <c r="D678">
        <v>676</v>
      </c>
      <c r="F678">
        <v>65535</v>
      </c>
      <c r="I678" t="s">
        <v>728</v>
      </c>
      <c r="AN678">
        <v>0</v>
      </c>
      <c r="AO678">
        <v>0</v>
      </c>
      <c r="AP678">
        <v>0</v>
      </c>
      <c r="AS678">
        <v>65535</v>
      </c>
      <c r="AT678">
        <v>65535</v>
      </c>
      <c r="AU678">
        <v>65535</v>
      </c>
      <c r="BI678">
        <v>0</v>
      </c>
      <c r="BK678">
        <v>0</v>
      </c>
      <c r="BL678">
        <v>0</v>
      </c>
      <c r="BP678">
        <v>65535</v>
      </c>
      <c r="BQ678">
        <v>65535</v>
      </c>
      <c r="CB678">
        <v>19.593198776245117</v>
      </c>
      <c r="CC678">
        <v>6.0992279052734375</v>
      </c>
    </row>
    <row r="679" spans="1:81" ht="12.75" customHeight="1">
      <c r="A679" t="s">
        <v>728</v>
      </c>
      <c r="C679" t="s">
        <v>694</v>
      </c>
      <c r="D679">
        <v>677</v>
      </c>
      <c r="F679">
        <v>65535</v>
      </c>
      <c r="I679" t="s">
        <v>728</v>
      </c>
      <c r="AN679">
        <v>0</v>
      </c>
      <c r="AO679">
        <v>0</v>
      </c>
      <c r="AP679">
        <v>0</v>
      </c>
      <c r="AS679">
        <v>65535</v>
      </c>
      <c r="AT679">
        <v>65535</v>
      </c>
      <c r="AU679">
        <v>65535</v>
      </c>
      <c r="BI679">
        <v>0</v>
      </c>
      <c r="BK679">
        <v>0</v>
      </c>
      <c r="BL679">
        <v>0</v>
      </c>
      <c r="BP679">
        <v>65535</v>
      </c>
      <c r="BQ679">
        <v>65535</v>
      </c>
      <c r="CB679">
        <v>19.593198776245117</v>
      </c>
      <c r="CC679">
        <v>6.0992279052734375</v>
      </c>
    </row>
    <row r="680" spans="1:81" ht="12.75" customHeight="1">
      <c r="A680" t="s">
        <v>728</v>
      </c>
      <c r="C680" t="s">
        <v>694</v>
      </c>
      <c r="D680">
        <v>678</v>
      </c>
      <c r="F680">
        <v>65535</v>
      </c>
      <c r="I680" t="s">
        <v>728</v>
      </c>
      <c r="AN680">
        <v>0</v>
      </c>
      <c r="AO680">
        <v>0</v>
      </c>
      <c r="AP680">
        <v>0</v>
      </c>
      <c r="AS680">
        <v>65535</v>
      </c>
      <c r="AT680">
        <v>65535</v>
      </c>
      <c r="AU680">
        <v>65535</v>
      </c>
      <c r="BI680">
        <v>0</v>
      </c>
      <c r="BK680">
        <v>0</v>
      </c>
      <c r="BL680">
        <v>0</v>
      </c>
      <c r="BP680">
        <v>65535</v>
      </c>
      <c r="BQ680">
        <v>65535</v>
      </c>
      <c r="CB680">
        <v>19.593198776245117</v>
      </c>
      <c r="CC680">
        <v>6.0992279052734375</v>
      </c>
    </row>
    <row r="681" spans="1:81" ht="12.75" customHeight="1">
      <c r="A681" t="s">
        <v>728</v>
      </c>
      <c r="C681" t="s">
        <v>694</v>
      </c>
      <c r="D681">
        <v>679</v>
      </c>
      <c r="F681">
        <v>65535</v>
      </c>
      <c r="I681" t="s">
        <v>728</v>
      </c>
      <c r="AN681">
        <v>0</v>
      </c>
      <c r="AO681">
        <v>0</v>
      </c>
      <c r="AP681">
        <v>0</v>
      </c>
      <c r="AS681">
        <v>65535</v>
      </c>
      <c r="AT681">
        <v>65535</v>
      </c>
      <c r="AU681">
        <v>65535</v>
      </c>
      <c r="BI681">
        <v>0</v>
      </c>
      <c r="BK681">
        <v>0</v>
      </c>
      <c r="BL681">
        <v>0</v>
      </c>
      <c r="BP681">
        <v>65535</v>
      </c>
      <c r="BQ681">
        <v>65535</v>
      </c>
      <c r="CB681">
        <v>19.593198776245117</v>
      </c>
      <c r="CC681">
        <v>6.0992279052734375</v>
      </c>
    </row>
    <row r="682" spans="1:81" ht="12.75" customHeight="1">
      <c r="A682" t="s">
        <v>728</v>
      </c>
      <c r="C682" t="s">
        <v>694</v>
      </c>
      <c r="D682">
        <v>680</v>
      </c>
      <c r="F682">
        <v>65535</v>
      </c>
      <c r="I682" t="s">
        <v>728</v>
      </c>
      <c r="AN682">
        <v>0</v>
      </c>
      <c r="AO682">
        <v>0</v>
      </c>
      <c r="AP682">
        <v>0</v>
      </c>
      <c r="AS682">
        <v>65535</v>
      </c>
      <c r="AT682">
        <v>65535</v>
      </c>
      <c r="AU682">
        <v>65535</v>
      </c>
      <c r="BI682">
        <v>0</v>
      </c>
      <c r="BK682">
        <v>0</v>
      </c>
      <c r="BL682">
        <v>0</v>
      </c>
      <c r="BP682">
        <v>65535</v>
      </c>
      <c r="BQ682">
        <v>65535</v>
      </c>
      <c r="CB682">
        <v>19.593198776245117</v>
      </c>
      <c r="CC682">
        <v>6.0992279052734375</v>
      </c>
    </row>
    <row r="683" spans="1:81" ht="12.75" customHeight="1">
      <c r="A683" t="s">
        <v>728</v>
      </c>
      <c r="C683" t="s">
        <v>694</v>
      </c>
      <c r="D683">
        <v>681</v>
      </c>
      <c r="F683">
        <v>65535</v>
      </c>
      <c r="I683" t="s">
        <v>728</v>
      </c>
      <c r="AN683">
        <v>0</v>
      </c>
      <c r="AO683">
        <v>0</v>
      </c>
      <c r="AP683">
        <v>0</v>
      </c>
      <c r="AS683">
        <v>65535</v>
      </c>
      <c r="AT683">
        <v>65535</v>
      </c>
      <c r="AU683">
        <v>65535</v>
      </c>
      <c r="BI683">
        <v>0</v>
      </c>
      <c r="BK683">
        <v>0</v>
      </c>
      <c r="BL683">
        <v>0</v>
      </c>
      <c r="BP683">
        <v>65535</v>
      </c>
      <c r="BQ683">
        <v>65535</v>
      </c>
      <c r="CB683">
        <v>19.593198776245117</v>
      </c>
      <c r="CC683">
        <v>6.0992279052734375</v>
      </c>
    </row>
    <row r="684" spans="1:81" ht="12.75" customHeight="1">
      <c r="A684" t="s">
        <v>728</v>
      </c>
      <c r="C684" t="s">
        <v>694</v>
      </c>
      <c r="D684">
        <v>682</v>
      </c>
      <c r="F684">
        <v>65535</v>
      </c>
      <c r="I684" t="s">
        <v>728</v>
      </c>
      <c r="AN684">
        <v>0</v>
      </c>
      <c r="AO684">
        <v>0</v>
      </c>
      <c r="AP684">
        <v>0</v>
      </c>
      <c r="AS684">
        <v>65535</v>
      </c>
      <c r="AT684">
        <v>65535</v>
      </c>
      <c r="AU684">
        <v>65535</v>
      </c>
      <c r="BI684">
        <v>0</v>
      </c>
      <c r="BK684">
        <v>0</v>
      </c>
      <c r="BL684">
        <v>0</v>
      </c>
      <c r="BP684">
        <v>65535</v>
      </c>
      <c r="BQ684">
        <v>65535</v>
      </c>
      <c r="CB684">
        <v>19.593198776245117</v>
      </c>
      <c r="CC684">
        <v>6.0992279052734375</v>
      </c>
    </row>
    <row r="685" spans="1:81" ht="12.75" customHeight="1">
      <c r="A685" t="s">
        <v>728</v>
      </c>
      <c r="C685" t="s">
        <v>694</v>
      </c>
      <c r="D685">
        <v>683</v>
      </c>
      <c r="F685">
        <v>65535</v>
      </c>
      <c r="I685" t="s">
        <v>728</v>
      </c>
      <c r="AN685">
        <v>0</v>
      </c>
      <c r="AO685">
        <v>0</v>
      </c>
      <c r="AP685">
        <v>0</v>
      </c>
      <c r="AS685">
        <v>65535</v>
      </c>
      <c r="AT685">
        <v>65535</v>
      </c>
      <c r="AU685">
        <v>65535</v>
      </c>
      <c r="BI685">
        <v>0</v>
      </c>
      <c r="BK685">
        <v>0</v>
      </c>
      <c r="BL685">
        <v>0</v>
      </c>
      <c r="BP685">
        <v>65535</v>
      </c>
      <c r="BQ685">
        <v>65535</v>
      </c>
      <c r="CB685">
        <v>19.593198776245117</v>
      </c>
      <c r="CC685">
        <v>6.0992279052734375</v>
      </c>
    </row>
    <row r="686" spans="1:81" ht="12.75" customHeight="1">
      <c r="A686" t="s">
        <v>728</v>
      </c>
      <c r="C686" t="s">
        <v>694</v>
      </c>
      <c r="D686">
        <v>684</v>
      </c>
      <c r="F686">
        <v>65535</v>
      </c>
      <c r="I686" t="s">
        <v>728</v>
      </c>
      <c r="AN686">
        <v>0</v>
      </c>
      <c r="AO686">
        <v>0</v>
      </c>
      <c r="AP686">
        <v>0</v>
      </c>
      <c r="AS686">
        <v>65535</v>
      </c>
      <c r="AT686">
        <v>65535</v>
      </c>
      <c r="AU686">
        <v>65535</v>
      </c>
      <c r="BI686">
        <v>0</v>
      </c>
      <c r="BK686">
        <v>0</v>
      </c>
      <c r="BL686">
        <v>0</v>
      </c>
      <c r="BP686">
        <v>65535</v>
      </c>
      <c r="BQ686">
        <v>65535</v>
      </c>
      <c r="CB686">
        <v>19.593198776245117</v>
      </c>
      <c r="CC686">
        <v>6.0992279052734375</v>
      </c>
    </row>
    <row r="687" spans="1:81" ht="12.75" customHeight="1">
      <c r="A687" t="s">
        <v>728</v>
      </c>
      <c r="C687" t="s">
        <v>694</v>
      </c>
      <c r="D687">
        <v>685</v>
      </c>
      <c r="F687">
        <v>65535</v>
      </c>
      <c r="I687" t="s">
        <v>728</v>
      </c>
      <c r="AN687">
        <v>0</v>
      </c>
      <c r="AO687">
        <v>0</v>
      </c>
      <c r="AP687">
        <v>0</v>
      </c>
      <c r="AS687">
        <v>65535</v>
      </c>
      <c r="AT687">
        <v>65535</v>
      </c>
      <c r="AU687">
        <v>65535</v>
      </c>
      <c r="BI687">
        <v>0</v>
      </c>
      <c r="BK687">
        <v>0</v>
      </c>
      <c r="BL687">
        <v>0</v>
      </c>
      <c r="BP687">
        <v>65535</v>
      </c>
      <c r="BQ687">
        <v>65535</v>
      </c>
      <c r="CB687">
        <v>19.593198776245117</v>
      </c>
      <c r="CC687">
        <v>6.0992279052734375</v>
      </c>
    </row>
    <row r="688" spans="1:81" ht="12.75" customHeight="1">
      <c r="A688" t="s">
        <v>728</v>
      </c>
      <c r="C688" t="s">
        <v>694</v>
      </c>
      <c r="D688">
        <v>686</v>
      </c>
      <c r="F688">
        <v>65535</v>
      </c>
      <c r="I688" t="s">
        <v>728</v>
      </c>
      <c r="AN688">
        <v>0</v>
      </c>
      <c r="AO688">
        <v>0</v>
      </c>
      <c r="AP688">
        <v>0</v>
      </c>
      <c r="AS688">
        <v>65535</v>
      </c>
      <c r="AT688">
        <v>65535</v>
      </c>
      <c r="AU688">
        <v>65535</v>
      </c>
      <c r="BI688">
        <v>0</v>
      </c>
      <c r="BK688">
        <v>0</v>
      </c>
      <c r="BL688">
        <v>0</v>
      </c>
      <c r="BP688">
        <v>65535</v>
      </c>
      <c r="BQ688">
        <v>65535</v>
      </c>
      <c r="CB688">
        <v>19.593198776245117</v>
      </c>
      <c r="CC688">
        <v>6.0992279052734375</v>
      </c>
    </row>
    <row r="689" spans="1:81" ht="12.75" customHeight="1">
      <c r="A689" t="s">
        <v>728</v>
      </c>
      <c r="C689" t="s">
        <v>694</v>
      </c>
      <c r="D689">
        <v>687</v>
      </c>
      <c r="F689">
        <v>65535</v>
      </c>
      <c r="I689" t="s">
        <v>728</v>
      </c>
      <c r="AN689">
        <v>0</v>
      </c>
      <c r="AO689">
        <v>0</v>
      </c>
      <c r="AP689">
        <v>0</v>
      </c>
      <c r="AS689">
        <v>65535</v>
      </c>
      <c r="AT689">
        <v>65535</v>
      </c>
      <c r="AU689">
        <v>65535</v>
      </c>
      <c r="BI689">
        <v>0</v>
      </c>
      <c r="BK689">
        <v>0</v>
      </c>
      <c r="BL689">
        <v>0</v>
      </c>
      <c r="BP689">
        <v>65535</v>
      </c>
      <c r="BQ689">
        <v>65535</v>
      </c>
      <c r="CB689">
        <v>19.593198776245117</v>
      </c>
      <c r="CC689">
        <v>6.0992279052734375</v>
      </c>
    </row>
    <row r="690" spans="1:81" ht="12.75" customHeight="1">
      <c r="A690" t="s">
        <v>728</v>
      </c>
      <c r="C690" t="s">
        <v>694</v>
      </c>
      <c r="D690">
        <v>688</v>
      </c>
      <c r="F690">
        <v>65535</v>
      </c>
      <c r="I690" t="s">
        <v>728</v>
      </c>
      <c r="AN690">
        <v>0</v>
      </c>
      <c r="AO690">
        <v>0</v>
      </c>
      <c r="AP690">
        <v>0</v>
      </c>
      <c r="AS690">
        <v>65535</v>
      </c>
      <c r="AT690">
        <v>65535</v>
      </c>
      <c r="AU690">
        <v>65535</v>
      </c>
      <c r="BI690">
        <v>0</v>
      </c>
      <c r="BK690">
        <v>0</v>
      </c>
      <c r="BL690">
        <v>0</v>
      </c>
      <c r="BP690">
        <v>65535</v>
      </c>
      <c r="BQ690">
        <v>65535</v>
      </c>
      <c r="CB690">
        <v>19.593198776245117</v>
      </c>
      <c r="CC690">
        <v>6.0992279052734375</v>
      </c>
    </row>
    <row r="691" spans="1:81" ht="12.75" customHeight="1">
      <c r="A691" t="s">
        <v>728</v>
      </c>
      <c r="C691" t="s">
        <v>694</v>
      </c>
      <c r="D691">
        <v>689</v>
      </c>
      <c r="F691">
        <v>65535</v>
      </c>
      <c r="I691" t="s">
        <v>728</v>
      </c>
      <c r="AN691">
        <v>0</v>
      </c>
      <c r="AO691">
        <v>0</v>
      </c>
      <c r="AP691">
        <v>0</v>
      </c>
      <c r="AS691">
        <v>65535</v>
      </c>
      <c r="AT691">
        <v>65535</v>
      </c>
      <c r="AU691">
        <v>65535</v>
      </c>
      <c r="BI691">
        <v>0</v>
      </c>
      <c r="BK691">
        <v>0</v>
      </c>
      <c r="BL691">
        <v>0</v>
      </c>
      <c r="BP691">
        <v>65535</v>
      </c>
      <c r="BQ691">
        <v>65535</v>
      </c>
      <c r="CB691">
        <v>19.593198776245117</v>
      </c>
      <c r="CC691">
        <v>6.0992279052734375</v>
      </c>
    </row>
    <row r="692" spans="1:81" ht="12.75" customHeight="1">
      <c r="A692" t="s">
        <v>728</v>
      </c>
      <c r="C692" t="s">
        <v>694</v>
      </c>
      <c r="D692">
        <v>690</v>
      </c>
      <c r="F692">
        <v>65535</v>
      </c>
      <c r="I692" t="s">
        <v>728</v>
      </c>
      <c r="AN692">
        <v>0</v>
      </c>
      <c r="AO692">
        <v>0</v>
      </c>
      <c r="AP692">
        <v>0</v>
      </c>
      <c r="AS692">
        <v>65535</v>
      </c>
      <c r="AT692">
        <v>65535</v>
      </c>
      <c r="AU692">
        <v>65535</v>
      </c>
      <c r="BI692">
        <v>0</v>
      </c>
      <c r="BK692">
        <v>0</v>
      </c>
      <c r="BL692">
        <v>0</v>
      </c>
      <c r="BP692">
        <v>65535</v>
      </c>
      <c r="BQ692">
        <v>65535</v>
      </c>
      <c r="CB692">
        <v>19.593198776245117</v>
      </c>
      <c r="CC692">
        <v>6.0992279052734375</v>
      </c>
    </row>
    <row r="693" spans="1:81" ht="12.75" customHeight="1">
      <c r="A693" t="s">
        <v>728</v>
      </c>
      <c r="C693" t="s">
        <v>694</v>
      </c>
      <c r="D693">
        <v>691</v>
      </c>
      <c r="F693">
        <v>65535</v>
      </c>
      <c r="I693" t="s">
        <v>728</v>
      </c>
      <c r="AN693">
        <v>0</v>
      </c>
      <c r="AO693">
        <v>0</v>
      </c>
      <c r="AP693">
        <v>0</v>
      </c>
      <c r="AS693">
        <v>65535</v>
      </c>
      <c r="AT693">
        <v>65535</v>
      </c>
      <c r="AU693">
        <v>65535</v>
      </c>
      <c r="BI693">
        <v>0</v>
      </c>
      <c r="BK693">
        <v>0</v>
      </c>
      <c r="BL693">
        <v>0</v>
      </c>
      <c r="BP693">
        <v>65535</v>
      </c>
      <c r="BQ693">
        <v>65535</v>
      </c>
      <c r="CB693">
        <v>19.593198776245117</v>
      </c>
      <c r="CC693">
        <v>6.0992279052734375</v>
      </c>
    </row>
    <row r="694" spans="1:81" ht="12.75" customHeight="1">
      <c r="A694" t="s">
        <v>728</v>
      </c>
      <c r="C694" t="s">
        <v>694</v>
      </c>
      <c r="D694">
        <v>692</v>
      </c>
      <c r="F694">
        <v>65535</v>
      </c>
      <c r="I694" t="s">
        <v>728</v>
      </c>
      <c r="AN694">
        <v>0</v>
      </c>
      <c r="AO694">
        <v>0</v>
      </c>
      <c r="AP694">
        <v>0</v>
      </c>
      <c r="AS694">
        <v>65535</v>
      </c>
      <c r="AT694">
        <v>65535</v>
      </c>
      <c r="AU694">
        <v>65535</v>
      </c>
      <c r="BI694">
        <v>0</v>
      </c>
      <c r="BK694">
        <v>0</v>
      </c>
      <c r="BL694">
        <v>0</v>
      </c>
      <c r="BP694">
        <v>65535</v>
      </c>
      <c r="BQ694">
        <v>65535</v>
      </c>
      <c r="CB694">
        <v>19.593198776245117</v>
      </c>
      <c r="CC694">
        <v>6.0992279052734375</v>
      </c>
    </row>
    <row r="695" spans="1:81" ht="12.75" customHeight="1">
      <c r="A695" t="s">
        <v>728</v>
      </c>
      <c r="C695" t="s">
        <v>694</v>
      </c>
      <c r="D695">
        <v>693</v>
      </c>
      <c r="F695">
        <v>65535</v>
      </c>
      <c r="I695" t="s">
        <v>728</v>
      </c>
      <c r="AN695">
        <v>0</v>
      </c>
      <c r="AO695">
        <v>0</v>
      </c>
      <c r="AP695">
        <v>0</v>
      </c>
      <c r="AS695">
        <v>65535</v>
      </c>
      <c r="AT695">
        <v>65535</v>
      </c>
      <c r="AU695">
        <v>65535</v>
      </c>
      <c r="BI695">
        <v>0</v>
      </c>
      <c r="BK695">
        <v>0</v>
      </c>
      <c r="BL695">
        <v>0</v>
      </c>
      <c r="BP695">
        <v>65535</v>
      </c>
      <c r="BQ695">
        <v>65535</v>
      </c>
      <c r="CB695">
        <v>19.593198776245117</v>
      </c>
      <c r="CC695">
        <v>6.0992279052734375</v>
      </c>
    </row>
    <row r="696" spans="1:81" ht="12.75" customHeight="1">
      <c r="A696" t="s">
        <v>728</v>
      </c>
      <c r="C696" t="s">
        <v>694</v>
      </c>
      <c r="D696">
        <v>694</v>
      </c>
      <c r="F696">
        <v>65535</v>
      </c>
      <c r="I696" t="s">
        <v>728</v>
      </c>
      <c r="AN696">
        <v>0</v>
      </c>
      <c r="AO696">
        <v>0</v>
      </c>
      <c r="AP696">
        <v>0</v>
      </c>
      <c r="AS696">
        <v>65535</v>
      </c>
      <c r="AT696">
        <v>65535</v>
      </c>
      <c r="AU696">
        <v>65535</v>
      </c>
      <c r="BI696">
        <v>0</v>
      </c>
      <c r="BK696">
        <v>0</v>
      </c>
      <c r="BL696">
        <v>0</v>
      </c>
      <c r="BP696">
        <v>65535</v>
      </c>
      <c r="BQ696">
        <v>65535</v>
      </c>
      <c r="CB696">
        <v>19.593198776245117</v>
      </c>
      <c r="CC696">
        <v>6.0992279052734375</v>
      </c>
    </row>
    <row r="697" spans="1:81" ht="12.75" customHeight="1">
      <c r="A697" t="s">
        <v>728</v>
      </c>
      <c r="C697" t="s">
        <v>694</v>
      </c>
      <c r="D697">
        <v>695</v>
      </c>
      <c r="F697">
        <v>65535</v>
      </c>
      <c r="I697" t="s">
        <v>728</v>
      </c>
      <c r="AN697">
        <v>0</v>
      </c>
      <c r="AO697">
        <v>0</v>
      </c>
      <c r="AP697">
        <v>0</v>
      </c>
      <c r="AS697">
        <v>65535</v>
      </c>
      <c r="AT697">
        <v>65535</v>
      </c>
      <c r="AU697">
        <v>65535</v>
      </c>
      <c r="BI697">
        <v>0</v>
      </c>
      <c r="BK697">
        <v>0</v>
      </c>
      <c r="BL697">
        <v>0</v>
      </c>
      <c r="BP697">
        <v>65535</v>
      </c>
      <c r="BQ697">
        <v>65535</v>
      </c>
      <c r="CB697">
        <v>19.593198776245117</v>
      </c>
      <c r="CC697">
        <v>6.0992279052734375</v>
      </c>
    </row>
    <row r="698" spans="1:81" ht="12.75" customHeight="1">
      <c r="A698" t="s">
        <v>728</v>
      </c>
      <c r="C698" t="s">
        <v>694</v>
      </c>
      <c r="D698">
        <v>696</v>
      </c>
      <c r="F698">
        <v>65535</v>
      </c>
      <c r="I698" t="s">
        <v>728</v>
      </c>
      <c r="AN698">
        <v>0</v>
      </c>
      <c r="AO698">
        <v>0</v>
      </c>
      <c r="AP698">
        <v>0</v>
      </c>
      <c r="AS698">
        <v>65535</v>
      </c>
      <c r="AT698">
        <v>65535</v>
      </c>
      <c r="AU698">
        <v>65535</v>
      </c>
      <c r="BI698">
        <v>0</v>
      </c>
      <c r="BK698">
        <v>0</v>
      </c>
      <c r="BL698">
        <v>0</v>
      </c>
      <c r="BP698">
        <v>65535</v>
      </c>
      <c r="BQ698">
        <v>65535</v>
      </c>
      <c r="CB698">
        <v>19.593198776245117</v>
      </c>
      <c r="CC698">
        <v>6.0992279052734375</v>
      </c>
    </row>
    <row r="699" spans="1:81" ht="12.75" customHeight="1">
      <c r="A699" t="s">
        <v>728</v>
      </c>
      <c r="C699" t="s">
        <v>694</v>
      </c>
      <c r="D699">
        <v>697</v>
      </c>
      <c r="F699">
        <v>65535</v>
      </c>
      <c r="I699" t="s">
        <v>728</v>
      </c>
      <c r="AN699">
        <v>0</v>
      </c>
      <c r="AO699">
        <v>0</v>
      </c>
      <c r="AP699">
        <v>0</v>
      </c>
      <c r="AS699">
        <v>65535</v>
      </c>
      <c r="AT699">
        <v>65535</v>
      </c>
      <c r="AU699">
        <v>65535</v>
      </c>
      <c r="BI699">
        <v>0</v>
      </c>
      <c r="BK699">
        <v>0</v>
      </c>
      <c r="BL699">
        <v>0</v>
      </c>
      <c r="BP699">
        <v>65535</v>
      </c>
      <c r="BQ699">
        <v>65535</v>
      </c>
      <c r="CB699">
        <v>19.593198776245117</v>
      </c>
      <c r="CC699">
        <v>6.0992279052734375</v>
      </c>
    </row>
    <row r="700" spans="1:81" ht="12.75" customHeight="1">
      <c r="A700" t="s">
        <v>728</v>
      </c>
      <c r="C700" t="s">
        <v>694</v>
      </c>
      <c r="D700">
        <v>698</v>
      </c>
      <c r="F700">
        <v>65535</v>
      </c>
      <c r="I700" t="s">
        <v>728</v>
      </c>
      <c r="AN700">
        <v>0</v>
      </c>
      <c r="AO700">
        <v>0</v>
      </c>
      <c r="AP700">
        <v>0</v>
      </c>
      <c r="AS700">
        <v>65535</v>
      </c>
      <c r="AT700">
        <v>65535</v>
      </c>
      <c r="AU700">
        <v>65535</v>
      </c>
      <c r="BI700">
        <v>0</v>
      </c>
      <c r="BK700">
        <v>0</v>
      </c>
      <c r="BL700">
        <v>0</v>
      </c>
      <c r="BP700">
        <v>65535</v>
      </c>
      <c r="BQ700">
        <v>65535</v>
      </c>
      <c r="CB700">
        <v>19.593198776245117</v>
      </c>
      <c r="CC700">
        <v>6.0992279052734375</v>
      </c>
    </row>
    <row r="701" spans="1:81" ht="12.75" customHeight="1">
      <c r="A701" t="s">
        <v>728</v>
      </c>
      <c r="C701" t="s">
        <v>694</v>
      </c>
      <c r="D701">
        <v>699</v>
      </c>
      <c r="F701">
        <v>65535</v>
      </c>
      <c r="I701" t="s">
        <v>728</v>
      </c>
      <c r="AN701">
        <v>0</v>
      </c>
      <c r="AO701">
        <v>0</v>
      </c>
      <c r="AP701">
        <v>0</v>
      </c>
      <c r="AS701">
        <v>65535</v>
      </c>
      <c r="AT701">
        <v>65535</v>
      </c>
      <c r="AU701">
        <v>65535</v>
      </c>
      <c r="BI701">
        <v>0</v>
      </c>
      <c r="BK701">
        <v>0</v>
      </c>
      <c r="BL701">
        <v>0</v>
      </c>
      <c r="BP701">
        <v>65535</v>
      </c>
      <c r="BQ701">
        <v>65535</v>
      </c>
      <c r="CB701">
        <v>19.593198776245117</v>
      </c>
      <c r="CC701">
        <v>6.0992279052734375</v>
      </c>
    </row>
    <row r="702" spans="1:81" ht="12.75" customHeight="1">
      <c r="A702" t="s">
        <v>728</v>
      </c>
      <c r="C702" t="s">
        <v>694</v>
      </c>
      <c r="D702">
        <v>700</v>
      </c>
      <c r="F702">
        <v>65535</v>
      </c>
      <c r="I702" t="s">
        <v>728</v>
      </c>
      <c r="AN702">
        <v>0</v>
      </c>
      <c r="AO702">
        <v>0</v>
      </c>
      <c r="AP702">
        <v>0</v>
      </c>
      <c r="AS702">
        <v>65535</v>
      </c>
      <c r="AT702">
        <v>65535</v>
      </c>
      <c r="AU702">
        <v>65535</v>
      </c>
      <c r="BI702">
        <v>0</v>
      </c>
      <c r="BK702">
        <v>0</v>
      </c>
      <c r="BL702">
        <v>0</v>
      </c>
      <c r="BP702">
        <v>65535</v>
      </c>
      <c r="BQ702">
        <v>65535</v>
      </c>
      <c r="CB702">
        <v>19.593198776245117</v>
      </c>
      <c r="CC702">
        <v>6.0992279052734375</v>
      </c>
    </row>
    <row r="703" spans="1:81" ht="12.75" customHeight="1">
      <c r="A703" t="s">
        <v>728</v>
      </c>
      <c r="C703" t="s">
        <v>694</v>
      </c>
      <c r="D703">
        <v>701</v>
      </c>
      <c r="F703">
        <v>65535</v>
      </c>
      <c r="I703" t="s">
        <v>728</v>
      </c>
      <c r="AN703">
        <v>0</v>
      </c>
      <c r="AO703">
        <v>0</v>
      </c>
      <c r="AP703">
        <v>0</v>
      </c>
      <c r="AS703">
        <v>65535</v>
      </c>
      <c r="AT703">
        <v>65535</v>
      </c>
      <c r="AU703">
        <v>65535</v>
      </c>
      <c r="BI703">
        <v>0</v>
      </c>
      <c r="BK703">
        <v>0</v>
      </c>
      <c r="BL703">
        <v>0</v>
      </c>
      <c r="BP703">
        <v>65535</v>
      </c>
      <c r="BQ703">
        <v>65535</v>
      </c>
      <c r="CB703">
        <v>19.593198776245117</v>
      </c>
      <c r="CC703">
        <v>6.0992279052734375</v>
      </c>
    </row>
    <row r="704" spans="1:81" ht="12.75" customHeight="1">
      <c r="A704" t="s">
        <v>728</v>
      </c>
      <c r="C704" t="s">
        <v>694</v>
      </c>
      <c r="D704">
        <v>702</v>
      </c>
      <c r="F704">
        <v>65535</v>
      </c>
      <c r="I704" t="s">
        <v>728</v>
      </c>
      <c r="AN704">
        <v>0</v>
      </c>
      <c r="AO704">
        <v>0</v>
      </c>
      <c r="AP704">
        <v>0</v>
      </c>
      <c r="AS704">
        <v>65535</v>
      </c>
      <c r="AT704">
        <v>65535</v>
      </c>
      <c r="AU704">
        <v>65535</v>
      </c>
      <c r="BI704">
        <v>0</v>
      </c>
      <c r="BK704">
        <v>0</v>
      </c>
      <c r="BL704">
        <v>0</v>
      </c>
      <c r="BP704">
        <v>65535</v>
      </c>
      <c r="BQ704">
        <v>65535</v>
      </c>
      <c r="CB704">
        <v>19.593198776245117</v>
      </c>
      <c r="CC704">
        <v>6.0992279052734375</v>
      </c>
    </row>
    <row r="705" spans="1:81" ht="12.75" customHeight="1">
      <c r="A705" t="s">
        <v>728</v>
      </c>
      <c r="C705" t="s">
        <v>694</v>
      </c>
      <c r="D705">
        <v>703</v>
      </c>
      <c r="F705">
        <v>65535</v>
      </c>
      <c r="I705" t="s">
        <v>728</v>
      </c>
      <c r="AN705">
        <v>0</v>
      </c>
      <c r="AO705">
        <v>0</v>
      </c>
      <c r="AP705">
        <v>0</v>
      </c>
      <c r="AS705">
        <v>65535</v>
      </c>
      <c r="AT705">
        <v>65535</v>
      </c>
      <c r="AU705">
        <v>65535</v>
      </c>
      <c r="BI705">
        <v>0</v>
      </c>
      <c r="BK705">
        <v>0</v>
      </c>
      <c r="BL705">
        <v>0</v>
      </c>
      <c r="BP705">
        <v>65535</v>
      </c>
      <c r="BQ705">
        <v>65535</v>
      </c>
      <c r="CB705">
        <v>19.593198776245117</v>
      </c>
      <c r="CC705">
        <v>6.0992279052734375</v>
      </c>
    </row>
    <row r="706" spans="1:81" ht="12.75" customHeight="1">
      <c r="A706" t="s">
        <v>728</v>
      </c>
      <c r="C706" t="s">
        <v>694</v>
      </c>
      <c r="D706">
        <v>704</v>
      </c>
      <c r="F706">
        <v>65535</v>
      </c>
      <c r="I706" t="s">
        <v>728</v>
      </c>
      <c r="AN706">
        <v>0</v>
      </c>
      <c r="AO706">
        <v>0</v>
      </c>
      <c r="AP706">
        <v>0</v>
      </c>
      <c r="AS706">
        <v>65535</v>
      </c>
      <c r="AT706">
        <v>65535</v>
      </c>
      <c r="AU706">
        <v>65535</v>
      </c>
      <c r="BI706">
        <v>0</v>
      </c>
      <c r="BK706">
        <v>0</v>
      </c>
      <c r="BL706">
        <v>0</v>
      </c>
      <c r="BP706">
        <v>65535</v>
      </c>
      <c r="BQ706">
        <v>65535</v>
      </c>
      <c r="CB706">
        <v>19.593198776245117</v>
      </c>
      <c r="CC706">
        <v>6.0992279052734375</v>
      </c>
    </row>
    <row r="707" spans="1:81" ht="12.75" customHeight="1">
      <c r="A707" t="s">
        <v>728</v>
      </c>
      <c r="C707" t="s">
        <v>694</v>
      </c>
      <c r="D707">
        <v>705</v>
      </c>
      <c r="F707">
        <v>65535</v>
      </c>
      <c r="I707" t="s">
        <v>728</v>
      </c>
      <c r="AN707">
        <v>0</v>
      </c>
      <c r="AO707">
        <v>0</v>
      </c>
      <c r="AP707">
        <v>0</v>
      </c>
      <c r="AS707">
        <v>65535</v>
      </c>
      <c r="AT707">
        <v>65535</v>
      </c>
      <c r="AU707">
        <v>65535</v>
      </c>
      <c r="BI707">
        <v>0</v>
      </c>
      <c r="BK707">
        <v>0</v>
      </c>
      <c r="BL707">
        <v>0</v>
      </c>
      <c r="BP707">
        <v>65535</v>
      </c>
      <c r="BQ707">
        <v>65535</v>
      </c>
      <c r="CB707">
        <v>19.593198776245117</v>
      </c>
      <c r="CC707">
        <v>6.0992279052734375</v>
      </c>
    </row>
    <row r="708" spans="1:81" ht="12.75" customHeight="1">
      <c r="A708" t="s">
        <v>728</v>
      </c>
      <c r="C708" t="s">
        <v>694</v>
      </c>
      <c r="D708">
        <v>706</v>
      </c>
      <c r="F708">
        <v>65535</v>
      </c>
      <c r="I708" t="s">
        <v>728</v>
      </c>
      <c r="AN708">
        <v>0</v>
      </c>
      <c r="AO708">
        <v>0</v>
      </c>
      <c r="AP708">
        <v>0</v>
      </c>
      <c r="AS708">
        <v>65535</v>
      </c>
      <c r="AT708">
        <v>65535</v>
      </c>
      <c r="AU708">
        <v>65535</v>
      </c>
      <c r="BI708">
        <v>0</v>
      </c>
      <c r="BK708">
        <v>0</v>
      </c>
      <c r="BL708">
        <v>0</v>
      </c>
      <c r="BP708">
        <v>65535</v>
      </c>
      <c r="BQ708">
        <v>65535</v>
      </c>
      <c r="CB708">
        <v>19.593198776245117</v>
      </c>
      <c r="CC708">
        <v>6.0992279052734375</v>
      </c>
    </row>
    <row r="709" spans="1:81" ht="12.75" customHeight="1">
      <c r="A709" t="s">
        <v>728</v>
      </c>
      <c r="C709" t="s">
        <v>694</v>
      </c>
      <c r="D709">
        <v>707</v>
      </c>
      <c r="F709">
        <v>65535</v>
      </c>
      <c r="I709" t="s">
        <v>728</v>
      </c>
      <c r="AN709">
        <v>0</v>
      </c>
      <c r="AO709">
        <v>0</v>
      </c>
      <c r="AP709">
        <v>0</v>
      </c>
      <c r="AS709">
        <v>65535</v>
      </c>
      <c r="AT709">
        <v>65535</v>
      </c>
      <c r="AU709">
        <v>65535</v>
      </c>
      <c r="BI709">
        <v>0</v>
      </c>
      <c r="BK709">
        <v>0</v>
      </c>
      <c r="BL709">
        <v>0</v>
      </c>
      <c r="BP709">
        <v>65535</v>
      </c>
      <c r="BQ709">
        <v>65535</v>
      </c>
      <c r="CB709">
        <v>19.593198776245117</v>
      </c>
      <c r="CC709">
        <v>6.0992279052734375</v>
      </c>
    </row>
    <row r="710" spans="1:81" ht="12.75" customHeight="1">
      <c r="A710" t="s">
        <v>728</v>
      </c>
      <c r="C710" t="s">
        <v>694</v>
      </c>
      <c r="D710">
        <v>708</v>
      </c>
      <c r="F710">
        <v>65535</v>
      </c>
      <c r="I710" t="s">
        <v>728</v>
      </c>
      <c r="AN710">
        <v>0</v>
      </c>
      <c r="AO710">
        <v>0</v>
      </c>
      <c r="AP710">
        <v>0</v>
      </c>
      <c r="AS710">
        <v>65535</v>
      </c>
      <c r="AT710">
        <v>65535</v>
      </c>
      <c r="AU710">
        <v>65535</v>
      </c>
      <c r="BI710">
        <v>0</v>
      </c>
      <c r="BK710">
        <v>0</v>
      </c>
      <c r="BL710">
        <v>0</v>
      </c>
      <c r="BP710">
        <v>65535</v>
      </c>
      <c r="BQ710">
        <v>65535</v>
      </c>
      <c r="CB710">
        <v>19.593198776245117</v>
      </c>
      <c r="CC710">
        <v>6.0992279052734375</v>
      </c>
    </row>
    <row r="711" spans="1:81" ht="12.75" customHeight="1">
      <c r="A711" t="s">
        <v>728</v>
      </c>
      <c r="C711" t="s">
        <v>694</v>
      </c>
      <c r="D711">
        <v>709</v>
      </c>
      <c r="F711">
        <v>65535</v>
      </c>
      <c r="I711" t="s">
        <v>728</v>
      </c>
      <c r="AN711">
        <v>0</v>
      </c>
      <c r="AO711">
        <v>0</v>
      </c>
      <c r="AP711">
        <v>0</v>
      </c>
      <c r="AS711">
        <v>65535</v>
      </c>
      <c r="AT711">
        <v>65535</v>
      </c>
      <c r="AU711">
        <v>65535</v>
      </c>
      <c r="BI711">
        <v>0</v>
      </c>
      <c r="BK711">
        <v>0</v>
      </c>
      <c r="BL711">
        <v>0</v>
      </c>
      <c r="BP711">
        <v>65535</v>
      </c>
      <c r="BQ711">
        <v>65535</v>
      </c>
      <c r="CB711">
        <v>19.593198776245117</v>
      </c>
      <c r="CC711">
        <v>6.0992279052734375</v>
      </c>
    </row>
    <row r="712" spans="1:81" ht="12.75" customHeight="1">
      <c r="A712" t="s">
        <v>728</v>
      </c>
      <c r="C712" t="s">
        <v>694</v>
      </c>
      <c r="D712">
        <v>710</v>
      </c>
      <c r="F712">
        <v>65535</v>
      </c>
      <c r="I712" t="s">
        <v>728</v>
      </c>
      <c r="AN712">
        <v>0</v>
      </c>
      <c r="AO712">
        <v>0</v>
      </c>
      <c r="AP712">
        <v>0</v>
      </c>
      <c r="AS712">
        <v>65535</v>
      </c>
      <c r="AT712">
        <v>65535</v>
      </c>
      <c r="AU712">
        <v>65535</v>
      </c>
      <c r="BI712">
        <v>0</v>
      </c>
      <c r="BK712">
        <v>0</v>
      </c>
      <c r="BL712">
        <v>0</v>
      </c>
      <c r="BP712">
        <v>65535</v>
      </c>
      <c r="BQ712">
        <v>65535</v>
      </c>
      <c r="CB712">
        <v>19.593198776245117</v>
      </c>
      <c r="CC712">
        <v>6.0992279052734375</v>
      </c>
    </row>
    <row r="713" spans="1:81" ht="12.75" customHeight="1">
      <c r="A713" t="s">
        <v>728</v>
      </c>
      <c r="C713" t="s">
        <v>694</v>
      </c>
      <c r="D713">
        <v>711</v>
      </c>
      <c r="F713">
        <v>65535</v>
      </c>
      <c r="I713" t="s">
        <v>728</v>
      </c>
      <c r="AN713">
        <v>0</v>
      </c>
      <c r="AO713">
        <v>0</v>
      </c>
      <c r="AP713">
        <v>0</v>
      </c>
      <c r="AS713">
        <v>65535</v>
      </c>
      <c r="AT713">
        <v>65535</v>
      </c>
      <c r="AU713">
        <v>65535</v>
      </c>
      <c r="BI713">
        <v>0</v>
      </c>
      <c r="BK713">
        <v>0</v>
      </c>
      <c r="BL713">
        <v>0</v>
      </c>
      <c r="BP713">
        <v>65535</v>
      </c>
      <c r="BQ713">
        <v>65535</v>
      </c>
      <c r="CB713">
        <v>19.593198776245117</v>
      </c>
      <c r="CC713">
        <v>6.0992279052734375</v>
      </c>
    </row>
    <row r="714" spans="1:81" ht="12.75" customHeight="1">
      <c r="A714" t="s">
        <v>728</v>
      </c>
      <c r="C714" t="s">
        <v>694</v>
      </c>
      <c r="D714">
        <v>712</v>
      </c>
      <c r="F714">
        <v>65535</v>
      </c>
      <c r="I714" t="s">
        <v>728</v>
      </c>
      <c r="AN714">
        <v>0</v>
      </c>
      <c r="AO714">
        <v>0</v>
      </c>
      <c r="AP714">
        <v>0</v>
      </c>
      <c r="AS714">
        <v>65535</v>
      </c>
      <c r="AT714">
        <v>65535</v>
      </c>
      <c r="AU714">
        <v>65535</v>
      </c>
      <c r="BI714">
        <v>0</v>
      </c>
      <c r="BK714">
        <v>0</v>
      </c>
      <c r="BL714">
        <v>0</v>
      </c>
      <c r="BP714">
        <v>65535</v>
      </c>
      <c r="BQ714">
        <v>65535</v>
      </c>
      <c r="CB714">
        <v>19.593198776245117</v>
      </c>
      <c r="CC714">
        <v>6.0992279052734375</v>
      </c>
    </row>
    <row r="715" spans="1:81" ht="12.75" customHeight="1">
      <c r="A715" t="s">
        <v>728</v>
      </c>
      <c r="C715" t="s">
        <v>694</v>
      </c>
      <c r="D715">
        <v>713</v>
      </c>
      <c r="F715">
        <v>65535</v>
      </c>
      <c r="I715" t="s">
        <v>728</v>
      </c>
      <c r="AN715">
        <v>0</v>
      </c>
      <c r="AO715">
        <v>0</v>
      </c>
      <c r="AP715">
        <v>0</v>
      </c>
      <c r="AS715">
        <v>65535</v>
      </c>
      <c r="AT715">
        <v>65535</v>
      </c>
      <c r="AU715">
        <v>65535</v>
      </c>
      <c r="BI715">
        <v>0</v>
      </c>
      <c r="BK715">
        <v>0</v>
      </c>
      <c r="BL715">
        <v>0</v>
      </c>
      <c r="BP715">
        <v>65535</v>
      </c>
      <c r="BQ715">
        <v>65535</v>
      </c>
      <c r="CB715">
        <v>19.593198776245117</v>
      </c>
      <c r="CC715">
        <v>6.0992279052734375</v>
      </c>
    </row>
    <row r="716" spans="1:81" ht="12.75" customHeight="1">
      <c r="A716" t="s">
        <v>728</v>
      </c>
      <c r="C716" t="s">
        <v>694</v>
      </c>
      <c r="D716">
        <v>714</v>
      </c>
      <c r="F716">
        <v>65535</v>
      </c>
      <c r="I716" t="s">
        <v>728</v>
      </c>
      <c r="AN716">
        <v>0</v>
      </c>
      <c r="AO716">
        <v>0</v>
      </c>
      <c r="AP716">
        <v>0</v>
      </c>
      <c r="AS716">
        <v>65535</v>
      </c>
      <c r="AT716">
        <v>65535</v>
      </c>
      <c r="AU716">
        <v>65535</v>
      </c>
      <c r="BI716">
        <v>0</v>
      </c>
      <c r="BK716">
        <v>0</v>
      </c>
      <c r="BL716">
        <v>0</v>
      </c>
      <c r="BP716">
        <v>65535</v>
      </c>
      <c r="BQ716">
        <v>65535</v>
      </c>
      <c r="CB716">
        <v>19.593198776245117</v>
      </c>
      <c r="CC716">
        <v>6.0992279052734375</v>
      </c>
    </row>
    <row r="717" spans="1:81" ht="12.75" customHeight="1">
      <c r="A717" t="s">
        <v>728</v>
      </c>
      <c r="C717" t="s">
        <v>694</v>
      </c>
      <c r="D717">
        <v>715</v>
      </c>
      <c r="F717">
        <v>65535</v>
      </c>
      <c r="I717" t="s">
        <v>728</v>
      </c>
      <c r="AN717">
        <v>0</v>
      </c>
      <c r="AO717">
        <v>0</v>
      </c>
      <c r="AP717">
        <v>0</v>
      </c>
      <c r="AS717">
        <v>65535</v>
      </c>
      <c r="AT717">
        <v>65535</v>
      </c>
      <c r="AU717">
        <v>65535</v>
      </c>
      <c r="BI717">
        <v>0</v>
      </c>
      <c r="BK717">
        <v>0</v>
      </c>
      <c r="BL717">
        <v>0</v>
      </c>
      <c r="BP717">
        <v>65535</v>
      </c>
      <c r="BQ717">
        <v>65535</v>
      </c>
      <c r="CB717">
        <v>19.593198776245117</v>
      </c>
      <c r="CC717">
        <v>6.0992279052734375</v>
      </c>
    </row>
    <row r="718" spans="1:81" ht="12.75" customHeight="1">
      <c r="A718" t="s">
        <v>728</v>
      </c>
      <c r="C718" t="s">
        <v>694</v>
      </c>
      <c r="D718">
        <v>716</v>
      </c>
      <c r="F718">
        <v>65535</v>
      </c>
      <c r="I718" t="s">
        <v>728</v>
      </c>
      <c r="AN718">
        <v>0</v>
      </c>
      <c r="AO718">
        <v>0</v>
      </c>
      <c r="AP718">
        <v>0</v>
      </c>
      <c r="AS718">
        <v>65535</v>
      </c>
      <c r="AT718">
        <v>65535</v>
      </c>
      <c r="AU718">
        <v>65535</v>
      </c>
      <c r="BI718">
        <v>0</v>
      </c>
      <c r="BK718">
        <v>0</v>
      </c>
      <c r="BL718">
        <v>0</v>
      </c>
      <c r="BP718">
        <v>65535</v>
      </c>
      <c r="BQ718">
        <v>65535</v>
      </c>
      <c r="CB718">
        <v>19.593198776245117</v>
      </c>
      <c r="CC718">
        <v>6.0992279052734375</v>
      </c>
    </row>
    <row r="719" spans="1:81" ht="12.75" customHeight="1">
      <c r="A719" t="s">
        <v>728</v>
      </c>
      <c r="C719" t="s">
        <v>694</v>
      </c>
      <c r="D719">
        <v>717</v>
      </c>
      <c r="F719">
        <v>65535</v>
      </c>
      <c r="I719" t="s">
        <v>728</v>
      </c>
      <c r="AN719">
        <v>0</v>
      </c>
      <c r="AO719">
        <v>0</v>
      </c>
      <c r="AP719">
        <v>0</v>
      </c>
      <c r="AS719">
        <v>65535</v>
      </c>
      <c r="AT719">
        <v>65535</v>
      </c>
      <c r="AU719">
        <v>65535</v>
      </c>
      <c r="BI719">
        <v>0</v>
      </c>
      <c r="BK719">
        <v>0</v>
      </c>
      <c r="BL719">
        <v>0</v>
      </c>
      <c r="BP719">
        <v>65535</v>
      </c>
      <c r="BQ719">
        <v>65535</v>
      </c>
      <c r="CB719">
        <v>19.593198776245117</v>
      </c>
      <c r="CC719">
        <v>6.0992279052734375</v>
      </c>
    </row>
    <row r="720" spans="1:81" ht="12.75" customHeight="1">
      <c r="A720" t="s">
        <v>728</v>
      </c>
      <c r="C720" t="s">
        <v>694</v>
      </c>
      <c r="D720">
        <v>718</v>
      </c>
      <c r="F720">
        <v>65535</v>
      </c>
      <c r="I720" t="s">
        <v>728</v>
      </c>
      <c r="AN720">
        <v>0</v>
      </c>
      <c r="AO720">
        <v>0</v>
      </c>
      <c r="AP720">
        <v>0</v>
      </c>
      <c r="AS720">
        <v>65535</v>
      </c>
      <c r="AT720">
        <v>65535</v>
      </c>
      <c r="AU720">
        <v>65535</v>
      </c>
      <c r="BI720">
        <v>0</v>
      </c>
      <c r="BK720">
        <v>0</v>
      </c>
      <c r="BL720">
        <v>0</v>
      </c>
      <c r="BP720">
        <v>65535</v>
      </c>
      <c r="BQ720">
        <v>65535</v>
      </c>
      <c r="CB720">
        <v>19.593198776245117</v>
      </c>
      <c r="CC720">
        <v>6.0992279052734375</v>
      </c>
    </row>
    <row r="721" spans="1:81" ht="12.75" customHeight="1">
      <c r="A721" t="s">
        <v>728</v>
      </c>
      <c r="C721" t="s">
        <v>694</v>
      </c>
      <c r="D721">
        <v>719</v>
      </c>
      <c r="F721">
        <v>65535</v>
      </c>
      <c r="I721" t="s">
        <v>728</v>
      </c>
      <c r="AN721">
        <v>0</v>
      </c>
      <c r="AO721">
        <v>0</v>
      </c>
      <c r="AP721">
        <v>0</v>
      </c>
      <c r="AS721">
        <v>65535</v>
      </c>
      <c r="AT721">
        <v>65535</v>
      </c>
      <c r="AU721">
        <v>65535</v>
      </c>
      <c r="BI721">
        <v>0</v>
      </c>
      <c r="BK721">
        <v>0</v>
      </c>
      <c r="BL721">
        <v>0</v>
      </c>
      <c r="BP721">
        <v>65535</v>
      </c>
      <c r="BQ721">
        <v>65535</v>
      </c>
      <c r="CB721">
        <v>19.593198776245117</v>
      </c>
      <c r="CC721">
        <v>6.0992279052734375</v>
      </c>
    </row>
    <row r="722" spans="1:81" ht="12.75" customHeight="1">
      <c r="A722" t="s">
        <v>728</v>
      </c>
      <c r="C722" t="s">
        <v>694</v>
      </c>
      <c r="D722">
        <v>720</v>
      </c>
      <c r="F722">
        <v>65535</v>
      </c>
      <c r="I722" t="s">
        <v>728</v>
      </c>
      <c r="AN722">
        <v>0</v>
      </c>
      <c r="AO722">
        <v>0</v>
      </c>
      <c r="AP722">
        <v>0</v>
      </c>
      <c r="AS722">
        <v>65535</v>
      </c>
      <c r="AT722">
        <v>65535</v>
      </c>
      <c r="AU722">
        <v>65535</v>
      </c>
      <c r="BI722">
        <v>0</v>
      </c>
      <c r="BK722">
        <v>0</v>
      </c>
      <c r="BL722">
        <v>0</v>
      </c>
      <c r="BP722">
        <v>65535</v>
      </c>
      <c r="BQ722">
        <v>65535</v>
      </c>
      <c r="CB722">
        <v>19.593198776245117</v>
      </c>
      <c r="CC722">
        <v>6.0992279052734375</v>
      </c>
    </row>
    <row r="723" spans="1:81" ht="12.75" customHeight="1">
      <c r="A723" t="s">
        <v>728</v>
      </c>
      <c r="C723" t="s">
        <v>694</v>
      </c>
      <c r="D723">
        <v>721</v>
      </c>
      <c r="F723">
        <v>65535</v>
      </c>
      <c r="I723" t="s">
        <v>728</v>
      </c>
      <c r="AN723">
        <v>0</v>
      </c>
      <c r="AO723">
        <v>0</v>
      </c>
      <c r="AP723">
        <v>0</v>
      </c>
      <c r="AS723">
        <v>65535</v>
      </c>
      <c r="AT723">
        <v>65535</v>
      </c>
      <c r="AU723">
        <v>65535</v>
      </c>
      <c r="BI723">
        <v>0</v>
      </c>
      <c r="BK723">
        <v>0</v>
      </c>
      <c r="BL723">
        <v>0</v>
      </c>
      <c r="BP723">
        <v>65535</v>
      </c>
      <c r="BQ723">
        <v>65535</v>
      </c>
      <c r="CB723">
        <v>19.593198776245117</v>
      </c>
      <c r="CC723">
        <v>6.0992279052734375</v>
      </c>
    </row>
    <row r="724" spans="1:81" ht="12.75" customHeight="1">
      <c r="A724" t="s">
        <v>728</v>
      </c>
      <c r="C724" t="s">
        <v>694</v>
      </c>
      <c r="D724">
        <v>722</v>
      </c>
      <c r="F724">
        <v>65535</v>
      </c>
      <c r="I724" t="s">
        <v>728</v>
      </c>
      <c r="AN724">
        <v>0</v>
      </c>
      <c r="AO724">
        <v>0</v>
      </c>
      <c r="AP724">
        <v>0</v>
      </c>
      <c r="AS724">
        <v>65535</v>
      </c>
      <c r="AT724">
        <v>65535</v>
      </c>
      <c r="AU724">
        <v>65535</v>
      </c>
      <c r="BI724">
        <v>0</v>
      </c>
      <c r="BK724">
        <v>0</v>
      </c>
      <c r="BL724">
        <v>0</v>
      </c>
      <c r="BP724">
        <v>65535</v>
      </c>
      <c r="BQ724">
        <v>65535</v>
      </c>
      <c r="CB724">
        <v>19.593198776245117</v>
      </c>
      <c r="CC724">
        <v>6.0992279052734375</v>
      </c>
    </row>
    <row r="725" spans="1:81" ht="12.75" customHeight="1">
      <c r="A725" t="s">
        <v>728</v>
      </c>
      <c r="C725" t="s">
        <v>694</v>
      </c>
      <c r="D725">
        <v>723</v>
      </c>
      <c r="F725">
        <v>65535</v>
      </c>
      <c r="I725" t="s">
        <v>728</v>
      </c>
      <c r="AN725">
        <v>0</v>
      </c>
      <c r="AO725">
        <v>0</v>
      </c>
      <c r="AP725">
        <v>0</v>
      </c>
      <c r="AS725">
        <v>65535</v>
      </c>
      <c r="AT725">
        <v>65535</v>
      </c>
      <c r="AU725">
        <v>65535</v>
      </c>
      <c r="BI725">
        <v>0</v>
      </c>
      <c r="BK725">
        <v>0</v>
      </c>
      <c r="BL725">
        <v>0</v>
      </c>
      <c r="BP725">
        <v>65535</v>
      </c>
      <c r="BQ725">
        <v>65535</v>
      </c>
      <c r="CB725">
        <v>19.593198776245117</v>
      </c>
      <c r="CC725">
        <v>6.0992279052734375</v>
      </c>
    </row>
    <row r="726" spans="1:81" ht="12.75" customHeight="1">
      <c r="A726" t="s">
        <v>728</v>
      </c>
      <c r="C726" t="s">
        <v>694</v>
      </c>
      <c r="D726">
        <v>724</v>
      </c>
      <c r="F726">
        <v>65535</v>
      </c>
      <c r="I726" t="s">
        <v>728</v>
      </c>
      <c r="AN726">
        <v>0</v>
      </c>
      <c r="AO726">
        <v>0</v>
      </c>
      <c r="AP726">
        <v>0</v>
      </c>
      <c r="AS726">
        <v>65535</v>
      </c>
      <c r="AT726">
        <v>65535</v>
      </c>
      <c r="AU726">
        <v>65535</v>
      </c>
      <c r="BI726">
        <v>0</v>
      </c>
      <c r="BK726">
        <v>0</v>
      </c>
      <c r="BL726">
        <v>0</v>
      </c>
      <c r="BP726">
        <v>65535</v>
      </c>
      <c r="BQ726">
        <v>65535</v>
      </c>
      <c r="CB726">
        <v>19.593198776245117</v>
      </c>
      <c r="CC726">
        <v>6.0992279052734375</v>
      </c>
    </row>
    <row r="727" spans="1:81" ht="12.75" customHeight="1">
      <c r="A727" t="s">
        <v>728</v>
      </c>
      <c r="C727" t="s">
        <v>694</v>
      </c>
      <c r="D727">
        <v>725</v>
      </c>
      <c r="F727">
        <v>65535</v>
      </c>
      <c r="I727" t="s">
        <v>728</v>
      </c>
      <c r="AN727">
        <v>0</v>
      </c>
      <c r="AO727">
        <v>0</v>
      </c>
      <c r="AP727">
        <v>0</v>
      </c>
      <c r="AS727">
        <v>65535</v>
      </c>
      <c r="AT727">
        <v>65535</v>
      </c>
      <c r="AU727">
        <v>65535</v>
      </c>
      <c r="BI727">
        <v>0</v>
      </c>
      <c r="BK727">
        <v>0</v>
      </c>
      <c r="BL727">
        <v>0</v>
      </c>
      <c r="BP727">
        <v>65535</v>
      </c>
      <c r="BQ727">
        <v>65535</v>
      </c>
      <c r="CB727">
        <v>19.593198776245117</v>
      </c>
      <c r="CC727">
        <v>6.0992279052734375</v>
      </c>
    </row>
    <row r="728" spans="1:81" ht="12.75" customHeight="1">
      <c r="A728" t="s">
        <v>728</v>
      </c>
      <c r="C728" t="s">
        <v>694</v>
      </c>
      <c r="D728">
        <v>726</v>
      </c>
      <c r="F728">
        <v>65535</v>
      </c>
      <c r="I728" t="s">
        <v>728</v>
      </c>
      <c r="AN728">
        <v>0</v>
      </c>
      <c r="AO728">
        <v>0</v>
      </c>
      <c r="AP728">
        <v>0</v>
      </c>
      <c r="AS728">
        <v>65535</v>
      </c>
      <c r="AT728">
        <v>65535</v>
      </c>
      <c r="AU728">
        <v>65535</v>
      </c>
      <c r="BI728">
        <v>0</v>
      </c>
      <c r="BK728">
        <v>0</v>
      </c>
      <c r="BL728">
        <v>0</v>
      </c>
      <c r="BP728">
        <v>65535</v>
      </c>
      <c r="BQ728">
        <v>65535</v>
      </c>
      <c r="CB728">
        <v>19.593198776245117</v>
      </c>
      <c r="CC728">
        <v>6.0992279052734375</v>
      </c>
    </row>
    <row r="729" spans="1:81" ht="12.75" customHeight="1">
      <c r="A729" t="s">
        <v>728</v>
      </c>
      <c r="C729" t="s">
        <v>694</v>
      </c>
      <c r="D729">
        <v>727</v>
      </c>
      <c r="F729">
        <v>65535</v>
      </c>
      <c r="I729" t="s">
        <v>728</v>
      </c>
      <c r="AN729">
        <v>0</v>
      </c>
      <c r="AO729">
        <v>0</v>
      </c>
      <c r="AP729">
        <v>0</v>
      </c>
      <c r="AS729">
        <v>65535</v>
      </c>
      <c r="AT729">
        <v>65535</v>
      </c>
      <c r="AU729">
        <v>65535</v>
      </c>
      <c r="BI729">
        <v>0</v>
      </c>
      <c r="BK729">
        <v>0</v>
      </c>
      <c r="BL729">
        <v>0</v>
      </c>
      <c r="BP729">
        <v>65535</v>
      </c>
      <c r="BQ729">
        <v>65535</v>
      </c>
      <c r="CB729">
        <v>19.593198776245117</v>
      </c>
      <c r="CC729">
        <v>6.0992279052734375</v>
      </c>
    </row>
    <row r="730" spans="1:81" ht="12.75" customHeight="1">
      <c r="A730" t="s">
        <v>728</v>
      </c>
      <c r="C730" t="s">
        <v>694</v>
      </c>
      <c r="D730">
        <v>728</v>
      </c>
      <c r="F730">
        <v>65535</v>
      </c>
      <c r="I730" t="s">
        <v>728</v>
      </c>
      <c r="AN730">
        <v>0</v>
      </c>
      <c r="AO730">
        <v>0</v>
      </c>
      <c r="AP730">
        <v>0</v>
      </c>
      <c r="AS730">
        <v>65535</v>
      </c>
      <c r="AT730">
        <v>65535</v>
      </c>
      <c r="AU730">
        <v>65535</v>
      </c>
      <c r="BI730">
        <v>0</v>
      </c>
      <c r="BK730">
        <v>0</v>
      </c>
      <c r="BL730">
        <v>0</v>
      </c>
      <c r="BP730">
        <v>65535</v>
      </c>
      <c r="BQ730">
        <v>65535</v>
      </c>
      <c r="CB730">
        <v>19.593198776245117</v>
      </c>
      <c r="CC730">
        <v>6.0992279052734375</v>
      </c>
    </row>
    <row r="731" spans="1:81" ht="12.75" customHeight="1">
      <c r="A731" t="s">
        <v>728</v>
      </c>
      <c r="C731" t="s">
        <v>694</v>
      </c>
      <c r="D731">
        <v>729</v>
      </c>
      <c r="F731">
        <v>65535</v>
      </c>
      <c r="I731" t="s">
        <v>728</v>
      </c>
      <c r="AN731">
        <v>0</v>
      </c>
      <c r="AO731">
        <v>0</v>
      </c>
      <c r="AP731">
        <v>0</v>
      </c>
      <c r="AS731">
        <v>65535</v>
      </c>
      <c r="AT731">
        <v>65535</v>
      </c>
      <c r="AU731">
        <v>65535</v>
      </c>
      <c r="BI731">
        <v>0</v>
      </c>
      <c r="BK731">
        <v>0</v>
      </c>
      <c r="BL731">
        <v>0</v>
      </c>
      <c r="BP731">
        <v>65535</v>
      </c>
      <c r="BQ731">
        <v>65535</v>
      </c>
      <c r="CB731">
        <v>19.593198776245117</v>
      </c>
      <c r="CC731">
        <v>6.0992279052734375</v>
      </c>
    </row>
    <row r="732" spans="1:81" ht="12.75" customHeight="1">
      <c r="A732" t="s">
        <v>728</v>
      </c>
      <c r="C732" t="s">
        <v>694</v>
      </c>
      <c r="D732">
        <v>730</v>
      </c>
      <c r="F732">
        <v>65535</v>
      </c>
      <c r="I732" t="s">
        <v>728</v>
      </c>
      <c r="AN732">
        <v>0</v>
      </c>
      <c r="AO732">
        <v>0</v>
      </c>
      <c r="AP732">
        <v>0</v>
      </c>
      <c r="AS732">
        <v>65535</v>
      </c>
      <c r="AT732">
        <v>65535</v>
      </c>
      <c r="AU732">
        <v>65535</v>
      </c>
      <c r="BI732">
        <v>0</v>
      </c>
      <c r="BK732">
        <v>0</v>
      </c>
      <c r="BL732">
        <v>0</v>
      </c>
      <c r="BP732">
        <v>65535</v>
      </c>
      <c r="BQ732">
        <v>65535</v>
      </c>
      <c r="CB732">
        <v>19.593198776245117</v>
      </c>
      <c r="CC732">
        <v>6.0992279052734375</v>
      </c>
    </row>
    <row r="733" spans="1:81" ht="12.75" customHeight="1">
      <c r="A733" t="s">
        <v>728</v>
      </c>
      <c r="C733" t="s">
        <v>694</v>
      </c>
      <c r="D733">
        <v>731</v>
      </c>
      <c r="F733">
        <v>65535</v>
      </c>
      <c r="I733" t="s">
        <v>728</v>
      </c>
      <c r="AN733">
        <v>0</v>
      </c>
      <c r="AO733">
        <v>0</v>
      </c>
      <c r="AP733">
        <v>0</v>
      </c>
      <c r="AS733">
        <v>65535</v>
      </c>
      <c r="AT733">
        <v>65535</v>
      </c>
      <c r="AU733">
        <v>65535</v>
      </c>
      <c r="BI733">
        <v>0</v>
      </c>
      <c r="BK733">
        <v>0</v>
      </c>
      <c r="BL733">
        <v>0</v>
      </c>
      <c r="BP733">
        <v>65535</v>
      </c>
      <c r="BQ733">
        <v>65535</v>
      </c>
      <c r="CB733">
        <v>19.593198776245117</v>
      </c>
      <c r="CC733">
        <v>6.0992279052734375</v>
      </c>
    </row>
    <row r="734" spans="1:81" ht="12.75" customHeight="1">
      <c r="A734" t="s">
        <v>728</v>
      </c>
      <c r="C734" t="s">
        <v>694</v>
      </c>
      <c r="D734">
        <v>732</v>
      </c>
      <c r="F734">
        <v>65535</v>
      </c>
      <c r="I734" t="s">
        <v>728</v>
      </c>
      <c r="AN734">
        <v>0</v>
      </c>
      <c r="AO734">
        <v>0</v>
      </c>
      <c r="AP734">
        <v>0</v>
      </c>
      <c r="AS734">
        <v>65535</v>
      </c>
      <c r="AT734">
        <v>65535</v>
      </c>
      <c r="AU734">
        <v>65535</v>
      </c>
      <c r="BI734">
        <v>0</v>
      </c>
      <c r="BK734">
        <v>0</v>
      </c>
      <c r="BL734">
        <v>0</v>
      </c>
      <c r="BP734">
        <v>65535</v>
      </c>
      <c r="BQ734">
        <v>65535</v>
      </c>
      <c r="CB734">
        <v>19.593198776245117</v>
      </c>
      <c r="CC734">
        <v>6.0992279052734375</v>
      </c>
    </row>
    <row r="735" spans="1:81" ht="12.75" customHeight="1">
      <c r="A735" t="s">
        <v>728</v>
      </c>
      <c r="C735" t="s">
        <v>694</v>
      </c>
      <c r="D735">
        <v>733</v>
      </c>
      <c r="F735">
        <v>65535</v>
      </c>
      <c r="I735" t="s">
        <v>728</v>
      </c>
      <c r="AN735">
        <v>0</v>
      </c>
      <c r="AO735">
        <v>0</v>
      </c>
      <c r="AP735">
        <v>0</v>
      </c>
      <c r="AS735">
        <v>65535</v>
      </c>
      <c r="AT735">
        <v>65535</v>
      </c>
      <c r="AU735">
        <v>65535</v>
      </c>
      <c r="BI735">
        <v>0</v>
      </c>
      <c r="BK735">
        <v>0</v>
      </c>
      <c r="BL735">
        <v>0</v>
      </c>
      <c r="BP735">
        <v>65535</v>
      </c>
      <c r="BQ735">
        <v>65535</v>
      </c>
      <c r="CB735">
        <v>19.593198776245117</v>
      </c>
      <c r="CC735">
        <v>6.0992279052734375</v>
      </c>
    </row>
    <row r="736" spans="1:81" ht="12.75" customHeight="1">
      <c r="A736" t="s">
        <v>728</v>
      </c>
      <c r="C736" t="s">
        <v>694</v>
      </c>
      <c r="D736">
        <v>734</v>
      </c>
      <c r="F736">
        <v>65535</v>
      </c>
      <c r="I736" t="s">
        <v>728</v>
      </c>
      <c r="AN736">
        <v>0</v>
      </c>
      <c r="AO736">
        <v>0</v>
      </c>
      <c r="AP736">
        <v>0</v>
      </c>
      <c r="AS736">
        <v>65535</v>
      </c>
      <c r="AT736">
        <v>65535</v>
      </c>
      <c r="AU736">
        <v>65535</v>
      </c>
      <c r="BI736">
        <v>0</v>
      </c>
      <c r="BK736">
        <v>0</v>
      </c>
      <c r="BL736">
        <v>0</v>
      </c>
      <c r="BP736">
        <v>65535</v>
      </c>
      <c r="BQ736">
        <v>65535</v>
      </c>
      <c r="CB736">
        <v>19.593198776245117</v>
      </c>
      <c r="CC736">
        <v>6.0992279052734375</v>
      </c>
    </row>
    <row r="737" spans="1:81" ht="12.75" customHeight="1">
      <c r="A737" t="s">
        <v>728</v>
      </c>
      <c r="C737" t="s">
        <v>694</v>
      </c>
      <c r="D737">
        <v>735</v>
      </c>
      <c r="F737">
        <v>65535</v>
      </c>
      <c r="I737" t="s">
        <v>728</v>
      </c>
      <c r="AN737">
        <v>0</v>
      </c>
      <c r="AO737">
        <v>0</v>
      </c>
      <c r="AP737">
        <v>0</v>
      </c>
      <c r="AS737">
        <v>65535</v>
      </c>
      <c r="AT737">
        <v>65535</v>
      </c>
      <c r="AU737">
        <v>65535</v>
      </c>
      <c r="BI737">
        <v>0</v>
      </c>
      <c r="BK737">
        <v>0</v>
      </c>
      <c r="BL737">
        <v>0</v>
      </c>
      <c r="BP737">
        <v>65535</v>
      </c>
      <c r="BQ737">
        <v>65535</v>
      </c>
      <c r="CB737">
        <v>19.593198776245117</v>
      </c>
      <c r="CC737">
        <v>6.0992279052734375</v>
      </c>
    </row>
    <row r="738" spans="1:81" ht="12.75" customHeight="1">
      <c r="A738" t="s">
        <v>728</v>
      </c>
      <c r="C738" t="s">
        <v>694</v>
      </c>
      <c r="D738">
        <v>736</v>
      </c>
      <c r="F738">
        <v>65535</v>
      </c>
      <c r="I738" t="s">
        <v>728</v>
      </c>
      <c r="AN738">
        <v>0</v>
      </c>
      <c r="AO738">
        <v>0</v>
      </c>
      <c r="AP738">
        <v>0</v>
      </c>
      <c r="AS738">
        <v>65535</v>
      </c>
      <c r="AT738">
        <v>65535</v>
      </c>
      <c r="AU738">
        <v>65535</v>
      </c>
      <c r="BI738">
        <v>0</v>
      </c>
      <c r="BK738">
        <v>0</v>
      </c>
      <c r="BL738">
        <v>0</v>
      </c>
      <c r="BP738">
        <v>65535</v>
      </c>
      <c r="BQ738">
        <v>65535</v>
      </c>
      <c r="CB738">
        <v>19.593198776245117</v>
      </c>
      <c r="CC738">
        <v>6.0992279052734375</v>
      </c>
    </row>
    <row r="739" spans="1:81" ht="12.75" customHeight="1">
      <c r="A739" t="s">
        <v>728</v>
      </c>
      <c r="C739" t="s">
        <v>694</v>
      </c>
      <c r="D739">
        <v>737</v>
      </c>
      <c r="F739">
        <v>65535</v>
      </c>
      <c r="I739" t="s">
        <v>728</v>
      </c>
      <c r="AN739">
        <v>0</v>
      </c>
      <c r="AO739">
        <v>0</v>
      </c>
      <c r="AP739">
        <v>0</v>
      </c>
      <c r="AS739">
        <v>65535</v>
      </c>
      <c r="AT739">
        <v>65535</v>
      </c>
      <c r="AU739">
        <v>65535</v>
      </c>
      <c r="BI739">
        <v>0</v>
      </c>
      <c r="BK739">
        <v>0</v>
      </c>
      <c r="BL739">
        <v>0</v>
      </c>
      <c r="BP739">
        <v>65535</v>
      </c>
      <c r="BQ739">
        <v>65535</v>
      </c>
      <c r="CB739">
        <v>19.593198776245117</v>
      </c>
      <c r="CC739">
        <v>6.0992279052734375</v>
      </c>
    </row>
    <row r="740" spans="1:81" ht="12.75" customHeight="1">
      <c r="A740" t="s">
        <v>728</v>
      </c>
      <c r="C740" t="s">
        <v>694</v>
      </c>
      <c r="D740">
        <v>738</v>
      </c>
      <c r="F740">
        <v>65535</v>
      </c>
      <c r="I740" t="s">
        <v>728</v>
      </c>
      <c r="AN740">
        <v>0</v>
      </c>
      <c r="AO740">
        <v>0</v>
      </c>
      <c r="AP740">
        <v>0</v>
      </c>
      <c r="AS740">
        <v>65535</v>
      </c>
      <c r="AT740">
        <v>65535</v>
      </c>
      <c r="AU740">
        <v>65535</v>
      </c>
      <c r="BI740">
        <v>0</v>
      </c>
      <c r="BK740">
        <v>0</v>
      </c>
      <c r="BL740">
        <v>0</v>
      </c>
      <c r="BP740">
        <v>65535</v>
      </c>
      <c r="BQ740">
        <v>65535</v>
      </c>
      <c r="CB740">
        <v>19.593198776245117</v>
      </c>
      <c r="CC740">
        <v>6.0992279052734375</v>
      </c>
    </row>
    <row r="741" spans="1:81" ht="12.75" customHeight="1">
      <c r="A741" t="s">
        <v>728</v>
      </c>
      <c r="C741" t="s">
        <v>694</v>
      </c>
      <c r="D741">
        <v>739</v>
      </c>
      <c r="F741">
        <v>65535</v>
      </c>
      <c r="I741" t="s">
        <v>728</v>
      </c>
      <c r="AN741">
        <v>0</v>
      </c>
      <c r="AO741">
        <v>0</v>
      </c>
      <c r="AP741">
        <v>0</v>
      </c>
      <c r="AS741">
        <v>65535</v>
      </c>
      <c r="AT741">
        <v>65535</v>
      </c>
      <c r="AU741">
        <v>65535</v>
      </c>
      <c r="BI741">
        <v>0</v>
      </c>
      <c r="BK741">
        <v>0</v>
      </c>
      <c r="BL741">
        <v>0</v>
      </c>
      <c r="BP741">
        <v>65535</v>
      </c>
      <c r="BQ741">
        <v>65535</v>
      </c>
      <c r="CB741">
        <v>19.593198776245117</v>
      </c>
      <c r="CC741">
        <v>6.0992279052734375</v>
      </c>
    </row>
    <row r="742" spans="1:81" ht="12.75" customHeight="1">
      <c r="A742" t="s">
        <v>728</v>
      </c>
      <c r="C742" t="s">
        <v>694</v>
      </c>
      <c r="D742">
        <v>740</v>
      </c>
      <c r="F742">
        <v>65535</v>
      </c>
      <c r="I742" t="s">
        <v>728</v>
      </c>
      <c r="AN742">
        <v>0</v>
      </c>
      <c r="AO742">
        <v>0</v>
      </c>
      <c r="AP742">
        <v>0</v>
      </c>
      <c r="AS742">
        <v>65535</v>
      </c>
      <c r="AT742">
        <v>65535</v>
      </c>
      <c r="AU742">
        <v>65535</v>
      </c>
      <c r="BI742">
        <v>0</v>
      </c>
      <c r="BK742">
        <v>0</v>
      </c>
      <c r="BL742">
        <v>0</v>
      </c>
      <c r="BP742">
        <v>65535</v>
      </c>
      <c r="BQ742">
        <v>65535</v>
      </c>
      <c r="CB742">
        <v>19.593198776245117</v>
      </c>
      <c r="CC742">
        <v>6.0992279052734375</v>
      </c>
    </row>
    <row r="743" spans="1:81" ht="12.75" customHeight="1">
      <c r="A743" t="s">
        <v>728</v>
      </c>
      <c r="C743" t="s">
        <v>694</v>
      </c>
      <c r="D743">
        <v>741</v>
      </c>
      <c r="F743">
        <v>65535</v>
      </c>
      <c r="I743" t="s">
        <v>728</v>
      </c>
      <c r="AN743">
        <v>0</v>
      </c>
      <c r="AO743">
        <v>0</v>
      </c>
      <c r="AP743">
        <v>0</v>
      </c>
      <c r="AS743">
        <v>65535</v>
      </c>
      <c r="AT743">
        <v>65535</v>
      </c>
      <c r="AU743">
        <v>65535</v>
      </c>
      <c r="BI743">
        <v>0</v>
      </c>
      <c r="BK743">
        <v>0</v>
      </c>
      <c r="BL743">
        <v>0</v>
      </c>
      <c r="BP743">
        <v>65535</v>
      </c>
      <c r="BQ743">
        <v>65535</v>
      </c>
      <c r="CB743">
        <v>19.593198776245117</v>
      </c>
      <c r="CC743">
        <v>6.0992279052734375</v>
      </c>
    </row>
    <row r="744" spans="1:81" ht="12.75" customHeight="1">
      <c r="A744" t="s">
        <v>728</v>
      </c>
      <c r="C744" t="s">
        <v>694</v>
      </c>
      <c r="D744">
        <v>742</v>
      </c>
      <c r="F744">
        <v>65535</v>
      </c>
      <c r="I744" t="s">
        <v>728</v>
      </c>
      <c r="AN744">
        <v>0</v>
      </c>
      <c r="AO744">
        <v>0</v>
      </c>
      <c r="AP744">
        <v>0</v>
      </c>
      <c r="AS744">
        <v>65535</v>
      </c>
      <c r="AT744">
        <v>65535</v>
      </c>
      <c r="AU744">
        <v>65535</v>
      </c>
      <c r="BI744">
        <v>0</v>
      </c>
      <c r="BK744">
        <v>0</v>
      </c>
      <c r="BL744">
        <v>0</v>
      </c>
      <c r="BP744">
        <v>65535</v>
      </c>
      <c r="BQ744">
        <v>65535</v>
      </c>
      <c r="CB744">
        <v>19.593198776245117</v>
      </c>
      <c r="CC744">
        <v>6.0992279052734375</v>
      </c>
    </row>
    <row r="745" spans="1:81" ht="12.75" customHeight="1">
      <c r="A745" t="s">
        <v>728</v>
      </c>
      <c r="C745" t="s">
        <v>694</v>
      </c>
      <c r="D745">
        <v>743</v>
      </c>
      <c r="F745">
        <v>65535</v>
      </c>
      <c r="I745" t="s">
        <v>728</v>
      </c>
      <c r="AN745">
        <v>0</v>
      </c>
      <c r="AO745">
        <v>0</v>
      </c>
      <c r="AP745">
        <v>0</v>
      </c>
      <c r="AS745">
        <v>65535</v>
      </c>
      <c r="AT745">
        <v>65535</v>
      </c>
      <c r="AU745">
        <v>65535</v>
      </c>
      <c r="BI745">
        <v>0</v>
      </c>
      <c r="BK745">
        <v>0</v>
      </c>
      <c r="BL745">
        <v>0</v>
      </c>
      <c r="BP745">
        <v>65535</v>
      </c>
      <c r="BQ745">
        <v>65535</v>
      </c>
      <c r="CB745">
        <v>19.593198776245117</v>
      </c>
      <c r="CC745">
        <v>6.0992279052734375</v>
      </c>
    </row>
    <row r="746" spans="1:81" ht="12.75" customHeight="1">
      <c r="A746" t="s">
        <v>728</v>
      </c>
      <c r="C746" t="s">
        <v>694</v>
      </c>
      <c r="D746">
        <v>744</v>
      </c>
      <c r="F746">
        <v>65535</v>
      </c>
      <c r="I746" t="s">
        <v>728</v>
      </c>
      <c r="AN746">
        <v>0</v>
      </c>
      <c r="AO746">
        <v>0</v>
      </c>
      <c r="AP746">
        <v>0</v>
      </c>
      <c r="AS746">
        <v>65535</v>
      </c>
      <c r="AT746">
        <v>65535</v>
      </c>
      <c r="AU746">
        <v>65535</v>
      </c>
      <c r="BI746">
        <v>0</v>
      </c>
      <c r="BK746">
        <v>0</v>
      </c>
      <c r="BL746">
        <v>0</v>
      </c>
      <c r="BP746">
        <v>65535</v>
      </c>
      <c r="BQ746">
        <v>65535</v>
      </c>
      <c r="CB746">
        <v>19.593198776245117</v>
      </c>
      <c r="CC746">
        <v>6.0992279052734375</v>
      </c>
    </row>
    <row r="747" spans="1:81" ht="12.75" customHeight="1">
      <c r="A747" t="s">
        <v>728</v>
      </c>
      <c r="C747" t="s">
        <v>694</v>
      </c>
      <c r="D747">
        <v>745</v>
      </c>
      <c r="F747">
        <v>65535</v>
      </c>
      <c r="I747" t="s">
        <v>728</v>
      </c>
      <c r="AN747">
        <v>0</v>
      </c>
      <c r="AO747">
        <v>0</v>
      </c>
      <c r="AP747">
        <v>0</v>
      </c>
      <c r="AS747">
        <v>65535</v>
      </c>
      <c r="AT747">
        <v>65535</v>
      </c>
      <c r="AU747">
        <v>65535</v>
      </c>
      <c r="BI747">
        <v>0</v>
      </c>
      <c r="BK747">
        <v>0</v>
      </c>
      <c r="BL747">
        <v>0</v>
      </c>
      <c r="BP747">
        <v>65535</v>
      </c>
      <c r="BQ747">
        <v>65535</v>
      </c>
      <c r="CB747">
        <v>19.593198776245117</v>
      </c>
      <c r="CC747">
        <v>6.0992279052734375</v>
      </c>
    </row>
    <row r="748" spans="1:81" ht="12.75" customHeight="1">
      <c r="A748" t="s">
        <v>728</v>
      </c>
      <c r="C748" t="s">
        <v>694</v>
      </c>
      <c r="D748">
        <v>746</v>
      </c>
      <c r="F748">
        <v>65535</v>
      </c>
      <c r="I748" t="s">
        <v>728</v>
      </c>
      <c r="AN748">
        <v>0</v>
      </c>
      <c r="AO748">
        <v>0</v>
      </c>
      <c r="AP748">
        <v>0</v>
      </c>
      <c r="AS748">
        <v>65535</v>
      </c>
      <c r="AT748">
        <v>65535</v>
      </c>
      <c r="AU748">
        <v>65535</v>
      </c>
      <c r="BI748">
        <v>0</v>
      </c>
      <c r="BK748">
        <v>0</v>
      </c>
      <c r="BL748">
        <v>0</v>
      </c>
      <c r="BP748">
        <v>65535</v>
      </c>
      <c r="BQ748">
        <v>65535</v>
      </c>
      <c r="CB748">
        <v>19.593198776245117</v>
      </c>
      <c r="CC748">
        <v>6.0992279052734375</v>
      </c>
    </row>
    <row r="749" spans="1:81" ht="12.75" customHeight="1">
      <c r="A749" t="s">
        <v>728</v>
      </c>
      <c r="C749" t="s">
        <v>694</v>
      </c>
      <c r="D749">
        <v>747</v>
      </c>
      <c r="F749">
        <v>65535</v>
      </c>
      <c r="I749" t="s">
        <v>728</v>
      </c>
      <c r="AN749">
        <v>0</v>
      </c>
      <c r="AO749">
        <v>0</v>
      </c>
      <c r="AP749">
        <v>0</v>
      </c>
      <c r="AS749">
        <v>65535</v>
      </c>
      <c r="AT749">
        <v>65535</v>
      </c>
      <c r="AU749">
        <v>65535</v>
      </c>
      <c r="BI749">
        <v>0</v>
      </c>
      <c r="BK749">
        <v>0</v>
      </c>
      <c r="BL749">
        <v>0</v>
      </c>
      <c r="BP749">
        <v>65535</v>
      </c>
      <c r="BQ749">
        <v>65535</v>
      </c>
      <c r="CB749">
        <v>19.593198776245117</v>
      </c>
      <c r="CC749">
        <v>6.0992279052734375</v>
      </c>
    </row>
    <row r="750" spans="1:81" ht="12.75" customHeight="1">
      <c r="A750" t="s">
        <v>728</v>
      </c>
      <c r="C750" t="s">
        <v>694</v>
      </c>
      <c r="D750">
        <v>748</v>
      </c>
      <c r="F750">
        <v>65535</v>
      </c>
      <c r="I750" t="s">
        <v>728</v>
      </c>
      <c r="AN750">
        <v>0</v>
      </c>
      <c r="AO750">
        <v>0</v>
      </c>
      <c r="AP750">
        <v>0</v>
      </c>
      <c r="AS750">
        <v>65535</v>
      </c>
      <c r="AT750">
        <v>65535</v>
      </c>
      <c r="AU750">
        <v>65535</v>
      </c>
      <c r="BI750">
        <v>0</v>
      </c>
      <c r="BK750">
        <v>0</v>
      </c>
      <c r="BL750">
        <v>0</v>
      </c>
      <c r="BP750">
        <v>65535</v>
      </c>
      <c r="BQ750">
        <v>65535</v>
      </c>
      <c r="CB750">
        <v>19.593198776245117</v>
      </c>
      <c r="CC750">
        <v>6.0992279052734375</v>
      </c>
    </row>
    <row r="751" spans="1:81" ht="12.75" customHeight="1">
      <c r="A751" t="s">
        <v>728</v>
      </c>
      <c r="C751" t="s">
        <v>694</v>
      </c>
      <c r="D751">
        <v>749</v>
      </c>
      <c r="F751">
        <v>65535</v>
      </c>
      <c r="I751" t="s">
        <v>728</v>
      </c>
      <c r="AN751">
        <v>0</v>
      </c>
      <c r="AO751">
        <v>0</v>
      </c>
      <c r="AP751">
        <v>0</v>
      </c>
      <c r="AS751">
        <v>65535</v>
      </c>
      <c r="AT751">
        <v>65535</v>
      </c>
      <c r="AU751">
        <v>65535</v>
      </c>
      <c r="BI751">
        <v>0</v>
      </c>
      <c r="BK751">
        <v>0</v>
      </c>
      <c r="BL751">
        <v>0</v>
      </c>
      <c r="BP751">
        <v>65535</v>
      </c>
      <c r="BQ751">
        <v>65535</v>
      </c>
      <c r="CB751">
        <v>19.593198776245117</v>
      </c>
      <c r="CC751">
        <v>6.0992279052734375</v>
      </c>
    </row>
    <row r="752" spans="1:81" ht="12.75" customHeight="1">
      <c r="A752" t="s">
        <v>728</v>
      </c>
      <c r="C752" t="s">
        <v>694</v>
      </c>
      <c r="D752">
        <v>750</v>
      </c>
      <c r="F752">
        <v>65535</v>
      </c>
      <c r="I752" t="s">
        <v>728</v>
      </c>
      <c r="AN752">
        <v>0</v>
      </c>
      <c r="AO752">
        <v>0</v>
      </c>
      <c r="AP752">
        <v>0</v>
      </c>
      <c r="AS752">
        <v>65535</v>
      </c>
      <c r="AT752">
        <v>65535</v>
      </c>
      <c r="AU752">
        <v>65535</v>
      </c>
      <c r="BI752">
        <v>0</v>
      </c>
      <c r="BK752">
        <v>0</v>
      </c>
      <c r="BL752">
        <v>0</v>
      </c>
      <c r="BP752">
        <v>65535</v>
      </c>
      <c r="BQ752">
        <v>65535</v>
      </c>
      <c r="CB752">
        <v>19.593198776245117</v>
      </c>
      <c r="CC752">
        <v>6.0992279052734375</v>
      </c>
    </row>
    <row r="753" spans="1:81" ht="12.75" customHeight="1">
      <c r="A753" t="s">
        <v>728</v>
      </c>
      <c r="C753" t="s">
        <v>694</v>
      </c>
      <c r="D753">
        <v>751</v>
      </c>
      <c r="F753">
        <v>65535</v>
      </c>
      <c r="I753" t="s">
        <v>728</v>
      </c>
      <c r="AN753">
        <v>0</v>
      </c>
      <c r="AO753">
        <v>0</v>
      </c>
      <c r="AP753">
        <v>0</v>
      </c>
      <c r="AS753">
        <v>65535</v>
      </c>
      <c r="AT753">
        <v>65535</v>
      </c>
      <c r="AU753">
        <v>65535</v>
      </c>
      <c r="BI753">
        <v>0</v>
      </c>
      <c r="BK753">
        <v>0</v>
      </c>
      <c r="BL753">
        <v>0</v>
      </c>
      <c r="BP753">
        <v>65535</v>
      </c>
      <c r="BQ753">
        <v>65535</v>
      </c>
      <c r="CB753">
        <v>19.593198776245117</v>
      </c>
      <c r="CC753">
        <v>6.0992279052734375</v>
      </c>
    </row>
    <row r="754" spans="1:81" ht="12.75" customHeight="1">
      <c r="A754" t="s">
        <v>728</v>
      </c>
      <c r="C754" t="s">
        <v>694</v>
      </c>
      <c r="D754">
        <v>752</v>
      </c>
      <c r="F754">
        <v>65535</v>
      </c>
      <c r="I754" t="s">
        <v>728</v>
      </c>
      <c r="AN754">
        <v>0</v>
      </c>
      <c r="AO754">
        <v>0</v>
      </c>
      <c r="AP754">
        <v>0</v>
      </c>
      <c r="AS754">
        <v>65535</v>
      </c>
      <c r="AT754">
        <v>65535</v>
      </c>
      <c r="AU754">
        <v>65535</v>
      </c>
      <c r="BI754">
        <v>0</v>
      </c>
      <c r="BK754">
        <v>0</v>
      </c>
      <c r="BL754">
        <v>0</v>
      </c>
      <c r="BP754">
        <v>65535</v>
      </c>
      <c r="BQ754">
        <v>65535</v>
      </c>
      <c r="CB754">
        <v>19.593198776245117</v>
      </c>
      <c r="CC754">
        <v>6.0992279052734375</v>
      </c>
    </row>
    <row r="755" spans="1:81" ht="12.75" customHeight="1">
      <c r="A755" t="s">
        <v>728</v>
      </c>
      <c r="C755" t="s">
        <v>694</v>
      </c>
      <c r="D755">
        <v>753</v>
      </c>
      <c r="F755">
        <v>65535</v>
      </c>
      <c r="I755" t="s">
        <v>728</v>
      </c>
      <c r="AN755">
        <v>0</v>
      </c>
      <c r="AO755">
        <v>0</v>
      </c>
      <c r="AP755">
        <v>0</v>
      </c>
      <c r="AS755">
        <v>65535</v>
      </c>
      <c r="AT755">
        <v>65535</v>
      </c>
      <c r="AU755">
        <v>65535</v>
      </c>
      <c r="BI755">
        <v>0</v>
      </c>
      <c r="BK755">
        <v>0</v>
      </c>
      <c r="BL755">
        <v>0</v>
      </c>
      <c r="BP755">
        <v>65535</v>
      </c>
      <c r="BQ755">
        <v>65535</v>
      </c>
      <c r="CB755">
        <v>19.593198776245117</v>
      </c>
      <c r="CC755">
        <v>6.0992279052734375</v>
      </c>
    </row>
    <row r="756" spans="1:81" ht="12.75" customHeight="1">
      <c r="A756" t="s">
        <v>728</v>
      </c>
      <c r="C756" t="s">
        <v>694</v>
      </c>
      <c r="D756">
        <v>754</v>
      </c>
      <c r="F756">
        <v>65535</v>
      </c>
      <c r="I756" t="s">
        <v>728</v>
      </c>
      <c r="AN756">
        <v>0</v>
      </c>
      <c r="AO756">
        <v>0</v>
      </c>
      <c r="AP756">
        <v>0</v>
      </c>
      <c r="AS756">
        <v>65535</v>
      </c>
      <c r="AT756">
        <v>65535</v>
      </c>
      <c r="AU756">
        <v>65535</v>
      </c>
      <c r="BI756">
        <v>0</v>
      </c>
      <c r="BK756">
        <v>0</v>
      </c>
      <c r="BL756">
        <v>0</v>
      </c>
      <c r="BP756">
        <v>65535</v>
      </c>
      <c r="BQ756">
        <v>65535</v>
      </c>
      <c r="CB756">
        <v>19.593198776245117</v>
      </c>
      <c r="CC756">
        <v>6.0992279052734375</v>
      </c>
    </row>
    <row r="757" spans="1:81" ht="12.75" customHeight="1">
      <c r="A757" t="s">
        <v>728</v>
      </c>
      <c r="C757" t="s">
        <v>694</v>
      </c>
      <c r="D757">
        <v>755</v>
      </c>
      <c r="F757">
        <v>65535</v>
      </c>
      <c r="I757" t="s">
        <v>728</v>
      </c>
      <c r="AN757">
        <v>0</v>
      </c>
      <c r="AO757">
        <v>0</v>
      </c>
      <c r="AP757">
        <v>0</v>
      </c>
      <c r="AS757">
        <v>65535</v>
      </c>
      <c r="AT757">
        <v>65535</v>
      </c>
      <c r="AU757">
        <v>65535</v>
      </c>
      <c r="BI757">
        <v>0</v>
      </c>
      <c r="BK757">
        <v>0</v>
      </c>
      <c r="BL757">
        <v>0</v>
      </c>
      <c r="BP757">
        <v>65535</v>
      </c>
      <c r="BQ757">
        <v>65535</v>
      </c>
      <c r="CB757">
        <v>19.593198776245117</v>
      </c>
      <c r="CC757">
        <v>6.0992279052734375</v>
      </c>
    </row>
    <row r="758" spans="1:81" ht="12.75" customHeight="1">
      <c r="A758" t="s">
        <v>728</v>
      </c>
      <c r="C758" t="s">
        <v>694</v>
      </c>
      <c r="D758">
        <v>756</v>
      </c>
      <c r="F758">
        <v>65535</v>
      </c>
      <c r="I758" t="s">
        <v>728</v>
      </c>
      <c r="AN758">
        <v>0</v>
      </c>
      <c r="AO758">
        <v>0</v>
      </c>
      <c r="AP758">
        <v>0</v>
      </c>
      <c r="AS758">
        <v>65535</v>
      </c>
      <c r="AT758">
        <v>65535</v>
      </c>
      <c r="AU758">
        <v>65535</v>
      </c>
      <c r="BI758">
        <v>0</v>
      </c>
      <c r="BK758">
        <v>0</v>
      </c>
      <c r="BL758">
        <v>0</v>
      </c>
      <c r="BP758">
        <v>65535</v>
      </c>
      <c r="BQ758">
        <v>65535</v>
      </c>
      <c r="CB758">
        <v>19.593198776245117</v>
      </c>
      <c r="CC758">
        <v>6.0992279052734375</v>
      </c>
    </row>
    <row r="759" spans="1:81" ht="12.75" customHeight="1">
      <c r="A759" t="s">
        <v>728</v>
      </c>
      <c r="C759" t="s">
        <v>694</v>
      </c>
      <c r="D759">
        <v>757</v>
      </c>
      <c r="F759">
        <v>65535</v>
      </c>
      <c r="I759" t="s">
        <v>728</v>
      </c>
      <c r="AN759">
        <v>0</v>
      </c>
      <c r="AO759">
        <v>0</v>
      </c>
      <c r="AP759">
        <v>0</v>
      </c>
      <c r="AS759">
        <v>65535</v>
      </c>
      <c r="AT759">
        <v>65535</v>
      </c>
      <c r="AU759">
        <v>65535</v>
      </c>
      <c r="BI759">
        <v>0</v>
      </c>
      <c r="BK759">
        <v>0</v>
      </c>
      <c r="BL759">
        <v>0</v>
      </c>
      <c r="BP759">
        <v>65535</v>
      </c>
      <c r="BQ759">
        <v>65535</v>
      </c>
      <c r="CB759">
        <v>19.593198776245117</v>
      </c>
      <c r="CC759">
        <v>6.0992279052734375</v>
      </c>
    </row>
    <row r="760" spans="1:81" ht="12.75" customHeight="1">
      <c r="A760" t="s">
        <v>728</v>
      </c>
      <c r="C760" t="s">
        <v>694</v>
      </c>
      <c r="D760">
        <v>758</v>
      </c>
      <c r="F760">
        <v>65535</v>
      </c>
      <c r="I760" t="s">
        <v>728</v>
      </c>
      <c r="AN760">
        <v>0</v>
      </c>
      <c r="AO760">
        <v>0</v>
      </c>
      <c r="AP760">
        <v>0</v>
      </c>
      <c r="AS760">
        <v>65535</v>
      </c>
      <c r="AT760">
        <v>65535</v>
      </c>
      <c r="AU760">
        <v>65535</v>
      </c>
      <c r="BI760">
        <v>0</v>
      </c>
      <c r="BK760">
        <v>0</v>
      </c>
      <c r="BL760">
        <v>0</v>
      </c>
      <c r="BP760">
        <v>65535</v>
      </c>
      <c r="BQ760">
        <v>65535</v>
      </c>
      <c r="CB760">
        <v>19.593198776245117</v>
      </c>
      <c r="CC760">
        <v>6.0992279052734375</v>
      </c>
    </row>
    <row r="761" spans="1:81" ht="12.75" customHeight="1">
      <c r="A761" t="s">
        <v>728</v>
      </c>
      <c r="C761" t="s">
        <v>694</v>
      </c>
      <c r="D761">
        <v>759</v>
      </c>
      <c r="F761">
        <v>65535</v>
      </c>
      <c r="I761" t="s">
        <v>728</v>
      </c>
      <c r="AN761">
        <v>0</v>
      </c>
      <c r="AO761">
        <v>0</v>
      </c>
      <c r="AP761">
        <v>0</v>
      </c>
      <c r="AS761">
        <v>65535</v>
      </c>
      <c r="AT761">
        <v>65535</v>
      </c>
      <c r="AU761">
        <v>65535</v>
      </c>
      <c r="BI761">
        <v>0</v>
      </c>
      <c r="BK761">
        <v>0</v>
      </c>
      <c r="BL761">
        <v>0</v>
      </c>
      <c r="BP761">
        <v>65535</v>
      </c>
      <c r="BQ761">
        <v>65535</v>
      </c>
      <c r="CB761">
        <v>19.593198776245117</v>
      </c>
      <c r="CC761">
        <v>6.0992279052734375</v>
      </c>
    </row>
    <row r="762" spans="1:81" ht="12.75" customHeight="1">
      <c r="A762" t="s">
        <v>728</v>
      </c>
      <c r="C762" t="s">
        <v>694</v>
      </c>
      <c r="D762">
        <v>760</v>
      </c>
      <c r="F762">
        <v>65535</v>
      </c>
      <c r="I762" t="s">
        <v>728</v>
      </c>
      <c r="AN762">
        <v>0</v>
      </c>
      <c r="AO762">
        <v>0</v>
      </c>
      <c r="AP762">
        <v>0</v>
      </c>
      <c r="AS762">
        <v>65535</v>
      </c>
      <c r="AT762">
        <v>65535</v>
      </c>
      <c r="AU762">
        <v>65535</v>
      </c>
      <c r="BI762">
        <v>0</v>
      </c>
      <c r="BK762">
        <v>0</v>
      </c>
      <c r="BL762">
        <v>0</v>
      </c>
      <c r="BP762">
        <v>65535</v>
      </c>
      <c r="BQ762">
        <v>65535</v>
      </c>
      <c r="CB762">
        <v>19.593198776245117</v>
      </c>
      <c r="CC762">
        <v>6.0992279052734375</v>
      </c>
    </row>
    <row r="763" spans="1:81" ht="12.75" customHeight="1">
      <c r="A763" t="s">
        <v>728</v>
      </c>
      <c r="C763" t="s">
        <v>694</v>
      </c>
      <c r="D763">
        <v>761</v>
      </c>
      <c r="F763">
        <v>65535</v>
      </c>
      <c r="I763" t="s">
        <v>728</v>
      </c>
      <c r="AN763">
        <v>0</v>
      </c>
      <c r="AO763">
        <v>0</v>
      </c>
      <c r="AP763">
        <v>0</v>
      </c>
      <c r="AS763">
        <v>65535</v>
      </c>
      <c r="AT763">
        <v>65535</v>
      </c>
      <c r="AU763">
        <v>65535</v>
      </c>
      <c r="BI763">
        <v>0</v>
      </c>
      <c r="BK763">
        <v>0</v>
      </c>
      <c r="BL763">
        <v>0</v>
      </c>
      <c r="BP763">
        <v>65535</v>
      </c>
      <c r="BQ763">
        <v>65535</v>
      </c>
      <c r="CB763">
        <v>19.593198776245117</v>
      </c>
      <c r="CC763">
        <v>6.0992279052734375</v>
      </c>
    </row>
    <row r="764" spans="1:81" ht="12.75" customHeight="1">
      <c r="A764" t="s">
        <v>728</v>
      </c>
      <c r="C764" t="s">
        <v>694</v>
      </c>
      <c r="D764">
        <v>762</v>
      </c>
      <c r="F764">
        <v>65535</v>
      </c>
      <c r="I764" t="s">
        <v>728</v>
      </c>
      <c r="AN764">
        <v>0</v>
      </c>
      <c r="AO764">
        <v>0</v>
      </c>
      <c r="AP764">
        <v>0</v>
      </c>
      <c r="AS764">
        <v>65535</v>
      </c>
      <c r="AT764">
        <v>65535</v>
      </c>
      <c r="AU764">
        <v>65535</v>
      </c>
      <c r="BI764">
        <v>0</v>
      </c>
      <c r="BK764">
        <v>0</v>
      </c>
      <c r="BL764">
        <v>0</v>
      </c>
      <c r="BP764">
        <v>65535</v>
      </c>
      <c r="BQ764">
        <v>65535</v>
      </c>
      <c r="CB764">
        <v>19.593198776245117</v>
      </c>
      <c r="CC764">
        <v>6.0992279052734375</v>
      </c>
    </row>
    <row r="765" spans="1:81" ht="12.75" customHeight="1">
      <c r="A765" t="s">
        <v>728</v>
      </c>
      <c r="C765" t="s">
        <v>694</v>
      </c>
      <c r="D765">
        <v>763</v>
      </c>
      <c r="F765">
        <v>65535</v>
      </c>
      <c r="I765" t="s">
        <v>728</v>
      </c>
      <c r="AN765">
        <v>0</v>
      </c>
      <c r="AO765">
        <v>0</v>
      </c>
      <c r="AP765">
        <v>0</v>
      </c>
      <c r="AS765">
        <v>65535</v>
      </c>
      <c r="AT765">
        <v>65535</v>
      </c>
      <c r="AU765">
        <v>65535</v>
      </c>
      <c r="BI765">
        <v>0</v>
      </c>
      <c r="BK765">
        <v>0</v>
      </c>
      <c r="BL765">
        <v>0</v>
      </c>
      <c r="BP765">
        <v>65535</v>
      </c>
      <c r="BQ765">
        <v>65535</v>
      </c>
      <c r="CB765">
        <v>19.593198776245117</v>
      </c>
      <c r="CC765">
        <v>6.0992279052734375</v>
      </c>
    </row>
    <row r="766" spans="1:81" ht="12.75" customHeight="1">
      <c r="A766" t="s">
        <v>728</v>
      </c>
      <c r="C766" t="s">
        <v>694</v>
      </c>
      <c r="D766">
        <v>764</v>
      </c>
      <c r="F766">
        <v>65535</v>
      </c>
      <c r="I766" t="s">
        <v>728</v>
      </c>
      <c r="AN766">
        <v>0</v>
      </c>
      <c r="AO766">
        <v>0</v>
      </c>
      <c r="AP766">
        <v>0</v>
      </c>
      <c r="AS766">
        <v>65535</v>
      </c>
      <c r="AT766">
        <v>65535</v>
      </c>
      <c r="AU766">
        <v>65535</v>
      </c>
      <c r="BI766">
        <v>0</v>
      </c>
      <c r="BK766">
        <v>0</v>
      </c>
      <c r="BL766">
        <v>0</v>
      </c>
      <c r="BP766">
        <v>65535</v>
      </c>
      <c r="BQ766">
        <v>65535</v>
      </c>
      <c r="CB766">
        <v>19.593198776245117</v>
      </c>
      <c r="CC766">
        <v>6.0992279052734375</v>
      </c>
    </row>
    <row r="767" spans="1:81" ht="12.75" customHeight="1">
      <c r="A767" t="s">
        <v>728</v>
      </c>
      <c r="C767" t="s">
        <v>694</v>
      </c>
      <c r="D767">
        <v>765</v>
      </c>
      <c r="F767">
        <v>65535</v>
      </c>
      <c r="I767" t="s">
        <v>728</v>
      </c>
      <c r="AN767">
        <v>0</v>
      </c>
      <c r="AO767">
        <v>0</v>
      </c>
      <c r="AP767">
        <v>0</v>
      </c>
      <c r="AS767">
        <v>65535</v>
      </c>
      <c r="AT767">
        <v>65535</v>
      </c>
      <c r="AU767">
        <v>65535</v>
      </c>
      <c r="BI767">
        <v>0</v>
      </c>
      <c r="BK767">
        <v>0</v>
      </c>
      <c r="BL767">
        <v>0</v>
      </c>
      <c r="BP767">
        <v>65535</v>
      </c>
      <c r="BQ767">
        <v>65535</v>
      </c>
      <c r="CB767">
        <v>19.593198776245117</v>
      </c>
      <c r="CC767">
        <v>6.0992279052734375</v>
      </c>
    </row>
    <row r="768" spans="1:81" ht="12.75" customHeight="1">
      <c r="A768" t="s">
        <v>728</v>
      </c>
      <c r="C768" t="s">
        <v>694</v>
      </c>
      <c r="D768">
        <v>766</v>
      </c>
      <c r="F768">
        <v>65535</v>
      </c>
      <c r="I768" t="s">
        <v>728</v>
      </c>
      <c r="AN768">
        <v>0</v>
      </c>
      <c r="AO768">
        <v>0</v>
      </c>
      <c r="AP768">
        <v>0</v>
      </c>
      <c r="AS768">
        <v>65535</v>
      </c>
      <c r="AT768">
        <v>65535</v>
      </c>
      <c r="AU768">
        <v>65535</v>
      </c>
      <c r="BI768">
        <v>0</v>
      </c>
      <c r="BK768">
        <v>0</v>
      </c>
      <c r="BL768">
        <v>0</v>
      </c>
      <c r="BP768">
        <v>65535</v>
      </c>
      <c r="BQ768">
        <v>65535</v>
      </c>
      <c r="CB768">
        <v>19.593198776245117</v>
      </c>
      <c r="CC768">
        <v>6.0992279052734375</v>
      </c>
    </row>
    <row r="769" spans="1:81" ht="12.75" customHeight="1">
      <c r="A769" t="s">
        <v>728</v>
      </c>
      <c r="C769" t="s">
        <v>694</v>
      </c>
      <c r="D769">
        <v>767</v>
      </c>
      <c r="F769">
        <v>65535</v>
      </c>
      <c r="I769" t="s">
        <v>728</v>
      </c>
      <c r="AN769">
        <v>0</v>
      </c>
      <c r="AO769">
        <v>0</v>
      </c>
      <c r="AP769">
        <v>0</v>
      </c>
      <c r="AS769">
        <v>65535</v>
      </c>
      <c r="AT769">
        <v>65535</v>
      </c>
      <c r="AU769">
        <v>65535</v>
      </c>
      <c r="BI769">
        <v>0</v>
      </c>
      <c r="BK769">
        <v>0</v>
      </c>
      <c r="BL769">
        <v>0</v>
      </c>
      <c r="BP769">
        <v>65535</v>
      </c>
      <c r="BQ769">
        <v>65535</v>
      </c>
      <c r="CB769">
        <v>19.593198776245117</v>
      </c>
      <c r="CC769">
        <v>6.0992279052734375</v>
      </c>
    </row>
    <row r="770" spans="1:81" ht="12.75" customHeight="1">
      <c r="A770" t="s">
        <v>728</v>
      </c>
      <c r="C770" t="s">
        <v>694</v>
      </c>
      <c r="D770">
        <v>768</v>
      </c>
      <c r="F770">
        <v>65535</v>
      </c>
      <c r="I770" t="s">
        <v>728</v>
      </c>
      <c r="AN770">
        <v>0</v>
      </c>
      <c r="AO770">
        <v>0</v>
      </c>
      <c r="AP770">
        <v>0</v>
      </c>
      <c r="AS770">
        <v>65535</v>
      </c>
      <c r="AT770">
        <v>65535</v>
      </c>
      <c r="AU770">
        <v>65535</v>
      </c>
      <c r="BI770">
        <v>0</v>
      </c>
      <c r="BK770">
        <v>0</v>
      </c>
      <c r="BL770">
        <v>0</v>
      </c>
      <c r="BP770">
        <v>65535</v>
      </c>
      <c r="BQ770">
        <v>65535</v>
      </c>
      <c r="CB770">
        <v>19.593198776245117</v>
      </c>
      <c r="CC770">
        <v>6.0992279052734375</v>
      </c>
    </row>
    <row r="771" spans="1:81" ht="12.75" customHeight="1">
      <c r="A771" t="s">
        <v>728</v>
      </c>
      <c r="C771" t="s">
        <v>694</v>
      </c>
      <c r="D771">
        <v>769</v>
      </c>
      <c r="F771">
        <v>65535</v>
      </c>
      <c r="I771" t="s">
        <v>728</v>
      </c>
      <c r="AN771">
        <v>0</v>
      </c>
      <c r="AO771">
        <v>0</v>
      </c>
      <c r="AP771">
        <v>0</v>
      </c>
      <c r="AS771">
        <v>65535</v>
      </c>
      <c r="AT771">
        <v>65535</v>
      </c>
      <c r="AU771">
        <v>65535</v>
      </c>
      <c r="BI771">
        <v>0</v>
      </c>
      <c r="BK771">
        <v>0</v>
      </c>
      <c r="BL771">
        <v>0</v>
      </c>
      <c r="BP771">
        <v>65535</v>
      </c>
      <c r="BQ771">
        <v>65535</v>
      </c>
      <c r="CB771">
        <v>19.593198776245117</v>
      </c>
      <c r="CC771">
        <v>6.0992279052734375</v>
      </c>
    </row>
    <row r="772" spans="1:81" ht="12.75" customHeight="1">
      <c r="A772" t="s">
        <v>728</v>
      </c>
      <c r="C772" t="s">
        <v>694</v>
      </c>
      <c r="D772">
        <v>770</v>
      </c>
      <c r="F772">
        <v>65535</v>
      </c>
      <c r="I772" t="s">
        <v>728</v>
      </c>
      <c r="AN772">
        <v>0</v>
      </c>
      <c r="AO772">
        <v>0</v>
      </c>
      <c r="AP772">
        <v>0</v>
      </c>
      <c r="AS772">
        <v>65535</v>
      </c>
      <c r="AT772">
        <v>65535</v>
      </c>
      <c r="AU772">
        <v>65535</v>
      </c>
      <c r="BI772">
        <v>0</v>
      </c>
      <c r="BK772">
        <v>0</v>
      </c>
      <c r="BL772">
        <v>0</v>
      </c>
      <c r="BP772">
        <v>65535</v>
      </c>
      <c r="BQ772">
        <v>65535</v>
      </c>
      <c r="CB772">
        <v>19.593198776245117</v>
      </c>
      <c r="CC772">
        <v>6.0992279052734375</v>
      </c>
    </row>
    <row r="773" spans="1:81" ht="12.75" customHeight="1">
      <c r="A773" t="s">
        <v>728</v>
      </c>
      <c r="C773" t="s">
        <v>694</v>
      </c>
      <c r="D773">
        <v>771</v>
      </c>
      <c r="F773">
        <v>65535</v>
      </c>
      <c r="I773" t="s">
        <v>728</v>
      </c>
      <c r="AN773">
        <v>0</v>
      </c>
      <c r="AO773">
        <v>0</v>
      </c>
      <c r="AP773">
        <v>0</v>
      </c>
      <c r="AS773">
        <v>65535</v>
      </c>
      <c r="AT773">
        <v>65535</v>
      </c>
      <c r="AU773">
        <v>65535</v>
      </c>
      <c r="BI773">
        <v>0</v>
      </c>
      <c r="BK773">
        <v>0</v>
      </c>
      <c r="BL773">
        <v>0</v>
      </c>
      <c r="BP773">
        <v>65535</v>
      </c>
      <c r="BQ773">
        <v>65535</v>
      </c>
      <c r="CB773">
        <v>19.593198776245117</v>
      </c>
      <c r="CC773">
        <v>6.0992279052734375</v>
      </c>
    </row>
    <row r="774" spans="1:81" ht="12.75" customHeight="1">
      <c r="A774" t="s">
        <v>728</v>
      </c>
      <c r="C774" t="s">
        <v>694</v>
      </c>
      <c r="D774">
        <v>772</v>
      </c>
      <c r="F774">
        <v>65535</v>
      </c>
      <c r="I774" t="s">
        <v>728</v>
      </c>
      <c r="AN774">
        <v>0</v>
      </c>
      <c r="AO774">
        <v>0</v>
      </c>
      <c r="AP774">
        <v>0</v>
      </c>
      <c r="AS774">
        <v>65535</v>
      </c>
      <c r="AT774">
        <v>65535</v>
      </c>
      <c r="AU774">
        <v>65535</v>
      </c>
      <c r="BI774">
        <v>0</v>
      </c>
      <c r="BK774">
        <v>0</v>
      </c>
      <c r="BL774">
        <v>0</v>
      </c>
      <c r="BP774">
        <v>65535</v>
      </c>
      <c r="BQ774">
        <v>65535</v>
      </c>
      <c r="CB774">
        <v>19.593198776245117</v>
      </c>
      <c r="CC774">
        <v>6.0992279052734375</v>
      </c>
    </row>
    <row r="775" spans="1:81" ht="12.75" customHeight="1">
      <c r="A775" t="s">
        <v>728</v>
      </c>
      <c r="C775" t="s">
        <v>694</v>
      </c>
      <c r="D775">
        <v>773</v>
      </c>
      <c r="F775">
        <v>65535</v>
      </c>
      <c r="I775" t="s">
        <v>728</v>
      </c>
      <c r="AN775">
        <v>0</v>
      </c>
      <c r="AO775">
        <v>0</v>
      </c>
      <c r="AP775">
        <v>0</v>
      </c>
      <c r="AS775">
        <v>65535</v>
      </c>
      <c r="AT775">
        <v>65535</v>
      </c>
      <c r="AU775">
        <v>65535</v>
      </c>
      <c r="BI775">
        <v>0</v>
      </c>
      <c r="BK775">
        <v>0</v>
      </c>
      <c r="BL775">
        <v>0</v>
      </c>
      <c r="BP775">
        <v>65535</v>
      </c>
      <c r="BQ775">
        <v>65535</v>
      </c>
      <c r="CB775">
        <v>19.593198776245117</v>
      </c>
      <c r="CC775">
        <v>6.0992279052734375</v>
      </c>
    </row>
    <row r="776" spans="1:81" ht="12.75" customHeight="1">
      <c r="A776" t="s">
        <v>728</v>
      </c>
      <c r="C776" t="s">
        <v>694</v>
      </c>
      <c r="D776">
        <v>774</v>
      </c>
      <c r="F776">
        <v>65535</v>
      </c>
      <c r="I776" t="s">
        <v>728</v>
      </c>
      <c r="AN776">
        <v>0</v>
      </c>
      <c r="AO776">
        <v>0</v>
      </c>
      <c r="AP776">
        <v>0</v>
      </c>
      <c r="AS776">
        <v>65535</v>
      </c>
      <c r="AT776">
        <v>65535</v>
      </c>
      <c r="AU776">
        <v>65535</v>
      </c>
      <c r="BI776">
        <v>0</v>
      </c>
      <c r="BK776">
        <v>0</v>
      </c>
      <c r="BL776">
        <v>0</v>
      </c>
      <c r="BP776">
        <v>65535</v>
      </c>
      <c r="BQ776">
        <v>65535</v>
      </c>
      <c r="CB776">
        <v>19.593198776245117</v>
      </c>
      <c r="CC776">
        <v>6.0992279052734375</v>
      </c>
    </row>
    <row r="777" spans="1:81" ht="12.75" customHeight="1">
      <c r="A777" t="s">
        <v>728</v>
      </c>
      <c r="C777" t="s">
        <v>694</v>
      </c>
      <c r="D777">
        <v>775</v>
      </c>
      <c r="F777">
        <v>65535</v>
      </c>
      <c r="I777" t="s">
        <v>728</v>
      </c>
      <c r="AN777">
        <v>0</v>
      </c>
      <c r="AO777">
        <v>0</v>
      </c>
      <c r="AP777">
        <v>0</v>
      </c>
      <c r="AS777">
        <v>65535</v>
      </c>
      <c r="AT777">
        <v>65535</v>
      </c>
      <c r="AU777">
        <v>65535</v>
      </c>
      <c r="BI777">
        <v>0</v>
      </c>
      <c r="BK777">
        <v>0</v>
      </c>
      <c r="BL777">
        <v>0</v>
      </c>
      <c r="BP777">
        <v>65535</v>
      </c>
      <c r="BQ777">
        <v>65535</v>
      </c>
      <c r="CB777">
        <v>19.593198776245117</v>
      </c>
      <c r="CC777">
        <v>6.0992279052734375</v>
      </c>
    </row>
    <row r="778" spans="1:81" ht="12.75" customHeight="1">
      <c r="A778" t="s">
        <v>728</v>
      </c>
      <c r="C778" t="s">
        <v>694</v>
      </c>
      <c r="D778">
        <v>776</v>
      </c>
      <c r="F778">
        <v>65535</v>
      </c>
      <c r="I778" t="s">
        <v>728</v>
      </c>
      <c r="AN778">
        <v>0</v>
      </c>
      <c r="AO778">
        <v>0</v>
      </c>
      <c r="AP778">
        <v>0</v>
      </c>
      <c r="AS778">
        <v>65535</v>
      </c>
      <c r="AT778">
        <v>65535</v>
      </c>
      <c r="AU778">
        <v>65535</v>
      </c>
      <c r="BI778">
        <v>0</v>
      </c>
      <c r="BK778">
        <v>0</v>
      </c>
      <c r="BL778">
        <v>0</v>
      </c>
      <c r="BP778">
        <v>65535</v>
      </c>
      <c r="BQ778">
        <v>65535</v>
      </c>
      <c r="CB778">
        <v>19.593198776245117</v>
      </c>
      <c r="CC778">
        <v>6.0992279052734375</v>
      </c>
    </row>
    <row r="779" spans="1:81" ht="12.75" customHeight="1">
      <c r="A779" t="s">
        <v>728</v>
      </c>
      <c r="C779" t="s">
        <v>694</v>
      </c>
      <c r="D779">
        <v>777</v>
      </c>
      <c r="F779">
        <v>65535</v>
      </c>
      <c r="I779" t="s">
        <v>728</v>
      </c>
      <c r="AN779">
        <v>0</v>
      </c>
      <c r="AO779">
        <v>0</v>
      </c>
      <c r="AP779">
        <v>0</v>
      </c>
      <c r="AS779">
        <v>65535</v>
      </c>
      <c r="AT779">
        <v>65535</v>
      </c>
      <c r="AU779">
        <v>65535</v>
      </c>
      <c r="BI779">
        <v>0</v>
      </c>
      <c r="BK779">
        <v>0</v>
      </c>
      <c r="BL779">
        <v>0</v>
      </c>
      <c r="BP779">
        <v>65535</v>
      </c>
      <c r="BQ779">
        <v>65535</v>
      </c>
      <c r="CB779">
        <v>19.593198776245117</v>
      </c>
      <c r="CC779">
        <v>6.0992279052734375</v>
      </c>
    </row>
    <row r="780" spans="1:81" ht="12.75" customHeight="1">
      <c r="A780" t="s">
        <v>728</v>
      </c>
      <c r="C780" t="s">
        <v>694</v>
      </c>
      <c r="D780">
        <v>778</v>
      </c>
      <c r="F780">
        <v>65535</v>
      </c>
      <c r="I780" t="s">
        <v>728</v>
      </c>
      <c r="AN780">
        <v>0</v>
      </c>
      <c r="AO780">
        <v>0</v>
      </c>
      <c r="AP780">
        <v>0</v>
      </c>
      <c r="AS780">
        <v>65535</v>
      </c>
      <c r="AT780">
        <v>65535</v>
      </c>
      <c r="AU780">
        <v>65535</v>
      </c>
      <c r="BI780">
        <v>0</v>
      </c>
      <c r="BK780">
        <v>0</v>
      </c>
      <c r="BL780">
        <v>0</v>
      </c>
      <c r="BP780">
        <v>65535</v>
      </c>
      <c r="BQ780">
        <v>65535</v>
      </c>
      <c r="CB780">
        <v>19.593198776245117</v>
      </c>
      <c r="CC780">
        <v>6.0992279052734375</v>
      </c>
    </row>
    <row r="781" spans="1:81" ht="12.75" customHeight="1">
      <c r="A781" t="s">
        <v>728</v>
      </c>
      <c r="C781" t="s">
        <v>694</v>
      </c>
      <c r="D781">
        <v>779</v>
      </c>
      <c r="F781">
        <v>65535</v>
      </c>
      <c r="I781" t="s">
        <v>728</v>
      </c>
      <c r="AN781">
        <v>0</v>
      </c>
      <c r="AO781">
        <v>0</v>
      </c>
      <c r="AP781">
        <v>0</v>
      </c>
      <c r="AS781">
        <v>65535</v>
      </c>
      <c r="AT781">
        <v>65535</v>
      </c>
      <c r="AU781">
        <v>65535</v>
      </c>
      <c r="BI781">
        <v>0</v>
      </c>
      <c r="BK781">
        <v>0</v>
      </c>
      <c r="BL781">
        <v>0</v>
      </c>
      <c r="BP781">
        <v>65535</v>
      </c>
      <c r="BQ781">
        <v>65535</v>
      </c>
      <c r="CB781">
        <v>19.593198776245117</v>
      </c>
      <c r="CC781">
        <v>6.0992279052734375</v>
      </c>
    </row>
    <row r="782" spans="1:81" ht="12.75" customHeight="1">
      <c r="A782" t="s">
        <v>728</v>
      </c>
      <c r="C782" t="s">
        <v>694</v>
      </c>
      <c r="D782">
        <v>780</v>
      </c>
      <c r="F782">
        <v>65535</v>
      </c>
      <c r="I782" t="s">
        <v>728</v>
      </c>
      <c r="AN782">
        <v>0</v>
      </c>
      <c r="AO782">
        <v>0</v>
      </c>
      <c r="AP782">
        <v>0</v>
      </c>
      <c r="AS782">
        <v>65535</v>
      </c>
      <c r="AT782">
        <v>65535</v>
      </c>
      <c r="AU782">
        <v>65535</v>
      </c>
      <c r="BI782">
        <v>0</v>
      </c>
      <c r="BK782">
        <v>0</v>
      </c>
      <c r="BL782">
        <v>0</v>
      </c>
      <c r="BP782">
        <v>65535</v>
      </c>
      <c r="BQ782">
        <v>65535</v>
      </c>
      <c r="CB782">
        <v>19.593198776245117</v>
      </c>
      <c r="CC782">
        <v>6.0992279052734375</v>
      </c>
    </row>
    <row r="783" spans="1:81" ht="12.75" customHeight="1">
      <c r="A783" t="s">
        <v>728</v>
      </c>
      <c r="C783" t="s">
        <v>694</v>
      </c>
      <c r="D783">
        <v>781</v>
      </c>
      <c r="F783">
        <v>65535</v>
      </c>
      <c r="I783" t="s">
        <v>728</v>
      </c>
      <c r="AN783">
        <v>0</v>
      </c>
      <c r="AO783">
        <v>0</v>
      </c>
      <c r="AP783">
        <v>0</v>
      </c>
      <c r="AS783">
        <v>65535</v>
      </c>
      <c r="AT783">
        <v>65535</v>
      </c>
      <c r="AU783">
        <v>65535</v>
      </c>
      <c r="BI783">
        <v>0</v>
      </c>
      <c r="BK783">
        <v>0</v>
      </c>
      <c r="BL783">
        <v>0</v>
      </c>
      <c r="BP783">
        <v>65535</v>
      </c>
      <c r="BQ783">
        <v>65535</v>
      </c>
      <c r="CB783">
        <v>19.593198776245117</v>
      </c>
      <c r="CC783">
        <v>6.0992279052734375</v>
      </c>
    </row>
    <row r="784" spans="1:81" ht="12.75" customHeight="1">
      <c r="A784" t="s">
        <v>728</v>
      </c>
      <c r="C784" t="s">
        <v>694</v>
      </c>
      <c r="D784">
        <v>782</v>
      </c>
      <c r="F784">
        <v>65535</v>
      </c>
      <c r="I784" t="s">
        <v>728</v>
      </c>
      <c r="AN784">
        <v>0</v>
      </c>
      <c r="AO784">
        <v>0</v>
      </c>
      <c r="AP784">
        <v>0</v>
      </c>
      <c r="AS784">
        <v>65535</v>
      </c>
      <c r="AT784">
        <v>65535</v>
      </c>
      <c r="AU784">
        <v>65535</v>
      </c>
      <c r="BI784">
        <v>0</v>
      </c>
      <c r="BK784">
        <v>0</v>
      </c>
      <c r="BL784">
        <v>0</v>
      </c>
      <c r="BP784">
        <v>65535</v>
      </c>
      <c r="BQ784">
        <v>65535</v>
      </c>
      <c r="CB784">
        <v>19.593198776245117</v>
      </c>
      <c r="CC784">
        <v>6.0992279052734375</v>
      </c>
    </row>
    <row r="785" spans="1:81" ht="12.75" customHeight="1">
      <c r="A785" t="s">
        <v>728</v>
      </c>
      <c r="C785" t="s">
        <v>694</v>
      </c>
      <c r="D785">
        <v>783</v>
      </c>
      <c r="F785">
        <v>65535</v>
      </c>
      <c r="I785" t="s">
        <v>728</v>
      </c>
      <c r="AN785">
        <v>0</v>
      </c>
      <c r="AO785">
        <v>0</v>
      </c>
      <c r="AP785">
        <v>0</v>
      </c>
      <c r="AS785">
        <v>65535</v>
      </c>
      <c r="AT785">
        <v>65535</v>
      </c>
      <c r="AU785">
        <v>65535</v>
      </c>
      <c r="BI785">
        <v>0</v>
      </c>
      <c r="BK785">
        <v>0</v>
      </c>
      <c r="BL785">
        <v>0</v>
      </c>
      <c r="BP785">
        <v>65535</v>
      </c>
      <c r="BQ785">
        <v>65535</v>
      </c>
      <c r="CB785">
        <v>19.593198776245117</v>
      </c>
      <c r="CC785">
        <v>6.0992279052734375</v>
      </c>
    </row>
    <row r="786" spans="1:81" ht="12.75" customHeight="1">
      <c r="A786" t="s">
        <v>728</v>
      </c>
      <c r="C786" t="s">
        <v>694</v>
      </c>
      <c r="D786">
        <v>784</v>
      </c>
      <c r="F786">
        <v>65535</v>
      </c>
      <c r="I786" t="s">
        <v>728</v>
      </c>
      <c r="AN786">
        <v>0</v>
      </c>
      <c r="AO786">
        <v>0</v>
      </c>
      <c r="AP786">
        <v>0</v>
      </c>
      <c r="AS786">
        <v>65535</v>
      </c>
      <c r="AT786">
        <v>65535</v>
      </c>
      <c r="AU786">
        <v>65535</v>
      </c>
      <c r="BI786">
        <v>0</v>
      </c>
      <c r="BK786">
        <v>0</v>
      </c>
      <c r="BL786">
        <v>0</v>
      </c>
      <c r="BP786">
        <v>65535</v>
      </c>
      <c r="BQ786">
        <v>65535</v>
      </c>
      <c r="CB786">
        <v>19.593198776245117</v>
      </c>
      <c r="CC786">
        <v>6.0992279052734375</v>
      </c>
    </row>
    <row r="787" spans="1:81" ht="12.75" customHeight="1">
      <c r="A787" t="s">
        <v>728</v>
      </c>
      <c r="C787" t="s">
        <v>694</v>
      </c>
      <c r="D787">
        <v>785</v>
      </c>
      <c r="F787">
        <v>65535</v>
      </c>
      <c r="I787" t="s">
        <v>728</v>
      </c>
      <c r="AN787">
        <v>0</v>
      </c>
      <c r="AO787">
        <v>0</v>
      </c>
      <c r="AP787">
        <v>0</v>
      </c>
      <c r="AS787">
        <v>65535</v>
      </c>
      <c r="AT787">
        <v>65535</v>
      </c>
      <c r="AU787">
        <v>65535</v>
      </c>
      <c r="BI787">
        <v>0</v>
      </c>
      <c r="BK787">
        <v>0</v>
      </c>
      <c r="BL787">
        <v>0</v>
      </c>
      <c r="BP787">
        <v>65535</v>
      </c>
      <c r="BQ787">
        <v>65535</v>
      </c>
      <c r="CB787">
        <v>19.593198776245117</v>
      </c>
      <c r="CC787">
        <v>6.0992279052734375</v>
      </c>
    </row>
    <row r="788" spans="1:81" ht="12.75" customHeight="1">
      <c r="A788" t="s">
        <v>728</v>
      </c>
      <c r="C788" t="s">
        <v>694</v>
      </c>
      <c r="D788">
        <v>786</v>
      </c>
      <c r="F788">
        <v>65535</v>
      </c>
      <c r="I788" t="s">
        <v>728</v>
      </c>
      <c r="AN788">
        <v>0</v>
      </c>
      <c r="AO788">
        <v>0</v>
      </c>
      <c r="AP788">
        <v>0</v>
      </c>
      <c r="AS788">
        <v>65535</v>
      </c>
      <c r="AT788">
        <v>65535</v>
      </c>
      <c r="AU788">
        <v>65535</v>
      </c>
      <c r="BI788">
        <v>0</v>
      </c>
      <c r="BK788">
        <v>0</v>
      </c>
      <c r="BL788">
        <v>0</v>
      </c>
      <c r="BP788">
        <v>65535</v>
      </c>
      <c r="BQ788">
        <v>65535</v>
      </c>
      <c r="CB788">
        <v>19.593198776245117</v>
      </c>
      <c r="CC788">
        <v>6.0992279052734375</v>
      </c>
    </row>
    <row r="789" spans="1:81" ht="12.75" customHeight="1">
      <c r="A789" t="s">
        <v>728</v>
      </c>
      <c r="C789" t="s">
        <v>694</v>
      </c>
      <c r="D789">
        <v>787</v>
      </c>
      <c r="F789">
        <v>65535</v>
      </c>
      <c r="I789" t="s">
        <v>728</v>
      </c>
      <c r="AN789">
        <v>0</v>
      </c>
      <c r="AO789">
        <v>0</v>
      </c>
      <c r="AP789">
        <v>0</v>
      </c>
      <c r="AS789">
        <v>65535</v>
      </c>
      <c r="AT789">
        <v>65535</v>
      </c>
      <c r="AU789">
        <v>65535</v>
      </c>
      <c r="BI789">
        <v>0</v>
      </c>
      <c r="BK789">
        <v>0</v>
      </c>
      <c r="BL789">
        <v>0</v>
      </c>
      <c r="BP789">
        <v>65535</v>
      </c>
      <c r="BQ789">
        <v>65535</v>
      </c>
      <c r="CB789">
        <v>19.593198776245117</v>
      </c>
      <c r="CC789">
        <v>6.0992279052734375</v>
      </c>
    </row>
    <row r="790" spans="1:81" ht="12.75" customHeight="1">
      <c r="A790" t="s">
        <v>728</v>
      </c>
      <c r="C790" t="s">
        <v>694</v>
      </c>
      <c r="D790">
        <v>788</v>
      </c>
      <c r="F790">
        <v>65535</v>
      </c>
      <c r="I790" t="s">
        <v>728</v>
      </c>
      <c r="AN790">
        <v>0</v>
      </c>
      <c r="AO790">
        <v>0</v>
      </c>
      <c r="AP790">
        <v>0</v>
      </c>
      <c r="AS790">
        <v>65535</v>
      </c>
      <c r="AT790">
        <v>65535</v>
      </c>
      <c r="AU790">
        <v>65535</v>
      </c>
      <c r="BI790">
        <v>0</v>
      </c>
      <c r="BK790">
        <v>0</v>
      </c>
      <c r="BL790">
        <v>0</v>
      </c>
      <c r="BP790">
        <v>65535</v>
      </c>
      <c r="BQ790">
        <v>65535</v>
      </c>
      <c r="CB790">
        <v>19.593198776245117</v>
      </c>
      <c r="CC790">
        <v>6.0992279052734375</v>
      </c>
    </row>
    <row r="791" spans="1:81" ht="12.75" customHeight="1">
      <c r="A791" t="s">
        <v>728</v>
      </c>
      <c r="C791" t="s">
        <v>694</v>
      </c>
      <c r="D791">
        <v>789</v>
      </c>
      <c r="F791">
        <v>65535</v>
      </c>
      <c r="I791" t="s">
        <v>728</v>
      </c>
      <c r="AN791">
        <v>0</v>
      </c>
      <c r="AO791">
        <v>0</v>
      </c>
      <c r="AP791">
        <v>0</v>
      </c>
      <c r="AS791">
        <v>65535</v>
      </c>
      <c r="AT791">
        <v>65535</v>
      </c>
      <c r="AU791">
        <v>65535</v>
      </c>
      <c r="BI791">
        <v>0</v>
      </c>
      <c r="BK791">
        <v>0</v>
      </c>
      <c r="BL791">
        <v>0</v>
      </c>
      <c r="BP791">
        <v>65535</v>
      </c>
      <c r="BQ791">
        <v>65535</v>
      </c>
      <c r="CB791">
        <v>19.593198776245117</v>
      </c>
      <c r="CC791">
        <v>6.0992279052734375</v>
      </c>
    </row>
    <row r="792" spans="1:81" ht="12.75" customHeight="1">
      <c r="A792" t="s">
        <v>728</v>
      </c>
      <c r="C792" t="s">
        <v>694</v>
      </c>
      <c r="D792">
        <v>790</v>
      </c>
      <c r="F792">
        <v>65535</v>
      </c>
      <c r="I792" t="s">
        <v>728</v>
      </c>
      <c r="AN792">
        <v>0</v>
      </c>
      <c r="AO792">
        <v>0</v>
      </c>
      <c r="AP792">
        <v>0</v>
      </c>
      <c r="AS792">
        <v>65535</v>
      </c>
      <c r="AT792">
        <v>65535</v>
      </c>
      <c r="AU792">
        <v>65535</v>
      </c>
      <c r="BI792">
        <v>0</v>
      </c>
      <c r="BK792">
        <v>0</v>
      </c>
      <c r="BL792">
        <v>0</v>
      </c>
      <c r="BP792">
        <v>65535</v>
      </c>
      <c r="BQ792">
        <v>65535</v>
      </c>
      <c r="CB792">
        <v>19.593198776245117</v>
      </c>
      <c r="CC792">
        <v>6.0992279052734375</v>
      </c>
    </row>
    <row r="793" spans="1:81" ht="12.75" customHeight="1">
      <c r="A793" t="s">
        <v>728</v>
      </c>
      <c r="C793" t="s">
        <v>694</v>
      </c>
      <c r="D793">
        <v>791</v>
      </c>
      <c r="F793">
        <v>65535</v>
      </c>
      <c r="I793" t="s">
        <v>728</v>
      </c>
      <c r="AN793">
        <v>0</v>
      </c>
      <c r="AO793">
        <v>0</v>
      </c>
      <c r="AP793">
        <v>0</v>
      </c>
      <c r="AS793">
        <v>65535</v>
      </c>
      <c r="AT793">
        <v>65535</v>
      </c>
      <c r="AU793">
        <v>65535</v>
      </c>
      <c r="BI793">
        <v>0</v>
      </c>
      <c r="BK793">
        <v>0</v>
      </c>
      <c r="BL793">
        <v>0</v>
      </c>
      <c r="BP793">
        <v>65535</v>
      </c>
      <c r="BQ793">
        <v>65535</v>
      </c>
      <c r="CB793">
        <v>19.593198776245117</v>
      </c>
      <c r="CC793">
        <v>6.0992279052734375</v>
      </c>
    </row>
    <row r="794" spans="1:81" ht="12.75" customHeight="1">
      <c r="A794" t="s">
        <v>728</v>
      </c>
      <c r="C794" t="s">
        <v>694</v>
      </c>
      <c r="D794">
        <v>792</v>
      </c>
      <c r="F794">
        <v>65535</v>
      </c>
      <c r="I794" t="s">
        <v>728</v>
      </c>
      <c r="AN794">
        <v>0</v>
      </c>
      <c r="AO794">
        <v>0</v>
      </c>
      <c r="AP794">
        <v>0</v>
      </c>
      <c r="AS794">
        <v>65535</v>
      </c>
      <c r="AT794">
        <v>65535</v>
      </c>
      <c r="AU794">
        <v>65535</v>
      </c>
      <c r="BI794">
        <v>0</v>
      </c>
      <c r="BK794">
        <v>0</v>
      </c>
      <c r="BL794">
        <v>0</v>
      </c>
      <c r="BP794">
        <v>65535</v>
      </c>
      <c r="BQ794">
        <v>65535</v>
      </c>
      <c r="CB794">
        <v>19.593198776245117</v>
      </c>
      <c r="CC794">
        <v>6.0992279052734375</v>
      </c>
    </row>
    <row r="795" spans="1:81" ht="12.75" customHeight="1">
      <c r="A795" t="s">
        <v>728</v>
      </c>
      <c r="C795" t="s">
        <v>694</v>
      </c>
      <c r="D795">
        <v>793</v>
      </c>
      <c r="F795">
        <v>65535</v>
      </c>
      <c r="I795" t="s">
        <v>728</v>
      </c>
      <c r="AN795">
        <v>0</v>
      </c>
      <c r="AO795">
        <v>0</v>
      </c>
      <c r="AP795">
        <v>0</v>
      </c>
      <c r="AS795">
        <v>65535</v>
      </c>
      <c r="AT795">
        <v>65535</v>
      </c>
      <c r="AU795">
        <v>65535</v>
      </c>
      <c r="BI795">
        <v>0</v>
      </c>
      <c r="BK795">
        <v>0</v>
      </c>
      <c r="BL795">
        <v>0</v>
      </c>
      <c r="BP795">
        <v>65535</v>
      </c>
      <c r="BQ795">
        <v>65535</v>
      </c>
      <c r="CB795">
        <v>19.593198776245117</v>
      </c>
      <c r="CC795">
        <v>6.0992279052734375</v>
      </c>
    </row>
    <row r="796" spans="1:81" ht="12.75" customHeight="1">
      <c r="A796" t="s">
        <v>728</v>
      </c>
      <c r="C796" t="s">
        <v>694</v>
      </c>
      <c r="D796">
        <v>794</v>
      </c>
      <c r="F796">
        <v>65535</v>
      </c>
      <c r="I796" t="s">
        <v>728</v>
      </c>
      <c r="AN796">
        <v>0</v>
      </c>
      <c r="AO796">
        <v>0</v>
      </c>
      <c r="AP796">
        <v>0</v>
      </c>
      <c r="AS796">
        <v>65535</v>
      </c>
      <c r="AT796">
        <v>65535</v>
      </c>
      <c r="AU796">
        <v>65535</v>
      </c>
      <c r="BI796">
        <v>0</v>
      </c>
      <c r="BK796">
        <v>0</v>
      </c>
      <c r="BL796">
        <v>0</v>
      </c>
      <c r="BP796">
        <v>65535</v>
      </c>
      <c r="BQ796">
        <v>65535</v>
      </c>
      <c r="CB796">
        <v>19.593198776245117</v>
      </c>
      <c r="CC796">
        <v>6.0992279052734375</v>
      </c>
    </row>
    <row r="797" spans="1:81" ht="12.75" customHeight="1">
      <c r="A797" t="s">
        <v>728</v>
      </c>
      <c r="C797" t="s">
        <v>694</v>
      </c>
      <c r="D797">
        <v>795</v>
      </c>
      <c r="F797">
        <v>65535</v>
      </c>
      <c r="I797" t="s">
        <v>728</v>
      </c>
      <c r="AN797">
        <v>0</v>
      </c>
      <c r="AO797">
        <v>0</v>
      </c>
      <c r="AP797">
        <v>0</v>
      </c>
      <c r="AS797">
        <v>65535</v>
      </c>
      <c r="AT797">
        <v>65535</v>
      </c>
      <c r="AU797">
        <v>65535</v>
      </c>
      <c r="BI797">
        <v>0</v>
      </c>
      <c r="BK797">
        <v>0</v>
      </c>
      <c r="BL797">
        <v>0</v>
      </c>
      <c r="BP797">
        <v>65535</v>
      </c>
      <c r="BQ797">
        <v>65535</v>
      </c>
      <c r="CB797">
        <v>19.593198776245117</v>
      </c>
      <c r="CC797">
        <v>6.0992279052734375</v>
      </c>
    </row>
    <row r="798" spans="1:81" ht="12.75" customHeight="1">
      <c r="A798" t="s">
        <v>728</v>
      </c>
      <c r="C798" t="s">
        <v>694</v>
      </c>
      <c r="D798">
        <v>796</v>
      </c>
      <c r="F798">
        <v>65535</v>
      </c>
      <c r="I798" t="s">
        <v>728</v>
      </c>
      <c r="AN798">
        <v>0</v>
      </c>
      <c r="AO798">
        <v>0</v>
      </c>
      <c r="AP798">
        <v>0</v>
      </c>
      <c r="AS798">
        <v>65535</v>
      </c>
      <c r="AT798">
        <v>65535</v>
      </c>
      <c r="AU798">
        <v>65535</v>
      </c>
      <c r="BI798">
        <v>0</v>
      </c>
      <c r="BK798">
        <v>0</v>
      </c>
      <c r="BL798">
        <v>0</v>
      </c>
      <c r="BP798">
        <v>65535</v>
      </c>
      <c r="BQ798">
        <v>65535</v>
      </c>
      <c r="CB798">
        <v>19.593198776245117</v>
      </c>
      <c r="CC798">
        <v>6.0992279052734375</v>
      </c>
    </row>
    <row r="799" spans="1:81" ht="12.75" customHeight="1">
      <c r="A799" t="s">
        <v>728</v>
      </c>
      <c r="C799" t="s">
        <v>694</v>
      </c>
      <c r="D799">
        <v>797</v>
      </c>
      <c r="F799">
        <v>65535</v>
      </c>
      <c r="I799" t="s">
        <v>728</v>
      </c>
      <c r="AN799">
        <v>0</v>
      </c>
      <c r="AO799">
        <v>0</v>
      </c>
      <c r="AP799">
        <v>0</v>
      </c>
      <c r="AS799">
        <v>65535</v>
      </c>
      <c r="AT799">
        <v>65535</v>
      </c>
      <c r="AU799">
        <v>65535</v>
      </c>
      <c r="BI799">
        <v>0</v>
      </c>
      <c r="BK799">
        <v>0</v>
      </c>
      <c r="BL799">
        <v>0</v>
      </c>
      <c r="BP799">
        <v>65535</v>
      </c>
      <c r="BQ799">
        <v>65535</v>
      </c>
      <c r="CB799">
        <v>19.593198776245117</v>
      </c>
      <c r="CC799">
        <v>6.0992279052734375</v>
      </c>
    </row>
    <row r="800" spans="1:81" ht="12.75" customHeight="1">
      <c r="A800" t="s">
        <v>728</v>
      </c>
      <c r="C800" t="s">
        <v>694</v>
      </c>
      <c r="D800">
        <v>798</v>
      </c>
      <c r="F800">
        <v>65535</v>
      </c>
      <c r="I800" t="s">
        <v>728</v>
      </c>
      <c r="AN800">
        <v>0</v>
      </c>
      <c r="AO800">
        <v>0</v>
      </c>
      <c r="AP800">
        <v>0</v>
      </c>
      <c r="AS800">
        <v>65535</v>
      </c>
      <c r="AT800">
        <v>65535</v>
      </c>
      <c r="AU800">
        <v>65535</v>
      </c>
      <c r="BI800">
        <v>0</v>
      </c>
      <c r="BK800">
        <v>0</v>
      </c>
      <c r="BL800">
        <v>0</v>
      </c>
      <c r="BP800">
        <v>65535</v>
      </c>
      <c r="BQ800">
        <v>65535</v>
      </c>
      <c r="CB800">
        <v>19.593198776245117</v>
      </c>
      <c r="CC800">
        <v>6.0992279052734375</v>
      </c>
    </row>
    <row r="801" spans="1:81" ht="12.75" customHeight="1">
      <c r="A801" t="s">
        <v>728</v>
      </c>
      <c r="C801" t="s">
        <v>694</v>
      </c>
      <c r="D801">
        <v>799</v>
      </c>
      <c r="F801">
        <v>65535</v>
      </c>
      <c r="I801" t="s">
        <v>728</v>
      </c>
      <c r="AN801">
        <v>0</v>
      </c>
      <c r="AO801">
        <v>0</v>
      </c>
      <c r="AP801">
        <v>0</v>
      </c>
      <c r="AS801">
        <v>65535</v>
      </c>
      <c r="AT801">
        <v>65535</v>
      </c>
      <c r="AU801">
        <v>65535</v>
      </c>
      <c r="BI801">
        <v>0</v>
      </c>
      <c r="BK801">
        <v>0</v>
      </c>
      <c r="BL801">
        <v>0</v>
      </c>
      <c r="BP801">
        <v>65535</v>
      </c>
      <c r="BQ801">
        <v>65535</v>
      </c>
      <c r="CB801">
        <v>19.593198776245117</v>
      </c>
      <c r="CC801">
        <v>6.0992279052734375</v>
      </c>
    </row>
    <row r="802" spans="1:81" ht="12.75" customHeight="1">
      <c r="A802" t="s">
        <v>728</v>
      </c>
      <c r="C802" t="s">
        <v>694</v>
      </c>
      <c r="D802">
        <v>800</v>
      </c>
      <c r="F802">
        <v>65535</v>
      </c>
      <c r="I802" t="s">
        <v>728</v>
      </c>
      <c r="AN802">
        <v>0</v>
      </c>
      <c r="AO802">
        <v>0</v>
      </c>
      <c r="AP802">
        <v>0</v>
      </c>
      <c r="AS802">
        <v>65535</v>
      </c>
      <c r="AT802">
        <v>65535</v>
      </c>
      <c r="AU802">
        <v>65535</v>
      </c>
      <c r="BI802">
        <v>0</v>
      </c>
      <c r="BK802">
        <v>0</v>
      </c>
      <c r="BL802">
        <v>0</v>
      </c>
      <c r="BP802">
        <v>65535</v>
      </c>
      <c r="BQ802">
        <v>65535</v>
      </c>
      <c r="CB802">
        <v>19.593198776245117</v>
      </c>
      <c r="CC802">
        <v>6.0992279052734375</v>
      </c>
    </row>
    <row r="803" spans="1:81" ht="12.75" customHeight="1">
      <c r="A803" t="s">
        <v>728</v>
      </c>
      <c r="C803" t="s">
        <v>694</v>
      </c>
      <c r="D803">
        <v>801</v>
      </c>
      <c r="F803">
        <v>65535</v>
      </c>
      <c r="I803" t="s">
        <v>728</v>
      </c>
      <c r="AN803">
        <v>0</v>
      </c>
      <c r="AO803">
        <v>0</v>
      </c>
      <c r="AP803">
        <v>0</v>
      </c>
      <c r="AS803">
        <v>65535</v>
      </c>
      <c r="AT803">
        <v>65535</v>
      </c>
      <c r="AU803">
        <v>65535</v>
      </c>
      <c r="BI803">
        <v>0</v>
      </c>
      <c r="BK803">
        <v>0</v>
      </c>
      <c r="BL803">
        <v>0</v>
      </c>
      <c r="BP803">
        <v>65535</v>
      </c>
      <c r="BQ803">
        <v>65535</v>
      </c>
      <c r="CB803">
        <v>19.593198776245117</v>
      </c>
      <c r="CC803">
        <v>6.0992279052734375</v>
      </c>
    </row>
    <row r="804" spans="1:81" ht="12.75" customHeight="1">
      <c r="A804" t="s">
        <v>728</v>
      </c>
      <c r="C804" t="s">
        <v>694</v>
      </c>
      <c r="D804">
        <v>802</v>
      </c>
      <c r="F804">
        <v>65535</v>
      </c>
      <c r="I804" t="s">
        <v>728</v>
      </c>
      <c r="AN804">
        <v>0</v>
      </c>
      <c r="AO804">
        <v>0</v>
      </c>
      <c r="AP804">
        <v>0</v>
      </c>
      <c r="AS804">
        <v>65535</v>
      </c>
      <c r="AT804">
        <v>65535</v>
      </c>
      <c r="AU804">
        <v>65535</v>
      </c>
      <c r="BI804">
        <v>0</v>
      </c>
      <c r="BK804">
        <v>0</v>
      </c>
      <c r="BL804">
        <v>0</v>
      </c>
      <c r="BP804">
        <v>65535</v>
      </c>
      <c r="BQ804">
        <v>65535</v>
      </c>
      <c r="CB804">
        <v>19.593198776245117</v>
      </c>
      <c r="CC804">
        <v>6.0992279052734375</v>
      </c>
    </row>
    <row r="805" spans="1:81" ht="12.75" customHeight="1">
      <c r="A805" t="s">
        <v>728</v>
      </c>
      <c r="C805" t="s">
        <v>694</v>
      </c>
      <c r="D805">
        <v>803</v>
      </c>
      <c r="F805">
        <v>65535</v>
      </c>
      <c r="I805" t="s">
        <v>728</v>
      </c>
      <c r="AN805">
        <v>0</v>
      </c>
      <c r="AO805">
        <v>0</v>
      </c>
      <c r="AP805">
        <v>0</v>
      </c>
      <c r="AS805">
        <v>65535</v>
      </c>
      <c r="AT805">
        <v>65535</v>
      </c>
      <c r="AU805">
        <v>65535</v>
      </c>
      <c r="BI805">
        <v>0</v>
      </c>
      <c r="BK805">
        <v>0</v>
      </c>
      <c r="BL805">
        <v>0</v>
      </c>
      <c r="BP805">
        <v>65535</v>
      </c>
      <c r="BQ805">
        <v>65535</v>
      </c>
      <c r="CB805">
        <v>19.593198776245117</v>
      </c>
      <c r="CC805">
        <v>6.0992279052734375</v>
      </c>
    </row>
    <row r="806" spans="1:81" ht="12.75" customHeight="1">
      <c r="A806" t="s">
        <v>728</v>
      </c>
      <c r="C806" t="s">
        <v>694</v>
      </c>
      <c r="D806">
        <v>804</v>
      </c>
      <c r="F806">
        <v>65535</v>
      </c>
      <c r="I806" t="s">
        <v>728</v>
      </c>
      <c r="AN806">
        <v>0</v>
      </c>
      <c r="AO806">
        <v>0</v>
      </c>
      <c r="AP806">
        <v>0</v>
      </c>
      <c r="AS806">
        <v>65535</v>
      </c>
      <c r="AT806">
        <v>65535</v>
      </c>
      <c r="AU806">
        <v>65535</v>
      </c>
      <c r="BI806">
        <v>0</v>
      </c>
      <c r="BK806">
        <v>0</v>
      </c>
      <c r="BL806">
        <v>0</v>
      </c>
      <c r="BP806">
        <v>65535</v>
      </c>
      <c r="BQ806">
        <v>65535</v>
      </c>
      <c r="CB806">
        <v>19.593198776245117</v>
      </c>
      <c r="CC806">
        <v>6.0992279052734375</v>
      </c>
    </row>
    <row r="807" spans="1:81" ht="12.75" customHeight="1">
      <c r="A807" t="s">
        <v>728</v>
      </c>
      <c r="C807" t="s">
        <v>694</v>
      </c>
      <c r="D807">
        <v>805</v>
      </c>
      <c r="F807">
        <v>65535</v>
      </c>
      <c r="I807" t="s">
        <v>728</v>
      </c>
      <c r="AN807">
        <v>0</v>
      </c>
      <c r="AO807">
        <v>0</v>
      </c>
      <c r="AP807">
        <v>0</v>
      </c>
      <c r="AS807">
        <v>65535</v>
      </c>
      <c r="AT807">
        <v>65535</v>
      </c>
      <c r="AU807">
        <v>65535</v>
      </c>
      <c r="BI807">
        <v>0</v>
      </c>
      <c r="BK807">
        <v>0</v>
      </c>
      <c r="BL807">
        <v>0</v>
      </c>
      <c r="BP807">
        <v>65535</v>
      </c>
      <c r="BQ807">
        <v>65535</v>
      </c>
      <c r="CB807">
        <v>19.593198776245117</v>
      </c>
      <c r="CC807">
        <v>6.0992279052734375</v>
      </c>
    </row>
    <row r="808" spans="1:81" ht="12.75" customHeight="1">
      <c r="A808" t="s">
        <v>728</v>
      </c>
      <c r="C808" t="s">
        <v>694</v>
      </c>
      <c r="D808">
        <v>806</v>
      </c>
      <c r="F808">
        <v>65535</v>
      </c>
      <c r="I808" t="s">
        <v>728</v>
      </c>
      <c r="AN808">
        <v>0</v>
      </c>
      <c r="AO808">
        <v>0</v>
      </c>
      <c r="AP808">
        <v>0</v>
      </c>
      <c r="AS808">
        <v>65535</v>
      </c>
      <c r="AT808">
        <v>65535</v>
      </c>
      <c r="AU808">
        <v>65535</v>
      </c>
      <c r="BI808">
        <v>0</v>
      </c>
      <c r="BK808">
        <v>0</v>
      </c>
      <c r="BL808">
        <v>0</v>
      </c>
      <c r="BP808">
        <v>65535</v>
      </c>
      <c r="BQ808">
        <v>65535</v>
      </c>
      <c r="CB808">
        <v>19.593198776245117</v>
      </c>
      <c r="CC808">
        <v>6.0992279052734375</v>
      </c>
    </row>
    <row r="809" spans="1:81" ht="12.75" customHeight="1">
      <c r="A809" t="s">
        <v>728</v>
      </c>
      <c r="C809" t="s">
        <v>694</v>
      </c>
      <c r="D809">
        <v>807</v>
      </c>
      <c r="F809">
        <v>65535</v>
      </c>
      <c r="I809" t="s">
        <v>728</v>
      </c>
      <c r="AN809">
        <v>0</v>
      </c>
      <c r="AO809">
        <v>0</v>
      </c>
      <c r="AP809">
        <v>0</v>
      </c>
      <c r="AS809">
        <v>65535</v>
      </c>
      <c r="AT809">
        <v>65535</v>
      </c>
      <c r="AU809">
        <v>65535</v>
      </c>
      <c r="BI809">
        <v>0</v>
      </c>
      <c r="BK809">
        <v>0</v>
      </c>
      <c r="BL809">
        <v>0</v>
      </c>
      <c r="BP809">
        <v>65535</v>
      </c>
      <c r="BQ809">
        <v>65535</v>
      </c>
      <c r="CB809">
        <v>19.593198776245117</v>
      </c>
      <c r="CC809">
        <v>6.0992279052734375</v>
      </c>
    </row>
    <row r="810" spans="1:81" ht="12.75" customHeight="1">
      <c r="A810" t="s">
        <v>728</v>
      </c>
      <c r="C810" t="s">
        <v>694</v>
      </c>
      <c r="D810">
        <v>808</v>
      </c>
      <c r="F810">
        <v>65535</v>
      </c>
      <c r="I810" t="s">
        <v>728</v>
      </c>
      <c r="AN810">
        <v>0</v>
      </c>
      <c r="AO810">
        <v>0</v>
      </c>
      <c r="AP810">
        <v>0</v>
      </c>
      <c r="AS810">
        <v>65535</v>
      </c>
      <c r="AT810">
        <v>65535</v>
      </c>
      <c r="AU810">
        <v>65535</v>
      </c>
      <c r="BI810">
        <v>0</v>
      </c>
      <c r="BK810">
        <v>0</v>
      </c>
      <c r="BL810">
        <v>0</v>
      </c>
      <c r="BP810">
        <v>65535</v>
      </c>
      <c r="BQ810">
        <v>65535</v>
      </c>
      <c r="CB810">
        <v>19.593198776245117</v>
      </c>
      <c r="CC810">
        <v>6.0992279052734375</v>
      </c>
    </row>
    <row r="811" spans="1:81" ht="12.75" customHeight="1">
      <c r="A811" t="s">
        <v>728</v>
      </c>
      <c r="C811" t="s">
        <v>694</v>
      </c>
      <c r="D811">
        <v>809</v>
      </c>
      <c r="F811">
        <v>65535</v>
      </c>
      <c r="I811" t="s">
        <v>728</v>
      </c>
      <c r="AN811">
        <v>0</v>
      </c>
      <c r="AO811">
        <v>0</v>
      </c>
      <c r="AP811">
        <v>0</v>
      </c>
      <c r="AS811">
        <v>65535</v>
      </c>
      <c r="AT811">
        <v>65535</v>
      </c>
      <c r="AU811">
        <v>65535</v>
      </c>
      <c r="BI811">
        <v>0</v>
      </c>
      <c r="BK811">
        <v>0</v>
      </c>
      <c r="BL811">
        <v>0</v>
      </c>
      <c r="BP811">
        <v>65535</v>
      </c>
      <c r="BQ811">
        <v>65535</v>
      </c>
      <c r="CB811">
        <v>19.593198776245117</v>
      </c>
      <c r="CC811">
        <v>6.0992279052734375</v>
      </c>
    </row>
    <row r="812" spans="1:81" ht="12.75" customHeight="1">
      <c r="A812" t="s">
        <v>728</v>
      </c>
      <c r="C812" t="s">
        <v>694</v>
      </c>
      <c r="D812">
        <v>810</v>
      </c>
      <c r="F812">
        <v>65535</v>
      </c>
      <c r="I812" t="s">
        <v>728</v>
      </c>
      <c r="AN812">
        <v>0</v>
      </c>
      <c r="AO812">
        <v>0</v>
      </c>
      <c r="AP812">
        <v>0</v>
      </c>
      <c r="AS812">
        <v>65535</v>
      </c>
      <c r="AT812">
        <v>65535</v>
      </c>
      <c r="AU812">
        <v>65535</v>
      </c>
      <c r="BI812">
        <v>0</v>
      </c>
      <c r="BK812">
        <v>0</v>
      </c>
      <c r="BL812">
        <v>0</v>
      </c>
      <c r="BP812">
        <v>65535</v>
      </c>
      <c r="BQ812">
        <v>65535</v>
      </c>
      <c r="CB812">
        <v>19.593198776245117</v>
      </c>
      <c r="CC812">
        <v>6.0992279052734375</v>
      </c>
    </row>
    <row r="813" spans="1:81" ht="12.75" customHeight="1">
      <c r="A813" t="s">
        <v>728</v>
      </c>
      <c r="C813" t="s">
        <v>694</v>
      </c>
      <c r="D813">
        <v>811</v>
      </c>
      <c r="F813">
        <v>65535</v>
      </c>
      <c r="I813" t="s">
        <v>728</v>
      </c>
      <c r="AN813">
        <v>0</v>
      </c>
      <c r="AO813">
        <v>0</v>
      </c>
      <c r="AP813">
        <v>0</v>
      </c>
      <c r="AS813">
        <v>65535</v>
      </c>
      <c r="AT813">
        <v>65535</v>
      </c>
      <c r="AU813">
        <v>65535</v>
      </c>
      <c r="BI813">
        <v>0</v>
      </c>
      <c r="BK813">
        <v>0</v>
      </c>
      <c r="BL813">
        <v>0</v>
      </c>
      <c r="BP813">
        <v>65535</v>
      </c>
      <c r="BQ813">
        <v>65535</v>
      </c>
      <c r="CB813">
        <v>19.593198776245117</v>
      </c>
      <c r="CC813">
        <v>6.0992279052734375</v>
      </c>
    </row>
    <row r="814" spans="1:81" ht="12.75" customHeight="1">
      <c r="A814" t="s">
        <v>728</v>
      </c>
      <c r="C814" t="s">
        <v>694</v>
      </c>
      <c r="D814">
        <v>812</v>
      </c>
      <c r="F814">
        <v>65535</v>
      </c>
      <c r="I814" t="s">
        <v>728</v>
      </c>
      <c r="AN814">
        <v>0</v>
      </c>
      <c r="AO814">
        <v>0</v>
      </c>
      <c r="AP814">
        <v>0</v>
      </c>
      <c r="AS814">
        <v>65535</v>
      </c>
      <c r="AT814">
        <v>65535</v>
      </c>
      <c r="AU814">
        <v>65535</v>
      </c>
      <c r="BI814">
        <v>0</v>
      </c>
      <c r="BK814">
        <v>0</v>
      </c>
      <c r="BL814">
        <v>0</v>
      </c>
      <c r="BP814">
        <v>65535</v>
      </c>
      <c r="BQ814">
        <v>65535</v>
      </c>
      <c r="CB814">
        <v>19.593198776245117</v>
      </c>
      <c r="CC814">
        <v>6.0992279052734375</v>
      </c>
    </row>
    <row r="815" spans="1:81" ht="12.75" customHeight="1">
      <c r="A815" t="s">
        <v>728</v>
      </c>
      <c r="C815" t="s">
        <v>694</v>
      </c>
      <c r="D815">
        <v>813</v>
      </c>
      <c r="F815">
        <v>65535</v>
      </c>
      <c r="I815" t="s">
        <v>728</v>
      </c>
      <c r="AN815">
        <v>0</v>
      </c>
      <c r="AO815">
        <v>0</v>
      </c>
      <c r="AP815">
        <v>0</v>
      </c>
      <c r="AS815">
        <v>65535</v>
      </c>
      <c r="AT815">
        <v>65535</v>
      </c>
      <c r="AU815">
        <v>65535</v>
      </c>
      <c r="BI815">
        <v>0</v>
      </c>
      <c r="BK815">
        <v>0</v>
      </c>
      <c r="BL815">
        <v>0</v>
      </c>
      <c r="BP815">
        <v>65535</v>
      </c>
      <c r="BQ815">
        <v>65535</v>
      </c>
      <c r="CB815">
        <v>19.593198776245117</v>
      </c>
      <c r="CC815">
        <v>6.0992279052734375</v>
      </c>
    </row>
    <row r="816" spans="1:81" ht="12.75" customHeight="1">
      <c r="A816" t="s">
        <v>728</v>
      </c>
      <c r="C816" t="s">
        <v>694</v>
      </c>
      <c r="D816">
        <v>814</v>
      </c>
      <c r="F816">
        <v>65535</v>
      </c>
      <c r="I816" t="s">
        <v>728</v>
      </c>
      <c r="AN816">
        <v>0</v>
      </c>
      <c r="AO816">
        <v>0</v>
      </c>
      <c r="AP816">
        <v>0</v>
      </c>
      <c r="AS816">
        <v>65535</v>
      </c>
      <c r="AT816">
        <v>65535</v>
      </c>
      <c r="AU816">
        <v>65535</v>
      </c>
      <c r="BI816">
        <v>0</v>
      </c>
      <c r="BK816">
        <v>0</v>
      </c>
      <c r="BL816">
        <v>0</v>
      </c>
      <c r="BP816">
        <v>65535</v>
      </c>
      <c r="BQ816">
        <v>65535</v>
      </c>
      <c r="CB816">
        <v>19.593198776245117</v>
      </c>
      <c r="CC816">
        <v>6.0992279052734375</v>
      </c>
    </row>
    <row r="817" spans="1:81" ht="12.75" customHeight="1">
      <c r="A817" t="s">
        <v>728</v>
      </c>
      <c r="C817" t="s">
        <v>694</v>
      </c>
      <c r="D817">
        <v>815</v>
      </c>
      <c r="F817">
        <v>65535</v>
      </c>
      <c r="I817" t="s">
        <v>728</v>
      </c>
      <c r="AN817">
        <v>0</v>
      </c>
      <c r="AO817">
        <v>0</v>
      </c>
      <c r="AP817">
        <v>0</v>
      </c>
      <c r="AS817">
        <v>65535</v>
      </c>
      <c r="AT817">
        <v>65535</v>
      </c>
      <c r="AU817">
        <v>65535</v>
      </c>
      <c r="BI817">
        <v>0</v>
      </c>
      <c r="BK817">
        <v>0</v>
      </c>
      <c r="BL817">
        <v>0</v>
      </c>
      <c r="BP817">
        <v>65535</v>
      </c>
      <c r="BQ817">
        <v>65535</v>
      </c>
      <c r="CB817">
        <v>19.593198776245117</v>
      </c>
      <c r="CC817">
        <v>6.0992279052734375</v>
      </c>
    </row>
    <row r="818" spans="1:81" ht="12.75" customHeight="1">
      <c r="A818" t="s">
        <v>728</v>
      </c>
      <c r="C818" t="s">
        <v>694</v>
      </c>
      <c r="D818">
        <v>816</v>
      </c>
      <c r="F818">
        <v>65535</v>
      </c>
      <c r="I818" t="s">
        <v>728</v>
      </c>
      <c r="AN818">
        <v>0</v>
      </c>
      <c r="AO818">
        <v>0</v>
      </c>
      <c r="AP818">
        <v>0</v>
      </c>
      <c r="AS818">
        <v>65535</v>
      </c>
      <c r="AT818">
        <v>65535</v>
      </c>
      <c r="AU818">
        <v>65535</v>
      </c>
      <c r="BI818">
        <v>0</v>
      </c>
      <c r="BK818">
        <v>0</v>
      </c>
      <c r="BL818">
        <v>0</v>
      </c>
      <c r="BP818">
        <v>65535</v>
      </c>
      <c r="BQ818">
        <v>65535</v>
      </c>
      <c r="CB818">
        <v>19.593198776245117</v>
      </c>
      <c r="CC818">
        <v>6.0992279052734375</v>
      </c>
    </row>
    <row r="819" spans="1:81" ht="12.75" customHeight="1">
      <c r="A819" t="s">
        <v>728</v>
      </c>
      <c r="C819" t="s">
        <v>694</v>
      </c>
      <c r="D819">
        <v>817</v>
      </c>
      <c r="F819">
        <v>65535</v>
      </c>
      <c r="I819" t="s">
        <v>728</v>
      </c>
      <c r="AN819">
        <v>0</v>
      </c>
      <c r="AO819">
        <v>0</v>
      </c>
      <c r="AP819">
        <v>0</v>
      </c>
      <c r="AS819">
        <v>65535</v>
      </c>
      <c r="AT819">
        <v>65535</v>
      </c>
      <c r="AU819">
        <v>65535</v>
      </c>
      <c r="BI819">
        <v>0</v>
      </c>
      <c r="BK819">
        <v>0</v>
      </c>
      <c r="BL819">
        <v>0</v>
      </c>
      <c r="BP819">
        <v>65535</v>
      </c>
      <c r="BQ819">
        <v>65535</v>
      </c>
      <c r="CB819">
        <v>19.593198776245117</v>
      </c>
      <c r="CC819">
        <v>6.0992279052734375</v>
      </c>
    </row>
    <row r="820" spans="1:81" ht="12.75" customHeight="1">
      <c r="A820" t="s">
        <v>728</v>
      </c>
      <c r="C820" t="s">
        <v>694</v>
      </c>
      <c r="D820">
        <v>818</v>
      </c>
      <c r="F820">
        <v>65535</v>
      </c>
      <c r="I820" t="s">
        <v>728</v>
      </c>
      <c r="AN820">
        <v>0</v>
      </c>
      <c r="AO820">
        <v>0</v>
      </c>
      <c r="AP820">
        <v>0</v>
      </c>
      <c r="AS820">
        <v>65535</v>
      </c>
      <c r="AT820">
        <v>65535</v>
      </c>
      <c r="AU820">
        <v>65535</v>
      </c>
      <c r="BI820">
        <v>0</v>
      </c>
      <c r="BK820">
        <v>0</v>
      </c>
      <c r="BL820">
        <v>0</v>
      </c>
      <c r="BP820">
        <v>65535</v>
      </c>
      <c r="BQ820">
        <v>65535</v>
      </c>
      <c r="CB820">
        <v>19.593198776245117</v>
      </c>
      <c r="CC820">
        <v>6.0992279052734375</v>
      </c>
    </row>
    <row r="821" spans="1:81" ht="12.75" customHeight="1">
      <c r="A821" t="s">
        <v>728</v>
      </c>
      <c r="C821" t="s">
        <v>694</v>
      </c>
      <c r="D821">
        <v>819</v>
      </c>
      <c r="F821">
        <v>65535</v>
      </c>
      <c r="I821" t="s">
        <v>728</v>
      </c>
      <c r="AN821">
        <v>0</v>
      </c>
      <c r="AO821">
        <v>0</v>
      </c>
      <c r="AP821">
        <v>0</v>
      </c>
      <c r="AS821">
        <v>65535</v>
      </c>
      <c r="AT821">
        <v>65535</v>
      </c>
      <c r="AU821">
        <v>65535</v>
      </c>
      <c r="BI821">
        <v>0</v>
      </c>
      <c r="BK821">
        <v>0</v>
      </c>
      <c r="BL821">
        <v>0</v>
      </c>
      <c r="BP821">
        <v>65535</v>
      </c>
      <c r="BQ821">
        <v>65535</v>
      </c>
      <c r="CB821">
        <v>19.593198776245117</v>
      </c>
      <c r="CC821">
        <v>6.0992279052734375</v>
      </c>
    </row>
    <row r="822" spans="1:81" ht="12.75" customHeight="1">
      <c r="A822" t="s">
        <v>728</v>
      </c>
      <c r="C822" t="s">
        <v>694</v>
      </c>
      <c r="D822">
        <v>820</v>
      </c>
      <c r="F822">
        <v>65535</v>
      </c>
      <c r="I822" t="s">
        <v>728</v>
      </c>
      <c r="AN822">
        <v>0</v>
      </c>
      <c r="AO822">
        <v>0</v>
      </c>
      <c r="AP822">
        <v>0</v>
      </c>
      <c r="AS822">
        <v>65535</v>
      </c>
      <c r="AT822">
        <v>65535</v>
      </c>
      <c r="AU822">
        <v>65535</v>
      </c>
      <c r="BI822">
        <v>0</v>
      </c>
      <c r="BK822">
        <v>0</v>
      </c>
      <c r="BL822">
        <v>0</v>
      </c>
      <c r="BP822">
        <v>65535</v>
      </c>
      <c r="BQ822">
        <v>65535</v>
      </c>
      <c r="CB822">
        <v>19.593198776245117</v>
      </c>
      <c r="CC822">
        <v>6.0992279052734375</v>
      </c>
    </row>
    <row r="823" spans="1:81" ht="12.75" customHeight="1">
      <c r="A823" t="s">
        <v>728</v>
      </c>
      <c r="C823" t="s">
        <v>694</v>
      </c>
      <c r="D823">
        <v>821</v>
      </c>
      <c r="F823">
        <v>65535</v>
      </c>
      <c r="I823" t="s">
        <v>728</v>
      </c>
      <c r="AN823">
        <v>0</v>
      </c>
      <c r="AO823">
        <v>0</v>
      </c>
      <c r="AP823">
        <v>0</v>
      </c>
      <c r="AS823">
        <v>65535</v>
      </c>
      <c r="AT823">
        <v>65535</v>
      </c>
      <c r="AU823">
        <v>65535</v>
      </c>
      <c r="BI823">
        <v>0</v>
      </c>
      <c r="BK823">
        <v>0</v>
      </c>
      <c r="BL823">
        <v>0</v>
      </c>
      <c r="BP823">
        <v>65535</v>
      </c>
      <c r="BQ823">
        <v>65535</v>
      </c>
      <c r="CB823">
        <v>19.593198776245117</v>
      </c>
      <c r="CC823">
        <v>6.0992279052734375</v>
      </c>
    </row>
    <row r="824" spans="1:81" ht="12.75" customHeight="1">
      <c r="A824" t="s">
        <v>728</v>
      </c>
      <c r="C824" t="s">
        <v>694</v>
      </c>
      <c r="D824">
        <v>822</v>
      </c>
      <c r="F824">
        <v>65535</v>
      </c>
      <c r="I824" t="s">
        <v>728</v>
      </c>
      <c r="AN824">
        <v>0</v>
      </c>
      <c r="AO824">
        <v>0</v>
      </c>
      <c r="AP824">
        <v>0</v>
      </c>
      <c r="AS824">
        <v>65535</v>
      </c>
      <c r="AT824">
        <v>65535</v>
      </c>
      <c r="AU824">
        <v>65535</v>
      </c>
      <c r="BI824">
        <v>0</v>
      </c>
      <c r="BK824">
        <v>0</v>
      </c>
      <c r="BL824">
        <v>0</v>
      </c>
      <c r="BP824">
        <v>65535</v>
      </c>
      <c r="BQ824">
        <v>65535</v>
      </c>
      <c r="CB824">
        <v>19.593198776245117</v>
      </c>
      <c r="CC824">
        <v>6.0992279052734375</v>
      </c>
    </row>
    <row r="825" spans="1:81" ht="12.75" customHeight="1">
      <c r="A825" t="s">
        <v>728</v>
      </c>
      <c r="C825" t="s">
        <v>694</v>
      </c>
      <c r="D825">
        <v>823</v>
      </c>
      <c r="F825">
        <v>65535</v>
      </c>
      <c r="I825" t="s">
        <v>728</v>
      </c>
      <c r="AN825">
        <v>0</v>
      </c>
      <c r="AO825">
        <v>0</v>
      </c>
      <c r="AP825">
        <v>0</v>
      </c>
      <c r="AS825">
        <v>65535</v>
      </c>
      <c r="AT825">
        <v>65535</v>
      </c>
      <c r="AU825">
        <v>65535</v>
      </c>
      <c r="BI825">
        <v>0</v>
      </c>
      <c r="BK825">
        <v>0</v>
      </c>
      <c r="BL825">
        <v>0</v>
      </c>
      <c r="BP825">
        <v>65535</v>
      </c>
      <c r="BQ825">
        <v>65535</v>
      </c>
      <c r="CB825">
        <v>19.593198776245117</v>
      </c>
      <c r="CC825">
        <v>6.0992279052734375</v>
      </c>
    </row>
    <row r="826" spans="1:81" ht="12.75" customHeight="1">
      <c r="A826" t="s">
        <v>728</v>
      </c>
      <c r="C826" t="s">
        <v>694</v>
      </c>
      <c r="D826">
        <v>824</v>
      </c>
      <c r="F826">
        <v>65535</v>
      </c>
      <c r="I826" t="s">
        <v>728</v>
      </c>
      <c r="AN826">
        <v>0</v>
      </c>
      <c r="AO826">
        <v>0</v>
      </c>
      <c r="AP826">
        <v>0</v>
      </c>
      <c r="AS826">
        <v>65535</v>
      </c>
      <c r="AT826">
        <v>65535</v>
      </c>
      <c r="AU826">
        <v>65535</v>
      </c>
      <c r="BI826">
        <v>0</v>
      </c>
      <c r="BK826">
        <v>0</v>
      </c>
      <c r="BL826">
        <v>0</v>
      </c>
      <c r="BP826">
        <v>65535</v>
      </c>
      <c r="BQ826">
        <v>65535</v>
      </c>
      <c r="CB826">
        <v>19.593198776245117</v>
      </c>
      <c r="CC826">
        <v>6.0992279052734375</v>
      </c>
    </row>
    <row r="827" spans="1:81" ht="12.75" customHeight="1">
      <c r="A827" t="s">
        <v>728</v>
      </c>
      <c r="C827" t="s">
        <v>694</v>
      </c>
      <c r="D827">
        <v>825</v>
      </c>
      <c r="F827">
        <v>65535</v>
      </c>
      <c r="I827" t="s">
        <v>728</v>
      </c>
      <c r="AN827">
        <v>0</v>
      </c>
      <c r="AO827">
        <v>0</v>
      </c>
      <c r="AP827">
        <v>0</v>
      </c>
      <c r="AS827">
        <v>65535</v>
      </c>
      <c r="AT827">
        <v>65535</v>
      </c>
      <c r="AU827">
        <v>65535</v>
      </c>
      <c r="BI827">
        <v>0</v>
      </c>
      <c r="BK827">
        <v>0</v>
      </c>
      <c r="BL827">
        <v>0</v>
      </c>
      <c r="BP827">
        <v>65535</v>
      </c>
      <c r="BQ827">
        <v>65535</v>
      </c>
      <c r="CB827">
        <v>19.593198776245117</v>
      </c>
      <c r="CC827">
        <v>6.0992279052734375</v>
      </c>
    </row>
    <row r="828" spans="1:81" ht="12.75" customHeight="1">
      <c r="A828" t="s">
        <v>728</v>
      </c>
      <c r="C828" t="s">
        <v>694</v>
      </c>
      <c r="D828">
        <v>826</v>
      </c>
      <c r="F828">
        <v>65535</v>
      </c>
      <c r="I828" t="s">
        <v>728</v>
      </c>
      <c r="AN828">
        <v>0</v>
      </c>
      <c r="AO828">
        <v>0</v>
      </c>
      <c r="AP828">
        <v>0</v>
      </c>
      <c r="AS828">
        <v>65535</v>
      </c>
      <c r="AT828">
        <v>65535</v>
      </c>
      <c r="AU828">
        <v>65535</v>
      </c>
      <c r="BI828">
        <v>0</v>
      </c>
      <c r="BK828">
        <v>0</v>
      </c>
      <c r="BL828">
        <v>0</v>
      </c>
      <c r="BP828">
        <v>65535</v>
      </c>
      <c r="BQ828">
        <v>65535</v>
      </c>
      <c r="CB828">
        <v>19.593198776245117</v>
      </c>
      <c r="CC828">
        <v>6.0992279052734375</v>
      </c>
    </row>
    <row r="829" spans="1:81" ht="12.75" customHeight="1">
      <c r="A829" t="s">
        <v>728</v>
      </c>
      <c r="C829" t="s">
        <v>694</v>
      </c>
      <c r="D829">
        <v>827</v>
      </c>
      <c r="F829">
        <v>65535</v>
      </c>
      <c r="I829" t="s">
        <v>728</v>
      </c>
      <c r="AN829">
        <v>0</v>
      </c>
      <c r="AO829">
        <v>0</v>
      </c>
      <c r="AP829">
        <v>0</v>
      </c>
      <c r="AS829">
        <v>65535</v>
      </c>
      <c r="AT829">
        <v>65535</v>
      </c>
      <c r="AU829">
        <v>65535</v>
      </c>
      <c r="BI829">
        <v>0</v>
      </c>
      <c r="BK829">
        <v>0</v>
      </c>
      <c r="BL829">
        <v>0</v>
      </c>
      <c r="BP829">
        <v>65535</v>
      </c>
      <c r="BQ829">
        <v>65535</v>
      </c>
      <c r="CB829">
        <v>19.593198776245117</v>
      </c>
      <c r="CC829">
        <v>6.0992279052734375</v>
      </c>
    </row>
    <row r="830" spans="1:81" ht="12.75" customHeight="1">
      <c r="A830" t="s">
        <v>728</v>
      </c>
      <c r="C830" t="s">
        <v>694</v>
      </c>
      <c r="D830">
        <v>828</v>
      </c>
      <c r="F830">
        <v>65535</v>
      </c>
      <c r="I830" t="s">
        <v>728</v>
      </c>
      <c r="AN830">
        <v>0</v>
      </c>
      <c r="AO830">
        <v>0</v>
      </c>
      <c r="AP830">
        <v>0</v>
      </c>
      <c r="AS830">
        <v>65535</v>
      </c>
      <c r="AT830">
        <v>65535</v>
      </c>
      <c r="AU830">
        <v>65535</v>
      </c>
      <c r="BI830">
        <v>0</v>
      </c>
      <c r="BK830">
        <v>0</v>
      </c>
      <c r="BL830">
        <v>0</v>
      </c>
      <c r="BP830">
        <v>65535</v>
      </c>
      <c r="BQ830">
        <v>65535</v>
      </c>
      <c r="CB830">
        <v>19.593198776245117</v>
      </c>
      <c r="CC830">
        <v>6.0992279052734375</v>
      </c>
    </row>
    <row r="831" spans="1:81" ht="12.75" customHeight="1">
      <c r="A831" t="s">
        <v>728</v>
      </c>
      <c r="C831" t="s">
        <v>694</v>
      </c>
      <c r="D831">
        <v>829</v>
      </c>
      <c r="F831">
        <v>65535</v>
      </c>
      <c r="I831" t="s">
        <v>728</v>
      </c>
      <c r="AN831">
        <v>0</v>
      </c>
      <c r="AO831">
        <v>0</v>
      </c>
      <c r="AP831">
        <v>0</v>
      </c>
      <c r="AS831">
        <v>65535</v>
      </c>
      <c r="AT831">
        <v>65535</v>
      </c>
      <c r="AU831">
        <v>65535</v>
      </c>
      <c r="BI831">
        <v>0</v>
      </c>
      <c r="BK831">
        <v>0</v>
      </c>
      <c r="BL831">
        <v>0</v>
      </c>
      <c r="BP831">
        <v>65535</v>
      </c>
      <c r="BQ831">
        <v>65535</v>
      </c>
      <c r="CB831">
        <v>19.593198776245117</v>
      </c>
      <c r="CC831">
        <v>6.0992279052734375</v>
      </c>
    </row>
    <row r="832" spans="1:81" ht="12.75" customHeight="1">
      <c r="A832" t="s">
        <v>728</v>
      </c>
      <c r="C832" t="s">
        <v>694</v>
      </c>
      <c r="D832">
        <v>830</v>
      </c>
      <c r="F832">
        <v>65535</v>
      </c>
      <c r="I832" t="s">
        <v>728</v>
      </c>
      <c r="AN832">
        <v>0</v>
      </c>
      <c r="AO832">
        <v>0</v>
      </c>
      <c r="AP832">
        <v>0</v>
      </c>
      <c r="AS832">
        <v>65535</v>
      </c>
      <c r="AT832">
        <v>65535</v>
      </c>
      <c r="AU832">
        <v>65535</v>
      </c>
      <c r="BI832">
        <v>0</v>
      </c>
      <c r="BK832">
        <v>0</v>
      </c>
      <c r="BL832">
        <v>0</v>
      </c>
      <c r="BP832">
        <v>65535</v>
      </c>
      <c r="BQ832">
        <v>65535</v>
      </c>
      <c r="CB832">
        <v>19.593198776245117</v>
      </c>
      <c r="CC832">
        <v>6.0992279052734375</v>
      </c>
    </row>
    <row r="833" spans="1:81" ht="12.75" customHeight="1">
      <c r="A833" t="s">
        <v>728</v>
      </c>
      <c r="C833" t="s">
        <v>694</v>
      </c>
      <c r="D833">
        <v>831</v>
      </c>
      <c r="F833">
        <v>65535</v>
      </c>
      <c r="I833" t="s">
        <v>728</v>
      </c>
      <c r="AN833">
        <v>0</v>
      </c>
      <c r="AO833">
        <v>0</v>
      </c>
      <c r="AP833">
        <v>0</v>
      </c>
      <c r="AS833">
        <v>65535</v>
      </c>
      <c r="AT833">
        <v>65535</v>
      </c>
      <c r="AU833">
        <v>65535</v>
      </c>
      <c r="BI833">
        <v>0</v>
      </c>
      <c r="BK833">
        <v>0</v>
      </c>
      <c r="BL833">
        <v>0</v>
      </c>
      <c r="BP833">
        <v>65535</v>
      </c>
      <c r="BQ833">
        <v>65535</v>
      </c>
      <c r="CB833">
        <v>19.593198776245117</v>
      </c>
      <c r="CC833">
        <v>6.0992279052734375</v>
      </c>
    </row>
    <row r="834" spans="1:81" ht="12.75" customHeight="1">
      <c r="A834" t="s">
        <v>728</v>
      </c>
      <c r="C834" t="s">
        <v>694</v>
      </c>
      <c r="D834">
        <v>832</v>
      </c>
      <c r="F834">
        <v>65535</v>
      </c>
      <c r="I834" t="s">
        <v>728</v>
      </c>
      <c r="AN834">
        <v>0</v>
      </c>
      <c r="AO834">
        <v>0</v>
      </c>
      <c r="AP834">
        <v>0</v>
      </c>
      <c r="AS834">
        <v>65535</v>
      </c>
      <c r="AT834">
        <v>65535</v>
      </c>
      <c r="AU834">
        <v>65535</v>
      </c>
      <c r="BI834">
        <v>0</v>
      </c>
      <c r="BK834">
        <v>0</v>
      </c>
      <c r="BL834">
        <v>0</v>
      </c>
      <c r="BP834">
        <v>65535</v>
      </c>
      <c r="BQ834">
        <v>65535</v>
      </c>
      <c r="CB834">
        <v>19.593198776245117</v>
      </c>
      <c r="CC834">
        <v>6.0992279052734375</v>
      </c>
    </row>
    <row r="835" spans="1:81" ht="12.75" customHeight="1">
      <c r="A835" t="s">
        <v>728</v>
      </c>
      <c r="C835" t="s">
        <v>694</v>
      </c>
      <c r="D835">
        <v>833</v>
      </c>
      <c r="F835">
        <v>65535</v>
      </c>
      <c r="I835" t="s">
        <v>728</v>
      </c>
      <c r="AN835">
        <v>0</v>
      </c>
      <c r="AO835">
        <v>0</v>
      </c>
      <c r="AP835">
        <v>0</v>
      </c>
      <c r="AS835">
        <v>65535</v>
      </c>
      <c r="AT835">
        <v>65535</v>
      </c>
      <c r="AU835">
        <v>65535</v>
      </c>
      <c r="BI835">
        <v>0</v>
      </c>
      <c r="BK835">
        <v>0</v>
      </c>
      <c r="BL835">
        <v>0</v>
      </c>
      <c r="BP835">
        <v>65535</v>
      </c>
      <c r="BQ835">
        <v>65535</v>
      </c>
      <c r="CB835">
        <v>19.593198776245117</v>
      </c>
      <c r="CC835">
        <v>6.0992279052734375</v>
      </c>
    </row>
    <row r="836" spans="1:81" ht="12.75" customHeight="1">
      <c r="A836" t="s">
        <v>728</v>
      </c>
      <c r="C836" t="s">
        <v>694</v>
      </c>
      <c r="D836">
        <v>834</v>
      </c>
      <c r="F836">
        <v>65535</v>
      </c>
      <c r="I836" t="s">
        <v>728</v>
      </c>
      <c r="AN836">
        <v>0</v>
      </c>
      <c r="AO836">
        <v>0</v>
      </c>
      <c r="AP836">
        <v>0</v>
      </c>
      <c r="AS836">
        <v>65535</v>
      </c>
      <c r="AT836">
        <v>65535</v>
      </c>
      <c r="AU836">
        <v>65535</v>
      </c>
      <c r="BI836">
        <v>0</v>
      </c>
      <c r="BK836">
        <v>0</v>
      </c>
      <c r="BL836">
        <v>0</v>
      </c>
      <c r="BP836">
        <v>65535</v>
      </c>
      <c r="BQ836">
        <v>65535</v>
      </c>
      <c r="CB836">
        <v>19.593198776245117</v>
      </c>
      <c r="CC836">
        <v>6.0992279052734375</v>
      </c>
    </row>
    <row r="837" spans="1:81" ht="12.75" customHeight="1">
      <c r="A837" t="s">
        <v>728</v>
      </c>
      <c r="C837" t="s">
        <v>694</v>
      </c>
      <c r="D837">
        <v>835</v>
      </c>
      <c r="F837">
        <v>65535</v>
      </c>
      <c r="I837" t="s">
        <v>728</v>
      </c>
      <c r="AN837">
        <v>0</v>
      </c>
      <c r="AO837">
        <v>0</v>
      </c>
      <c r="AP837">
        <v>0</v>
      </c>
      <c r="AS837">
        <v>65535</v>
      </c>
      <c r="AT837">
        <v>65535</v>
      </c>
      <c r="AU837">
        <v>65535</v>
      </c>
      <c r="BI837">
        <v>0</v>
      </c>
      <c r="BK837">
        <v>0</v>
      </c>
      <c r="BL837">
        <v>0</v>
      </c>
      <c r="BP837">
        <v>65535</v>
      </c>
      <c r="BQ837">
        <v>65535</v>
      </c>
      <c r="CB837">
        <v>19.593198776245117</v>
      </c>
      <c r="CC837">
        <v>6.0992279052734375</v>
      </c>
    </row>
    <row r="838" spans="1:81" ht="12.75" customHeight="1">
      <c r="A838" t="s">
        <v>728</v>
      </c>
      <c r="C838" t="s">
        <v>694</v>
      </c>
      <c r="D838">
        <v>836</v>
      </c>
      <c r="F838">
        <v>65535</v>
      </c>
      <c r="I838" t="s">
        <v>728</v>
      </c>
      <c r="AN838">
        <v>0</v>
      </c>
      <c r="AO838">
        <v>0</v>
      </c>
      <c r="AP838">
        <v>0</v>
      </c>
      <c r="AS838">
        <v>65535</v>
      </c>
      <c r="AT838">
        <v>65535</v>
      </c>
      <c r="AU838">
        <v>65535</v>
      </c>
      <c r="BI838">
        <v>0</v>
      </c>
      <c r="BK838">
        <v>0</v>
      </c>
      <c r="BL838">
        <v>0</v>
      </c>
      <c r="BP838">
        <v>65535</v>
      </c>
      <c r="BQ838">
        <v>65535</v>
      </c>
      <c r="CB838">
        <v>19.593198776245117</v>
      </c>
      <c r="CC838">
        <v>6.0992279052734375</v>
      </c>
    </row>
    <row r="839" spans="1:81" ht="12.75" customHeight="1">
      <c r="A839" t="s">
        <v>728</v>
      </c>
      <c r="C839" t="s">
        <v>694</v>
      </c>
      <c r="D839">
        <v>837</v>
      </c>
      <c r="F839">
        <v>65535</v>
      </c>
      <c r="I839" t="s">
        <v>728</v>
      </c>
      <c r="AN839">
        <v>0</v>
      </c>
      <c r="AO839">
        <v>0</v>
      </c>
      <c r="AP839">
        <v>0</v>
      </c>
      <c r="AS839">
        <v>65535</v>
      </c>
      <c r="AT839">
        <v>65535</v>
      </c>
      <c r="AU839">
        <v>65535</v>
      </c>
      <c r="BI839">
        <v>0</v>
      </c>
      <c r="BK839">
        <v>0</v>
      </c>
      <c r="BL839">
        <v>0</v>
      </c>
      <c r="BP839">
        <v>65535</v>
      </c>
      <c r="BQ839">
        <v>65535</v>
      </c>
      <c r="CB839">
        <v>19.593198776245117</v>
      </c>
      <c r="CC839">
        <v>6.0992279052734375</v>
      </c>
    </row>
    <row r="840" spans="1:81" ht="12.75" customHeight="1">
      <c r="A840" t="s">
        <v>728</v>
      </c>
      <c r="C840" t="s">
        <v>694</v>
      </c>
      <c r="D840">
        <v>838</v>
      </c>
      <c r="F840">
        <v>65535</v>
      </c>
      <c r="I840" t="s">
        <v>728</v>
      </c>
      <c r="AN840">
        <v>0</v>
      </c>
      <c r="AO840">
        <v>0</v>
      </c>
      <c r="AP840">
        <v>0</v>
      </c>
      <c r="AS840">
        <v>65535</v>
      </c>
      <c r="AT840">
        <v>65535</v>
      </c>
      <c r="AU840">
        <v>65535</v>
      </c>
      <c r="BI840">
        <v>0</v>
      </c>
      <c r="BK840">
        <v>0</v>
      </c>
      <c r="BL840">
        <v>0</v>
      </c>
      <c r="BP840">
        <v>65535</v>
      </c>
      <c r="BQ840">
        <v>65535</v>
      </c>
      <c r="CB840">
        <v>19.593198776245117</v>
      </c>
      <c r="CC840">
        <v>6.0992279052734375</v>
      </c>
    </row>
    <row r="841" spans="1:81" ht="12.75" customHeight="1">
      <c r="A841" t="s">
        <v>728</v>
      </c>
      <c r="C841" t="s">
        <v>694</v>
      </c>
      <c r="D841">
        <v>839</v>
      </c>
      <c r="F841">
        <v>65535</v>
      </c>
      <c r="I841" t="s">
        <v>728</v>
      </c>
      <c r="AN841">
        <v>0</v>
      </c>
      <c r="AO841">
        <v>0</v>
      </c>
      <c r="AP841">
        <v>0</v>
      </c>
      <c r="AS841">
        <v>65535</v>
      </c>
      <c r="AT841">
        <v>65535</v>
      </c>
      <c r="AU841">
        <v>65535</v>
      </c>
      <c r="BI841">
        <v>0</v>
      </c>
      <c r="BK841">
        <v>0</v>
      </c>
      <c r="BL841">
        <v>0</v>
      </c>
      <c r="BP841">
        <v>65535</v>
      </c>
      <c r="BQ841">
        <v>65535</v>
      </c>
      <c r="CB841">
        <v>19.593198776245117</v>
      </c>
      <c r="CC841">
        <v>6.0992279052734375</v>
      </c>
    </row>
    <row r="842" spans="1:81" ht="12.75" customHeight="1">
      <c r="A842" t="s">
        <v>728</v>
      </c>
      <c r="C842" t="s">
        <v>694</v>
      </c>
      <c r="D842">
        <v>840</v>
      </c>
      <c r="F842">
        <v>65535</v>
      </c>
      <c r="I842" t="s">
        <v>728</v>
      </c>
      <c r="AN842">
        <v>0</v>
      </c>
      <c r="AO842">
        <v>0</v>
      </c>
      <c r="AP842">
        <v>0</v>
      </c>
      <c r="AS842">
        <v>65535</v>
      </c>
      <c r="AT842">
        <v>65535</v>
      </c>
      <c r="AU842">
        <v>65535</v>
      </c>
      <c r="BI842">
        <v>0</v>
      </c>
      <c r="BK842">
        <v>0</v>
      </c>
      <c r="BL842">
        <v>0</v>
      </c>
      <c r="BP842">
        <v>65535</v>
      </c>
      <c r="BQ842">
        <v>65535</v>
      </c>
      <c r="CB842">
        <v>19.593198776245117</v>
      </c>
      <c r="CC842">
        <v>6.0992279052734375</v>
      </c>
    </row>
    <row r="843" spans="1:81" ht="12.75" customHeight="1">
      <c r="A843" t="s">
        <v>728</v>
      </c>
      <c r="C843" t="s">
        <v>694</v>
      </c>
      <c r="D843">
        <v>841</v>
      </c>
      <c r="F843">
        <v>65535</v>
      </c>
      <c r="I843" t="s">
        <v>728</v>
      </c>
      <c r="AN843">
        <v>0</v>
      </c>
      <c r="AO843">
        <v>0</v>
      </c>
      <c r="AP843">
        <v>0</v>
      </c>
      <c r="AS843">
        <v>65535</v>
      </c>
      <c r="AT843">
        <v>65535</v>
      </c>
      <c r="AU843">
        <v>65535</v>
      </c>
      <c r="BI843">
        <v>0</v>
      </c>
      <c r="BK843">
        <v>0</v>
      </c>
      <c r="BL843">
        <v>0</v>
      </c>
      <c r="BP843">
        <v>65535</v>
      </c>
      <c r="BQ843">
        <v>65535</v>
      </c>
      <c r="CB843">
        <v>19.593198776245117</v>
      </c>
      <c r="CC843">
        <v>6.0992279052734375</v>
      </c>
    </row>
    <row r="844" spans="1:81" ht="12.75" customHeight="1">
      <c r="A844" t="s">
        <v>728</v>
      </c>
      <c r="C844" t="s">
        <v>694</v>
      </c>
      <c r="D844">
        <v>842</v>
      </c>
      <c r="F844">
        <v>65535</v>
      </c>
      <c r="I844" t="s">
        <v>728</v>
      </c>
      <c r="AN844">
        <v>0</v>
      </c>
      <c r="AO844">
        <v>0</v>
      </c>
      <c r="AP844">
        <v>0</v>
      </c>
      <c r="AS844">
        <v>65535</v>
      </c>
      <c r="AT844">
        <v>65535</v>
      </c>
      <c r="AU844">
        <v>65535</v>
      </c>
      <c r="BI844">
        <v>0</v>
      </c>
      <c r="BK844">
        <v>0</v>
      </c>
      <c r="BL844">
        <v>0</v>
      </c>
      <c r="BP844">
        <v>65535</v>
      </c>
      <c r="BQ844">
        <v>65535</v>
      </c>
      <c r="CB844">
        <v>19.593198776245117</v>
      </c>
      <c r="CC844">
        <v>6.0992279052734375</v>
      </c>
    </row>
    <row r="845" spans="1:81" ht="12.75" customHeight="1">
      <c r="A845" t="s">
        <v>728</v>
      </c>
      <c r="C845" t="s">
        <v>694</v>
      </c>
      <c r="D845">
        <v>843</v>
      </c>
      <c r="F845">
        <v>65535</v>
      </c>
      <c r="I845" t="s">
        <v>728</v>
      </c>
      <c r="AN845">
        <v>0</v>
      </c>
      <c r="AO845">
        <v>0</v>
      </c>
      <c r="AP845">
        <v>0</v>
      </c>
      <c r="AS845">
        <v>65535</v>
      </c>
      <c r="AT845">
        <v>65535</v>
      </c>
      <c r="AU845">
        <v>65535</v>
      </c>
      <c r="BI845">
        <v>0</v>
      </c>
      <c r="BK845">
        <v>0</v>
      </c>
      <c r="BL845">
        <v>0</v>
      </c>
      <c r="BP845">
        <v>65535</v>
      </c>
      <c r="BQ845">
        <v>65535</v>
      </c>
      <c r="CB845">
        <v>19.593198776245117</v>
      </c>
      <c r="CC845">
        <v>6.0992279052734375</v>
      </c>
    </row>
    <row r="846" spans="1:81" ht="12.75" customHeight="1">
      <c r="A846" t="s">
        <v>728</v>
      </c>
      <c r="C846" t="s">
        <v>694</v>
      </c>
      <c r="D846">
        <v>844</v>
      </c>
      <c r="F846">
        <v>65535</v>
      </c>
      <c r="I846" t="s">
        <v>728</v>
      </c>
      <c r="AN846">
        <v>0</v>
      </c>
      <c r="AO846">
        <v>0</v>
      </c>
      <c r="AP846">
        <v>0</v>
      </c>
      <c r="AS846">
        <v>65535</v>
      </c>
      <c r="AT846">
        <v>65535</v>
      </c>
      <c r="AU846">
        <v>65535</v>
      </c>
      <c r="BI846">
        <v>0</v>
      </c>
      <c r="BK846">
        <v>0</v>
      </c>
      <c r="BL846">
        <v>0</v>
      </c>
      <c r="BP846">
        <v>65535</v>
      </c>
      <c r="BQ846">
        <v>65535</v>
      </c>
      <c r="CB846">
        <v>19.593198776245117</v>
      </c>
      <c r="CC846">
        <v>6.0992279052734375</v>
      </c>
    </row>
    <row r="847" spans="1:81" ht="12.75" customHeight="1">
      <c r="A847" t="s">
        <v>728</v>
      </c>
      <c r="C847" t="s">
        <v>694</v>
      </c>
      <c r="D847">
        <v>845</v>
      </c>
      <c r="F847">
        <v>65535</v>
      </c>
      <c r="I847" t="s">
        <v>728</v>
      </c>
      <c r="AN847">
        <v>0</v>
      </c>
      <c r="AO847">
        <v>0</v>
      </c>
      <c r="AP847">
        <v>0</v>
      </c>
      <c r="AS847">
        <v>65535</v>
      </c>
      <c r="AT847">
        <v>65535</v>
      </c>
      <c r="AU847">
        <v>65535</v>
      </c>
      <c r="BI847">
        <v>0</v>
      </c>
      <c r="BK847">
        <v>0</v>
      </c>
      <c r="BL847">
        <v>0</v>
      </c>
      <c r="BP847">
        <v>65535</v>
      </c>
      <c r="BQ847">
        <v>65535</v>
      </c>
      <c r="CB847">
        <v>19.593198776245117</v>
      </c>
      <c r="CC847">
        <v>6.0992279052734375</v>
      </c>
    </row>
    <row r="848" spans="1:81" ht="12.75" customHeight="1">
      <c r="A848" t="s">
        <v>728</v>
      </c>
      <c r="C848" t="s">
        <v>694</v>
      </c>
      <c r="D848">
        <v>846</v>
      </c>
      <c r="F848">
        <v>65535</v>
      </c>
      <c r="I848" t="s">
        <v>728</v>
      </c>
      <c r="AN848">
        <v>0</v>
      </c>
      <c r="AO848">
        <v>0</v>
      </c>
      <c r="AP848">
        <v>0</v>
      </c>
      <c r="AS848">
        <v>65535</v>
      </c>
      <c r="AT848">
        <v>65535</v>
      </c>
      <c r="AU848">
        <v>65535</v>
      </c>
      <c r="BI848">
        <v>0</v>
      </c>
      <c r="BK848">
        <v>0</v>
      </c>
      <c r="BL848">
        <v>0</v>
      </c>
      <c r="BP848">
        <v>65535</v>
      </c>
      <c r="BQ848">
        <v>65535</v>
      </c>
      <c r="CB848">
        <v>19.593198776245117</v>
      </c>
      <c r="CC848">
        <v>6.0992279052734375</v>
      </c>
    </row>
    <row r="849" spans="1:81" ht="12.75" customHeight="1">
      <c r="A849" t="s">
        <v>728</v>
      </c>
      <c r="C849" t="s">
        <v>694</v>
      </c>
      <c r="D849">
        <v>847</v>
      </c>
      <c r="F849">
        <v>65535</v>
      </c>
      <c r="I849" t="s">
        <v>728</v>
      </c>
      <c r="AN849">
        <v>0</v>
      </c>
      <c r="AO849">
        <v>0</v>
      </c>
      <c r="AP849">
        <v>0</v>
      </c>
      <c r="AS849">
        <v>65535</v>
      </c>
      <c r="AT849">
        <v>65535</v>
      </c>
      <c r="AU849">
        <v>65535</v>
      </c>
      <c r="BI849">
        <v>0</v>
      </c>
      <c r="BK849">
        <v>0</v>
      </c>
      <c r="BL849">
        <v>0</v>
      </c>
      <c r="BP849">
        <v>65535</v>
      </c>
      <c r="BQ849">
        <v>65535</v>
      </c>
      <c r="CB849">
        <v>19.593198776245117</v>
      </c>
      <c r="CC849">
        <v>6.0992279052734375</v>
      </c>
    </row>
    <row r="850" spans="1:81" ht="12.75" customHeight="1">
      <c r="A850" t="s">
        <v>728</v>
      </c>
      <c r="C850" t="s">
        <v>694</v>
      </c>
      <c r="D850">
        <v>848</v>
      </c>
      <c r="F850">
        <v>65535</v>
      </c>
      <c r="I850" t="s">
        <v>728</v>
      </c>
      <c r="AN850">
        <v>0</v>
      </c>
      <c r="AO850">
        <v>0</v>
      </c>
      <c r="AP850">
        <v>0</v>
      </c>
      <c r="AS850">
        <v>65535</v>
      </c>
      <c r="AT850">
        <v>65535</v>
      </c>
      <c r="AU850">
        <v>65535</v>
      </c>
      <c r="BI850">
        <v>0</v>
      </c>
      <c r="BK850">
        <v>0</v>
      </c>
      <c r="BL850">
        <v>0</v>
      </c>
      <c r="BP850">
        <v>65535</v>
      </c>
      <c r="BQ850">
        <v>65535</v>
      </c>
      <c r="CB850">
        <v>19.593198776245117</v>
      </c>
      <c r="CC850">
        <v>6.0992279052734375</v>
      </c>
    </row>
    <row r="851" spans="1:81" ht="12.75" customHeight="1">
      <c r="A851" t="s">
        <v>728</v>
      </c>
      <c r="C851" t="s">
        <v>694</v>
      </c>
      <c r="D851">
        <v>849</v>
      </c>
      <c r="F851">
        <v>65535</v>
      </c>
      <c r="I851" t="s">
        <v>728</v>
      </c>
      <c r="AN851">
        <v>0</v>
      </c>
      <c r="AO851">
        <v>0</v>
      </c>
      <c r="AP851">
        <v>0</v>
      </c>
      <c r="AS851">
        <v>65535</v>
      </c>
      <c r="AT851">
        <v>65535</v>
      </c>
      <c r="AU851">
        <v>65535</v>
      </c>
      <c r="BI851">
        <v>0</v>
      </c>
      <c r="BK851">
        <v>0</v>
      </c>
      <c r="BL851">
        <v>0</v>
      </c>
      <c r="BP851">
        <v>65535</v>
      </c>
      <c r="BQ851">
        <v>65535</v>
      </c>
      <c r="CB851">
        <v>19.593198776245117</v>
      </c>
      <c r="CC851">
        <v>6.0992279052734375</v>
      </c>
    </row>
    <row r="852" spans="1:81" ht="12.75" customHeight="1">
      <c r="A852" t="s">
        <v>728</v>
      </c>
      <c r="C852" t="s">
        <v>694</v>
      </c>
      <c r="D852">
        <v>850</v>
      </c>
      <c r="F852">
        <v>65535</v>
      </c>
      <c r="I852" t="s">
        <v>728</v>
      </c>
      <c r="AN852">
        <v>0</v>
      </c>
      <c r="AO852">
        <v>0</v>
      </c>
      <c r="AP852">
        <v>0</v>
      </c>
      <c r="AS852">
        <v>65535</v>
      </c>
      <c r="AT852">
        <v>65535</v>
      </c>
      <c r="AU852">
        <v>65535</v>
      </c>
      <c r="BI852">
        <v>0</v>
      </c>
      <c r="BK852">
        <v>0</v>
      </c>
      <c r="BL852">
        <v>0</v>
      </c>
      <c r="BP852">
        <v>65535</v>
      </c>
      <c r="BQ852">
        <v>65535</v>
      </c>
      <c r="CB852">
        <v>19.593198776245117</v>
      </c>
      <c r="CC852">
        <v>6.0992279052734375</v>
      </c>
    </row>
    <row r="853" spans="1:81" ht="12.75" customHeight="1">
      <c r="A853" t="s">
        <v>728</v>
      </c>
      <c r="C853" t="s">
        <v>694</v>
      </c>
      <c r="D853">
        <v>851</v>
      </c>
      <c r="F853">
        <v>65535</v>
      </c>
      <c r="I853" t="s">
        <v>728</v>
      </c>
      <c r="AN853">
        <v>0</v>
      </c>
      <c r="AO853">
        <v>0</v>
      </c>
      <c r="AP853">
        <v>0</v>
      </c>
      <c r="AS853">
        <v>65535</v>
      </c>
      <c r="AT853">
        <v>65535</v>
      </c>
      <c r="AU853">
        <v>65535</v>
      </c>
      <c r="BI853">
        <v>0</v>
      </c>
      <c r="BK853">
        <v>0</v>
      </c>
      <c r="BL853">
        <v>0</v>
      </c>
      <c r="BP853">
        <v>65535</v>
      </c>
      <c r="BQ853">
        <v>65535</v>
      </c>
      <c r="CB853">
        <v>19.593198776245117</v>
      </c>
      <c r="CC853">
        <v>6.0992279052734375</v>
      </c>
    </row>
    <row r="854" spans="1:81" ht="12.75" customHeight="1">
      <c r="A854" t="s">
        <v>728</v>
      </c>
      <c r="C854" t="s">
        <v>694</v>
      </c>
      <c r="D854">
        <v>852</v>
      </c>
      <c r="F854">
        <v>65535</v>
      </c>
      <c r="I854" t="s">
        <v>728</v>
      </c>
      <c r="AN854">
        <v>0</v>
      </c>
      <c r="AO854">
        <v>0</v>
      </c>
      <c r="AP854">
        <v>0</v>
      </c>
      <c r="AS854">
        <v>65535</v>
      </c>
      <c r="AT854">
        <v>65535</v>
      </c>
      <c r="AU854">
        <v>65535</v>
      </c>
      <c r="BI854">
        <v>0</v>
      </c>
      <c r="BK854">
        <v>0</v>
      </c>
      <c r="BL854">
        <v>0</v>
      </c>
      <c r="BP854">
        <v>65535</v>
      </c>
      <c r="BQ854">
        <v>65535</v>
      </c>
      <c r="CB854">
        <v>19.593198776245117</v>
      </c>
      <c r="CC854">
        <v>6.0992279052734375</v>
      </c>
    </row>
    <row r="855" spans="1:81" ht="12.75" customHeight="1">
      <c r="A855" t="s">
        <v>728</v>
      </c>
      <c r="C855" t="s">
        <v>694</v>
      </c>
      <c r="D855">
        <v>853</v>
      </c>
      <c r="F855">
        <v>65535</v>
      </c>
      <c r="I855" t="s">
        <v>728</v>
      </c>
      <c r="AN855">
        <v>0</v>
      </c>
      <c r="AO855">
        <v>0</v>
      </c>
      <c r="AP855">
        <v>0</v>
      </c>
      <c r="AS855">
        <v>65535</v>
      </c>
      <c r="AT855">
        <v>65535</v>
      </c>
      <c r="AU855">
        <v>65535</v>
      </c>
      <c r="BI855">
        <v>0</v>
      </c>
      <c r="BK855">
        <v>0</v>
      </c>
      <c r="BL855">
        <v>0</v>
      </c>
      <c r="BP855">
        <v>65535</v>
      </c>
      <c r="BQ855">
        <v>65535</v>
      </c>
      <c r="CB855">
        <v>19.593198776245117</v>
      </c>
      <c r="CC855">
        <v>6.0992279052734375</v>
      </c>
    </row>
    <row r="856" spans="1:81" ht="12.75" customHeight="1">
      <c r="A856" t="s">
        <v>728</v>
      </c>
      <c r="C856" t="s">
        <v>694</v>
      </c>
      <c r="D856">
        <v>854</v>
      </c>
      <c r="F856">
        <v>65535</v>
      </c>
      <c r="I856" t="s">
        <v>728</v>
      </c>
      <c r="AN856">
        <v>0</v>
      </c>
      <c r="AO856">
        <v>0</v>
      </c>
      <c r="AP856">
        <v>0</v>
      </c>
      <c r="AS856">
        <v>65535</v>
      </c>
      <c r="AT856">
        <v>65535</v>
      </c>
      <c r="AU856">
        <v>65535</v>
      </c>
      <c r="BI856">
        <v>0</v>
      </c>
      <c r="BK856">
        <v>0</v>
      </c>
      <c r="BL856">
        <v>0</v>
      </c>
      <c r="BP856">
        <v>65535</v>
      </c>
      <c r="BQ856">
        <v>65535</v>
      </c>
      <c r="CB856">
        <v>19.593198776245117</v>
      </c>
      <c r="CC856">
        <v>6.0992279052734375</v>
      </c>
    </row>
    <row r="857" spans="1:81" ht="12.75" customHeight="1">
      <c r="A857" t="s">
        <v>728</v>
      </c>
      <c r="C857" t="s">
        <v>694</v>
      </c>
      <c r="D857">
        <v>855</v>
      </c>
      <c r="F857">
        <v>65535</v>
      </c>
      <c r="I857" t="s">
        <v>728</v>
      </c>
      <c r="AN857">
        <v>0</v>
      </c>
      <c r="AO857">
        <v>0</v>
      </c>
      <c r="AP857">
        <v>0</v>
      </c>
      <c r="AS857">
        <v>65535</v>
      </c>
      <c r="AT857">
        <v>65535</v>
      </c>
      <c r="AU857">
        <v>65535</v>
      </c>
      <c r="BI857">
        <v>0</v>
      </c>
      <c r="BK857">
        <v>0</v>
      </c>
      <c r="BL857">
        <v>0</v>
      </c>
      <c r="BP857">
        <v>65535</v>
      </c>
      <c r="BQ857">
        <v>65535</v>
      </c>
      <c r="CB857">
        <v>19.593198776245117</v>
      </c>
      <c r="CC857">
        <v>6.0992279052734375</v>
      </c>
    </row>
    <row r="858" spans="1:81" ht="12.75" customHeight="1">
      <c r="A858" t="s">
        <v>728</v>
      </c>
      <c r="C858" t="s">
        <v>694</v>
      </c>
      <c r="D858">
        <v>856</v>
      </c>
      <c r="F858">
        <v>65535</v>
      </c>
      <c r="I858" t="s">
        <v>728</v>
      </c>
      <c r="AN858">
        <v>0</v>
      </c>
      <c r="AO858">
        <v>0</v>
      </c>
      <c r="AP858">
        <v>0</v>
      </c>
      <c r="AS858">
        <v>65535</v>
      </c>
      <c r="AT858">
        <v>65535</v>
      </c>
      <c r="AU858">
        <v>65535</v>
      </c>
      <c r="BI858">
        <v>0</v>
      </c>
      <c r="BK858">
        <v>0</v>
      </c>
      <c r="BL858">
        <v>0</v>
      </c>
      <c r="BP858">
        <v>65535</v>
      </c>
      <c r="BQ858">
        <v>65535</v>
      </c>
      <c r="CB858">
        <v>19.593198776245117</v>
      </c>
      <c r="CC858">
        <v>6.0992279052734375</v>
      </c>
    </row>
    <row r="859" spans="1:81" ht="12.75" customHeight="1">
      <c r="A859" t="s">
        <v>728</v>
      </c>
      <c r="C859" t="s">
        <v>694</v>
      </c>
      <c r="D859">
        <v>857</v>
      </c>
      <c r="F859">
        <v>65535</v>
      </c>
      <c r="I859" t="s">
        <v>728</v>
      </c>
      <c r="AN859">
        <v>0</v>
      </c>
      <c r="AO859">
        <v>0</v>
      </c>
      <c r="AP859">
        <v>0</v>
      </c>
      <c r="AS859">
        <v>65535</v>
      </c>
      <c r="AT859">
        <v>65535</v>
      </c>
      <c r="AU859">
        <v>65535</v>
      </c>
      <c r="BI859">
        <v>0</v>
      </c>
      <c r="BK859">
        <v>0</v>
      </c>
      <c r="BL859">
        <v>0</v>
      </c>
      <c r="BP859">
        <v>65535</v>
      </c>
      <c r="BQ859">
        <v>65535</v>
      </c>
      <c r="CB859">
        <v>19.593198776245117</v>
      </c>
      <c r="CC859">
        <v>6.0992279052734375</v>
      </c>
    </row>
    <row r="860" spans="1:81" ht="12.75" customHeight="1">
      <c r="A860" t="s">
        <v>728</v>
      </c>
      <c r="C860" t="s">
        <v>694</v>
      </c>
      <c r="D860">
        <v>858</v>
      </c>
      <c r="F860">
        <v>65535</v>
      </c>
      <c r="I860" t="s">
        <v>728</v>
      </c>
      <c r="AN860">
        <v>0</v>
      </c>
      <c r="AO860">
        <v>0</v>
      </c>
      <c r="AP860">
        <v>0</v>
      </c>
      <c r="AS860">
        <v>65535</v>
      </c>
      <c r="AT860">
        <v>65535</v>
      </c>
      <c r="AU860">
        <v>65535</v>
      </c>
      <c r="BI860">
        <v>0</v>
      </c>
      <c r="BK860">
        <v>0</v>
      </c>
      <c r="BL860">
        <v>0</v>
      </c>
      <c r="BP860">
        <v>65535</v>
      </c>
      <c r="BQ860">
        <v>65535</v>
      </c>
      <c r="CB860">
        <v>19.593198776245117</v>
      </c>
      <c r="CC860">
        <v>6.0992279052734375</v>
      </c>
    </row>
    <row r="861" spans="1:81" ht="12.75" customHeight="1">
      <c r="A861" t="s">
        <v>728</v>
      </c>
      <c r="C861" t="s">
        <v>694</v>
      </c>
      <c r="D861">
        <v>859</v>
      </c>
      <c r="F861">
        <v>65535</v>
      </c>
      <c r="I861" t="s">
        <v>728</v>
      </c>
      <c r="AN861">
        <v>0</v>
      </c>
      <c r="AO861">
        <v>0</v>
      </c>
      <c r="AP861">
        <v>0</v>
      </c>
      <c r="AS861">
        <v>65535</v>
      </c>
      <c r="AT861">
        <v>65535</v>
      </c>
      <c r="AU861">
        <v>65535</v>
      </c>
      <c r="BI861">
        <v>0</v>
      </c>
      <c r="BK861">
        <v>0</v>
      </c>
      <c r="BL861">
        <v>0</v>
      </c>
      <c r="BP861">
        <v>65535</v>
      </c>
      <c r="BQ861">
        <v>65535</v>
      </c>
      <c r="CB861">
        <v>19.593198776245117</v>
      </c>
      <c r="CC861">
        <v>6.0992279052734375</v>
      </c>
    </row>
    <row r="862" spans="1:81" ht="12.75" customHeight="1">
      <c r="A862" t="s">
        <v>728</v>
      </c>
      <c r="C862" t="s">
        <v>694</v>
      </c>
      <c r="D862">
        <v>860</v>
      </c>
      <c r="F862">
        <v>65535</v>
      </c>
      <c r="I862" t="s">
        <v>728</v>
      </c>
      <c r="AN862">
        <v>0</v>
      </c>
      <c r="AO862">
        <v>0</v>
      </c>
      <c r="AP862">
        <v>0</v>
      </c>
      <c r="AS862">
        <v>65535</v>
      </c>
      <c r="AT862">
        <v>65535</v>
      </c>
      <c r="AU862">
        <v>65535</v>
      </c>
      <c r="BI862">
        <v>0</v>
      </c>
      <c r="BK862">
        <v>0</v>
      </c>
      <c r="BL862">
        <v>0</v>
      </c>
      <c r="BP862">
        <v>65535</v>
      </c>
      <c r="BQ862">
        <v>65535</v>
      </c>
      <c r="CB862">
        <v>19.593198776245117</v>
      </c>
      <c r="CC862">
        <v>6.0992279052734375</v>
      </c>
    </row>
    <row r="863" spans="1:81" ht="12.75" customHeight="1">
      <c r="A863" t="s">
        <v>728</v>
      </c>
      <c r="C863" t="s">
        <v>694</v>
      </c>
      <c r="D863">
        <v>861</v>
      </c>
      <c r="F863">
        <v>65535</v>
      </c>
      <c r="I863" t="s">
        <v>728</v>
      </c>
      <c r="AN863">
        <v>0</v>
      </c>
      <c r="AO863">
        <v>0</v>
      </c>
      <c r="AP863">
        <v>0</v>
      </c>
      <c r="AS863">
        <v>65535</v>
      </c>
      <c r="AT863">
        <v>65535</v>
      </c>
      <c r="AU863">
        <v>65535</v>
      </c>
      <c r="BI863">
        <v>0</v>
      </c>
      <c r="BK863">
        <v>0</v>
      </c>
      <c r="BL863">
        <v>0</v>
      </c>
      <c r="BP863">
        <v>65535</v>
      </c>
      <c r="BQ863">
        <v>65535</v>
      </c>
      <c r="CB863">
        <v>19.593198776245117</v>
      </c>
      <c r="CC863">
        <v>6.0992279052734375</v>
      </c>
    </row>
    <row r="864" spans="1:81" ht="12.75" customHeight="1">
      <c r="A864" t="s">
        <v>728</v>
      </c>
      <c r="C864" t="s">
        <v>694</v>
      </c>
      <c r="D864">
        <v>862</v>
      </c>
      <c r="F864">
        <v>65535</v>
      </c>
      <c r="I864" t="s">
        <v>728</v>
      </c>
      <c r="AN864">
        <v>0</v>
      </c>
      <c r="AO864">
        <v>0</v>
      </c>
      <c r="AP864">
        <v>0</v>
      </c>
      <c r="AS864">
        <v>65535</v>
      </c>
      <c r="AT864">
        <v>65535</v>
      </c>
      <c r="AU864">
        <v>65535</v>
      </c>
      <c r="BI864">
        <v>0</v>
      </c>
      <c r="BK864">
        <v>0</v>
      </c>
      <c r="BL864">
        <v>0</v>
      </c>
      <c r="BP864">
        <v>65535</v>
      </c>
      <c r="BQ864">
        <v>65535</v>
      </c>
      <c r="CB864">
        <v>19.593198776245117</v>
      </c>
      <c r="CC864">
        <v>6.0992279052734375</v>
      </c>
    </row>
    <row r="865" spans="1:81" ht="12.75" customHeight="1">
      <c r="A865" t="s">
        <v>728</v>
      </c>
      <c r="C865" t="s">
        <v>694</v>
      </c>
      <c r="D865">
        <v>863</v>
      </c>
      <c r="F865">
        <v>65535</v>
      </c>
      <c r="I865" t="s">
        <v>728</v>
      </c>
      <c r="AN865">
        <v>0</v>
      </c>
      <c r="AO865">
        <v>0</v>
      </c>
      <c r="AP865">
        <v>0</v>
      </c>
      <c r="AS865">
        <v>65535</v>
      </c>
      <c r="AT865">
        <v>65535</v>
      </c>
      <c r="AU865">
        <v>65535</v>
      </c>
      <c r="BI865">
        <v>0</v>
      </c>
      <c r="BK865">
        <v>0</v>
      </c>
      <c r="BL865">
        <v>0</v>
      </c>
      <c r="BP865">
        <v>65535</v>
      </c>
      <c r="BQ865">
        <v>65535</v>
      </c>
      <c r="CB865">
        <v>19.593198776245117</v>
      </c>
      <c r="CC865">
        <v>6.0992279052734375</v>
      </c>
    </row>
    <row r="866" spans="1:81" ht="12.75" customHeight="1">
      <c r="A866" t="s">
        <v>728</v>
      </c>
      <c r="C866" t="s">
        <v>694</v>
      </c>
      <c r="D866">
        <v>864</v>
      </c>
      <c r="F866">
        <v>65535</v>
      </c>
      <c r="I866" t="s">
        <v>728</v>
      </c>
      <c r="AN866">
        <v>0</v>
      </c>
      <c r="AO866">
        <v>0</v>
      </c>
      <c r="AP866">
        <v>0</v>
      </c>
      <c r="AS866">
        <v>65535</v>
      </c>
      <c r="AT866">
        <v>65535</v>
      </c>
      <c r="AU866">
        <v>65535</v>
      </c>
      <c r="BI866">
        <v>0</v>
      </c>
      <c r="BK866">
        <v>0</v>
      </c>
      <c r="BL866">
        <v>0</v>
      </c>
      <c r="BP866">
        <v>65535</v>
      </c>
      <c r="BQ866">
        <v>65535</v>
      </c>
      <c r="CB866">
        <v>19.593198776245117</v>
      </c>
      <c r="CC866">
        <v>6.0992279052734375</v>
      </c>
    </row>
    <row r="867" spans="1:81" ht="12.75" customHeight="1">
      <c r="A867" t="s">
        <v>728</v>
      </c>
      <c r="C867" t="s">
        <v>694</v>
      </c>
      <c r="D867">
        <v>865</v>
      </c>
      <c r="F867">
        <v>65535</v>
      </c>
      <c r="I867" t="s">
        <v>728</v>
      </c>
      <c r="AN867">
        <v>0</v>
      </c>
      <c r="AO867">
        <v>0</v>
      </c>
      <c r="AP867">
        <v>0</v>
      </c>
      <c r="AS867">
        <v>65535</v>
      </c>
      <c r="AT867">
        <v>65535</v>
      </c>
      <c r="AU867">
        <v>65535</v>
      </c>
      <c r="BI867">
        <v>0</v>
      </c>
      <c r="BK867">
        <v>0</v>
      </c>
      <c r="BL867">
        <v>0</v>
      </c>
      <c r="BP867">
        <v>65535</v>
      </c>
      <c r="BQ867">
        <v>65535</v>
      </c>
      <c r="CB867">
        <v>19.593198776245117</v>
      </c>
      <c r="CC867">
        <v>6.0992279052734375</v>
      </c>
    </row>
    <row r="868" spans="1:81" ht="12.75" customHeight="1">
      <c r="A868" t="s">
        <v>728</v>
      </c>
      <c r="C868" t="s">
        <v>694</v>
      </c>
      <c r="D868">
        <v>866</v>
      </c>
      <c r="F868">
        <v>65535</v>
      </c>
      <c r="I868" t="s">
        <v>728</v>
      </c>
      <c r="AN868">
        <v>0</v>
      </c>
      <c r="AO868">
        <v>0</v>
      </c>
      <c r="AP868">
        <v>0</v>
      </c>
      <c r="AS868">
        <v>65535</v>
      </c>
      <c r="AT868">
        <v>65535</v>
      </c>
      <c r="AU868">
        <v>65535</v>
      </c>
      <c r="BI868">
        <v>0</v>
      </c>
      <c r="BK868">
        <v>0</v>
      </c>
      <c r="BL868">
        <v>0</v>
      </c>
      <c r="BP868">
        <v>65535</v>
      </c>
      <c r="BQ868">
        <v>65535</v>
      </c>
      <c r="CB868">
        <v>19.593198776245117</v>
      </c>
      <c r="CC868">
        <v>6.0992279052734375</v>
      </c>
    </row>
    <row r="869" spans="1:81" ht="12.75" customHeight="1">
      <c r="A869" t="s">
        <v>728</v>
      </c>
      <c r="C869" t="s">
        <v>694</v>
      </c>
      <c r="D869">
        <v>867</v>
      </c>
      <c r="F869">
        <v>65535</v>
      </c>
      <c r="I869" t="s">
        <v>728</v>
      </c>
      <c r="AN869">
        <v>0</v>
      </c>
      <c r="AO869">
        <v>0</v>
      </c>
      <c r="AP869">
        <v>0</v>
      </c>
      <c r="AS869">
        <v>65535</v>
      </c>
      <c r="AT869">
        <v>65535</v>
      </c>
      <c r="AU869">
        <v>65535</v>
      </c>
      <c r="BI869">
        <v>0</v>
      </c>
      <c r="BK869">
        <v>0</v>
      </c>
      <c r="BL869">
        <v>0</v>
      </c>
      <c r="BP869">
        <v>65535</v>
      </c>
      <c r="BQ869">
        <v>65535</v>
      </c>
      <c r="CB869">
        <v>19.593198776245117</v>
      </c>
      <c r="CC869">
        <v>6.0992279052734375</v>
      </c>
    </row>
    <row r="870" spans="1:81" ht="12.75" customHeight="1">
      <c r="A870" t="s">
        <v>728</v>
      </c>
      <c r="C870" t="s">
        <v>694</v>
      </c>
      <c r="D870">
        <v>868</v>
      </c>
      <c r="F870">
        <v>65535</v>
      </c>
      <c r="I870" t="s">
        <v>728</v>
      </c>
      <c r="AN870">
        <v>0</v>
      </c>
      <c r="AO870">
        <v>0</v>
      </c>
      <c r="AP870">
        <v>0</v>
      </c>
      <c r="AS870">
        <v>65535</v>
      </c>
      <c r="AT870">
        <v>65535</v>
      </c>
      <c r="AU870">
        <v>65535</v>
      </c>
      <c r="BI870">
        <v>0</v>
      </c>
      <c r="BK870">
        <v>0</v>
      </c>
      <c r="BL870">
        <v>0</v>
      </c>
      <c r="BP870">
        <v>65535</v>
      </c>
      <c r="BQ870">
        <v>65535</v>
      </c>
      <c r="CB870">
        <v>19.593198776245117</v>
      </c>
      <c r="CC870">
        <v>6.0992279052734375</v>
      </c>
    </row>
    <row r="871" spans="1:81" ht="12.75" customHeight="1">
      <c r="A871" t="s">
        <v>728</v>
      </c>
      <c r="C871" t="s">
        <v>694</v>
      </c>
      <c r="D871">
        <v>869</v>
      </c>
      <c r="F871">
        <v>65535</v>
      </c>
      <c r="I871" t="s">
        <v>728</v>
      </c>
      <c r="AN871">
        <v>0</v>
      </c>
      <c r="AO871">
        <v>0</v>
      </c>
      <c r="AP871">
        <v>0</v>
      </c>
      <c r="AS871">
        <v>65535</v>
      </c>
      <c r="AT871">
        <v>65535</v>
      </c>
      <c r="AU871">
        <v>65535</v>
      </c>
      <c r="BI871">
        <v>0</v>
      </c>
      <c r="BK871">
        <v>0</v>
      </c>
      <c r="BL871">
        <v>0</v>
      </c>
      <c r="BP871">
        <v>65535</v>
      </c>
      <c r="BQ871">
        <v>65535</v>
      </c>
      <c r="CB871">
        <v>19.593198776245117</v>
      </c>
      <c r="CC871">
        <v>6.0992279052734375</v>
      </c>
    </row>
    <row r="872" spans="1:81" ht="12.75" customHeight="1">
      <c r="A872" t="s">
        <v>728</v>
      </c>
      <c r="C872" t="s">
        <v>694</v>
      </c>
      <c r="D872">
        <v>870</v>
      </c>
      <c r="F872">
        <v>65535</v>
      </c>
      <c r="I872" t="s">
        <v>728</v>
      </c>
      <c r="AN872">
        <v>0</v>
      </c>
      <c r="AO872">
        <v>0</v>
      </c>
      <c r="AP872">
        <v>0</v>
      </c>
      <c r="AS872">
        <v>65535</v>
      </c>
      <c r="AT872">
        <v>65535</v>
      </c>
      <c r="AU872">
        <v>65535</v>
      </c>
      <c r="BI872">
        <v>0</v>
      </c>
      <c r="BK872">
        <v>0</v>
      </c>
      <c r="BL872">
        <v>0</v>
      </c>
      <c r="BP872">
        <v>65535</v>
      </c>
      <c r="BQ872">
        <v>65535</v>
      </c>
      <c r="CB872">
        <v>19.593198776245117</v>
      </c>
      <c r="CC872">
        <v>6.0992279052734375</v>
      </c>
    </row>
    <row r="873" spans="1:81" ht="12.75" customHeight="1">
      <c r="A873" t="s">
        <v>728</v>
      </c>
      <c r="C873" t="s">
        <v>694</v>
      </c>
      <c r="D873">
        <v>871</v>
      </c>
      <c r="F873">
        <v>65535</v>
      </c>
      <c r="I873" t="s">
        <v>728</v>
      </c>
      <c r="AN873">
        <v>0</v>
      </c>
      <c r="AO873">
        <v>0</v>
      </c>
      <c r="AP873">
        <v>0</v>
      </c>
      <c r="AS873">
        <v>65535</v>
      </c>
      <c r="AT873">
        <v>65535</v>
      </c>
      <c r="AU873">
        <v>65535</v>
      </c>
      <c r="BI873">
        <v>0</v>
      </c>
      <c r="BK873">
        <v>0</v>
      </c>
      <c r="BL873">
        <v>0</v>
      </c>
      <c r="BP873">
        <v>65535</v>
      </c>
      <c r="BQ873">
        <v>65535</v>
      </c>
      <c r="CB873">
        <v>19.593198776245117</v>
      </c>
      <c r="CC873">
        <v>6.0992279052734375</v>
      </c>
    </row>
    <row r="874" spans="1:81" ht="12.75" customHeight="1">
      <c r="A874" t="s">
        <v>728</v>
      </c>
      <c r="C874" t="s">
        <v>694</v>
      </c>
      <c r="D874">
        <v>872</v>
      </c>
      <c r="F874">
        <v>65535</v>
      </c>
      <c r="I874" t="s">
        <v>728</v>
      </c>
      <c r="AN874">
        <v>0</v>
      </c>
      <c r="AO874">
        <v>0</v>
      </c>
      <c r="AP874">
        <v>0</v>
      </c>
      <c r="AS874">
        <v>65535</v>
      </c>
      <c r="AT874">
        <v>65535</v>
      </c>
      <c r="AU874">
        <v>65535</v>
      </c>
      <c r="BI874">
        <v>0</v>
      </c>
      <c r="BK874">
        <v>0</v>
      </c>
      <c r="BL874">
        <v>0</v>
      </c>
      <c r="BP874">
        <v>65535</v>
      </c>
      <c r="BQ874">
        <v>65535</v>
      </c>
      <c r="CB874">
        <v>19.593198776245117</v>
      </c>
      <c r="CC874">
        <v>6.0992279052734375</v>
      </c>
    </row>
    <row r="875" spans="1:81" ht="12.75" customHeight="1">
      <c r="A875" t="s">
        <v>728</v>
      </c>
      <c r="C875" t="s">
        <v>694</v>
      </c>
      <c r="D875">
        <v>873</v>
      </c>
      <c r="F875">
        <v>65535</v>
      </c>
      <c r="I875" t="s">
        <v>728</v>
      </c>
      <c r="AN875">
        <v>0</v>
      </c>
      <c r="AO875">
        <v>0</v>
      </c>
      <c r="AP875">
        <v>0</v>
      </c>
      <c r="AS875">
        <v>65535</v>
      </c>
      <c r="AT875">
        <v>65535</v>
      </c>
      <c r="AU875">
        <v>65535</v>
      </c>
      <c r="BI875">
        <v>0</v>
      </c>
      <c r="BK875">
        <v>0</v>
      </c>
      <c r="BL875">
        <v>0</v>
      </c>
      <c r="BP875">
        <v>65535</v>
      </c>
      <c r="BQ875">
        <v>65535</v>
      </c>
      <c r="CB875">
        <v>19.593198776245117</v>
      </c>
      <c r="CC875">
        <v>6.0992279052734375</v>
      </c>
    </row>
    <row r="876" spans="1:81" ht="12.75" customHeight="1">
      <c r="A876" t="s">
        <v>728</v>
      </c>
      <c r="C876" t="s">
        <v>694</v>
      </c>
      <c r="D876">
        <v>874</v>
      </c>
      <c r="F876">
        <v>65535</v>
      </c>
      <c r="I876" t="s">
        <v>728</v>
      </c>
      <c r="AN876">
        <v>0</v>
      </c>
      <c r="AO876">
        <v>0</v>
      </c>
      <c r="AP876">
        <v>0</v>
      </c>
      <c r="AS876">
        <v>65535</v>
      </c>
      <c r="AT876">
        <v>65535</v>
      </c>
      <c r="AU876">
        <v>65535</v>
      </c>
      <c r="BI876">
        <v>0</v>
      </c>
      <c r="BK876">
        <v>0</v>
      </c>
      <c r="BL876">
        <v>0</v>
      </c>
      <c r="BP876">
        <v>65535</v>
      </c>
      <c r="BQ876">
        <v>65535</v>
      </c>
      <c r="CB876">
        <v>19.593198776245117</v>
      </c>
      <c r="CC876">
        <v>6.0992279052734375</v>
      </c>
    </row>
    <row r="877" spans="1:81" ht="12.75" customHeight="1">
      <c r="A877" t="s">
        <v>728</v>
      </c>
      <c r="C877" t="s">
        <v>694</v>
      </c>
      <c r="D877">
        <v>875</v>
      </c>
      <c r="F877">
        <v>65535</v>
      </c>
      <c r="I877" t="s">
        <v>728</v>
      </c>
      <c r="AN877">
        <v>0</v>
      </c>
      <c r="AO877">
        <v>0</v>
      </c>
      <c r="AP877">
        <v>0</v>
      </c>
      <c r="AS877">
        <v>65535</v>
      </c>
      <c r="AT877">
        <v>65535</v>
      </c>
      <c r="AU877">
        <v>65535</v>
      </c>
      <c r="BI877">
        <v>0</v>
      </c>
      <c r="BK877">
        <v>0</v>
      </c>
      <c r="BL877">
        <v>0</v>
      </c>
      <c r="BP877">
        <v>65535</v>
      </c>
      <c r="BQ877">
        <v>65535</v>
      </c>
      <c r="CB877">
        <v>19.593198776245117</v>
      </c>
      <c r="CC877">
        <v>6.0992279052734375</v>
      </c>
    </row>
    <row r="878" spans="1:81" ht="12.75" customHeight="1">
      <c r="A878" t="s">
        <v>728</v>
      </c>
      <c r="C878" t="s">
        <v>694</v>
      </c>
      <c r="D878">
        <v>876</v>
      </c>
      <c r="F878">
        <v>65535</v>
      </c>
      <c r="I878" t="s">
        <v>728</v>
      </c>
      <c r="AN878">
        <v>0</v>
      </c>
      <c r="AO878">
        <v>0</v>
      </c>
      <c r="AP878">
        <v>0</v>
      </c>
      <c r="AS878">
        <v>65535</v>
      </c>
      <c r="AT878">
        <v>65535</v>
      </c>
      <c r="AU878">
        <v>65535</v>
      </c>
      <c r="BI878">
        <v>0</v>
      </c>
      <c r="BK878">
        <v>0</v>
      </c>
      <c r="BL878">
        <v>0</v>
      </c>
      <c r="BP878">
        <v>65535</v>
      </c>
      <c r="BQ878">
        <v>65535</v>
      </c>
      <c r="CB878">
        <v>19.593198776245117</v>
      </c>
      <c r="CC878">
        <v>6.0992279052734375</v>
      </c>
    </row>
    <row r="879" spans="1:81" ht="12.75" customHeight="1">
      <c r="A879" t="s">
        <v>728</v>
      </c>
      <c r="C879" t="s">
        <v>694</v>
      </c>
      <c r="D879">
        <v>877</v>
      </c>
      <c r="F879">
        <v>65535</v>
      </c>
      <c r="I879" t="s">
        <v>728</v>
      </c>
      <c r="AN879">
        <v>0</v>
      </c>
      <c r="AO879">
        <v>0</v>
      </c>
      <c r="AP879">
        <v>0</v>
      </c>
      <c r="AS879">
        <v>65535</v>
      </c>
      <c r="AT879">
        <v>65535</v>
      </c>
      <c r="AU879">
        <v>65535</v>
      </c>
      <c r="BI879">
        <v>0</v>
      </c>
      <c r="BK879">
        <v>0</v>
      </c>
      <c r="BL879">
        <v>0</v>
      </c>
      <c r="BP879">
        <v>65535</v>
      </c>
      <c r="BQ879">
        <v>65535</v>
      </c>
      <c r="CB879">
        <v>19.593198776245117</v>
      </c>
      <c r="CC879">
        <v>6.0992279052734375</v>
      </c>
    </row>
    <row r="880" spans="1:81" ht="12.75" customHeight="1">
      <c r="A880" t="s">
        <v>728</v>
      </c>
      <c r="C880" t="s">
        <v>694</v>
      </c>
      <c r="D880">
        <v>878</v>
      </c>
      <c r="F880">
        <v>65535</v>
      </c>
      <c r="I880" t="s">
        <v>728</v>
      </c>
      <c r="AN880">
        <v>0</v>
      </c>
      <c r="AO880">
        <v>0</v>
      </c>
      <c r="AP880">
        <v>0</v>
      </c>
      <c r="AS880">
        <v>65535</v>
      </c>
      <c r="AT880">
        <v>65535</v>
      </c>
      <c r="AU880">
        <v>65535</v>
      </c>
      <c r="BI880">
        <v>0</v>
      </c>
      <c r="BK880">
        <v>0</v>
      </c>
      <c r="BL880">
        <v>0</v>
      </c>
      <c r="BP880">
        <v>65535</v>
      </c>
      <c r="BQ880">
        <v>65535</v>
      </c>
      <c r="CB880">
        <v>19.593198776245117</v>
      </c>
      <c r="CC880">
        <v>6.0992279052734375</v>
      </c>
    </row>
    <row r="881" spans="1:81" ht="12.75" customHeight="1">
      <c r="A881" t="s">
        <v>728</v>
      </c>
      <c r="C881" t="s">
        <v>694</v>
      </c>
      <c r="D881">
        <v>879</v>
      </c>
      <c r="F881">
        <v>65535</v>
      </c>
      <c r="I881" t="s">
        <v>728</v>
      </c>
      <c r="AN881">
        <v>0</v>
      </c>
      <c r="AO881">
        <v>0</v>
      </c>
      <c r="AP881">
        <v>0</v>
      </c>
      <c r="AS881">
        <v>65535</v>
      </c>
      <c r="AT881">
        <v>65535</v>
      </c>
      <c r="AU881">
        <v>65535</v>
      </c>
      <c r="BI881">
        <v>0</v>
      </c>
      <c r="BK881">
        <v>0</v>
      </c>
      <c r="BL881">
        <v>0</v>
      </c>
      <c r="BP881">
        <v>65535</v>
      </c>
      <c r="BQ881">
        <v>65535</v>
      </c>
      <c r="CB881">
        <v>19.593198776245117</v>
      </c>
      <c r="CC881">
        <v>6.0992279052734375</v>
      </c>
    </row>
    <row r="882" spans="1:81" ht="12.75" customHeight="1">
      <c r="A882" t="s">
        <v>728</v>
      </c>
      <c r="C882" t="s">
        <v>694</v>
      </c>
      <c r="D882">
        <v>880</v>
      </c>
      <c r="F882">
        <v>65535</v>
      </c>
      <c r="I882" t="s">
        <v>728</v>
      </c>
      <c r="AN882">
        <v>0</v>
      </c>
      <c r="AO882">
        <v>0</v>
      </c>
      <c r="AP882">
        <v>0</v>
      </c>
      <c r="AS882">
        <v>65535</v>
      </c>
      <c r="AT882">
        <v>65535</v>
      </c>
      <c r="AU882">
        <v>65535</v>
      </c>
      <c r="BI882">
        <v>0</v>
      </c>
      <c r="BK882">
        <v>0</v>
      </c>
      <c r="BL882">
        <v>0</v>
      </c>
      <c r="BP882">
        <v>65535</v>
      </c>
      <c r="BQ882">
        <v>65535</v>
      </c>
      <c r="CB882">
        <v>19.593198776245117</v>
      </c>
      <c r="CC882">
        <v>6.0992279052734375</v>
      </c>
    </row>
    <row r="883" spans="1:81" ht="12.75" customHeight="1">
      <c r="A883" t="s">
        <v>728</v>
      </c>
      <c r="C883" t="s">
        <v>694</v>
      </c>
      <c r="D883">
        <v>881</v>
      </c>
      <c r="F883">
        <v>65535</v>
      </c>
      <c r="I883" t="s">
        <v>728</v>
      </c>
      <c r="AN883">
        <v>0</v>
      </c>
      <c r="AO883">
        <v>0</v>
      </c>
      <c r="AP883">
        <v>0</v>
      </c>
      <c r="AS883">
        <v>65535</v>
      </c>
      <c r="AT883">
        <v>65535</v>
      </c>
      <c r="AU883">
        <v>65535</v>
      </c>
      <c r="BI883">
        <v>0</v>
      </c>
      <c r="BK883">
        <v>0</v>
      </c>
      <c r="BL883">
        <v>0</v>
      </c>
      <c r="BP883">
        <v>65535</v>
      </c>
      <c r="BQ883">
        <v>65535</v>
      </c>
      <c r="CB883">
        <v>19.593198776245117</v>
      </c>
      <c r="CC883">
        <v>6.0992279052734375</v>
      </c>
    </row>
    <row r="884" spans="1:81" ht="12.75" customHeight="1">
      <c r="A884" t="s">
        <v>728</v>
      </c>
      <c r="C884" t="s">
        <v>694</v>
      </c>
      <c r="D884">
        <v>882</v>
      </c>
      <c r="F884">
        <v>65535</v>
      </c>
      <c r="I884" t="s">
        <v>728</v>
      </c>
      <c r="AN884">
        <v>0</v>
      </c>
      <c r="AO884">
        <v>0</v>
      </c>
      <c r="AP884">
        <v>0</v>
      </c>
      <c r="AS884">
        <v>65535</v>
      </c>
      <c r="AT884">
        <v>65535</v>
      </c>
      <c r="AU884">
        <v>65535</v>
      </c>
      <c r="BI884">
        <v>0</v>
      </c>
      <c r="BK884">
        <v>0</v>
      </c>
      <c r="BL884">
        <v>0</v>
      </c>
      <c r="BP884">
        <v>65535</v>
      </c>
      <c r="BQ884">
        <v>65535</v>
      </c>
      <c r="CB884">
        <v>19.593198776245117</v>
      </c>
      <c r="CC884">
        <v>6.0992279052734375</v>
      </c>
    </row>
    <row r="885" spans="1:81" ht="12.75" customHeight="1">
      <c r="A885" t="s">
        <v>728</v>
      </c>
      <c r="C885" t="s">
        <v>694</v>
      </c>
      <c r="D885">
        <v>883</v>
      </c>
      <c r="F885">
        <v>65535</v>
      </c>
      <c r="I885" t="s">
        <v>728</v>
      </c>
      <c r="AN885">
        <v>0</v>
      </c>
      <c r="AO885">
        <v>0</v>
      </c>
      <c r="AP885">
        <v>0</v>
      </c>
      <c r="AS885">
        <v>65535</v>
      </c>
      <c r="AT885">
        <v>65535</v>
      </c>
      <c r="AU885">
        <v>65535</v>
      </c>
      <c r="BI885">
        <v>0</v>
      </c>
      <c r="BK885">
        <v>0</v>
      </c>
      <c r="BL885">
        <v>0</v>
      </c>
      <c r="BP885">
        <v>65535</v>
      </c>
      <c r="BQ885">
        <v>65535</v>
      </c>
      <c r="CB885">
        <v>19.593198776245117</v>
      </c>
      <c r="CC885">
        <v>6.0992279052734375</v>
      </c>
    </row>
    <row r="886" spans="1:81" ht="12.75" customHeight="1">
      <c r="A886" t="s">
        <v>728</v>
      </c>
      <c r="C886" t="s">
        <v>694</v>
      </c>
      <c r="D886">
        <v>884</v>
      </c>
      <c r="F886">
        <v>65535</v>
      </c>
      <c r="I886" t="s">
        <v>728</v>
      </c>
      <c r="AN886">
        <v>0</v>
      </c>
      <c r="AO886">
        <v>0</v>
      </c>
      <c r="AP886">
        <v>0</v>
      </c>
      <c r="AS886">
        <v>65535</v>
      </c>
      <c r="AT886">
        <v>65535</v>
      </c>
      <c r="AU886">
        <v>65535</v>
      </c>
      <c r="BI886">
        <v>0</v>
      </c>
      <c r="BK886">
        <v>0</v>
      </c>
      <c r="BL886">
        <v>0</v>
      </c>
      <c r="BP886">
        <v>65535</v>
      </c>
      <c r="BQ886">
        <v>65535</v>
      </c>
      <c r="CB886">
        <v>19.593198776245117</v>
      </c>
      <c r="CC886">
        <v>6.0992279052734375</v>
      </c>
    </row>
    <row r="887" spans="1:81" ht="12.75" customHeight="1">
      <c r="A887" t="s">
        <v>728</v>
      </c>
      <c r="C887" t="s">
        <v>694</v>
      </c>
      <c r="D887">
        <v>885</v>
      </c>
      <c r="F887">
        <v>65535</v>
      </c>
      <c r="I887" t="s">
        <v>728</v>
      </c>
      <c r="AN887">
        <v>0</v>
      </c>
      <c r="AO887">
        <v>0</v>
      </c>
      <c r="AP887">
        <v>0</v>
      </c>
      <c r="AS887">
        <v>65535</v>
      </c>
      <c r="AT887">
        <v>65535</v>
      </c>
      <c r="AU887">
        <v>65535</v>
      </c>
      <c r="BI887">
        <v>0</v>
      </c>
      <c r="BK887">
        <v>0</v>
      </c>
      <c r="BL887">
        <v>0</v>
      </c>
      <c r="BP887">
        <v>65535</v>
      </c>
      <c r="BQ887">
        <v>65535</v>
      </c>
      <c r="CB887">
        <v>19.593198776245117</v>
      </c>
      <c r="CC887">
        <v>6.0992279052734375</v>
      </c>
    </row>
    <row r="888" spans="1:81" ht="12.75" customHeight="1">
      <c r="A888" t="s">
        <v>728</v>
      </c>
      <c r="C888" t="s">
        <v>694</v>
      </c>
      <c r="D888">
        <v>886</v>
      </c>
      <c r="F888">
        <v>65535</v>
      </c>
      <c r="I888" t="s">
        <v>728</v>
      </c>
      <c r="AN888">
        <v>0</v>
      </c>
      <c r="AO888">
        <v>0</v>
      </c>
      <c r="AP888">
        <v>0</v>
      </c>
      <c r="AS888">
        <v>65535</v>
      </c>
      <c r="AT888">
        <v>65535</v>
      </c>
      <c r="AU888">
        <v>65535</v>
      </c>
      <c r="BI888">
        <v>0</v>
      </c>
      <c r="BK888">
        <v>0</v>
      </c>
      <c r="BL888">
        <v>0</v>
      </c>
      <c r="BP888">
        <v>65535</v>
      </c>
      <c r="BQ888">
        <v>65535</v>
      </c>
      <c r="CB888">
        <v>19.593198776245117</v>
      </c>
      <c r="CC888">
        <v>6.0992279052734375</v>
      </c>
    </row>
    <row r="889" spans="1:81" ht="12.75" customHeight="1">
      <c r="A889" t="s">
        <v>728</v>
      </c>
      <c r="C889" t="s">
        <v>694</v>
      </c>
      <c r="D889">
        <v>887</v>
      </c>
      <c r="F889">
        <v>65535</v>
      </c>
      <c r="I889" t="s">
        <v>728</v>
      </c>
      <c r="AN889">
        <v>0</v>
      </c>
      <c r="AO889">
        <v>0</v>
      </c>
      <c r="AP889">
        <v>0</v>
      </c>
      <c r="AS889">
        <v>65535</v>
      </c>
      <c r="AT889">
        <v>65535</v>
      </c>
      <c r="AU889">
        <v>65535</v>
      </c>
      <c r="BI889">
        <v>0</v>
      </c>
      <c r="BK889">
        <v>0</v>
      </c>
      <c r="BL889">
        <v>0</v>
      </c>
      <c r="BP889">
        <v>65535</v>
      </c>
      <c r="BQ889">
        <v>65535</v>
      </c>
      <c r="CB889">
        <v>19.593198776245117</v>
      </c>
      <c r="CC889">
        <v>6.0992279052734375</v>
      </c>
    </row>
    <row r="890" spans="1:81" ht="12.75" customHeight="1">
      <c r="A890" t="s">
        <v>728</v>
      </c>
      <c r="C890" t="s">
        <v>694</v>
      </c>
      <c r="D890">
        <v>888</v>
      </c>
      <c r="F890">
        <v>65535</v>
      </c>
      <c r="I890" t="s">
        <v>728</v>
      </c>
      <c r="AN890">
        <v>0</v>
      </c>
      <c r="AO890">
        <v>0</v>
      </c>
      <c r="AP890">
        <v>0</v>
      </c>
      <c r="AS890">
        <v>65535</v>
      </c>
      <c r="AT890">
        <v>65535</v>
      </c>
      <c r="AU890">
        <v>65535</v>
      </c>
      <c r="BI890">
        <v>0</v>
      </c>
      <c r="BK890">
        <v>0</v>
      </c>
      <c r="BL890">
        <v>0</v>
      </c>
      <c r="BP890">
        <v>65535</v>
      </c>
      <c r="BQ890">
        <v>65535</v>
      </c>
      <c r="CB890">
        <v>19.593198776245117</v>
      </c>
      <c r="CC890">
        <v>6.0992279052734375</v>
      </c>
    </row>
    <row r="891" spans="1:81" ht="12.75" customHeight="1">
      <c r="A891" t="s">
        <v>728</v>
      </c>
      <c r="C891" t="s">
        <v>694</v>
      </c>
      <c r="D891">
        <v>889</v>
      </c>
      <c r="F891">
        <v>65535</v>
      </c>
      <c r="I891" t="s">
        <v>728</v>
      </c>
      <c r="AN891">
        <v>0</v>
      </c>
      <c r="AO891">
        <v>0</v>
      </c>
      <c r="AP891">
        <v>0</v>
      </c>
      <c r="AS891">
        <v>65535</v>
      </c>
      <c r="AT891">
        <v>65535</v>
      </c>
      <c r="AU891">
        <v>65535</v>
      </c>
      <c r="BI891">
        <v>0</v>
      </c>
      <c r="BK891">
        <v>0</v>
      </c>
      <c r="BL891">
        <v>0</v>
      </c>
      <c r="BP891">
        <v>65535</v>
      </c>
      <c r="BQ891">
        <v>65535</v>
      </c>
      <c r="CB891">
        <v>19.593198776245117</v>
      </c>
      <c r="CC891">
        <v>6.0992279052734375</v>
      </c>
    </row>
    <row r="892" spans="1:81" ht="12.75" customHeight="1">
      <c r="A892" t="s">
        <v>728</v>
      </c>
      <c r="C892" t="s">
        <v>694</v>
      </c>
      <c r="D892">
        <v>890</v>
      </c>
      <c r="F892">
        <v>65535</v>
      </c>
      <c r="I892" t="s">
        <v>728</v>
      </c>
      <c r="AN892">
        <v>0</v>
      </c>
      <c r="AO892">
        <v>0</v>
      </c>
      <c r="AP892">
        <v>0</v>
      </c>
      <c r="AS892">
        <v>65535</v>
      </c>
      <c r="AT892">
        <v>65535</v>
      </c>
      <c r="AU892">
        <v>65535</v>
      </c>
      <c r="BI892">
        <v>0</v>
      </c>
      <c r="BK892">
        <v>0</v>
      </c>
      <c r="BL892">
        <v>0</v>
      </c>
      <c r="BP892">
        <v>65535</v>
      </c>
      <c r="BQ892">
        <v>65535</v>
      </c>
      <c r="CB892">
        <v>19.593198776245117</v>
      </c>
      <c r="CC892">
        <v>6.0992279052734375</v>
      </c>
    </row>
    <row r="893" spans="1:81" ht="12.75" customHeight="1">
      <c r="A893" t="s">
        <v>728</v>
      </c>
      <c r="C893" t="s">
        <v>694</v>
      </c>
      <c r="D893">
        <v>891</v>
      </c>
      <c r="F893">
        <v>65535</v>
      </c>
      <c r="I893" t="s">
        <v>728</v>
      </c>
      <c r="AN893">
        <v>0</v>
      </c>
      <c r="AO893">
        <v>0</v>
      </c>
      <c r="AP893">
        <v>0</v>
      </c>
      <c r="AS893">
        <v>65535</v>
      </c>
      <c r="AT893">
        <v>65535</v>
      </c>
      <c r="AU893">
        <v>65535</v>
      </c>
      <c r="BI893">
        <v>0</v>
      </c>
      <c r="BK893">
        <v>0</v>
      </c>
      <c r="BL893">
        <v>0</v>
      </c>
      <c r="BP893">
        <v>65535</v>
      </c>
      <c r="BQ893">
        <v>65535</v>
      </c>
      <c r="CB893">
        <v>19.593198776245117</v>
      </c>
      <c r="CC893">
        <v>6.0992279052734375</v>
      </c>
    </row>
  </sheetData>
  <sortState xmlns:xlrd2="http://schemas.microsoft.com/office/spreadsheetml/2017/richdata2" ref="A3:CE893">
    <sortCondition ref="D3"/>
  </sortState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58F4DC-8AC9-4E2E-9CF0-68A57184F2E0}">
  <sheetPr codeName="Sheet5"/>
  <dimension ref="A1:B83"/>
  <sheetViews>
    <sheetView zoomScale="130" zoomScaleNormal="130" workbookViewId="0">
      <selection activeCell="B12" sqref="B12"/>
    </sheetView>
  </sheetViews>
  <sheetFormatPr defaultRowHeight="14.4"/>
  <cols>
    <col min="1" max="1" width="31.5546875" style="464" customWidth="1"/>
    <col min="2" max="2" width="64" style="484" customWidth="1"/>
  </cols>
  <sheetData>
    <row r="1" spans="1:2">
      <c r="A1" s="464">
        <v>0</v>
      </c>
      <c r="B1" s="433" t="s">
        <v>458</v>
      </c>
    </row>
    <row r="2" spans="1:2">
      <c r="A2" s="464">
        <v>1</v>
      </c>
      <c r="B2" s="433" t="s">
        <v>457</v>
      </c>
    </row>
    <row r="3" spans="1:2">
      <c r="A3" s="464">
        <v>2</v>
      </c>
      <c r="B3" s="433" t="s">
        <v>456</v>
      </c>
    </row>
    <row r="4" spans="1:2">
      <c r="A4" s="464">
        <v>3</v>
      </c>
      <c r="B4" s="433" t="s">
        <v>592</v>
      </c>
    </row>
    <row r="5" spans="1:2">
      <c r="A5" s="464">
        <v>4</v>
      </c>
      <c r="B5" s="433" t="s">
        <v>593</v>
      </c>
    </row>
    <row r="6" spans="1:2">
      <c r="A6" s="464">
        <v>5</v>
      </c>
      <c r="B6" s="433" t="s">
        <v>531</v>
      </c>
    </row>
    <row r="7" spans="1:2">
      <c r="A7" s="464">
        <v>6</v>
      </c>
      <c r="B7" s="433" t="s">
        <v>532</v>
      </c>
    </row>
    <row r="8" spans="1:2">
      <c r="A8" s="464">
        <v>7</v>
      </c>
      <c r="B8" s="433" t="s">
        <v>533</v>
      </c>
    </row>
    <row r="9" spans="1:2">
      <c r="A9" s="464">
        <v>8</v>
      </c>
      <c r="B9" s="433" t="s">
        <v>534</v>
      </c>
    </row>
    <row r="10" spans="1:2">
      <c r="A10" s="464">
        <v>9</v>
      </c>
      <c r="B10" s="433" t="s">
        <v>535</v>
      </c>
    </row>
    <row r="11" spans="1:2">
      <c r="A11" s="464">
        <v>10</v>
      </c>
      <c r="B11" s="433" t="s">
        <v>536</v>
      </c>
    </row>
    <row r="12" spans="1:2">
      <c r="A12" s="464">
        <v>11</v>
      </c>
      <c r="B12" s="433" t="s">
        <v>555</v>
      </c>
    </row>
    <row r="13" spans="1:2">
      <c r="A13" s="464">
        <v>12</v>
      </c>
      <c r="B13" s="433" t="s">
        <v>477</v>
      </c>
    </row>
    <row r="14" spans="1:2">
      <c r="A14" s="464">
        <v>13</v>
      </c>
      <c r="B14" s="433" t="s">
        <v>547</v>
      </c>
    </row>
    <row r="15" spans="1:2">
      <c r="A15" s="464">
        <v>14</v>
      </c>
      <c r="B15" s="433" t="s">
        <v>480</v>
      </c>
    </row>
    <row r="16" spans="1:2">
      <c r="A16" s="464">
        <v>15</v>
      </c>
      <c r="B16" s="433" t="s">
        <v>481</v>
      </c>
    </row>
    <row r="17" spans="1:2">
      <c r="A17" s="464">
        <v>16</v>
      </c>
      <c r="B17" s="433" t="s">
        <v>482</v>
      </c>
    </row>
    <row r="18" spans="1:2">
      <c r="A18" s="464">
        <v>17</v>
      </c>
      <c r="B18" s="511" t="s">
        <v>548</v>
      </c>
    </row>
    <row r="19" spans="1:2">
      <c r="A19" s="464">
        <v>18</v>
      </c>
      <c r="B19" s="511" t="s">
        <v>549</v>
      </c>
    </row>
    <row r="20" spans="1:2">
      <c r="A20" s="464">
        <v>19</v>
      </c>
      <c r="B20" s="511" t="s">
        <v>550</v>
      </c>
    </row>
    <row r="21" spans="1:2">
      <c r="A21" s="464">
        <v>20</v>
      </c>
      <c r="B21" s="511" t="s">
        <v>551</v>
      </c>
    </row>
    <row r="22" spans="1:2">
      <c r="A22" s="464">
        <v>21</v>
      </c>
      <c r="B22" s="511" t="s">
        <v>552</v>
      </c>
    </row>
    <row r="23" spans="1:2">
      <c r="A23" s="464">
        <v>22</v>
      </c>
      <c r="B23" s="511" t="s">
        <v>553</v>
      </c>
    </row>
    <row r="24" spans="1:2">
      <c r="A24" s="464">
        <v>23</v>
      </c>
      <c r="B24" s="511" t="s">
        <v>554</v>
      </c>
    </row>
    <row r="25" spans="1:2">
      <c r="A25" s="464">
        <v>24</v>
      </c>
      <c r="B25" s="511" t="s">
        <v>537</v>
      </c>
    </row>
    <row r="26" spans="1:2">
      <c r="A26" s="464">
        <v>25</v>
      </c>
      <c r="B26" s="511" t="s">
        <v>538</v>
      </c>
    </row>
    <row r="27" spans="1:2">
      <c r="A27" s="464">
        <v>26</v>
      </c>
      <c r="B27" s="511" t="s">
        <v>539</v>
      </c>
    </row>
    <row r="28" spans="1:2">
      <c r="A28" s="464">
        <v>27</v>
      </c>
      <c r="B28" s="511" t="s">
        <v>540</v>
      </c>
    </row>
    <row r="29" spans="1:2">
      <c r="A29" s="464">
        <v>28</v>
      </c>
      <c r="B29" s="433" t="s">
        <v>574</v>
      </c>
    </row>
    <row r="30" spans="1:2">
      <c r="A30" s="464">
        <v>29</v>
      </c>
      <c r="B30" s="433" t="s">
        <v>575</v>
      </c>
    </row>
    <row r="31" spans="1:2">
      <c r="A31" s="464">
        <v>30</v>
      </c>
      <c r="B31" s="433" t="s">
        <v>570</v>
      </c>
    </row>
    <row r="32" spans="1:2">
      <c r="A32" s="464">
        <v>31</v>
      </c>
      <c r="B32" s="511" t="s">
        <v>571</v>
      </c>
    </row>
    <row r="33" spans="1:2">
      <c r="A33" s="464">
        <v>32</v>
      </c>
      <c r="B33" s="433" t="s">
        <v>572</v>
      </c>
    </row>
    <row r="34" spans="1:2">
      <c r="A34" s="464">
        <v>33</v>
      </c>
      <c r="B34" s="433" t="s">
        <v>580</v>
      </c>
    </row>
    <row r="35" spans="1:2">
      <c r="A35" s="464">
        <v>34</v>
      </c>
      <c r="B35" s="433" t="s">
        <v>581</v>
      </c>
    </row>
    <row r="36" spans="1:2">
      <c r="A36" s="464">
        <v>35</v>
      </c>
      <c r="B36" s="433" t="s">
        <v>582</v>
      </c>
    </row>
    <row r="37" spans="1:2">
      <c r="A37" s="464">
        <v>36</v>
      </c>
      <c r="B37" s="433" t="s">
        <v>583</v>
      </c>
    </row>
    <row r="38" spans="1:2">
      <c r="A38" s="464">
        <v>37</v>
      </c>
      <c r="B38" s="433" t="s">
        <v>584</v>
      </c>
    </row>
    <row r="39" spans="1:2">
      <c r="A39" s="464">
        <v>38</v>
      </c>
      <c r="B39" s="433" t="s">
        <v>585</v>
      </c>
    </row>
    <row r="40" spans="1:2">
      <c r="A40" s="464">
        <v>39</v>
      </c>
      <c r="B40" s="511" t="s">
        <v>591</v>
      </c>
    </row>
    <row r="41" spans="1:2">
      <c r="A41" s="464">
        <v>40</v>
      </c>
      <c r="B41" s="511" t="s">
        <v>578</v>
      </c>
    </row>
    <row r="42" spans="1:2">
      <c r="A42" s="464">
        <v>41</v>
      </c>
      <c r="B42" s="511" t="s">
        <v>579</v>
      </c>
    </row>
    <row r="43" spans="1:2">
      <c r="A43" s="464">
        <v>42</v>
      </c>
      <c r="B43" s="511" t="s">
        <v>573</v>
      </c>
    </row>
    <row r="44" spans="1:2">
      <c r="A44" s="464">
        <v>43</v>
      </c>
      <c r="B44" s="433" t="s">
        <v>476</v>
      </c>
    </row>
    <row r="45" spans="1:2">
      <c r="A45" s="464">
        <v>44</v>
      </c>
      <c r="B45" s="511" t="s">
        <v>543</v>
      </c>
    </row>
    <row r="46" spans="1:2">
      <c r="A46" s="464">
        <v>45</v>
      </c>
      <c r="B46" s="511" t="s">
        <v>544</v>
      </c>
    </row>
    <row r="47" spans="1:2">
      <c r="A47" s="464">
        <v>46</v>
      </c>
      <c r="B47" s="511" t="s">
        <v>545</v>
      </c>
    </row>
    <row r="48" spans="1:2">
      <c r="A48" s="464">
        <v>47</v>
      </c>
      <c r="B48" s="511" t="s">
        <v>577</v>
      </c>
    </row>
    <row r="49" spans="1:2">
      <c r="A49" s="464">
        <v>48</v>
      </c>
      <c r="B49" s="511" t="s">
        <v>546</v>
      </c>
    </row>
    <row r="50" spans="1:2">
      <c r="A50" s="464">
        <v>49</v>
      </c>
      <c r="B50" s="511" t="s">
        <v>557</v>
      </c>
    </row>
    <row r="51" spans="1:2">
      <c r="A51" s="464">
        <v>50</v>
      </c>
      <c r="B51" s="511" t="s">
        <v>558</v>
      </c>
    </row>
    <row r="52" spans="1:2">
      <c r="A52" s="464">
        <v>51</v>
      </c>
      <c r="B52" s="511" t="s">
        <v>559</v>
      </c>
    </row>
    <row r="53" spans="1:2">
      <c r="A53" s="464">
        <v>52</v>
      </c>
      <c r="B53" s="511" t="s">
        <v>560</v>
      </c>
    </row>
    <row r="54" spans="1:2">
      <c r="A54" s="464">
        <v>53</v>
      </c>
      <c r="B54" s="511" t="s">
        <v>561</v>
      </c>
    </row>
    <row r="55" spans="1:2">
      <c r="A55" s="464">
        <v>54</v>
      </c>
      <c r="B55" s="511" t="s">
        <v>562</v>
      </c>
    </row>
    <row r="56" spans="1:2">
      <c r="A56" s="464">
        <v>55</v>
      </c>
      <c r="B56" s="511" t="s">
        <v>563</v>
      </c>
    </row>
    <row r="57" spans="1:2">
      <c r="A57" s="464">
        <v>56</v>
      </c>
      <c r="B57" s="511" t="s">
        <v>564</v>
      </c>
    </row>
    <row r="58" spans="1:2">
      <c r="A58" s="464">
        <v>57</v>
      </c>
      <c r="B58" s="511" t="s">
        <v>565</v>
      </c>
    </row>
    <row r="59" spans="1:2">
      <c r="A59" s="464">
        <v>58</v>
      </c>
      <c r="B59" s="511" t="s">
        <v>566</v>
      </c>
    </row>
    <row r="60" spans="1:2">
      <c r="A60" s="464">
        <v>59</v>
      </c>
      <c r="B60" s="511" t="s">
        <v>567</v>
      </c>
    </row>
    <row r="61" spans="1:2">
      <c r="A61" s="464">
        <v>60</v>
      </c>
      <c r="B61" s="511" t="s">
        <v>471</v>
      </c>
    </row>
    <row r="62" spans="1:2">
      <c r="A62" s="464">
        <v>61</v>
      </c>
      <c r="B62" s="511" t="s">
        <v>568</v>
      </c>
    </row>
    <row r="63" spans="1:2">
      <c r="A63" s="464">
        <v>62</v>
      </c>
      <c r="B63" s="511" t="s">
        <v>478</v>
      </c>
    </row>
    <row r="64" spans="1:2">
      <c r="A64" s="464">
        <v>63</v>
      </c>
      <c r="B64" s="511" t="s">
        <v>569</v>
      </c>
    </row>
    <row r="65" spans="1:2">
      <c r="A65" s="464">
        <v>64</v>
      </c>
      <c r="B65" s="511" t="s">
        <v>541</v>
      </c>
    </row>
    <row r="66" spans="1:2">
      <c r="A66" s="464">
        <v>65</v>
      </c>
      <c r="B66" s="511" t="s">
        <v>542</v>
      </c>
    </row>
    <row r="67" spans="1:2">
      <c r="A67" s="464">
        <v>66</v>
      </c>
      <c r="B67" s="433" t="s">
        <v>483</v>
      </c>
    </row>
    <row r="68" spans="1:2">
      <c r="A68" s="464">
        <v>67</v>
      </c>
      <c r="B68" s="511" t="s">
        <v>576</v>
      </c>
    </row>
    <row r="69" spans="1:2">
      <c r="A69" s="464">
        <v>68</v>
      </c>
      <c r="B69" s="511" t="s">
        <v>556</v>
      </c>
    </row>
    <row r="70" spans="1:2">
      <c r="A70" s="464">
        <v>69</v>
      </c>
      <c r="B70" s="433" t="s">
        <v>594</v>
      </c>
    </row>
    <row r="71" spans="1:2">
      <c r="A71" s="464">
        <v>70</v>
      </c>
      <c r="B71" s="433" t="s">
        <v>595</v>
      </c>
    </row>
    <row r="72" spans="1:2">
      <c r="A72" s="464">
        <v>71</v>
      </c>
      <c r="B72" s="433" t="s">
        <v>596</v>
      </c>
    </row>
    <row r="73" spans="1:2">
      <c r="A73" s="464">
        <v>72</v>
      </c>
      <c r="B73" s="433" t="s">
        <v>597</v>
      </c>
    </row>
    <row r="74" spans="1:2">
      <c r="A74" s="464">
        <v>73</v>
      </c>
      <c r="B74" s="433" t="s">
        <v>598</v>
      </c>
    </row>
    <row r="75" spans="1:2">
      <c r="A75" s="464">
        <v>74</v>
      </c>
      <c r="B75" s="433" t="s">
        <v>599</v>
      </c>
    </row>
    <row r="76" spans="1:2">
      <c r="A76" s="464">
        <v>75</v>
      </c>
      <c r="B76" s="433" t="s">
        <v>600</v>
      </c>
    </row>
    <row r="77" spans="1:2">
      <c r="A77" s="464">
        <v>76</v>
      </c>
      <c r="B77" s="433" t="s">
        <v>601</v>
      </c>
    </row>
    <row r="78" spans="1:2">
      <c r="A78" s="464">
        <v>77</v>
      </c>
      <c r="B78" s="433" t="s">
        <v>602</v>
      </c>
    </row>
    <row r="79" spans="1:2">
      <c r="A79" s="464">
        <v>78</v>
      </c>
      <c r="B79" s="433" t="s">
        <v>603</v>
      </c>
    </row>
    <row r="80" spans="1:2">
      <c r="A80" s="464">
        <v>79</v>
      </c>
      <c r="B80" s="433" t="s">
        <v>604</v>
      </c>
    </row>
    <row r="81" spans="1:2">
      <c r="A81" s="464">
        <v>80</v>
      </c>
      <c r="B81" s="433" t="s">
        <v>605</v>
      </c>
    </row>
    <row r="82" spans="1:2">
      <c r="A82" s="464">
        <v>81</v>
      </c>
      <c r="B82" s="433" t="s">
        <v>606</v>
      </c>
    </row>
    <row r="83" spans="1:2">
      <c r="A83" s="464">
        <v>82</v>
      </c>
      <c r="B83" s="433" t="s">
        <v>607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29">
    <tabColor rgb="FF00B050"/>
  </sheetPr>
  <dimension ref="A1:BM105"/>
  <sheetViews>
    <sheetView tabSelected="1" view="pageBreakPreview" zoomScale="70" zoomScaleNormal="40" zoomScaleSheetLayoutView="70" workbookViewId="0">
      <selection activeCell="AB15" sqref="AB15"/>
    </sheetView>
  </sheetViews>
  <sheetFormatPr defaultColWidth="18.77734375" defaultRowHeight="12.75" customHeight="1"/>
  <cols>
    <col min="1" max="1" width="0.6640625" style="24" customWidth="1"/>
    <col min="2" max="2" width="0.88671875" style="24" customWidth="1"/>
    <col min="3" max="3" width="4.44140625" style="24" customWidth="1"/>
    <col min="4" max="4" width="6.6640625" style="24" customWidth="1"/>
    <col min="5" max="5" width="8.44140625" style="24" customWidth="1"/>
    <col min="6" max="6" width="7.44140625" style="24" customWidth="1"/>
    <col min="7" max="7" width="5.5546875" style="24" customWidth="1"/>
    <col min="8" max="8" width="7.88671875" style="24" customWidth="1"/>
    <col min="9" max="9" width="4.44140625" style="24" customWidth="1"/>
    <col min="10" max="10" width="8.88671875" style="24" customWidth="1"/>
    <col min="11" max="11" width="6.6640625" style="24" customWidth="1"/>
    <col min="12" max="12" width="7.88671875" style="24" customWidth="1"/>
    <col min="13" max="13" width="6.88671875" style="24" customWidth="1"/>
    <col min="14" max="14" width="9.33203125" style="24" customWidth="1"/>
    <col min="15" max="17" width="6.88671875" style="24" customWidth="1"/>
    <col min="18" max="18" width="6.6640625" style="24" customWidth="1"/>
    <col min="19" max="19" width="7.88671875" style="24" customWidth="1"/>
    <col min="20" max="20" width="9.77734375" style="24" customWidth="1"/>
    <col min="21" max="21" width="6.33203125" style="24" customWidth="1"/>
    <col min="22" max="22" width="5.77734375" style="24" customWidth="1"/>
    <col min="23" max="24" width="3" style="24" customWidth="1"/>
    <col min="25" max="25" width="0.88671875" style="24" customWidth="1"/>
    <col min="26" max="26" width="1.44140625" style="24" customWidth="1"/>
    <col min="27" max="27" width="0.6640625" style="24" customWidth="1"/>
    <col min="28" max="28" width="12.6640625" style="23" customWidth="1"/>
    <col min="29" max="29" width="27" style="24" customWidth="1"/>
    <col min="30" max="30" width="35.5546875" style="24" customWidth="1"/>
    <col min="31" max="31" width="15.33203125" style="24" customWidth="1"/>
    <col min="32" max="34" width="12.6640625" style="24" customWidth="1"/>
    <col min="35" max="35" width="9.109375" style="24" customWidth="1"/>
    <col min="36" max="36" width="13.33203125" style="24" customWidth="1"/>
    <col min="37" max="37" width="8" style="24" customWidth="1"/>
    <col min="38" max="38" width="1.33203125" style="24" customWidth="1"/>
    <col min="39" max="39" width="1.6640625" style="24" customWidth="1"/>
    <col min="40" max="40" width="4.44140625" style="24" customWidth="1"/>
    <col min="41" max="41" width="5.5546875" style="24" customWidth="1"/>
    <col min="42" max="42" width="7.6640625" style="24" customWidth="1"/>
    <col min="43" max="43" width="7.44140625" style="24" customWidth="1"/>
    <col min="44" max="44" width="5.5546875" style="24" customWidth="1"/>
    <col min="45" max="45" width="7.88671875" style="24" customWidth="1"/>
    <col min="46" max="46" width="4.44140625" style="24" customWidth="1"/>
    <col min="47" max="47" width="6.6640625" style="24" customWidth="1"/>
    <col min="48" max="50" width="6.88671875" style="24" customWidth="1"/>
    <col min="51" max="51" width="9.33203125" style="24" customWidth="1"/>
    <col min="52" max="54" width="6.88671875" style="24" customWidth="1"/>
    <col min="55" max="55" width="6" style="24" customWidth="1"/>
    <col min="56" max="56" width="7.88671875" style="24" customWidth="1"/>
    <col min="57" max="57" width="8" style="24" customWidth="1"/>
    <col min="58" max="58" width="4.44140625" style="24" customWidth="1"/>
    <col min="59" max="59" width="6.5546875" style="24" customWidth="1"/>
    <col min="60" max="61" width="3" style="24" customWidth="1"/>
    <col min="62" max="64" width="1.44140625" style="24" customWidth="1"/>
    <col min="65" max="65" width="12.6640625" style="23" customWidth="1"/>
    <col min="66" max="16384" width="18.77734375" style="24"/>
  </cols>
  <sheetData>
    <row r="1" spans="1:65" ht="17.25" customHeight="1">
      <c r="A1" s="8"/>
      <c r="B1" s="8"/>
      <c r="C1" s="8"/>
      <c r="D1" s="8"/>
      <c r="E1" s="8"/>
      <c r="F1" s="8"/>
      <c r="G1" s="8"/>
      <c r="H1" s="8"/>
      <c r="I1" s="8"/>
      <c r="J1" s="8"/>
      <c r="K1" s="8"/>
      <c r="L1" s="8"/>
      <c r="M1" s="8"/>
      <c r="N1" s="8"/>
      <c r="O1" s="8"/>
      <c r="P1" s="8"/>
      <c r="Q1" s="8"/>
      <c r="R1" s="8"/>
      <c r="S1" s="8"/>
      <c r="T1" s="8"/>
      <c r="U1" s="8"/>
      <c r="V1" s="8"/>
      <c r="W1" s="8"/>
      <c r="X1" s="8"/>
      <c r="Y1" s="8"/>
      <c r="Z1" s="8"/>
      <c r="AA1" s="8"/>
      <c r="AB1" s="478" t="s">
        <v>503</v>
      </c>
      <c r="AC1" s="489" t="s">
        <v>502</v>
      </c>
      <c r="AF1" s="25"/>
      <c r="AG1" s="24" t="s">
        <v>324</v>
      </c>
      <c r="AL1" s="8"/>
      <c r="AM1" s="8"/>
      <c r="AN1" s="8"/>
      <c r="AO1" s="8"/>
      <c r="AP1" s="8"/>
      <c r="AQ1" s="8"/>
      <c r="AR1" s="8"/>
      <c r="AS1" s="8"/>
      <c r="AT1" s="8"/>
      <c r="AU1" s="8"/>
      <c r="AV1" s="8"/>
      <c r="AW1" s="8"/>
      <c r="AX1" s="8"/>
      <c r="AY1" s="8"/>
      <c r="AZ1" s="8"/>
      <c r="BA1" s="8"/>
      <c r="BB1" s="8"/>
      <c r="BC1" s="8"/>
      <c r="BD1" s="8"/>
      <c r="BE1" s="8"/>
      <c r="BF1" s="8"/>
      <c r="BG1" s="8"/>
      <c r="BH1" s="8"/>
      <c r="BI1" s="8"/>
      <c r="BJ1" s="8"/>
      <c r="BK1" s="8"/>
      <c r="BL1" s="8"/>
    </row>
    <row r="2" spans="1:65" ht="23.25" customHeight="1">
      <c r="A2" s="8"/>
      <c r="B2" s="8"/>
      <c r="C2" s="523">
        <f ca="1">TODAY()</f>
        <v>44697</v>
      </c>
      <c r="D2" s="524"/>
      <c r="E2" s="524"/>
      <c r="F2" s="200"/>
      <c r="G2" s="201"/>
      <c r="H2" s="201"/>
      <c r="I2" s="201"/>
      <c r="J2" s="201"/>
      <c r="K2" s="201"/>
      <c r="L2" s="201"/>
      <c r="M2" s="202" t="str">
        <f>IF($AB$1="English","Zone Design Load Summary","Zusammenfassung Zonenkühl-/-heizlast")</f>
        <v>Zone Design Load Summary</v>
      </c>
      <c r="N2" s="201"/>
      <c r="O2" s="201"/>
      <c r="P2" s="201"/>
      <c r="Q2" s="201"/>
      <c r="R2" s="201"/>
      <c r="S2" s="201"/>
      <c r="T2" s="201"/>
      <c r="U2" s="201"/>
      <c r="V2" s="201"/>
      <c r="W2" s="201"/>
      <c r="X2" s="203"/>
      <c r="Y2" s="204"/>
      <c r="Z2" s="204"/>
      <c r="AA2" s="8"/>
      <c r="AE2" s="177" t="str">
        <f>AF3</f>
        <v>AHU-01</v>
      </c>
      <c r="AF2" s="191">
        <f>IF(K3=AE2,1,0)</f>
        <v>0</v>
      </c>
      <c r="AG2" s="194">
        <f>AW29</f>
        <v>0</v>
      </c>
      <c r="AK2" s="11"/>
      <c r="AL2" s="8"/>
      <c r="AM2" s="8"/>
      <c r="AN2" s="533">
        <v>41589</v>
      </c>
      <c r="AO2" s="534"/>
      <c r="AP2" s="534"/>
      <c r="AQ2" s="88"/>
      <c r="AR2" s="44"/>
      <c r="AS2" s="44"/>
      <c r="AT2" s="44"/>
      <c r="AU2" s="44"/>
      <c r="AV2" s="44"/>
      <c r="AW2" s="44"/>
      <c r="AX2" s="90" t="s">
        <v>79</v>
      </c>
      <c r="AY2" s="44"/>
      <c r="AZ2" s="44"/>
      <c r="BA2" s="44"/>
      <c r="BB2" s="44"/>
      <c r="BC2" s="44"/>
      <c r="BD2" s="44"/>
      <c r="BE2" s="44"/>
      <c r="BF2" s="44"/>
      <c r="BG2" s="44"/>
      <c r="BH2" s="44"/>
      <c r="BI2" s="74"/>
      <c r="BJ2" s="8"/>
      <c r="BK2" s="8"/>
      <c r="BL2" s="8"/>
    </row>
    <row r="3" spans="1:65" ht="17.25" customHeight="1">
      <c r="A3" s="8"/>
      <c r="B3" s="8"/>
      <c r="C3" s="198" t="str">
        <f>IF($AB$1="English","Project Name:","Projektname:")</f>
        <v>Project Name:</v>
      </c>
      <c r="D3" s="204"/>
      <c r="E3" s="204"/>
      <c r="F3" s="479" t="s">
        <v>614</v>
      </c>
      <c r="G3" s="204"/>
      <c r="H3" s="204"/>
      <c r="I3" s="204"/>
      <c r="J3" s="207"/>
      <c r="K3" s="204"/>
      <c r="M3" s="204"/>
      <c r="O3" s="204"/>
      <c r="P3" s="204"/>
      <c r="Q3" s="208"/>
      <c r="R3" s="204"/>
      <c r="S3" s="204"/>
      <c r="T3" s="204"/>
      <c r="U3" s="204"/>
      <c r="V3" s="204"/>
      <c r="W3" s="204"/>
      <c r="X3" s="209"/>
      <c r="Y3" s="204"/>
      <c r="Z3" s="204"/>
      <c r="AA3" s="8"/>
      <c r="AE3" s="26" t="s">
        <v>219</v>
      </c>
      <c r="AF3" s="178" t="s">
        <v>223</v>
      </c>
      <c r="AG3" s="178"/>
      <c r="AK3" s="11"/>
      <c r="AL3" s="8"/>
      <c r="AM3" s="8"/>
      <c r="AN3" s="12" t="s">
        <v>192</v>
      </c>
      <c r="AO3" s="8"/>
      <c r="AP3" s="8"/>
      <c r="AQ3" s="13"/>
      <c r="AR3" s="8"/>
      <c r="AS3" s="8"/>
      <c r="AT3" s="8"/>
      <c r="AU3" s="7"/>
      <c r="AV3" s="8"/>
      <c r="AW3" s="139" t="e">
        <f>IF(#REF!="UU", "Unit Serving***","Unit Serving")</f>
        <v>#REF!</v>
      </c>
      <c r="AX3" s="8"/>
      <c r="AY3" s="8" t="e">
        <f>#REF!</f>
        <v>#REF!</v>
      </c>
      <c r="AZ3" s="8"/>
      <c r="BA3" s="8"/>
      <c r="BC3" s="8"/>
      <c r="BD3" s="8"/>
      <c r="BE3" s="8"/>
      <c r="BF3" s="8"/>
      <c r="BG3" s="8"/>
      <c r="BH3" s="8"/>
      <c r="BI3" s="91"/>
      <c r="BJ3" s="8"/>
      <c r="BK3" s="8"/>
      <c r="BL3" s="8"/>
    </row>
    <row r="4" spans="1:65" ht="17.25" customHeight="1">
      <c r="A4" s="8"/>
      <c r="B4" s="6" t="s">
        <v>66</v>
      </c>
      <c r="C4" s="196" t="str">
        <f>IF($AB$1="English","Prepared by SAM","Erstellt von SAM")</f>
        <v>Prepared by SAM</v>
      </c>
      <c r="D4" s="210"/>
      <c r="E4" s="210"/>
      <c r="F4" s="210"/>
      <c r="G4" s="199"/>
      <c r="H4" s="199" t="str">
        <f ca="1">IF(AC18="UV", "Vent System***","Vent System:")</f>
        <v>Vent System:</v>
      </c>
      <c r="I4" s="210"/>
      <c r="J4" s="199" t="str">
        <f ca="1">IF(AC18=0,"N/A",AC18)</f>
        <v>VAV</v>
      </c>
      <c r="K4" s="497">
        <f ca="1">AC77</f>
        <v>0</v>
      </c>
      <c r="L4" s="413" t="str">
        <f ca="1">IF(AC19=0,"N/A",AC19)</f>
        <v>N/A</v>
      </c>
      <c r="M4" s="211"/>
      <c r="N4" s="413" t="str">
        <f ca="1">IF(AC20=0,"N/A",AC20)</f>
        <v>N/A</v>
      </c>
      <c r="O4" s="211"/>
      <c r="P4" s="211"/>
      <c r="Q4" s="211"/>
      <c r="R4" s="211"/>
      <c r="S4" s="211"/>
      <c r="T4" s="211"/>
      <c r="U4" s="211"/>
      <c r="V4" s="211"/>
      <c r="W4" s="211"/>
      <c r="X4" s="212"/>
      <c r="Y4" s="204"/>
      <c r="Z4" s="204"/>
      <c r="AA4" s="8"/>
      <c r="AE4" s="26"/>
      <c r="AF4" s="178" t="s">
        <v>226</v>
      </c>
      <c r="AG4" s="178"/>
      <c r="AK4" s="11"/>
      <c r="AL4" s="8"/>
      <c r="AM4" s="6" t="s">
        <v>66</v>
      </c>
      <c r="AN4" s="92" t="s">
        <v>83</v>
      </c>
      <c r="AO4" s="93"/>
      <c r="AP4" s="93"/>
      <c r="AQ4" s="93"/>
      <c r="AR4" s="20"/>
      <c r="AS4" s="20" t="s">
        <v>145</v>
      </c>
      <c r="AT4" s="93"/>
      <c r="AU4" s="174" t="e">
        <f>IF(#REF!="FCU",#REF!,"N/A")</f>
        <v>#REF!</v>
      </c>
      <c r="AV4" s="167"/>
      <c r="AW4" s="167"/>
      <c r="AX4" s="167"/>
      <c r="AY4" s="167"/>
      <c r="AZ4" s="167"/>
      <c r="BA4" s="167"/>
      <c r="BB4" s="167"/>
      <c r="BC4" s="167"/>
      <c r="BD4" s="167"/>
      <c r="BE4" s="167"/>
      <c r="BF4" s="167"/>
      <c r="BG4" s="167"/>
      <c r="BH4" s="167"/>
      <c r="BI4" s="168"/>
      <c r="BJ4" s="8"/>
      <c r="BK4" s="8"/>
      <c r="BL4" s="8"/>
    </row>
    <row r="5" spans="1:65" ht="17.25" customHeight="1">
      <c r="A5" s="8"/>
      <c r="B5" s="8"/>
      <c r="C5" s="204"/>
      <c r="D5" s="204"/>
      <c r="E5" s="204"/>
      <c r="F5" s="204"/>
      <c r="G5" s="204"/>
      <c r="H5" s="204" t="s">
        <v>145</v>
      </c>
      <c r="I5" s="204"/>
      <c r="J5" s="204" t="str">
        <f ca="1">IF(AC46="FCU",AI18,"N/A")</f>
        <v/>
      </c>
      <c r="K5" s="465" t="str">
        <f ca="1">" Tmax="&amp;ROUND(AC102,2)&amp;"°C @"&amp;AC104</f>
        <v xml:space="preserve"> Tmax=25°C @01.01.2018@17:00</v>
      </c>
      <c r="L5" s="204"/>
      <c r="M5" s="204"/>
      <c r="N5" s="204"/>
      <c r="O5" s="204"/>
      <c r="P5" s="204"/>
      <c r="Q5" s="465" t="str">
        <f ca="1">" Tmin="&amp;ROUND(AC103,2)&amp;"°C @"&amp;AC105</f>
        <v xml:space="preserve"> Tmin=0°C @02.01.2018@00:00</v>
      </c>
      <c r="R5" s="204"/>
      <c r="S5" s="204"/>
      <c r="T5" s="204"/>
      <c r="U5" s="204"/>
      <c r="V5" s="204"/>
      <c r="W5" s="204"/>
      <c r="X5" s="204"/>
      <c r="Y5" s="204"/>
      <c r="Z5" s="204"/>
      <c r="AA5" s="8"/>
      <c r="AB5" s="27"/>
      <c r="AD5" s="24" t="s">
        <v>86</v>
      </c>
      <c r="AE5" s="26"/>
      <c r="AF5" s="178" t="s">
        <v>189</v>
      </c>
      <c r="AG5" s="178"/>
      <c r="AK5" s="11"/>
      <c r="AL5" s="8"/>
      <c r="AM5" s="8"/>
      <c r="AN5" s="8"/>
      <c r="AO5" s="8"/>
      <c r="AP5" s="8"/>
      <c r="AQ5" s="8"/>
      <c r="AR5" s="8"/>
      <c r="AS5" s="8"/>
      <c r="AT5" s="8"/>
      <c r="AU5" s="8"/>
      <c r="AV5" s="8"/>
      <c r="AW5" s="8"/>
      <c r="AX5" s="8"/>
      <c r="AY5" s="8"/>
      <c r="AZ5" s="8"/>
      <c r="BA5" s="8"/>
      <c r="BB5" s="8"/>
      <c r="BC5" s="8"/>
      <c r="BD5" s="8"/>
      <c r="BE5" s="8"/>
      <c r="BF5" s="8"/>
      <c r="BG5" s="8"/>
      <c r="BH5" s="8"/>
      <c r="BI5" s="8"/>
      <c r="BJ5" s="8"/>
      <c r="BK5" s="8"/>
      <c r="BL5" s="8"/>
      <c r="BM5" s="27"/>
    </row>
    <row r="6" spans="1:65" ht="17.25" customHeight="1">
      <c r="A6" s="8"/>
      <c r="B6" s="8"/>
      <c r="C6" s="204"/>
      <c r="D6" s="495">
        <f ca="1">AC21</f>
        <v>0</v>
      </c>
      <c r="E6" s="494">
        <f ca="1">AC49</f>
        <v>0</v>
      </c>
      <c r="F6" s="493"/>
      <c r="G6" s="204"/>
      <c r="H6" s="204"/>
      <c r="I6" s="204"/>
      <c r="J6" s="204"/>
      <c r="K6" s="465" t="str">
        <f ca="1">AC83</f>
        <v>Cooling Design Day</v>
      </c>
      <c r="L6" s="204"/>
      <c r="M6" s="204"/>
      <c r="N6" s="204"/>
      <c r="O6" s="204"/>
      <c r="P6" s="204"/>
      <c r="Q6" s="465" t="str">
        <f ca="1">$AC$97</f>
        <v>Heating Design Day</v>
      </c>
      <c r="R6" s="204"/>
      <c r="S6" s="204"/>
      <c r="T6" s="204"/>
      <c r="U6" s="204"/>
      <c r="V6" s="476"/>
      <c r="W6" s="204"/>
      <c r="X6" s="204"/>
      <c r="Y6" s="213"/>
      <c r="Z6" s="204"/>
      <c r="AA6" s="8"/>
      <c r="AF6" s="178" t="s">
        <v>271</v>
      </c>
      <c r="AG6" s="178"/>
      <c r="AK6" s="11"/>
      <c r="AL6" s="8"/>
      <c r="AM6" s="8"/>
      <c r="AN6" s="8"/>
      <c r="AO6" s="8"/>
      <c r="AP6" s="8"/>
      <c r="AQ6" s="8"/>
      <c r="AR6" s="8"/>
      <c r="AS6" s="8"/>
      <c r="AT6" s="8"/>
      <c r="AU6" s="8"/>
      <c r="AV6" s="8"/>
      <c r="AW6" s="8"/>
      <c r="AX6" s="8"/>
      <c r="AY6" s="8"/>
      <c r="AZ6" s="8"/>
      <c r="BA6" s="8"/>
      <c r="BB6" s="8"/>
      <c r="BC6" s="8"/>
      <c r="BD6" s="8"/>
      <c r="BE6" s="8"/>
      <c r="BF6" s="8"/>
      <c r="BG6" s="8"/>
      <c r="BH6" s="8"/>
      <c r="BI6" s="8"/>
      <c r="BJ6" s="15"/>
      <c r="BK6" s="8"/>
      <c r="BL6" s="8"/>
    </row>
    <row r="7" spans="1:65" ht="17.25" customHeight="1">
      <c r="A7" s="8"/>
      <c r="B7" s="8"/>
      <c r="C7" s="204"/>
      <c r="D7" s="214">
        <f ca="1">AC48</f>
        <v>2</v>
      </c>
      <c r="E7" s="214">
        <f ca="1">AC16</f>
        <v>0</v>
      </c>
      <c r="F7" s="466" t="str">
        <f ca="1">$AC$15</f>
        <v>0_002 Cell 1.2</v>
      </c>
      <c r="G7" s="215"/>
      <c r="H7" s="215"/>
      <c r="I7" s="215"/>
      <c r="J7" s="496" t="str">
        <f ca="1">AC47</f>
        <v>Level 0</v>
      </c>
      <c r="K7" s="498">
        <f ca="1">AC75</f>
        <v>0</v>
      </c>
      <c r="L7" s="216"/>
      <c r="M7" s="217" t="str">
        <f>IF($AB$1="English","DESIGN COOLING","AUSLEGUNG KÜHLEN")</f>
        <v>DESIGN COOLING</v>
      </c>
      <c r="N7" s="201"/>
      <c r="O7" s="201"/>
      <c r="P7" s="480" t="str">
        <f ca="1">IF($AC$59&gt;0,IF(AB1="English","Yes","Ja"),IF(AB1="English","No","Nein"))</f>
        <v>Yes</v>
      </c>
      <c r="Q7" s="499">
        <f ca="1">AC76</f>
        <v>0</v>
      </c>
      <c r="R7" s="450"/>
      <c r="S7" s="426" t="str">
        <f>IF($AB$1="English","DESIGN HEATING","AUSLEGUNG HEIZEN")</f>
        <v>DESIGN HEATING</v>
      </c>
      <c r="T7" s="450"/>
      <c r="U7" s="450"/>
      <c r="V7" s="425" t="str">
        <f ca="1">IF($AC$50="UH",IF(AB1="English","No","Nein"),IF(AB1="English","Yes","Ja"))</f>
        <v>Yes</v>
      </c>
      <c r="W7" s="204"/>
      <c r="X7" s="204"/>
      <c r="Y7" s="218"/>
      <c r="Z7" s="204"/>
      <c r="AA7" s="8"/>
      <c r="AB7" s="27"/>
      <c r="AC7" s="24" t="s">
        <v>488</v>
      </c>
      <c r="AF7" s="178" t="s">
        <v>188</v>
      </c>
      <c r="AG7" s="178"/>
      <c r="AK7" s="11"/>
      <c r="AL7" s="8"/>
      <c r="AM7" s="8"/>
      <c r="AN7" s="8"/>
      <c r="AO7" s="77">
        <v>0</v>
      </c>
      <c r="AP7" s="77" t="e">
        <f>#REF!</f>
        <v>#REF!</v>
      </c>
      <c r="AQ7" s="76"/>
      <c r="AR7" s="76"/>
      <c r="AS7" s="76"/>
      <c r="AT7" s="76"/>
      <c r="AU7" s="76"/>
      <c r="AV7" s="80"/>
      <c r="AW7" s="81"/>
      <c r="AX7" s="82" t="s">
        <v>76</v>
      </c>
      <c r="AY7" s="44"/>
      <c r="AZ7" s="44"/>
      <c r="BA7" s="74"/>
      <c r="BB7" s="69"/>
      <c r="BC7" s="44"/>
      <c r="BD7" s="79" t="s">
        <v>77</v>
      </c>
      <c r="BE7" s="44"/>
      <c r="BF7" s="44"/>
      <c r="BG7" s="74"/>
      <c r="BH7" s="8"/>
      <c r="BI7" s="8"/>
      <c r="BJ7" s="28"/>
      <c r="BK7" s="8"/>
      <c r="BL7" s="8"/>
      <c r="BM7" s="27"/>
    </row>
    <row r="8" spans="1:65" ht="17.25" customHeight="1">
      <c r="A8" s="8"/>
      <c r="B8" s="8"/>
      <c r="C8" s="204"/>
      <c r="D8" s="219" t="str">
        <f>IF($AB$1="English","Floor Area","Fläche")</f>
        <v>Floor Area</v>
      </c>
      <c r="E8" s="208"/>
      <c r="F8" s="220">
        <f ca="1">$AC$22</f>
        <v>24.271324157714844</v>
      </c>
      <c r="G8" s="208" t="s">
        <v>133</v>
      </c>
      <c r="H8" s="201"/>
      <c r="I8" s="220"/>
      <c r="J8" s="201"/>
      <c r="K8" s="221" t="str">
        <f ca="1">IF($AB$1="English","  CLG Peak ON "&amp;AC80&amp;" "&amp;AC72,"  NACH MAXIMALWERT "&amp;AC80&amp;" "&amp;AC72)</f>
        <v xml:space="preserve">  CLG Peak ON 0 4240</v>
      </c>
      <c r="L8" s="222"/>
      <c r="M8" s="222"/>
      <c r="N8" s="222"/>
      <c r="O8" s="222"/>
      <c r="P8" s="481" t="str">
        <f ca="1">IF(AC46=0,"N/A",AC46)</f>
        <v>FCU</v>
      </c>
      <c r="Q8" s="221" t="str">
        <f ca="1">IF($AB$1="English","  HTG Peak ON "&amp;AC101&amp;" "&amp;AC100,"  NACH MAXIMALWERT "&amp;AC101&amp;" "&amp;AC100)</f>
        <v xml:space="preserve">  HTG Peak ON 0 0</v>
      </c>
      <c r="R8" s="223"/>
      <c r="S8" s="223"/>
      <c r="T8" s="216"/>
      <c r="U8" s="216"/>
      <c r="V8" s="482" t="str">
        <f ca="1">IF(AC50=0,"N/A",AC50)</f>
        <v>UFH</v>
      </c>
      <c r="W8" s="213"/>
      <c r="X8" s="213"/>
      <c r="Y8" s="218"/>
      <c r="Z8" s="204"/>
      <c r="AA8" s="8"/>
      <c r="AB8" s="27"/>
      <c r="AC8" s="127">
        <v>2</v>
      </c>
      <c r="AD8" s="24" t="s">
        <v>85</v>
      </c>
      <c r="AF8" s="192"/>
      <c r="AG8" s="178"/>
      <c r="AK8" s="11"/>
      <c r="AL8" s="8"/>
      <c r="AM8" s="8"/>
      <c r="AN8" s="8"/>
      <c r="AO8" s="130" t="s">
        <v>132</v>
      </c>
      <c r="AQ8" s="131"/>
      <c r="AR8" s="24" t="s">
        <v>133</v>
      </c>
      <c r="AS8" s="44"/>
      <c r="AT8" s="44"/>
      <c r="AU8" s="44"/>
      <c r="AV8" s="94" t="e">
        <f>"  COOLING DATA AT "&amp;#REF!</f>
        <v>#REF!</v>
      </c>
      <c r="AW8" s="95"/>
      <c r="AX8" s="95"/>
      <c r="AY8" s="95"/>
      <c r="AZ8" s="95"/>
      <c r="BA8" s="96"/>
      <c r="BB8" s="94" t="s">
        <v>78</v>
      </c>
      <c r="BC8" s="97"/>
      <c r="BD8" s="97"/>
      <c r="BE8" s="81"/>
      <c r="BF8" s="81"/>
      <c r="BG8" s="87"/>
      <c r="BH8" s="15"/>
      <c r="BI8" s="15"/>
      <c r="BJ8" s="28"/>
      <c r="BK8" s="8"/>
      <c r="BL8" s="8"/>
      <c r="BM8" s="27">
        <v>10</v>
      </c>
    </row>
    <row r="9" spans="1:65" ht="17.25" customHeight="1">
      <c r="A9" s="8"/>
      <c r="B9" s="8"/>
      <c r="C9" s="204"/>
      <c r="D9" s="224" t="str">
        <f>IF($AB$1="English","Volume","Volumen")</f>
        <v>Volume</v>
      </c>
      <c r="E9" s="225"/>
      <c r="F9" s="226">
        <f ca="1">AC23</f>
        <v>72.813972473144531</v>
      </c>
      <c r="G9" s="227" t="s">
        <v>135</v>
      </c>
      <c r="H9" s="225"/>
      <c r="I9" s="199"/>
      <c r="J9" s="228"/>
      <c r="K9" s="229" t="str">
        <f>IF($AB$1="English","  COOLING OA DB / RH   "&amp;ROUND(AF40,1)&amp;"°C / "&amp;AF41&amp;"","  AUßENTEMPERATUR / REL. FEUCHTE "&amp;ROUND(AF40,1)&amp;"/"&amp;AF41&amp;"%")</f>
        <v xml:space="preserve">  COOLING OA DB / RH   32°C / 50</v>
      </c>
      <c r="L9" s="230"/>
      <c r="M9" s="231"/>
      <c r="N9" s="231"/>
      <c r="O9" s="231"/>
      <c r="P9" s="232"/>
      <c r="Q9" s="233" t="str">
        <f>IF($AB$1="English","  HEATING OA DB / RH   "&amp;ROUND(AF38,1)&amp;"°C / "&amp;AF39&amp;"%","  AUßENTEMP. / REL. FEUCHTE "&amp;ROUND(AF38,1)&amp;"°C/"&amp;AF39&amp;"%")</f>
        <v xml:space="preserve">  HEATING OA DB / RH   -4.7°C / 92.2%</v>
      </c>
      <c r="R9" s="234"/>
      <c r="S9" s="235"/>
      <c r="T9" s="236"/>
      <c r="U9" s="236"/>
      <c r="V9" s="237"/>
      <c r="W9" s="218"/>
      <c r="X9" s="218"/>
      <c r="Y9" s="218"/>
      <c r="Z9" s="204"/>
      <c r="AA9" s="8"/>
      <c r="AB9" s="27"/>
      <c r="AC9" s="128" t="str">
        <f>IF(AC8&lt;10,"00"&amp;AC8,IF(AC8&lt;100,"0"&amp;AC8,AC8))</f>
        <v>002</v>
      </c>
      <c r="AF9" s="178"/>
      <c r="AG9" s="178"/>
      <c r="AK9" s="11"/>
      <c r="AL9" s="8"/>
      <c r="AM9" s="8"/>
      <c r="AN9" s="8"/>
      <c r="AO9" s="132" t="s">
        <v>134</v>
      </c>
      <c r="AP9" s="75"/>
      <c r="AQ9" s="133"/>
      <c r="AR9" s="134" t="s">
        <v>135</v>
      </c>
      <c r="AS9" s="75"/>
      <c r="AT9" s="20"/>
      <c r="AU9" s="78"/>
      <c r="AV9" s="111" t="s">
        <v>87</v>
      </c>
      <c r="AW9" s="101"/>
      <c r="AX9" s="102"/>
      <c r="AY9" s="102"/>
      <c r="AZ9" s="102"/>
      <c r="BA9" s="103"/>
      <c r="BB9" s="113" t="s">
        <v>137</v>
      </c>
      <c r="BC9" s="104"/>
      <c r="BD9" s="98"/>
      <c r="BE9" s="61"/>
      <c r="BF9" s="61"/>
      <c r="BG9" s="62"/>
      <c r="BH9" s="28"/>
      <c r="BI9" s="28"/>
      <c r="BJ9" s="28"/>
      <c r="BK9" s="8"/>
      <c r="BL9" s="8"/>
      <c r="BM9" s="27"/>
    </row>
    <row r="10" spans="1:65" ht="17.25" customHeight="1">
      <c r="A10" s="8"/>
      <c r="B10" s="8"/>
      <c r="C10" s="204"/>
      <c r="D10" s="238" t="str">
        <f ca="1">IF($AB$1="English","Room DB temp/ RES temp at Peak Cooling = "&amp;ROUND(AC33,1)&amp;"°C/ "&amp;ROUND(AC56,1)&amp;"°C","Raumtemp./result. Temp. bei max. Kühlung = "&amp;ROUND(AC33,1)&amp;"°C/ "&amp;ROUND(AC56,1)&amp;"°C")</f>
        <v>Room DB temp/ RES temp at Peak Cooling = 21°C/ 28.6°C</v>
      </c>
      <c r="E10" s="239"/>
      <c r="F10" s="239"/>
      <c r="G10" s="239"/>
      <c r="H10" s="239"/>
      <c r="I10" s="240"/>
      <c r="J10" s="239"/>
      <c r="K10" s="241" t="str">
        <f ca="1">IF($P$7="No","  OCCUPIED T-STAT  = - °C ","  OCCUPIED T-STAT="&amp;ROUND($AC$33,2)&amp;"°C")</f>
        <v xml:space="preserve">  OCCUPIED T-STAT=21°C</v>
      </c>
      <c r="L10" s="242"/>
      <c r="M10" s="242"/>
      <c r="N10" s="242"/>
      <c r="O10" s="242"/>
      <c r="P10" s="243"/>
      <c r="Q10" s="241" t="str">
        <f ca="1">IF($V$7="No","  OCCUPIED T-STAT  = - °C ","  OCCUPIED T-STAT="&amp;$AC$78&amp;"°C")</f>
        <v xml:space="preserve">  OCCUPIED T-STAT=25°C</v>
      </c>
      <c r="R10" s="244"/>
      <c r="S10" s="245"/>
      <c r="T10" s="246"/>
      <c r="U10" s="508" t="str">
        <f ca="1">IF($V$7="No","   - °C ","  "&amp;ROUND($AC$99,1)&amp;"°C")</f>
        <v xml:space="preserve">  19.1°C</v>
      </c>
      <c r="V10" s="247"/>
      <c r="W10" s="218"/>
      <c r="X10" s="218"/>
      <c r="Y10" s="218"/>
      <c r="Z10" s="204"/>
      <c r="AA10" s="8"/>
      <c r="AB10" s="27" t="s">
        <v>81</v>
      </c>
      <c r="AC10" s="126">
        <v>1</v>
      </c>
      <c r="AF10" s="178"/>
      <c r="AG10" s="178"/>
      <c r="AJ10" s="24">
        <v>1</v>
      </c>
      <c r="AK10" s="11"/>
      <c r="AL10" s="8"/>
      <c r="AM10" s="8"/>
      <c r="AN10" s="8"/>
      <c r="AO10" s="116" t="str">
        <f>"  Room DB temp at Cooling Peak  ="&amp;ROUND(AY37,2)&amp;"°C"</f>
        <v xml:space="preserve">  Room DB temp at Cooling Peak  =0°C</v>
      </c>
      <c r="AP10" s="72"/>
      <c r="AQ10" s="72"/>
      <c r="AR10" s="72"/>
      <c r="AS10" s="72"/>
      <c r="AT10" s="73"/>
      <c r="AU10" s="72"/>
      <c r="AV10" s="112" t="str">
        <f ca="1">IF($AC$32=150,"  OCCUPIED T-STAT  ="&amp;$AC$32&amp;"°C *","  OCCUPIED T-STAT  ="&amp;$AC$32&amp;"°C")</f>
        <v xml:space="preserve">  OCCUPIED T-STAT  =2143.8662109375°C</v>
      </c>
      <c r="AW10" s="105"/>
      <c r="AX10" s="105"/>
      <c r="AY10" s="105"/>
      <c r="AZ10" s="105"/>
      <c r="BA10" s="106"/>
      <c r="BB10" s="112" t="str">
        <f ca="1">IF($AC$34=-50,"  OCCUPIED T-STAT  ="&amp;$AC$34&amp;"°C **","  OCCUPIED T-STAT  ="&amp;$AC$34&amp;"°C")</f>
        <v xml:space="preserve">  OCCUPIED T-STAT  =0°C</v>
      </c>
      <c r="BC10" s="107"/>
      <c r="BD10" s="99"/>
      <c r="BE10" s="54"/>
      <c r="BF10" s="54"/>
      <c r="BG10" s="55"/>
      <c r="BH10" s="28"/>
      <c r="BI10" s="28"/>
      <c r="BJ10" s="28"/>
      <c r="BK10" s="8"/>
      <c r="BL10" s="8"/>
      <c r="BM10" s="27" t="s">
        <v>81</v>
      </c>
    </row>
    <row r="11" spans="1:65" ht="17.25" customHeight="1">
      <c r="A11" s="8"/>
      <c r="B11" s="8"/>
      <c r="C11" s="204"/>
      <c r="D11" s="500" t="str">
        <f ca="1">"Room RH / HR at Peak Cooling ="&amp;ROUND(AC74,1)&amp;"% / "&amp;ROUND(AC84,5)&amp;"kg/kg"</f>
        <v>Room RH / HR at Peak Cooling =100% / 0.02016kg/kg</v>
      </c>
      <c r="E11" s="248"/>
      <c r="F11" s="248"/>
      <c r="G11" s="248"/>
      <c r="H11" s="248"/>
      <c r="I11" s="248"/>
      <c r="J11" s="249"/>
      <c r="K11" s="527" t="s">
        <v>68</v>
      </c>
      <c r="L11" s="528"/>
      <c r="M11" s="525" t="str">
        <f>IF($AB$1="English","Sensible","Sensibel")</f>
        <v>Sensible</v>
      </c>
      <c r="N11" s="526"/>
      <c r="O11" s="525" t="s">
        <v>70</v>
      </c>
      <c r="P11" s="526"/>
      <c r="Q11" s="527" t="s">
        <v>68</v>
      </c>
      <c r="R11" s="528"/>
      <c r="S11" s="525" t="str">
        <f>IF($AB$1="English","Sensible","Sensibel")</f>
        <v>Sensible</v>
      </c>
      <c r="T11" s="526"/>
      <c r="U11" s="525" t="s">
        <v>70</v>
      </c>
      <c r="V11" s="526"/>
      <c r="W11" s="250"/>
      <c r="X11" s="218"/>
      <c r="Y11" s="213"/>
      <c r="Z11" s="204"/>
      <c r="AA11" s="8"/>
      <c r="AB11" s="27" t="s">
        <v>82</v>
      </c>
      <c r="AC11" s="126">
        <f>AB12</f>
        <v>891</v>
      </c>
      <c r="AF11" s="178"/>
      <c r="AG11" s="178"/>
      <c r="AJ11" s="24">
        <v>2</v>
      </c>
      <c r="AK11" s="11"/>
      <c r="AL11" s="8"/>
      <c r="AM11" s="8"/>
      <c r="AN11" s="8"/>
      <c r="AO11" s="64"/>
      <c r="AP11" s="65"/>
      <c r="AQ11" s="65"/>
      <c r="AR11" s="65"/>
      <c r="AS11" s="65"/>
      <c r="AT11" s="65"/>
      <c r="AU11" s="66"/>
      <c r="AV11" s="14"/>
      <c r="AW11" s="83"/>
      <c r="AX11" s="531" t="s">
        <v>69</v>
      </c>
      <c r="AY11" s="532"/>
      <c r="AZ11" s="531" t="s">
        <v>70</v>
      </c>
      <c r="BA11" s="532"/>
      <c r="BB11" s="86"/>
      <c r="BC11" s="83"/>
      <c r="BD11" s="531" t="s">
        <v>69</v>
      </c>
      <c r="BE11" s="532"/>
      <c r="BF11" s="84"/>
      <c r="BG11" s="85" t="s">
        <v>70</v>
      </c>
      <c r="BH11" s="33"/>
      <c r="BI11" s="28"/>
      <c r="BJ11" s="15"/>
      <c r="BK11" s="8"/>
      <c r="BL11" s="8"/>
      <c r="BM11" s="27" t="s">
        <v>82</v>
      </c>
    </row>
    <row r="12" spans="1:65" ht="17.25" customHeight="1">
      <c r="A12" s="8"/>
      <c r="B12" s="8"/>
      <c r="C12" s="204"/>
      <c r="D12" s="251" t="str">
        <f>IF($AB$1="English","ZONE LOADS","ZONENLAST")</f>
        <v>ZONE LOADS</v>
      </c>
      <c r="E12" s="199"/>
      <c r="F12" s="199" t="str">
        <f ca="1">"   Internal Condition = " &amp;AC17</f>
        <v xml:space="preserve">   Internal Condition = S37_OfficeCell</v>
      </c>
      <c r="G12" s="199"/>
      <c r="H12" s="199"/>
      <c r="I12" s="199"/>
      <c r="J12" s="252"/>
      <c r="K12" s="529"/>
      <c r="L12" s="530"/>
      <c r="M12" s="254" t="s">
        <v>487</v>
      </c>
      <c r="N12" s="253" t="s">
        <v>84</v>
      </c>
      <c r="O12" s="254" t="s">
        <v>487</v>
      </c>
      <c r="P12" s="253" t="s">
        <v>84</v>
      </c>
      <c r="Q12" s="529"/>
      <c r="R12" s="530"/>
      <c r="S12" s="254" t="s">
        <v>487</v>
      </c>
      <c r="T12" s="253" t="s">
        <v>84</v>
      </c>
      <c r="U12" s="255"/>
      <c r="V12" s="253" t="s">
        <v>84</v>
      </c>
      <c r="W12" s="250"/>
      <c r="X12" s="218"/>
      <c r="Y12" s="213"/>
      <c r="Z12" s="204"/>
      <c r="AA12" s="8"/>
      <c r="AB12" s="27">
        <v>891</v>
      </c>
      <c r="AC12" s="24" t="str">
        <f>"  Index End Max  ="&amp;AB12&amp;"  Zones"</f>
        <v xml:space="preserve">  Index End Max  =891  Zones</v>
      </c>
      <c r="AH12" s="24" t="e">
        <f ca="1">ConcatenateRange(AJ10:AJ13)</f>
        <v>#NAME?</v>
      </c>
      <c r="AJ12" s="24">
        <v>3</v>
      </c>
      <c r="AK12" s="11"/>
      <c r="AL12" s="8"/>
      <c r="AM12" s="8"/>
      <c r="AN12" s="8"/>
      <c r="AO12" s="67" t="s">
        <v>67</v>
      </c>
      <c r="AP12" s="20"/>
      <c r="AQ12" s="20"/>
      <c r="AR12" s="20"/>
      <c r="AS12" s="20"/>
      <c r="AT12" s="20"/>
      <c r="AU12" s="68"/>
      <c r="AV12" s="60"/>
      <c r="AW12" s="71" t="s">
        <v>68</v>
      </c>
      <c r="AX12" s="136" t="s">
        <v>136</v>
      </c>
      <c r="AY12" s="71" t="s">
        <v>84</v>
      </c>
      <c r="AZ12" s="136" t="s">
        <v>136</v>
      </c>
      <c r="BA12" s="71" t="s">
        <v>84</v>
      </c>
      <c r="BB12" s="70"/>
      <c r="BC12" s="71" t="s">
        <v>68</v>
      </c>
      <c r="BD12" s="136" t="s">
        <v>136</v>
      </c>
      <c r="BE12" s="71" t="s">
        <v>84</v>
      </c>
      <c r="BF12" s="70"/>
      <c r="BG12" s="71" t="s">
        <v>84</v>
      </c>
      <c r="BH12" s="33"/>
      <c r="BI12" s="28"/>
      <c r="BJ12" s="15"/>
      <c r="BK12" s="8"/>
      <c r="BL12" s="8"/>
      <c r="BM12" s="27"/>
    </row>
    <row r="13" spans="1:65" ht="17.25" customHeight="1">
      <c r="A13" s="8"/>
      <c r="B13" s="31"/>
      <c r="C13" s="204"/>
      <c r="D13" s="256" t="str">
        <f>IF($AB$1="English","Solar Gain (W)","Solare Einträge (W)")</f>
        <v>Solar Gain (W)</v>
      </c>
      <c r="E13" s="257"/>
      <c r="F13" s="258"/>
      <c r="G13" s="258"/>
      <c r="H13" s="258"/>
      <c r="I13" s="258"/>
      <c r="J13" s="259"/>
      <c r="K13" s="260"/>
      <c r="L13" s="261"/>
      <c r="M13" s="262"/>
      <c r="N13" s="261">
        <f ca="1">$AC$60</f>
        <v>1705.525390625</v>
      </c>
      <c r="O13" s="263"/>
      <c r="P13" s="261"/>
      <c r="Q13" s="264"/>
      <c r="R13" s="261"/>
      <c r="S13" s="263"/>
      <c r="T13" s="261"/>
      <c r="U13" s="262"/>
      <c r="V13" s="261"/>
      <c r="W13" s="213"/>
      <c r="X13" s="213"/>
      <c r="Y13" s="213"/>
      <c r="Z13" s="204"/>
      <c r="AA13" s="8"/>
      <c r="AB13" s="27"/>
      <c r="AH13" s="24">
        <f>TRANSPOSE(AJ10:AJ13)</f>
        <v>4</v>
      </c>
      <c r="AJ13" s="24">
        <v>4</v>
      </c>
      <c r="AK13" s="11"/>
      <c r="AL13" s="8"/>
      <c r="AM13" s="31"/>
      <c r="AN13" s="8"/>
      <c r="AO13" s="37" t="s">
        <v>71</v>
      </c>
      <c r="AP13" s="38"/>
      <c r="AQ13" s="9"/>
      <c r="AR13" s="9"/>
      <c r="AS13" s="9"/>
      <c r="AT13" s="9"/>
      <c r="AU13" s="39"/>
      <c r="AV13" s="63"/>
      <c r="AW13" s="108"/>
      <c r="AX13" s="137"/>
      <c r="AY13" s="138"/>
      <c r="AZ13" s="109"/>
      <c r="BA13" s="138"/>
      <c r="BB13" s="63"/>
      <c r="BC13" s="108">
        <v>0</v>
      </c>
      <c r="BD13" s="109"/>
      <c r="BE13" s="138"/>
      <c r="BF13" s="109"/>
      <c r="BG13" s="138"/>
      <c r="BH13" s="15"/>
      <c r="BI13" s="15"/>
      <c r="BJ13" s="15"/>
      <c r="BK13" s="8"/>
      <c r="BL13" s="8"/>
      <c r="BM13" s="27"/>
    </row>
    <row r="14" spans="1:65" ht="17.25" customHeight="1">
      <c r="A14" s="8"/>
      <c r="B14" s="8"/>
      <c r="C14" s="204"/>
      <c r="D14" s="256" t="str">
        <f>IF($AB$1="English","External Conduction Opaque (W)","Wärmeströme durch Außenhülle (W)")</f>
        <v>External Conduction Opaque (W)</v>
      </c>
      <c r="E14" s="257"/>
      <c r="F14" s="258"/>
      <c r="G14" s="258"/>
      <c r="H14" s="258"/>
      <c r="I14" s="258"/>
      <c r="J14" s="258"/>
      <c r="K14" s="260"/>
      <c r="L14" s="261"/>
      <c r="M14" s="263"/>
      <c r="N14" s="261">
        <f ca="1">$AC$66</f>
        <v>-548.4713134765625</v>
      </c>
      <c r="O14" s="263"/>
      <c r="P14" s="261"/>
      <c r="Q14" s="264"/>
      <c r="R14" s="261"/>
      <c r="S14" s="263"/>
      <c r="T14" s="261">
        <f ca="1">$AC$96</f>
        <v>-320.25994873046875</v>
      </c>
      <c r="U14" s="262"/>
      <c r="V14" s="261"/>
      <c r="W14" s="213"/>
      <c r="X14" s="213"/>
      <c r="Y14" s="213"/>
      <c r="Z14" s="204"/>
      <c r="AA14" s="8"/>
      <c r="AB14" s="27"/>
      <c r="AK14" s="11"/>
      <c r="AL14" s="8"/>
      <c r="AM14" s="8"/>
      <c r="AN14" s="8"/>
      <c r="AO14" s="37" t="s">
        <v>90</v>
      </c>
      <c r="AP14" s="38"/>
      <c r="AQ14" s="9"/>
      <c r="AR14" s="9"/>
      <c r="AS14" s="9"/>
      <c r="AT14" s="9"/>
      <c r="AU14" s="9"/>
      <c r="AV14" s="63"/>
      <c r="AW14" s="108"/>
      <c r="AX14" s="109"/>
      <c r="AY14" s="138"/>
      <c r="AZ14" s="109"/>
      <c r="BA14" s="138"/>
      <c r="BB14" s="63"/>
      <c r="BC14" s="108">
        <v>0</v>
      </c>
      <c r="BD14" s="109"/>
      <c r="BE14" s="138"/>
      <c r="BF14" s="109"/>
      <c r="BG14" s="138"/>
      <c r="BH14" s="15"/>
      <c r="BI14" s="15"/>
      <c r="BJ14" s="15"/>
      <c r="BK14" s="8"/>
      <c r="BL14" s="8"/>
      <c r="BM14" s="27"/>
    </row>
    <row r="15" spans="1:65" ht="17.25" customHeight="1">
      <c r="A15" s="8"/>
      <c r="C15" s="204"/>
      <c r="D15" s="265" t="str">
        <f>IF($AB$1="English","External Conduction Glazing (W)","Wärmeströme durch Fenster (W)")</f>
        <v>External Conduction Glazing (W)</v>
      </c>
      <c r="E15" s="266"/>
      <c r="F15" s="201"/>
      <c r="G15" s="201"/>
      <c r="H15" s="201"/>
      <c r="I15" s="267"/>
      <c r="J15" s="268"/>
      <c r="K15" s="260"/>
      <c r="L15" s="261"/>
      <c r="M15" s="263"/>
      <c r="N15" s="261">
        <f ca="1">$AC$65</f>
        <v>2.5405731201171875</v>
      </c>
      <c r="O15" s="263"/>
      <c r="P15" s="261"/>
      <c r="Q15" s="264"/>
      <c r="R15" s="261"/>
      <c r="S15" s="263"/>
      <c r="T15" s="261">
        <f ca="1">$AC$95</f>
        <v>-461.29132080078125</v>
      </c>
      <c r="U15" s="262"/>
      <c r="V15" s="261"/>
      <c r="W15" s="213"/>
      <c r="X15" s="213"/>
      <c r="Y15" s="269"/>
      <c r="Z15" s="204"/>
      <c r="AA15" s="8"/>
      <c r="AB15" s="422">
        <f t="shared" ref="AB15:AB23" si="0">HLOOKUP(AD15,DataColumn,2,0)</f>
        <v>0</v>
      </c>
      <c r="AC15" s="419" t="str">
        <f ca="1">OFFSET(Data!$A$2,$AC$8,AB15,1,1)</f>
        <v>0_002 Cell 1.2</v>
      </c>
      <c r="AD15" s="420" t="s">
        <v>458</v>
      </c>
      <c r="AE15" s="11" t="s">
        <v>193</v>
      </c>
      <c r="AH15" s="11" t="s">
        <v>194</v>
      </c>
      <c r="AJ15" s="24" t="s">
        <v>198</v>
      </c>
      <c r="AK15" s="11"/>
      <c r="AL15" s="8"/>
      <c r="AN15" s="8"/>
      <c r="AO15" s="42" t="s">
        <v>91</v>
      </c>
      <c r="AP15" s="43"/>
      <c r="AQ15" s="44"/>
      <c r="AR15" s="44"/>
      <c r="AS15" s="44"/>
      <c r="AT15" s="45"/>
      <c r="AU15" s="46"/>
      <c r="AV15" s="63"/>
      <c r="AW15" s="108"/>
      <c r="AX15" s="109"/>
      <c r="AY15" s="138"/>
      <c r="AZ15" s="109"/>
      <c r="BA15" s="138"/>
      <c r="BB15" s="63"/>
      <c r="BC15" s="108">
        <v>0</v>
      </c>
      <c r="BD15" s="109"/>
      <c r="BE15" s="138"/>
      <c r="BF15" s="109"/>
      <c r="BG15" s="138"/>
      <c r="BH15" s="15"/>
      <c r="BI15" s="15"/>
      <c r="BJ15" s="16"/>
      <c r="BK15" s="8"/>
      <c r="BL15" s="8"/>
      <c r="BM15" s="27"/>
    </row>
    <row r="16" spans="1:65" ht="17.25" customHeight="1">
      <c r="A16" s="8"/>
      <c r="B16" s="7"/>
      <c r="C16" s="204"/>
      <c r="D16" s="256" t="str">
        <f>IF($AB$1="English","Building Heat Transfer (W)","Wärmeströme durch Nachbarräumen (W)")</f>
        <v>Building Heat Transfer (W)</v>
      </c>
      <c r="E16" s="270"/>
      <c r="F16" s="271"/>
      <c r="G16" s="271"/>
      <c r="H16" s="258"/>
      <c r="I16" s="272"/>
      <c r="J16" s="273"/>
      <c r="K16" s="260"/>
      <c r="L16" s="261"/>
      <c r="M16" s="263"/>
      <c r="N16" s="261">
        <f ca="1">$AC$64</f>
        <v>32.150665283203125</v>
      </c>
      <c r="O16" s="263"/>
      <c r="P16" s="261"/>
      <c r="Q16" s="264"/>
      <c r="R16" s="261"/>
      <c r="S16" s="509" t="str">
        <f ca="1">"*"&amp;ROUND((T26-T15-T17-T14-T18),0)</f>
        <v>*-29</v>
      </c>
      <c r="T16" s="510">
        <f ca="1">$AC$94</f>
        <v>-29.223388671875</v>
      </c>
      <c r="U16" s="262"/>
      <c r="V16" s="261"/>
      <c r="W16" s="213"/>
      <c r="X16" s="213"/>
      <c r="Y16" s="269"/>
      <c r="Z16" s="204"/>
      <c r="AA16" s="8"/>
      <c r="AB16" s="422">
        <f t="shared" si="0"/>
        <v>1</v>
      </c>
      <c r="AC16" s="451">
        <f ca="1">OFFSET(Data!$A$2,$AC$8,AB16,1,1)</f>
        <v>0</v>
      </c>
      <c r="AD16" s="421" t="s">
        <v>457</v>
      </c>
      <c r="AE16" s="24" t="s">
        <v>160</v>
      </c>
      <c r="AF16" s="162">
        <f ca="1">ROUND(Construction!T7,1)</f>
        <v>0</v>
      </c>
      <c r="AG16" s="472" t="s">
        <v>155</v>
      </c>
      <c r="AH16" s="129" t="s">
        <v>128</v>
      </c>
      <c r="AI16" s="165"/>
      <c r="AJ16" s="24" t="s">
        <v>499</v>
      </c>
      <c r="AK16" s="129"/>
      <c r="AL16" s="8"/>
      <c r="AM16" s="7"/>
      <c r="AN16" s="8"/>
      <c r="AO16" s="37" t="s">
        <v>89</v>
      </c>
      <c r="AP16" s="51"/>
      <c r="AQ16" s="50"/>
      <c r="AR16" s="50"/>
      <c r="AS16" s="9"/>
      <c r="AT16" s="40"/>
      <c r="AU16" s="41"/>
      <c r="AV16" s="63"/>
      <c r="AW16" s="108"/>
      <c r="AX16" s="109"/>
      <c r="AY16" s="138"/>
      <c r="AZ16" s="109"/>
      <c r="BA16" s="138"/>
      <c r="BB16" s="63"/>
      <c r="BC16" s="108">
        <v>0</v>
      </c>
      <c r="BD16" s="109"/>
      <c r="BE16" s="138"/>
      <c r="BF16" s="109"/>
      <c r="BG16" s="138"/>
      <c r="BH16" s="15"/>
      <c r="BI16" s="15"/>
      <c r="BJ16" s="16"/>
      <c r="BK16" s="8"/>
      <c r="BL16" s="8"/>
      <c r="BM16" s="27"/>
    </row>
    <row r="17" spans="1:65" ht="17.25" customHeight="1">
      <c r="A17" s="8"/>
      <c r="B17" s="7"/>
      <c r="C17" s="204"/>
      <c r="D17" s="265" t="str">
        <f>IF($AB$1="English","Air Movement Gain (W)","Wärmeströme zw. benachbarten Zonen (W)")</f>
        <v>Air Movement Gain (W)</v>
      </c>
      <c r="E17" s="454"/>
      <c r="F17" s="455"/>
      <c r="G17" s="456"/>
      <c r="H17" s="248"/>
      <c r="I17" s="267"/>
      <c r="J17" s="457"/>
      <c r="K17" s="260"/>
      <c r="L17" s="261"/>
      <c r="M17" s="263"/>
      <c r="N17" s="261">
        <f ca="1">$AC$63</f>
        <v>0</v>
      </c>
      <c r="O17" s="263"/>
      <c r="P17" s="261"/>
      <c r="Q17" s="264"/>
      <c r="R17" s="261"/>
      <c r="S17" s="263"/>
      <c r="T17" s="510">
        <f ca="1">$AC$93</f>
        <v>0</v>
      </c>
      <c r="U17" s="262"/>
      <c r="V17" s="261"/>
      <c r="W17" s="269"/>
      <c r="X17" s="269"/>
      <c r="Y17" s="269"/>
      <c r="Z17" s="204"/>
      <c r="AA17" s="8"/>
      <c r="AB17" s="422">
        <f>HLOOKUP(AD17,DataColumn,2,0)</f>
        <v>8</v>
      </c>
      <c r="AC17" s="451" t="str">
        <f ca="1">OFFSET(Data!$A$2,$AC$8,AB17,1,1)</f>
        <v>S37_OfficeCell</v>
      </c>
      <c r="AD17" s="490" t="s">
        <v>534</v>
      </c>
      <c r="AE17" s="445" t="s">
        <v>161</v>
      </c>
      <c r="AF17" s="162">
        <f ca="1">ROUND(Construction!T8,1)</f>
        <v>25</v>
      </c>
      <c r="AG17" s="473" t="s">
        <v>156</v>
      </c>
      <c r="AH17" s="129" t="s">
        <v>129</v>
      </c>
      <c r="AI17" s="128"/>
      <c r="AJ17" s="166" t="s">
        <v>500</v>
      </c>
      <c r="AK17" s="129"/>
      <c r="AL17" s="8"/>
      <c r="AM17" s="7"/>
      <c r="AN17" s="8"/>
      <c r="AO17" s="37" t="s">
        <v>88</v>
      </c>
      <c r="AP17" s="47"/>
      <c r="AQ17" s="48"/>
      <c r="AR17" s="49"/>
      <c r="AS17" s="50"/>
      <c r="AT17" s="40"/>
      <c r="AU17" s="10"/>
      <c r="AV17" s="63"/>
      <c r="AW17" s="108"/>
      <c r="AX17" s="109"/>
      <c r="AY17" s="138"/>
      <c r="AZ17" s="109"/>
      <c r="BA17" s="138"/>
      <c r="BB17" s="63"/>
      <c r="BC17" s="108">
        <v>0</v>
      </c>
      <c r="BD17" s="109"/>
      <c r="BE17" s="138"/>
      <c r="BF17" s="109"/>
      <c r="BG17" s="138"/>
      <c r="BH17" s="16"/>
      <c r="BI17" s="16"/>
      <c r="BJ17" s="16"/>
      <c r="BK17" s="8"/>
      <c r="BL17" s="8"/>
      <c r="BM17" s="27"/>
    </row>
    <row r="18" spans="1:65" ht="17.25" customHeight="1">
      <c r="A18" s="8"/>
      <c r="B18" s="8"/>
      <c r="C18" s="204"/>
      <c r="D18" s="256" t="str">
        <f>IF($AB$1="English","Inf/Vent Gain (W)","Infiltrations-/Lüftungswärme (W)")</f>
        <v>Inf/Vent Gain (W)</v>
      </c>
      <c r="E18" s="270"/>
      <c r="F18" s="275"/>
      <c r="G18" s="276"/>
      <c r="H18" s="271"/>
      <c r="I18" s="512" t="s">
        <v>485</v>
      </c>
      <c r="J18" s="513" t="str">
        <f ca="1">AC51&amp;" ac/h"</f>
        <v>0 ac/h</v>
      </c>
      <c r="K18" s="260" t="s">
        <v>148</v>
      </c>
      <c r="L18" s="418">
        <f ca="1">AC26</f>
        <v>0.2</v>
      </c>
      <c r="M18" s="263"/>
      <c r="N18" s="261">
        <f ca="1">$AC$62</f>
        <v>29.720623016357422</v>
      </c>
      <c r="O18" s="263"/>
      <c r="P18" s="261"/>
      <c r="Q18" s="260" t="s">
        <v>148</v>
      </c>
      <c r="R18" s="418">
        <f ca="1">AC55</f>
        <v>0</v>
      </c>
      <c r="S18" s="263"/>
      <c r="T18" s="261">
        <f ca="1">$AC$92</f>
        <v>-126.80799865722656</v>
      </c>
      <c r="U18" s="262"/>
      <c r="V18" s="261"/>
      <c r="W18" s="269"/>
      <c r="X18" s="269"/>
      <c r="Y18" s="269"/>
      <c r="Z18" s="204"/>
      <c r="AA18" s="8"/>
      <c r="AB18" s="422">
        <f t="shared" si="0"/>
        <v>9</v>
      </c>
      <c r="AC18" s="451" t="str">
        <f ca="1">OFFSET(Data!$A$2,$AC$8,AB18,1,1)</f>
        <v>VAV</v>
      </c>
      <c r="AD18" s="490" t="s">
        <v>535</v>
      </c>
      <c r="AE18" s="445" t="s">
        <v>162</v>
      </c>
      <c r="AF18" s="162">
        <f ca="1">ROUND(Construction!T9,1)</f>
        <v>0</v>
      </c>
      <c r="AG18" s="472" t="s">
        <v>157</v>
      </c>
      <c r="AH18" s="129" t="s">
        <v>195</v>
      </c>
      <c r="AI18" s="173" t="str">
        <f>IFERROR(VLOOKUP(AI17,FCU_List,2,0),"")</f>
        <v/>
      </c>
      <c r="AJ18" s="147"/>
      <c r="AK18" s="129"/>
      <c r="AL18" s="8"/>
      <c r="AM18" s="8"/>
      <c r="AN18" s="8"/>
      <c r="AO18" s="37" t="s">
        <v>73</v>
      </c>
      <c r="AP18" s="51"/>
      <c r="AQ18" s="48"/>
      <c r="AR18" s="49"/>
      <c r="AS18" s="50"/>
      <c r="AT18" s="40"/>
      <c r="AU18" s="52"/>
      <c r="AV18" s="63"/>
      <c r="AW18" s="108"/>
      <c r="AX18" s="109"/>
      <c r="AY18" s="138"/>
      <c r="AZ18" s="109"/>
      <c r="BA18" s="138"/>
      <c r="BB18" s="63"/>
      <c r="BC18" s="108">
        <v>0</v>
      </c>
      <c r="BD18" s="109"/>
      <c r="BE18" s="138"/>
      <c r="BF18" s="109"/>
      <c r="BG18" s="138"/>
      <c r="BH18" s="16"/>
      <c r="BI18" s="16"/>
      <c r="BJ18" s="16"/>
      <c r="BK18" s="8"/>
      <c r="BL18" s="8"/>
      <c r="BM18" s="27"/>
    </row>
    <row r="19" spans="1:65" ht="17.25" customHeight="1">
      <c r="A19" s="8"/>
      <c r="B19" s="8"/>
      <c r="C19" s="204"/>
      <c r="D19" s="458"/>
      <c r="E19" s="459"/>
      <c r="F19" s="460"/>
      <c r="G19" s="461"/>
      <c r="H19" s="453"/>
      <c r="I19" s="462"/>
      <c r="J19" s="463"/>
      <c r="K19" s="260"/>
      <c r="L19" s="261"/>
      <c r="M19" s="263"/>
      <c r="N19" s="261"/>
      <c r="O19" s="263"/>
      <c r="P19" s="261"/>
      <c r="Q19" s="264"/>
      <c r="R19" s="261"/>
      <c r="S19" s="263"/>
      <c r="T19" s="261"/>
      <c r="U19" s="262"/>
      <c r="V19" s="261"/>
      <c r="W19" s="269"/>
      <c r="X19" s="269"/>
      <c r="Y19" s="269"/>
      <c r="Z19" s="204"/>
      <c r="AA19" s="8"/>
      <c r="AB19" s="422">
        <f t="shared" si="0"/>
        <v>6</v>
      </c>
      <c r="AC19" s="451">
        <f ca="1">OFFSET(Data!$A$2,$AC$8,AB19,1,1)</f>
        <v>0</v>
      </c>
      <c r="AD19" s="490" t="s">
        <v>532</v>
      </c>
      <c r="AE19" s="445" t="s">
        <v>163</v>
      </c>
      <c r="AF19" s="162">
        <f ca="1">ROUND(Construction!T10,1)</f>
        <v>0</v>
      </c>
      <c r="AG19" s="472" t="s">
        <v>163</v>
      </c>
      <c r="AH19" s="129"/>
      <c r="AK19" s="129"/>
      <c r="AL19" s="8"/>
      <c r="AM19" s="8"/>
      <c r="AN19" s="8"/>
      <c r="AO19" s="37"/>
      <c r="AP19" s="47"/>
      <c r="AQ19" s="48"/>
      <c r="AR19" s="49"/>
      <c r="AS19" s="50"/>
      <c r="AT19" s="40"/>
      <c r="AU19" s="10"/>
      <c r="AV19" s="63"/>
      <c r="AW19" s="108"/>
      <c r="AX19" s="109"/>
      <c r="AY19" s="108"/>
      <c r="AZ19" s="109"/>
      <c r="BA19" s="108"/>
      <c r="BB19" s="63"/>
      <c r="BC19" s="108">
        <v>0</v>
      </c>
      <c r="BD19" s="109"/>
      <c r="BE19" s="108"/>
      <c r="BF19" s="109"/>
      <c r="BG19" s="108"/>
      <c r="BH19" s="16"/>
      <c r="BI19" s="16"/>
      <c r="BJ19" s="16"/>
      <c r="BK19" s="8"/>
      <c r="BL19" s="8"/>
      <c r="BM19" s="32"/>
    </row>
    <row r="20" spans="1:65" ht="17.25" customHeight="1">
      <c r="A20" s="8"/>
      <c r="B20" s="8"/>
      <c r="C20" s="204"/>
      <c r="D20" s="256" t="str">
        <f>IF($AB$1="English","People (W)","Personen (W)")</f>
        <v>People (W)</v>
      </c>
      <c r="E20" s="274"/>
      <c r="F20" s="275"/>
      <c r="G20" s="276"/>
      <c r="H20" s="278" t="str">
        <f ca="1">"Profile : "&amp;AC38</f>
        <v>Profile : 8to19</v>
      </c>
      <c r="I20" s="272"/>
      <c r="J20" s="277" t="str">
        <f ca="1">IFERROR(AC91&amp;" hr/y","")</f>
        <v>13 hr/y</v>
      </c>
      <c r="K20" s="260" t="str">
        <f>IF($AB$1="English","Number:","Anzahl")</f>
        <v>Number:</v>
      </c>
      <c r="L20" s="279">
        <f ca="1">AC25</f>
        <v>3.2361766352000001</v>
      </c>
      <c r="M20" s="467">
        <f ca="1">IF(AC8=0,N20,N20/$F$8)</f>
        <v>10</v>
      </c>
      <c r="N20" s="261">
        <f ca="1">$AC$67</f>
        <v>242.71324157714844</v>
      </c>
      <c r="O20" s="467">
        <f ca="1">P20/$F$8</f>
        <v>7.3333335428918636</v>
      </c>
      <c r="P20" s="261">
        <f ca="1">$AC$70</f>
        <v>177.98971557617188</v>
      </c>
      <c r="Q20" s="264"/>
      <c r="R20" s="261"/>
      <c r="S20" s="468"/>
      <c r="T20" s="261"/>
      <c r="U20" s="262"/>
      <c r="V20" s="261"/>
      <c r="W20" s="269"/>
      <c r="X20" s="269"/>
      <c r="Y20" s="269"/>
      <c r="Z20" s="204"/>
      <c r="AA20" s="8"/>
      <c r="AB20" s="422">
        <f t="shared" si="0"/>
        <v>7</v>
      </c>
      <c r="AC20" s="451">
        <f ca="1">OFFSET(Data!$A$2,$AC$8,AB20,1,1)</f>
        <v>0</v>
      </c>
      <c r="AD20" s="490" t="s">
        <v>533</v>
      </c>
      <c r="AE20" s="445" t="s">
        <v>165</v>
      </c>
      <c r="AF20" s="162">
        <f ca="1">ROUND(Construction!T11,1)</f>
        <v>0</v>
      </c>
      <c r="AG20" s="472" t="s">
        <v>165</v>
      </c>
      <c r="AH20" s="189" t="s">
        <v>216</v>
      </c>
      <c r="AK20" s="129"/>
      <c r="AL20" s="8"/>
      <c r="AM20" s="8"/>
      <c r="AN20" s="8"/>
      <c r="AO20" s="37" t="s">
        <v>92</v>
      </c>
      <c r="AP20" s="47"/>
      <c r="AQ20" s="48"/>
      <c r="AR20" s="49"/>
      <c r="AS20" s="141" t="e">
        <f>"Profile : "&amp;#REF!</f>
        <v>#REF!</v>
      </c>
      <c r="AT20" s="40"/>
      <c r="AU20" s="10"/>
      <c r="AV20" s="63"/>
      <c r="AW20" s="135"/>
      <c r="AX20" s="137" t="e">
        <f>AY20/$AQ$8</f>
        <v>#DIV/0!</v>
      </c>
      <c r="AY20" s="138"/>
      <c r="AZ20" s="137" t="e">
        <f>BA20/$AQ$8</f>
        <v>#DIV/0!</v>
      </c>
      <c r="BA20" s="138"/>
      <c r="BB20" s="63"/>
      <c r="BC20" s="108">
        <v>0</v>
      </c>
      <c r="BD20" s="109"/>
      <c r="BE20" s="138"/>
      <c r="BF20" s="109"/>
      <c r="BG20" s="138"/>
      <c r="BH20" s="16"/>
      <c r="BI20" s="16"/>
      <c r="BJ20" s="16"/>
      <c r="BK20" s="8"/>
      <c r="BL20" s="8"/>
      <c r="BM20" s="32"/>
    </row>
    <row r="21" spans="1:65" ht="17.25" customHeight="1">
      <c r="A21" s="8"/>
      <c r="B21" s="8"/>
      <c r="C21" s="204"/>
      <c r="D21" s="256" t="str">
        <f>IF($AB$1="English","Lighting Gain (W)","Beleuchtungswärme (W)")</f>
        <v>Lighting Gain (W)</v>
      </c>
      <c r="E21" s="274"/>
      <c r="F21" s="275"/>
      <c r="G21" s="276"/>
      <c r="H21" s="275"/>
      <c r="I21" s="272"/>
      <c r="J21" s="277"/>
      <c r="K21" s="260"/>
      <c r="L21" s="261"/>
      <c r="M21" s="467">
        <f ca="1">IF(AC8=0,N21,N21/$F$8)</f>
        <v>8</v>
      </c>
      <c r="N21" s="261">
        <f ca="1">$AC$61</f>
        <v>194.17059326171875</v>
      </c>
      <c r="O21" s="467"/>
      <c r="P21" s="261"/>
      <c r="Q21" s="264"/>
      <c r="R21" s="261"/>
      <c r="S21" s="468"/>
      <c r="T21" s="261"/>
      <c r="U21" s="262"/>
      <c r="V21" s="261"/>
      <c r="W21" s="269"/>
      <c r="X21" s="269"/>
      <c r="Y21" s="269"/>
      <c r="Z21" s="204"/>
      <c r="AA21" s="8"/>
      <c r="AB21" s="422">
        <f t="shared" si="0"/>
        <v>20</v>
      </c>
      <c r="AC21" s="451">
        <f ca="1">OFFSET(Data!$A$2,$AC$8,AB21,1,1)</f>
        <v>0</v>
      </c>
      <c r="AD21" s="491" t="s">
        <v>551</v>
      </c>
      <c r="AE21" s="445" t="s">
        <v>166</v>
      </c>
      <c r="AF21" s="162">
        <f ca="1">ROUND(Construction!T12,1)</f>
        <v>24.3</v>
      </c>
      <c r="AG21" s="472" t="s">
        <v>183</v>
      </c>
      <c r="AH21" s="189" t="s">
        <v>217</v>
      </c>
      <c r="AI21" s="178"/>
      <c r="AJ21" s="24" t="s">
        <v>501</v>
      </c>
      <c r="AK21" s="129"/>
      <c r="AL21" s="8"/>
      <c r="AM21" s="8"/>
      <c r="AN21" s="8"/>
      <c r="AO21" s="37" t="s">
        <v>72</v>
      </c>
      <c r="AP21" s="47"/>
      <c r="AQ21" s="48"/>
      <c r="AR21" s="49"/>
      <c r="AS21" s="48"/>
      <c r="AT21" s="40"/>
      <c r="AU21" s="10"/>
      <c r="AV21" s="63"/>
      <c r="AW21" s="108"/>
      <c r="AX21" s="137" t="e">
        <f>AY21/$AQ$8</f>
        <v>#DIV/0!</v>
      </c>
      <c r="AY21" s="138"/>
      <c r="AZ21" s="109"/>
      <c r="BA21" s="138"/>
      <c r="BB21" s="63"/>
      <c r="BC21" s="108">
        <v>0</v>
      </c>
      <c r="BD21" s="109"/>
      <c r="BE21" s="138"/>
      <c r="BF21" s="109"/>
      <c r="BG21" s="138"/>
      <c r="BH21" s="16"/>
      <c r="BI21" s="16"/>
      <c r="BJ21" s="16"/>
      <c r="BK21" s="8"/>
      <c r="BL21" s="8"/>
      <c r="BM21" s="32"/>
    </row>
    <row r="22" spans="1:65" ht="17.25" customHeight="1">
      <c r="A22" s="8"/>
      <c r="B22" s="8"/>
      <c r="C22" s="204"/>
      <c r="D22" s="256" t="str">
        <f>IF($AB$1="English","Equipment Sensible Gain (W)","Sensible Maschinen- und Gerätewärme (W)")</f>
        <v>Equipment Sensible Gain (W)</v>
      </c>
      <c r="E22" s="257"/>
      <c r="F22" s="258"/>
      <c r="G22" s="258"/>
      <c r="H22" s="275"/>
      <c r="I22" s="272"/>
      <c r="J22" s="277"/>
      <c r="K22" s="260"/>
      <c r="L22" s="261"/>
      <c r="M22" s="467">
        <f ca="1">IF(AC8=0,N22,N22/$F$8)</f>
        <v>20</v>
      </c>
      <c r="N22" s="261">
        <f ca="1">$AC$68</f>
        <v>485.42648315429688</v>
      </c>
      <c r="O22" s="467"/>
      <c r="P22" s="261"/>
      <c r="Q22" s="264"/>
      <c r="R22" s="261"/>
      <c r="S22" s="468"/>
      <c r="T22" s="261"/>
      <c r="U22" s="262"/>
      <c r="V22" s="261"/>
      <c r="W22" s="269"/>
      <c r="X22" s="269"/>
      <c r="Y22" s="269"/>
      <c r="Z22" s="204"/>
      <c r="AA22" s="8"/>
      <c r="AB22" s="422">
        <f t="shared" si="0"/>
        <v>17</v>
      </c>
      <c r="AC22" s="451">
        <f ca="1">OFFSET(Data!$A$2,$AC$8,AB22,1,1)</f>
        <v>24.271324157714844</v>
      </c>
      <c r="AD22" s="490" t="s">
        <v>548</v>
      </c>
      <c r="AE22" s="445" t="s">
        <v>184</v>
      </c>
      <c r="AF22" s="162">
        <f ca="1">ROUND(Construction!T13,1)</f>
        <v>0</v>
      </c>
      <c r="AG22" s="472" t="s">
        <v>184</v>
      </c>
      <c r="AI22" s="178" t="str">
        <f ca="1">IFERROR(ROUND(VLOOKUP($AC$15,FCU_System,2,FALSE), 0),"")</f>
        <v/>
      </c>
      <c r="AJ22" s="189" t="s">
        <v>209</v>
      </c>
      <c r="AK22" s="129"/>
      <c r="AL22" s="8"/>
      <c r="AM22" s="8"/>
      <c r="AN22" s="8"/>
      <c r="AO22" s="37" t="s">
        <v>74</v>
      </c>
      <c r="AP22" s="38"/>
      <c r="AQ22" s="9"/>
      <c r="AR22" s="9"/>
      <c r="AS22" s="48"/>
      <c r="AT22" s="40"/>
      <c r="AU22" s="10"/>
      <c r="AV22" s="63"/>
      <c r="AW22" s="108"/>
      <c r="AX22" s="137" t="e">
        <f>AY22/$AQ$8</f>
        <v>#DIV/0!</v>
      </c>
      <c r="AY22" s="138"/>
      <c r="AZ22" s="109"/>
      <c r="BA22" s="138"/>
      <c r="BB22" s="63"/>
      <c r="BC22" s="108">
        <v>0</v>
      </c>
      <c r="BD22" s="109"/>
      <c r="BE22" s="138"/>
      <c r="BF22" s="109"/>
      <c r="BG22" s="138"/>
      <c r="BH22" s="16"/>
      <c r="BI22" s="16"/>
      <c r="BJ22" s="16"/>
      <c r="BK22" s="8"/>
      <c r="BL22" s="8"/>
      <c r="BM22" s="32"/>
    </row>
    <row r="23" spans="1:65" ht="17.25" customHeight="1">
      <c r="A23" s="8"/>
      <c r="B23" s="8"/>
      <c r="C23" s="204"/>
      <c r="D23" s="256" t="str">
        <f>IF($AB$1="English","Equipment Latent Gain (W)","Latente Maschinen- und Gerätewärme (W)")</f>
        <v>Equipment Latent Gain (W)</v>
      </c>
      <c r="E23" s="280"/>
      <c r="F23" s="246"/>
      <c r="G23" s="258"/>
      <c r="H23" s="258"/>
      <c r="I23" s="272"/>
      <c r="J23" s="277"/>
      <c r="K23" s="260"/>
      <c r="L23" s="261"/>
      <c r="M23" s="467">
        <f ca="1">IF(AC8=0,N23,N23/$F$8)</f>
        <v>0</v>
      </c>
      <c r="N23" s="261">
        <f ca="1">$AC$69</f>
        <v>0</v>
      </c>
      <c r="O23" s="467">
        <f ca="1">P23/$F$8</f>
        <v>0</v>
      </c>
      <c r="P23" s="261">
        <f ca="1">$AC$69</f>
        <v>0</v>
      </c>
      <c r="Q23" s="264"/>
      <c r="R23" s="261"/>
      <c r="S23" s="468"/>
      <c r="T23" s="261"/>
      <c r="U23" s="262"/>
      <c r="V23" s="261"/>
      <c r="W23" s="269"/>
      <c r="X23" s="269"/>
      <c r="Y23" s="269"/>
      <c r="Z23" s="204"/>
      <c r="AA23" s="8"/>
      <c r="AB23" s="422">
        <f t="shared" si="0"/>
        <v>19</v>
      </c>
      <c r="AC23" s="451">
        <f ca="1">OFFSET(Data!$A$2,$AC$8,AB23,1,1)</f>
        <v>72.813972473144531</v>
      </c>
      <c r="AD23" s="490" t="s">
        <v>550</v>
      </c>
      <c r="AE23" s="445" t="s">
        <v>167</v>
      </c>
      <c r="AF23" s="162">
        <f ca="1">ROUND(Construction!T14,1)</f>
        <v>42.3</v>
      </c>
      <c r="AG23" s="472" t="s">
        <v>185</v>
      </c>
      <c r="AI23" s="178" t="str">
        <f ca="1">IFERROR(ROUND(VLOOKUP($AC$15,FCU_System,3,FALSE), 0),"")</f>
        <v/>
      </c>
      <c r="AJ23" s="189" t="s">
        <v>214</v>
      </c>
      <c r="AK23" s="129"/>
      <c r="AL23" s="8"/>
      <c r="AM23" s="8"/>
      <c r="AN23" s="8"/>
      <c r="AO23" s="37" t="s">
        <v>75</v>
      </c>
      <c r="AP23" s="53"/>
      <c r="AQ23" s="54"/>
      <c r="AR23" s="9"/>
      <c r="AS23" s="9"/>
      <c r="AT23" s="40"/>
      <c r="AU23" s="10"/>
      <c r="AV23" s="63"/>
      <c r="AW23" s="108"/>
      <c r="AX23" s="137"/>
      <c r="AY23" s="108"/>
      <c r="AZ23" s="137" t="e">
        <f>BA23/$AQ$8</f>
        <v>#DIV/0!</v>
      </c>
      <c r="BA23" s="108"/>
      <c r="BB23" s="63"/>
      <c r="BC23" s="108">
        <v>0</v>
      </c>
      <c r="BD23" s="109"/>
      <c r="BE23" s="108"/>
      <c r="BF23" s="109"/>
      <c r="BG23" s="108"/>
      <c r="BH23" s="16"/>
      <c r="BI23" s="16"/>
      <c r="BJ23" s="16"/>
      <c r="BK23" s="8"/>
      <c r="BL23" s="8"/>
      <c r="BM23" s="32"/>
    </row>
    <row r="24" spans="1:65" ht="17.25" customHeight="1">
      <c r="A24" s="8"/>
      <c r="B24" s="8"/>
      <c r="C24" s="204"/>
      <c r="D24" s="256" t="str">
        <f>IF($AB$1="English","Miscellaneous","Sonstiges")</f>
        <v>Miscellaneous</v>
      </c>
      <c r="E24" s="280"/>
      <c r="F24" s="246"/>
      <c r="G24" s="246"/>
      <c r="H24" s="246"/>
      <c r="I24" s="246"/>
      <c r="J24" s="247"/>
      <c r="K24" s="260"/>
      <c r="L24" s="281"/>
      <c r="M24" s="467"/>
      <c r="N24" s="261"/>
      <c r="O24" s="467"/>
      <c r="P24" s="261"/>
      <c r="Q24" s="264"/>
      <c r="R24" s="281"/>
      <c r="S24" s="468"/>
      <c r="T24" s="261"/>
      <c r="U24" s="262"/>
      <c r="V24" s="261"/>
      <c r="W24" s="269"/>
      <c r="X24" s="269"/>
      <c r="Y24" s="269"/>
      <c r="Z24" s="204"/>
      <c r="AA24" s="8"/>
      <c r="AB24" s="422"/>
      <c r="AC24" s="451" t="str">
        <f ca="1">OFFSET(Data!$A$2,$AC$8,AB24,1,1)</f>
        <v>0_002 Cell 1.2</v>
      </c>
      <c r="AD24" s="129" t="s">
        <v>131</v>
      </c>
      <c r="AE24" s="445" t="s">
        <v>168</v>
      </c>
      <c r="AF24" s="162">
        <f ca="1">ROUND(Construction!T15,1)</f>
        <v>24.3</v>
      </c>
      <c r="AG24" s="472" t="s">
        <v>168</v>
      </c>
      <c r="AI24" s="178" t="str">
        <f ca="1">IFERROR(ROUND(VLOOKUP($AC$15,FCU_System,4,FALSE), 0),"")</f>
        <v/>
      </c>
      <c r="AJ24" s="189" t="s">
        <v>210</v>
      </c>
      <c r="AK24" s="129"/>
      <c r="AL24" s="8"/>
      <c r="AM24" s="8"/>
      <c r="AN24" s="8"/>
      <c r="AO24" s="37" t="s">
        <v>65</v>
      </c>
      <c r="AP24" s="53"/>
      <c r="AQ24" s="54"/>
      <c r="AR24" s="54"/>
      <c r="AS24" s="54"/>
      <c r="AT24" s="54"/>
      <c r="AU24" s="55"/>
      <c r="AV24" s="63"/>
      <c r="AW24" s="110"/>
      <c r="AX24" s="137"/>
      <c r="AY24" s="108"/>
      <c r="AZ24" s="109"/>
      <c r="BA24" s="108"/>
      <c r="BB24" s="63"/>
      <c r="BC24" s="110" t="s">
        <v>80</v>
      </c>
      <c r="BD24" s="109"/>
      <c r="BE24" s="108"/>
      <c r="BF24" s="109"/>
      <c r="BG24" s="108"/>
      <c r="BH24" s="16"/>
      <c r="BI24" s="16"/>
      <c r="BJ24" s="16"/>
      <c r="BK24" s="8"/>
      <c r="BL24" s="8"/>
      <c r="BM24" s="32"/>
    </row>
    <row r="25" spans="1:65" ht="17.25" customHeight="1">
      <c r="A25" s="8"/>
      <c r="B25" s="8"/>
      <c r="C25" s="204"/>
      <c r="D25" s="282" t="str">
        <f>IF($AB$1="English","Safety factor (%)","Sicherheitsfaktor")</f>
        <v>Safety factor (%)</v>
      </c>
      <c r="E25" s="283"/>
      <c r="F25" s="284"/>
      <c r="G25" s="284"/>
      <c r="H25" s="284"/>
      <c r="I25" s="284"/>
      <c r="J25" s="285"/>
      <c r="K25" s="260"/>
      <c r="L25" s="261"/>
      <c r="M25" s="467"/>
      <c r="N25" s="477">
        <v>0</v>
      </c>
      <c r="O25" s="467"/>
      <c r="P25" s="261">
        <v>0</v>
      </c>
      <c r="Q25" s="264"/>
      <c r="R25" s="261"/>
      <c r="S25" s="468"/>
      <c r="T25" s="477">
        <v>0</v>
      </c>
      <c r="U25" s="262"/>
      <c r="V25" s="261"/>
      <c r="W25" s="269"/>
      <c r="X25" s="269"/>
      <c r="Y25" s="269"/>
      <c r="Z25" s="204"/>
      <c r="AA25" s="8"/>
      <c r="AB25" s="422">
        <f>HLOOKUP(AD25,DataColumn,2,0)</f>
        <v>5</v>
      </c>
      <c r="AC25" s="451">
        <f ca="1">OFFSET(Data!$A$2,$AC$8,AB25,1,1)</f>
        <v>3.2361766352000001</v>
      </c>
      <c r="AD25" s="490" t="s">
        <v>531</v>
      </c>
      <c r="AE25" s="445" t="s">
        <v>169</v>
      </c>
      <c r="AF25" s="162">
        <f ca="1">ROUND(Construction!T16,1)</f>
        <v>0</v>
      </c>
      <c r="AG25" s="472" t="s">
        <v>169</v>
      </c>
      <c r="AI25" s="178" t="str">
        <f ca="1">IFERROR(ROUND(VLOOKUP($AC$15,FCU_System,5,FALSE),0),"")</f>
        <v/>
      </c>
      <c r="AJ25" s="189" t="s">
        <v>212</v>
      </c>
      <c r="AK25" s="11"/>
      <c r="AL25" s="8"/>
      <c r="AM25" s="8"/>
      <c r="AN25" s="8"/>
      <c r="AO25" s="56" t="s">
        <v>93</v>
      </c>
      <c r="AP25" s="57"/>
      <c r="AQ25" s="58"/>
      <c r="AR25" s="58"/>
      <c r="AS25" s="58"/>
      <c r="AT25" s="58"/>
      <c r="AU25" s="59"/>
      <c r="AV25" s="63"/>
      <c r="AW25" s="108"/>
      <c r="AX25" s="109"/>
      <c r="AY25" s="108"/>
      <c r="AZ25" s="109"/>
      <c r="BA25" s="108"/>
      <c r="BB25" s="63"/>
      <c r="BC25" s="108">
        <v>0</v>
      </c>
      <c r="BD25" s="109"/>
      <c r="BE25" s="108"/>
      <c r="BF25" s="109"/>
      <c r="BG25" s="108"/>
      <c r="BH25" s="16"/>
      <c r="BI25" s="16"/>
      <c r="BJ25" s="16"/>
      <c r="BK25" s="8"/>
      <c r="BL25" s="8"/>
      <c r="BM25" s="32"/>
    </row>
    <row r="26" spans="1:65" ht="17.25" customHeight="1">
      <c r="A26" s="8"/>
      <c r="B26" s="8"/>
      <c r="C26" s="204"/>
      <c r="D26" s="286" t="str">
        <f>IF($AB$1="English","Total Zone Loads","Gesamte Zonenlast")</f>
        <v>Total Zone Loads</v>
      </c>
      <c r="E26" s="246"/>
      <c r="F26" s="246"/>
      <c r="G26" s="246"/>
      <c r="H26" s="246"/>
      <c r="I26" s="246"/>
      <c r="J26" s="247"/>
      <c r="K26" s="260"/>
      <c r="L26" s="261"/>
      <c r="M26" s="467"/>
      <c r="N26" s="261">
        <f ca="1">SUM(N13:N24)-N23</f>
        <v>2143.7762565612793</v>
      </c>
      <c r="O26" s="467"/>
      <c r="P26" s="261">
        <f ca="1">P20+P23+P24</f>
        <v>177.98971557617188</v>
      </c>
      <c r="Q26" s="264"/>
      <c r="R26" s="261"/>
      <c r="S26" s="468"/>
      <c r="T26" s="261">
        <f ca="1">-AC39</f>
        <v>-937.62347412109375</v>
      </c>
      <c r="U26" s="262"/>
      <c r="V26" s="261"/>
      <c r="W26" s="269"/>
      <c r="X26" s="269"/>
      <c r="Y26" s="269"/>
      <c r="Z26" s="204"/>
      <c r="AA26" s="8"/>
      <c r="AB26" s="422">
        <f>HLOOKUP(AD26,DataColumn,2,0)</f>
        <v>11</v>
      </c>
      <c r="AC26" s="451">
        <f ca="1">OFFSET(Data!$A$2,$AC$8,AB26,1,1)</f>
        <v>0.2</v>
      </c>
      <c r="AD26" s="490" t="s">
        <v>555</v>
      </c>
      <c r="AE26" s="445" t="s">
        <v>170</v>
      </c>
      <c r="AF26" s="162">
        <f ca="1">ROUND(Construction!T17,1)</f>
        <v>0</v>
      </c>
      <c r="AG26" s="472" t="s">
        <v>170</v>
      </c>
      <c r="AI26" s="178" t="str">
        <f ca="1">IFERROR(ROUND(VLOOKUP($AC$15,FCU_System,6,FALSE), 0),"")</f>
        <v/>
      </c>
      <c r="AJ26" s="189" t="s">
        <v>218</v>
      </c>
      <c r="AK26" s="11"/>
      <c r="AL26" s="8"/>
      <c r="AM26" s="8"/>
      <c r="AN26" s="8"/>
      <c r="AO26" s="89" t="s">
        <v>94</v>
      </c>
      <c r="AP26" s="54"/>
      <c r="AQ26" s="54"/>
      <c r="AR26" s="54"/>
      <c r="AS26" s="54"/>
      <c r="AT26" s="54"/>
      <c r="AU26" s="55"/>
      <c r="AV26" s="63"/>
      <c r="AW26" s="108"/>
      <c r="AX26" s="142"/>
      <c r="AY26" s="138"/>
      <c r="AZ26" s="109"/>
      <c r="BA26" s="138"/>
      <c r="BB26" s="63"/>
      <c r="BC26" s="108">
        <v>0</v>
      </c>
      <c r="BD26" s="142"/>
      <c r="BE26" s="138"/>
      <c r="BF26" s="109"/>
      <c r="BG26" s="138"/>
      <c r="BH26" s="16"/>
      <c r="BI26" s="16"/>
      <c r="BJ26" s="16"/>
      <c r="BK26" s="8"/>
      <c r="BL26" s="8"/>
      <c r="BM26" s="32"/>
    </row>
    <row r="27" spans="1:65" ht="17.25" customHeight="1">
      <c r="A27" s="8"/>
      <c r="B27" s="8"/>
      <c r="C27" s="204"/>
      <c r="D27" s="286" t="str">
        <f>IF($AB$1="English","&gt;&gt; Total Zone Loads with safety factor","&gt;&gt; ... mit Sicherheitsfaktor")</f>
        <v>&gt;&gt; Total Zone Loads with safety factor</v>
      </c>
      <c r="E27" s="246"/>
      <c r="F27" s="246"/>
      <c r="G27" s="246"/>
      <c r="H27" s="246"/>
      <c r="I27" s="246"/>
      <c r="J27" s="247"/>
      <c r="K27" s="260"/>
      <c r="L27" s="261"/>
      <c r="M27" s="467">
        <f ca="1">IF(N26=0,0,N27/$F$8)</f>
        <v>88.325475883847162</v>
      </c>
      <c r="N27" s="471">
        <f ca="1">IF(N26=0,0,N26*(1+N25))</f>
        <v>2143.7762565612793</v>
      </c>
      <c r="O27" s="467">
        <f ca="1">IF(P26=0,0,P27/$F$8)</f>
        <v>7.3333335428918636</v>
      </c>
      <c r="P27" s="261">
        <f ca="1">IF(P26=0,0,P26*(P25/100+1))</f>
        <v>177.98971557617188</v>
      </c>
      <c r="Q27" s="264"/>
      <c r="R27" s="261"/>
      <c r="S27" s="467">
        <f ca="1">IF(T26=0,0,T27/$F$8)</f>
        <v>-38.630915562267013</v>
      </c>
      <c r="T27" s="515">
        <f ca="1">IF(T26=0,0,T26*(1+T25))</f>
        <v>-937.62347412109375</v>
      </c>
      <c r="U27" s="262"/>
      <c r="V27" s="261"/>
      <c r="W27" s="269"/>
      <c r="X27" s="269"/>
      <c r="Y27" s="269"/>
      <c r="Z27" s="204"/>
      <c r="AA27" s="8"/>
      <c r="AB27" s="422">
        <f>HLOOKUP(AD27,DataColumn,2,0)</f>
        <v>46</v>
      </c>
      <c r="AC27" s="451">
        <f ca="1">OFFSET(Data!$A$2,$AC$8,AB27,1,1)</f>
        <v>8</v>
      </c>
      <c r="AD27" s="491" t="s">
        <v>545</v>
      </c>
      <c r="AE27" s="445" t="s">
        <v>186</v>
      </c>
      <c r="AF27" s="162">
        <f ca="1">ROUND(Construction!T18,1)</f>
        <v>0</v>
      </c>
      <c r="AG27" s="472" t="s">
        <v>186</v>
      </c>
      <c r="AI27" s="178" t="str">
        <f ca="1">IFERROR(ROUND(VLOOKUP($AC$15,FCU_System,7,FALSE),0),"")</f>
        <v/>
      </c>
      <c r="AJ27" s="189" t="s">
        <v>215</v>
      </c>
      <c r="AK27" s="11"/>
      <c r="AL27" s="8"/>
      <c r="AM27" s="8"/>
      <c r="AN27" s="8"/>
      <c r="AO27" s="89" t="s">
        <v>150</v>
      </c>
      <c r="AP27" s="54"/>
      <c r="AQ27" s="54"/>
      <c r="AR27" s="54"/>
      <c r="AS27" s="54"/>
      <c r="AT27" s="54"/>
      <c r="AU27" s="55"/>
      <c r="AV27" s="63"/>
      <c r="AW27" s="108"/>
      <c r="AX27" s="137" t="e">
        <f>AY27/$AQ$8</f>
        <v>#DIV/0!</v>
      </c>
      <c r="AY27" s="138"/>
      <c r="AZ27" s="109"/>
      <c r="BA27" s="138"/>
      <c r="BB27" s="63"/>
      <c r="BC27" s="108">
        <v>0</v>
      </c>
      <c r="BD27" s="137" t="e">
        <f>BE27/$AQ$8</f>
        <v>#DIV/0!</v>
      </c>
      <c r="BE27" s="138"/>
      <c r="BF27" s="109"/>
      <c r="BG27" s="138"/>
      <c r="BH27" s="16"/>
      <c r="BI27" s="16"/>
      <c r="BJ27" s="16"/>
      <c r="BK27" s="8"/>
      <c r="BL27" s="8"/>
      <c r="BM27" s="32"/>
    </row>
    <row r="28" spans="1:65" ht="17.25" customHeight="1">
      <c r="A28" s="8"/>
      <c r="B28" s="8"/>
      <c r="C28" s="204"/>
      <c r="D28" s="218"/>
      <c r="E28" s="218"/>
      <c r="F28" s="218"/>
      <c r="G28" s="218"/>
      <c r="H28" s="218"/>
      <c r="I28" s="218"/>
      <c r="J28" s="218"/>
      <c r="K28" s="218"/>
      <c r="L28" s="218" t="str">
        <f ca="1">IF(AC81=0,"",ROUND(AC81,1))</f>
        <v/>
      </c>
      <c r="M28" s="218"/>
      <c r="N28" s="218"/>
      <c r="O28" s="218"/>
      <c r="P28" s="218"/>
      <c r="Q28" s="218"/>
      <c r="R28" s="218"/>
      <c r="S28" s="218"/>
      <c r="T28" s="287"/>
      <c r="U28" s="218"/>
      <c r="V28" s="218"/>
      <c r="W28" s="269"/>
      <c r="X28" s="269"/>
      <c r="Y28" s="218"/>
      <c r="Z28" s="204"/>
      <c r="AA28" s="8"/>
      <c r="AB28" s="422">
        <f>HLOOKUP(AD28,DataColumn,2,0)</f>
        <v>45</v>
      </c>
      <c r="AC28" s="451">
        <f ca="1">OFFSET(Data!$A$2,$AC$8,AB28,1,1)</f>
        <v>10.000000249794843</v>
      </c>
      <c r="AD28" s="491" t="s">
        <v>544</v>
      </c>
      <c r="AE28" s="445" t="s">
        <v>494</v>
      </c>
      <c r="AF28" s="162">
        <f ca="1">ROUND(Construction!T19,1)</f>
        <v>0</v>
      </c>
      <c r="AG28" s="472" t="s">
        <v>494</v>
      </c>
      <c r="AH28" s="189"/>
      <c r="AK28" s="11"/>
      <c r="AL28" s="8"/>
      <c r="AM28" s="8"/>
      <c r="AN28" s="8"/>
      <c r="AO28" s="28"/>
      <c r="AP28" s="28"/>
      <c r="AQ28" s="28"/>
      <c r="AR28" s="28"/>
      <c r="AS28" s="28"/>
      <c r="AT28" s="28"/>
      <c r="AU28" s="28"/>
      <c r="AV28" s="28"/>
      <c r="AW28" s="28"/>
      <c r="AX28" s="28"/>
      <c r="AY28" s="28"/>
      <c r="AZ28" s="28"/>
      <c r="BA28" s="28"/>
      <c r="BB28" s="28"/>
      <c r="BC28" s="28"/>
      <c r="BD28" s="28"/>
      <c r="BE28" s="17"/>
      <c r="BF28" s="28"/>
      <c r="BG28" s="28"/>
      <c r="BH28" s="16"/>
      <c r="BI28" s="16"/>
      <c r="BJ28" s="28"/>
      <c r="BK28" s="8"/>
      <c r="BL28" s="8"/>
      <c r="BM28" s="32"/>
    </row>
    <row r="29" spans="1:65" ht="17.25" customHeight="1">
      <c r="A29" s="8"/>
      <c r="B29" s="8"/>
      <c r="C29" s="204"/>
      <c r="D29" s="265" t="str">
        <f>IF(N29="","","Terminal Unit")</f>
        <v/>
      </c>
      <c r="E29" s="280"/>
      <c r="F29" s="246"/>
      <c r="G29" s="246"/>
      <c r="H29" s="288" t="str">
        <f ca="1">IF(L28="","",IF(AC81&gt;0,"OSA = ",""))</f>
        <v/>
      </c>
      <c r="I29" s="289" t="str">
        <f ca="1">IF(H29="", "",CEILING(AC44,5) &amp;" l/s")</f>
        <v/>
      </c>
      <c r="J29" s="247"/>
      <c r="K29" s="260" t="str">
        <f ca="1">IF(L28="","",IF(AC81=AC44,"","TSA = "))</f>
        <v/>
      </c>
      <c r="L29" s="290" t="str">
        <f ca="1">IF($AC$81&gt;0,ROUND($AC$81,1) &amp;" l/s","")</f>
        <v/>
      </c>
      <c r="M29" s="291"/>
      <c r="N29" s="290" t="str">
        <f>IF($AI$21=1,$AI$25 &amp;" W","")</f>
        <v/>
      </c>
      <c r="O29" s="292"/>
      <c r="P29" s="293" t="str">
        <f>IF($AI$21=1,$AI$27 &amp;" W","")</f>
        <v/>
      </c>
      <c r="Q29" s="260"/>
      <c r="R29" s="294"/>
      <c r="S29" s="292"/>
      <c r="T29" s="290" t="str">
        <f>IF($AI$21=1,$AI$22  &amp;" W","")</f>
        <v/>
      </c>
      <c r="U29" s="292"/>
      <c r="V29" s="290"/>
      <c r="W29" s="269"/>
      <c r="X29" s="269"/>
      <c r="Y29" s="218"/>
      <c r="Z29" s="204"/>
      <c r="AA29" s="8"/>
      <c r="AB29" s="422"/>
      <c r="AC29" s="451" t="str">
        <f ca="1">OFFSET(Data!$A$2,$AC$8,AB29,1,1)</f>
        <v>0_002 Cell 1.2</v>
      </c>
      <c r="AD29" s="129" t="s">
        <v>138</v>
      </c>
      <c r="AE29" s="445" t="s">
        <v>495</v>
      </c>
      <c r="AF29" s="162">
        <f ca="1">ROUND(Construction!T20,1)</f>
        <v>0</v>
      </c>
      <c r="AG29" s="474" t="s">
        <v>495</v>
      </c>
      <c r="AH29" s="189"/>
      <c r="AK29" s="11"/>
      <c r="AL29" s="8"/>
      <c r="AM29" s="8"/>
      <c r="AN29" s="8"/>
      <c r="AO29" s="42" t="s">
        <v>146</v>
      </c>
      <c r="AP29" s="53"/>
      <c r="AQ29" s="54"/>
      <c r="AR29" s="54"/>
      <c r="AS29" s="54"/>
      <c r="AT29" s="54"/>
      <c r="AU29" s="55"/>
      <c r="AV29" s="63" t="s">
        <v>147</v>
      </c>
      <c r="AW29" s="140"/>
      <c r="AX29" s="137"/>
      <c r="AY29" s="108"/>
      <c r="AZ29" s="109"/>
      <c r="BA29" s="108"/>
      <c r="BB29" s="63"/>
      <c r="BC29" s="110"/>
      <c r="BD29" s="109"/>
      <c r="BE29" s="108"/>
      <c r="BF29" s="109"/>
      <c r="BG29" s="108"/>
      <c r="BH29" s="16"/>
      <c r="BI29" s="16"/>
      <c r="BJ29" s="28"/>
      <c r="BK29" s="8"/>
      <c r="BL29" s="8"/>
      <c r="BM29" s="27"/>
    </row>
    <row r="30" spans="1:65" ht="17.25" customHeight="1">
      <c r="A30" s="8"/>
      <c r="B30" s="15"/>
      <c r="C30" s="204"/>
      <c r="D30" s="503" t="s">
        <v>586</v>
      </c>
      <c r="E30" s="503"/>
      <c r="F30" s="503" t="s">
        <v>587</v>
      </c>
      <c r="G30" s="504"/>
      <c r="H30" s="504" t="str">
        <f ca="1">IFERROR(AC85&amp;"%","")</f>
        <v>0%</v>
      </c>
      <c r="I30" s="503" t="s">
        <v>588</v>
      </c>
      <c r="J30" s="504"/>
      <c r="K30" s="504" t="str">
        <f ca="1">IFERROR(AC86&amp;"%","")</f>
        <v>0%</v>
      </c>
      <c r="L30" s="522" t="s">
        <v>589</v>
      </c>
      <c r="M30" s="522"/>
      <c r="N30" s="504">
        <f ca="1">IFERROR(AC87,"")</f>
        <v>0</v>
      </c>
      <c r="O30" s="522" t="s">
        <v>590</v>
      </c>
      <c r="P30" s="522"/>
      <c r="Q30" s="504">
        <f ca="1">IFERROR(AC88,"")</f>
        <v>0</v>
      </c>
      <c r="R30" s="504"/>
      <c r="S30" s="504"/>
      <c r="T30" s="505"/>
      <c r="U30" s="506"/>
      <c r="V30" s="507"/>
      <c r="W30" s="295"/>
      <c r="X30" s="295"/>
      <c r="Y30" s="218"/>
      <c r="Z30" s="218"/>
      <c r="AA30" s="28"/>
      <c r="AB30" s="448">
        <f>HLOOKUP(AD30,DataColumn,2,0)</f>
        <v>44</v>
      </c>
      <c r="AC30" s="451">
        <f ca="1">OFFSET(Data!$A$2,$AC$8,AB30,1,1)</f>
        <v>20</v>
      </c>
      <c r="AD30" s="491" t="s">
        <v>543</v>
      </c>
      <c r="AE30" s="445" t="s">
        <v>496</v>
      </c>
      <c r="AF30" s="162">
        <f ca="1">ROUND(Construction!T21,1)</f>
        <v>0</v>
      </c>
      <c r="AG30" s="474" t="s">
        <v>496</v>
      </c>
      <c r="AH30" s="189"/>
      <c r="AK30" s="28"/>
      <c r="AL30" s="8"/>
      <c r="AM30" s="15"/>
      <c r="AN30" s="8"/>
      <c r="AO30" s="57" t="s">
        <v>154</v>
      </c>
      <c r="AP30" s="28"/>
      <c r="AQ30" s="28"/>
      <c r="AR30" s="28"/>
      <c r="AS30" s="28"/>
      <c r="AT30" s="28"/>
      <c r="AU30" s="28"/>
      <c r="AV30" s="28"/>
      <c r="AW30" s="28"/>
      <c r="AX30" s="28"/>
      <c r="AY30" s="28"/>
      <c r="AZ30" s="28"/>
      <c r="BA30" s="28"/>
      <c r="BB30" s="28"/>
      <c r="BC30" s="28"/>
      <c r="BD30" s="28"/>
      <c r="BE30" s="17"/>
      <c r="BG30" s="28"/>
      <c r="BI30" s="28"/>
      <c r="BJ30" s="28"/>
      <c r="BK30" s="28"/>
      <c r="BL30" s="28"/>
      <c r="BM30" s="28"/>
    </row>
    <row r="31" spans="1:65" ht="17.25" customHeight="1">
      <c r="A31" s="8"/>
      <c r="B31" s="15"/>
      <c r="C31" s="296" t="str">
        <f ca="1">IF(AC32=150,"* T-STAT  = 150°C, No Cooling","")</f>
        <v/>
      </c>
      <c r="D31" s="501" t="str">
        <f>IF($AB$1="English","Areas:","Bereiche:")</f>
        <v>Areas:</v>
      </c>
      <c r="E31" s="469" t="str">
        <f>IF($AB$1="English","Internal -&gt;","Innen -&gt;")</f>
        <v>Internal -&gt;</v>
      </c>
      <c r="F31" s="469"/>
      <c r="G31" s="470" t="str">
        <f ca="1">"iWall ="&amp;AF17&amp;"m²"</f>
        <v>iWall =25m²</v>
      </c>
      <c r="H31" s="469"/>
      <c r="I31" s="470" t="str">
        <f ca="1">"iCeiling ="&amp;$AF$18&amp;"m²"</f>
        <v>iCeiling =0m²</v>
      </c>
      <c r="J31" s="469"/>
      <c r="K31" s="470" t="str">
        <f ca="1">" iFloor ="&amp;$AF$16&amp;"m²"</f>
        <v xml:space="preserve"> iFloor =0m²</v>
      </c>
      <c r="L31" s="297"/>
      <c r="M31" s="470" t="str">
        <f ca="1">"iWindow ="&amp;$AF$19&amp;"m²"</f>
        <v>iWindow =0m²</v>
      </c>
      <c r="N31" s="445"/>
      <c r="O31" s="470" t="str">
        <f ca="1">"iFrame ="&amp;AF32&amp;"m²"</f>
        <v>iFrame =0m²</v>
      </c>
      <c r="P31" s="445"/>
      <c r="Q31" s="470" t="str">
        <f ca="1">"iDoor ="&amp;$AF$30&amp;"m²"</f>
        <v>iDoor =0m²</v>
      </c>
      <c r="R31" s="445"/>
      <c r="S31" s="470" t="str">
        <f ca="1">"iFrameDoor ="&amp;AF31&amp;"m²"</f>
        <v>iFrameDoor =0m²</v>
      </c>
      <c r="T31" s="445"/>
      <c r="U31" s="297"/>
      <c r="V31" s="297"/>
      <c r="W31" s="297"/>
      <c r="X31" s="295"/>
      <c r="Y31" s="295"/>
      <c r="Z31" s="204"/>
      <c r="AA31" s="8"/>
      <c r="AB31" s="422"/>
      <c r="AC31" s="451" t="str">
        <f ca="1">OFFSET(Data!$A$2,$AC$8,AB31,1,1)</f>
        <v>0_002 Cell 1.2</v>
      </c>
      <c r="AD31" s="129" t="s">
        <v>139</v>
      </c>
      <c r="AE31" s="445" t="s">
        <v>498</v>
      </c>
      <c r="AF31" s="162">
        <f ca="1">ROUND(Construction!T22,1)</f>
        <v>0</v>
      </c>
      <c r="AG31" s="474" t="s">
        <v>497</v>
      </c>
      <c r="AH31" s="189"/>
      <c r="AK31" s="11"/>
      <c r="AL31" s="8">
        <v>-4.6999999999999886</v>
      </c>
      <c r="AM31" s="15">
        <v>92.2</v>
      </c>
      <c r="AN31" s="22" t="e">
        <f>IF(#REF!=150,"* T-STAT  = 150°C, No Cooling","")</f>
        <v>#REF!</v>
      </c>
      <c r="AO31" s="148"/>
      <c r="AP31" s="148"/>
      <c r="AQ31" s="148"/>
      <c r="AR31" s="148"/>
      <c r="AS31" s="148" t="s">
        <v>158</v>
      </c>
      <c r="AT31" s="148"/>
      <c r="AU31" s="22" t="e">
        <f>"iWall ="&amp;#REF!&amp;"m²"</f>
        <v>#REF!</v>
      </c>
      <c r="AV31" s="148"/>
      <c r="AW31" s="22" t="str">
        <f ca="1">"iCeiling ="&amp;$AF$18&amp;"m²"</f>
        <v>iCeiling =0m²</v>
      </c>
      <c r="AX31" s="148"/>
      <c r="AY31" s="22" t="str">
        <f ca="1">"iWindow ="&amp;$AF$19&amp;"m²"</f>
        <v>iWindow =0m²</v>
      </c>
      <c r="AZ31" s="148"/>
      <c r="BA31" s="148"/>
      <c r="BB31" s="22" t="e">
        <f>"iFrame ="&amp;#REF!&amp;"m²"</f>
        <v>#REF!</v>
      </c>
      <c r="BC31" s="148"/>
      <c r="BD31" s="22" t="e">
        <f>"Below Grade Wall ="&amp;#REF!&amp;"m²"</f>
        <v>#REF!</v>
      </c>
      <c r="BE31" s="148"/>
      <c r="BF31" s="148"/>
      <c r="BG31" s="148"/>
      <c r="BI31" s="148"/>
      <c r="BJ31" s="148"/>
      <c r="BK31" s="8"/>
      <c r="BL31" s="8"/>
      <c r="BM31" s="27"/>
    </row>
    <row r="32" spans="1:65" ht="14.25" customHeight="1">
      <c r="A32" s="8"/>
      <c r="B32" s="15"/>
      <c r="C32" s="204" t="str">
        <f ca="1">IF(AC34=-50,"** T-STAT  = -50°C, No Heating","")</f>
        <v/>
      </c>
      <c r="D32" s="469"/>
      <c r="E32" s="469" t="str">
        <f>IF($AB$1="English","External -&gt;","Außen -&gt;")</f>
        <v>External -&gt;</v>
      </c>
      <c r="F32" s="469"/>
      <c r="G32" s="470" t="str">
        <f ca="1">"eWall ="&amp;AF23&amp;"m²"</f>
        <v>eWall =42.3m²</v>
      </c>
      <c r="H32" s="469"/>
      <c r="I32" s="470" t="str">
        <f ca="1">"Roof ="&amp;AF24&amp;"m²"</f>
        <v>Roof =24.3m²</v>
      </c>
      <c r="J32" s="297"/>
      <c r="K32" s="470" t="str">
        <f ca="1">"eWindow ="&amp;AF25&amp;"m²"</f>
        <v>eWindow =0m²</v>
      </c>
      <c r="L32" s="297"/>
      <c r="M32" s="297"/>
      <c r="N32" s="470" t="str">
        <f ca="1">"eFrame ="&amp;AF26&amp;"m²"</f>
        <v>eFrame =0m²</v>
      </c>
      <c r="O32" s="297"/>
      <c r="P32" s="470" t="str">
        <f ca="1">"Below Grade Wall ="&amp;AF20&amp;"m²"</f>
        <v>Below Grade Wall =0m²</v>
      </c>
      <c r="Q32" s="502"/>
      <c r="R32" s="297"/>
      <c r="S32" s="470" t="str">
        <f ca="1">" Ground Slab ="&amp;AF21&amp;"m²"</f>
        <v xml:space="preserve"> Ground Slab =24.3m²</v>
      </c>
      <c r="T32" s="297"/>
      <c r="V32" s="297"/>
      <c r="W32" s="208"/>
      <c r="X32" s="204"/>
      <c r="Y32" s="204"/>
      <c r="Z32" s="204"/>
      <c r="AA32" s="8"/>
      <c r="AB32" s="422">
        <f>HLOOKUP(AD32,DataColumn,2,0)</f>
        <v>62</v>
      </c>
      <c r="AC32" s="451">
        <f ca="1">OFFSET(Data!$A$2,$AC$8,AB32,1,1)</f>
        <v>2143.8662109375</v>
      </c>
      <c r="AD32" s="176" t="s">
        <v>478</v>
      </c>
      <c r="AE32" s="445" t="s">
        <v>164</v>
      </c>
      <c r="AF32" s="162">
        <f ca="1">ROUND(Construction!T23,1)</f>
        <v>0</v>
      </c>
      <c r="AG32" s="474" t="s">
        <v>164</v>
      </c>
      <c r="AH32" s="189"/>
      <c r="AK32" s="11"/>
      <c r="AL32" s="8"/>
      <c r="AM32" s="15"/>
      <c r="AN32" s="441" t="e">
        <f>IF(#REF!=-50,"** T-STAT  = -50°C, No Heating","")</f>
        <v>#REF!</v>
      </c>
      <c r="AO32" s="148"/>
      <c r="AP32" s="148"/>
      <c r="AQ32" s="148"/>
      <c r="AR32" s="148"/>
      <c r="AS32" s="148" t="s">
        <v>159</v>
      </c>
      <c r="AT32" s="148"/>
      <c r="AU32" s="22" t="e">
        <f>"eWall ="&amp;#REF!&amp;"m²"</f>
        <v>#REF!</v>
      </c>
      <c r="AV32" s="148"/>
      <c r="AW32" s="22" t="e">
        <f>"Roof ="&amp;#REF!&amp;"m²"</f>
        <v>#REF!</v>
      </c>
      <c r="AX32" s="8"/>
      <c r="AY32" s="22" t="e">
        <f>"eWindow ="&amp;#REF!&amp;"m²"</f>
        <v>#REF!</v>
      </c>
      <c r="AZ32" s="8"/>
      <c r="BB32" s="22" t="e">
        <f>"eFrame ="&amp;#REF!&amp;"m²"</f>
        <v>#REF!</v>
      </c>
      <c r="BC32" s="8"/>
      <c r="BE32" s="8"/>
      <c r="BF32" s="8"/>
      <c r="BG32" s="8"/>
      <c r="BI32" s="8"/>
      <c r="BJ32" s="8"/>
      <c r="BK32" s="8"/>
      <c r="BL32" s="8"/>
      <c r="BM32" s="27"/>
    </row>
    <row r="33" spans="1:65" ht="14.25" customHeight="1">
      <c r="A33" s="8"/>
      <c r="B33" s="34"/>
      <c r="C33" s="208" t="str">
        <f>IF(K3="UU","*** Unit Serving= UU, Unconditioned No Unit","")</f>
        <v/>
      </c>
      <c r="D33" s="297"/>
      <c r="E33" s="297"/>
      <c r="F33" s="297"/>
      <c r="G33" s="470" t="str">
        <f ca="1">"Exposed Floor ="&amp;AF22&amp;"m²"</f>
        <v>Exposed Floor =0m²</v>
      </c>
      <c r="H33" s="445"/>
      <c r="I33" s="445"/>
      <c r="J33" s="470" t="str">
        <f ca="1">"eDoor ="&amp;AF28&amp;"m²"</f>
        <v>eDoor =0m²</v>
      </c>
      <c r="K33" s="297"/>
      <c r="L33" s="470" t="str">
        <f ca="1">"eFrameDoor ="&amp;AF29&amp;"m²"</f>
        <v>eFrameDoor =0m²</v>
      </c>
      <c r="M33" s="445"/>
      <c r="N33" s="297"/>
      <c r="O33" s="470" t="str">
        <f ca="1">"Null-Air ="&amp;AF27&amp;"m²"</f>
        <v>Null-Air =0m²</v>
      </c>
      <c r="P33" s="297"/>
      <c r="Q33" s="297"/>
      <c r="R33" s="297"/>
      <c r="S33" s="297"/>
      <c r="T33" s="297"/>
      <c r="U33" s="218" t="str">
        <f>IF($AB$1="English","Page","Seite")</f>
        <v>Page</v>
      </c>
      <c r="V33" s="250">
        <f>AC8</f>
        <v>2</v>
      </c>
      <c r="W33" s="218" t="str">
        <f>"/ "&amp;AC11</f>
        <v>/ 891</v>
      </c>
      <c r="X33" s="297"/>
      <c r="Y33" s="297"/>
      <c r="Z33" s="298"/>
      <c r="AA33" s="35"/>
      <c r="AB33" s="422">
        <f>HLOOKUP(AD33,DataColumn,2,0)</f>
        <v>64</v>
      </c>
      <c r="AC33" s="451">
        <f ca="1">OFFSET(Data!$A$2,$AC$8,AB33,1,1)</f>
        <v>21</v>
      </c>
      <c r="AD33" s="492" t="s">
        <v>541</v>
      </c>
      <c r="AE33" s="19"/>
      <c r="AG33" s="19"/>
      <c r="AH33" s="187"/>
      <c r="AK33" s="11"/>
      <c r="AL33" s="8"/>
      <c r="AM33" s="34"/>
      <c r="AN33" s="445" t="e">
        <f>IF(AY3="UU","*** Unit Serving= UU, Unconditioned No Unit","")</f>
        <v>#REF!</v>
      </c>
      <c r="AO33" s="35"/>
      <c r="AP33" s="35"/>
      <c r="AQ33" s="35"/>
      <c r="AR33" s="35"/>
      <c r="AS33" s="35"/>
      <c r="AT33" s="35"/>
      <c r="AU33" s="35"/>
      <c r="AV33" s="35"/>
      <c r="AW33" s="35"/>
      <c r="AX33" s="35"/>
      <c r="AY33" s="35"/>
      <c r="AZ33" s="35"/>
      <c r="BA33" s="35"/>
      <c r="BB33" s="35"/>
      <c r="BC33" s="35"/>
      <c r="BD33" s="35"/>
      <c r="BE33" s="35"/>
      <c r="BF33" s="28" t="s">
        <v>127</v>
      </c>
      <c r="BG33" s="33" t="e">
        <f>#REF!</f>
        <v>#REF!</v>
      </c>
      <c r="BH33" s="28" t="e">
        <f>"/ "&amp;#REF!</f>
        <v>#REF!</v>
      </c>
      <c r="BI33" s="35"/>
      <c r="BJ33" s="35"/>
      <c r="BK33" s="32"/>
      <c r="BL33" s="35"/>
      <c r="BM33" s="27"/>
    </row>
    <row r="34" spans="1:65" ht="14.25" customHeight="1">
      <c r="A34" s="8"/>
      <c r="B34" s="34"/>
      <c r="C34" s="297"/>
      <c r="D34" s="297"/>
      <c r="E34" s="297"/>
      <c r="F34" s="297"/>
      <c r="G34" s="297"/>
      <c r="H34" s="297"/>
      <c r="I34" s="297"/>
      <c r="J34" s="297"/>
      <c r="K34" s="297"/>
      <c r="L34" s="297"/>
      <c r="M34" s="297"/>
      <c r="N34" s="297"/>
      <c r="O34" s="297"/>
      <c r="P34" s="297"/>
      <c r="Q34" s="297"/>
      <c r="R34" s="297"/>
      <c r="S34" s="297"/>
      <c r="T34" s="297"/>
      <c r="U34" s="297"/>
      <c r="V34" s="297"/>
      <c r="W34" s="297"/>
      <c r="X34" s="297"/>
      <c r="Y34" s="297"/>
      <c r="Z34" s="298"/>
      <c r="AA34" s="35"/>
      <c r="AB34" s="422">
        <f>HLOOKUP(AD34,DataColumn,2,0)</f>
        <v>66</v>
      </c>
      <c r="AC34" s="451">
        <f ca="1">OFFSET(Data!$A$2,$AC$8,AB34,1,1)</f>
        <v>0</v>
      </c>
      <c r="AD34" s="436" t="s">
        <v>483</v>
      </c>
      <c r="AE34" s="19"/>
      <c r="AG34" s="19"/>
      <c r="AH34" s="187"/>
      <c r="AK34" s="11"/>
      <c r="AL34" s="8"/>
      <c r="AM34" s="34"/>
      <c r="AN34" s="35"/>
      <c r="AO34" s="35"/>
      <c r="AP34" s="35"/>
      <c r="AQ34" s="35"/>
      <c r="AR34" s="35"/>
      <c r="AS34" s="35"/>
      <c r="AT34" s="35"/>
      <c r="AU34" s="35"/>
      <c r="AV34" s="35"/>
      <c r="AW34" s="35"/>
      <c r="AX34" s="35"/>
      <c r="AY34" s="35"/>
      <c r="AZ34" s="35"/>
      <c r="BA34" s="35"/>
      <c r="BB34" s="35"/>
      <c r="BC34" s="35"/>
      <c r="BD34" s="35"/>
      <c r="BE34" s="35"/>
      <c r="BF34" s="35"/>
      <c r="BG34" s="35"/>
      <c r="BH34" s="35"/>
      <c r="BI34" s="35"/>
      <c r="BJ34" s="35"/>
      <c r="BK34" s="32"/>
      <c r="BL34" s="35"/>
      <c r="BM34" s="27"/>
    </row>
    <row r="35" spans="1:65" ht="14.25" customHeight="1">
      <c r="A35" s="8"/>
      <c r="B35" s="34"/>
      <c r="C35" s="35"/>
      <c r="D35" s="441"/>
      <c r="E35" s="441"/>
      <c r="F35" s="445"/>
      <c r="G35" s="446"/>
      <c r="H35" s="442"/>
      <c r="I35" s="444"/>
      <c r="J35" s="441"/>
      <c r="K35" s="449"/>
      <c r="L35" s="447"/>
      <c r="M35" s="443"/>
      <c r="N35" s="443"/>
      <c r="O35" s="443"/>
      <c r="P35" s="443"/>
      <c r="Q35" s="443"/>
      <c r="R35" s="443"/>
      <c r="S35" s="443"/>
      <c r="T35" s="443"/>
      <c r="U35" s="443"/>
      <c r="V35" s="443"/>
      <c r="W35" s="443"/>
      <c r="X35" s="35"/>
      <c r="Y35" s="35"/>
      <c r="Z35" s="32"/>
      <c r="AA35" s="35"/>
      <c r="AB35" s="422"/>
      <c r="AC35" s="451" t="str">
        <f ca="1">OFFSET(Data!$A$2,$AC$8,AB35,1,1)</f>
        <v>0_002 Cell 1.2</v>
      </c>
      <c r="AD35" s="129" t="s">
        <v>140</v>
      </c>
      <c r="AE35" s="19"/>
      <c r="AG35" s="19"/>
      <c r="AH35" s="187"/>
      <c r="AK35" s="11"/>
      <c r="AL35" s="11"/>
      <c r="AM35" s="11"/>
      <c r="AN35" s="11"/>
      <c r="AO35" s="11"/>
      <c r="AP35" s="11"/>
      <c r="AQ35" s="11"/>
      <c r="AR35" s="11"/>
      <c r="AS35" s="11"/>
      <c r="AT35" s="11"/>
      <c r="AU35" s="11"/>
      <c r="AV35" s="11"/>
      <c r="AW35" s="11"/>
      <c r="AX35" s="11"/>
      <c r="AY35" s="11"/>
      <c r="AZ35" s="11"/>
      <c r="BA35" s="11"/>
      <c r="BB35" s="11"/>
      <c r="BC35" s="11"/>
      <c r="BD35" s="11"/>
      <c r="BE35" s="11"/>
      <c r="BF35" s="11"/>
      <c r="BG35" s="11"/>
      <c r="BH35" s="11"/>
      <c r="BI35" s="11"/>
      <c r="BJ35" s="11"/>
      <c r="BK35" s="11"/>
      <c r="BL35" s="11"/>
      <c r="BM35" s="11"/>
    </row>
    <row r="36" spans="1:65" ht="18" customHeight="1">
      <c r="A36" s="8"/>
      <c r="B36" s="8"/>
      <c r="C36" s="8"/>
      <c r="D36" s="441"/>
      <c r="E36" s="441"/>
      <c r="F36" s="445"/>
      <c r="G36" s="446"/>
      <c r="H36" s="442"/>
      <c r="I36" s="444"/>
      <c r="J36" s="441"/>
      <c r="K36" s="449"/>
      <c r="L36" s="447"/>
      <c r="M36" s="443"/>
      <c r="N36" s="443"/>
      <c r="O36" s="443"/>
      <c r="P36" s="443"/>
      <c r="Q36" s="443"/>
      <c r="R36" s="443"/>
      <c r="S36" s="443"/>
      <c r="T36" s="443"/>
      <c r="U36" s="443"/>
      <c r="V36" s="443"/>
      <c r="W36" s="443"/>
      <c r="X36" s="8"/>
      <c r="Y36" s="8"/>
      <c r="Z36" s="8"/>
      <c r="AA36" s="8"/>
      <c r="AB36" s="422" t="e">
        <f t="shared" ref="AB36:AB43" si="1">HLOOKUP(AD36,DataColumn,2,0)</f>
        <v>#N/A</v>
      </c>
      <c r="AC36" s="451" t="e">
        <f ca="1">OFFSET(Data!$A$2,$AC$8,AB36,1,1)</f>
        <v>#N/A</v>
      </c>
      <c r="AD36" s="129" t="s">
        <v>141</v>
      </c>
      <c r="AE36" s="19"/>
      <c r="AG36" s="19"/>
      <c r="AK36" s="11"/>
      <c r="AL36" s="11"/>
      <c r="AM36" s="11"/>
      <c r="AN36" s="11"/>
      <c r="AO36" s="11"/>
      <c r="AP36" s="11"/>
      <c r="AQ36" s="11"/>
      <c r="AR36" s="11"/>
      <c r="AS36" s="11"/>
      <c r="AT36" s="11"/>
      <c r="AU36" s="11"/>
      <c r="AV36" s="11"/>
      <c r="AW36" s="11"/>
      <c r="AX36" s="11"/>
      <c r="AY36" s="11"/>
      <c r="AZ36" s="11"/>
      <c r="BA36" s="11"/>
      <c r="BB36" s="11"/>
      <c r="BC36" s="11"/>
      <c r="BD36" s="11"/>
      <c r="BE36" s="11"/>
      <c r="BF36" s="11"/>
      <c r="BG36" s="11"/>
      <c r="BH36" s="11"/>
      <c r="BI36" s="11"/>
      <c r="BJ36" s="11"/>
      <c r="BK36" s="11"/>
      <c r="BL36" s="11"/>
      <c r="BM36" s="11"/>
    </row>
    <row r="37" spans="1:65" ht="18" customHeight="1">
      <c r="A37" s="8"/>
      <c r="B37" s="6"/>
      <c r="C37" s="13"/>
      <c r="D37" s="441"/>
      <c r="E37" s="441"/>
      <c r="F37" s="445"/>
      <c r="G37" s="446"/>
      <c r="H37" s="442"/>
      <c r="I37" s="444"/>
      <c r="J37" s="441"/>
      <c r="K37" s="449"/>
      <c r="L37" s="447"/>
      <c r="M37" s="443"/>
      <c r="N37" s="443"/>
      <c r="O37" s="443"/>
      <c r="P37" s="443"/>
      <c r="Q37" s="443"/>
      <c r="R37" s="443"/>
      <c r="S37" s="443"/>
      <c r="T37" s="443"/>
      <c r="U37" s="443"/>
      <c r="V37" s="443"/>
      <c r="W37" s="443"/>
      <c r="X37" s="8"/>
      <c r="Y37" s="8"/>
      <c r="AA37" s="8"/>
      <c r="AB37" s="422" t="e">
        <f t="shared" si="1"/>
        <v>#N/A</v>
      </c>
      <c r="AC37" s="451" t="e">
        <f ca="1">OFFSET(Data!$A$2,$AC$8,AB37,1,1)</f>
        <v>#N/A</v>
      </c>
      <c r="AD37" s="129" t="s">
        <v>142</v>
      </c>
      <c r="AE37" s="11" t="s">
        <v>608</v>
      </c>
      <c r="AG37" s="19"/>
      <c r="AK37" s="11"/>
      <c r="AL37" s="11"/>
      <c r="AM37" s="11"/>
      <c r="AN37" s="11"/>
      <c r="AO37" s="11"/>
      <c r="AP37" s="11"/>
      <c r="AQ37" s="11"/>
      <c r="AR37" s="11"/>
      <c r="AS37" s="11"/>
      <c r="AT37" s="11"/>
      <c r="AU37" s="11"/>
      <c r="AV37" s="11"/>
      <c r="AW37" s="11"/>
      <c r="AX37" s="11"/>
      <c r="AY37" s="11"/>
      <c r="AZ37" s="11"/>
      <c r="BA37" s="11"/>
      <c r="BB37" s="11"/>
      <c r="BC37" s="11"/>
      <c r="BD37" s="11"/>
      <c r="BE37" s="11"/>
      <c r="BF37" s="11"/>
      <c r="BG37" s="11"/>
      <c r="BH37" s="11"/>
      <c r="BI37" s="11"/>
      <c r="BJ37" s="11"/>
      <c r="BK37" s="11"/>
      <c r="BL37" s="11"/>
      <c r="BM37" s="11"/>
    </row>
    <row r="38" spans="1:65" ht="18" customHeight="1">
      <c r="A38" s="8"/>
      <c r="B38" s="6"/>
      <c r="C38" s="13"/>
      <c r="D38" s="441"/>
      <c r="E38" s="441"/>
      <c r="F38" s="445"/>
      <c r="G38" s="446"/>
      <c r="H38" s="442"/>
      <c r="I38" s="444"/>
      <c r="J38" s="441"/>
      <c r="K38" s="449"/>
      <c r="L38" s="447"/>
      <c r="M38" s="443"/>
      <c r="N38" s="443"/>
      <c r="O38" s="443"/>
      <c r="P38" s="443"/>
      <c r="Q38" s="443"/>
      <c r="R38" s="443"/>
      <c r="S38" s="443"/>
      <c r="T38" s="443"/>
      <c r="U38" s="443"/>
      <c r="V38" s="443"/>
      <c r="W38" s="443"/>
      <c r="X38" s="8"/>
      <c r="Y38" s="8"/>
      <c r="Z38" s="8"/>
      <c r="AA38" s="8"/>
      <c r="AB38" s="422">
        <f t="shared" si="1"/>
        <v>21</v>
      </c>
      <c r="AC38" s="451" t="str">
        <f ca="1">OFFSET(Data!$A$2,$AC$8,AB38,1,1)</f>
        <v>8to19</v>
      </c>
      <c r="AD38" s="491" t="s">
        <v>552</v>
      </c>
      <c r="AE38" s="445" t="s">
        <v>610</v>
      </c>
      <c r="AF38" s="162">
        <v>-4.6999999999999886</v>
      </c>
      <c r="AK38" s="11"/>
      <c r="AL38" s="11"/>
      <c r="AM38" s="11"/>
      <c r="AN38" s="11"/>
      <c r="AO38" s="11"/>
      <c r="AP38" s="11"/>
      <c r="AQ38" s="11"/>
      <c r="AR38" s="11"/>
      <c r="AS38" s="11"/>
      <c r="AT38" s="11"/>
      <c r="AU38" s="11"/>
      <c r="AV38" s="11"/>
      <c r="AW38" s="11"/>
      <c r="AX38" s="11"/>
      <c r="AY38" s="11"/>
      <c r="AZ38" s="11"/>
      <c r="BA38" s="11"/>
      <c r="BB38" s="11"/>
      <c r="BC38" s="11"/>
      <c r="BD38" s="11"/>
      <c r="BE38" s="11"/>
      <c r="BF38" s="11"/>
      <c r="BG38" s="11"/>
      <c r="BH38" s="11"/>
      <c r="BI38" s="11"/>
      <c r="BJ38" s="11"/>
      <c r="BK38" s="11"/>
      <c r="BL38" s="11"/>
      <c r="BM38" s="11"/>
    </row>
    <row r="39" spans="1:65" ht="18" customHeight="1">
      <c r="A39" s="8"/>
      <c r="B39" s="6"/>
      <c r="C39" s="13"/>
      <c r="D39" s="441"/>
      <c r="E39" s="441"/>
      <c r="F39" s="445"/>
      <c r="G39" s="446"/>
      <c r="H39" s="442"/>
      <c r="I39" s="444"/>
      <c r="J39" s="441"/>
      <c r="K39" s="449"/>
      <c r="L39" s="447"/>
      <c r="M39" s="443"/>
      <c r="N39" s="443"/>
      <c r="O39" s="443"/>
      <c r="P39" s="443"/>
      <c r="Q39" s="443"/>
      <c r="R39" s="443"/>
      <c r="S39" s="443"/>
      <c r="T39" s="443"/>
      <c r="U39" s="443"/>
      <c r="V39" s="443"/>
      <c r="W39" s="443"/>
      <c r="X39" s="8"/>
      <c r="Y39" s="8"/>
      <c r="Z39" s="8"/>
      <c r="AA39" s="8"/>
      <c r="AB39" s="422">
        <f t="shared" si="1"/>
        <v>60</v>
      </c>
      <c r="AC39" s="451">
        <f ca="1">OFFSET(Data!$A$2,$AC$8,AB39,1,1)</f>
        <v>937.62347412109375</v>
      </c>
      <c r="AD39" s="491" t="s">
        <v>471</v>
      </c>
      <c r="AE39" s="445" t="s">
        <v>611</v>
      </c>
      <c r="AF39" s="162">
        <v>92.2</v>
      </c>
      <c r="AK39" s="11"/>
      <c r="AL39" s="11"/>
      <c r="AM39" s="11"/>
      <c r="AN39" s="11"/>
      <c r="AO39" s="11"/>
      <c r="AP39" s="11"/>
      <c r="AQ39" s="11"/>
      <c r="AR39" s="11"/>
      <c r="AS39" s="11"/>
      <c r="AT39" s="11"/>
      <c r="AU39" s="11"/>
      <c r="AV39" s="11"/>
      <c r="AW39" s="11"/>
      <c r="AX39" s="11"/>
      <c r="AY39" s="11"/>
      <c r="AZ39" s="11"/>
      <c r="BA39" s="11"/>
      <c r="BB39" s="11"/>
      <c r="BC39" s="11"/>
      <c r="BD39" s="11"/>
      <c r="BE39" s="11"/>
      <c r="BF39" s="11"/>
      <c r="BG39" s="11"/>
      <c r="BH39" s="11"/>
      <c r="BI39" s="11"/>
      <c r="BJ39" s="11"/>
      <c r="BK39" s="11"/>
      <c r="BL39" s="11"/>
      <c r="BM39" s="11"/>
    </row>
    <row r="40" spans="1:65" ht="18" customHeight="1">
      <c r="A40" s="8"/>
      <c r="B40" s="8"/>
      <c r="C40" s="8"/>
      <c r="D40" s="441"/>
      <c r="E40" s="441"/>
      <c r="F40" s="445"/>
      <c r="G40" s="446"/>
      <c r="H40" s="442"/>
      <c r="I40" s="444"/>
      <c r="J40" s="441"/>
      <c r="K40" s="449"/>
      <c r="L40" s="447"/>
      <c r="M40" s="443"/>
      <c r="N40" s="443"/>
      <c r="O40" s="443"/>
      <c r="P40" s="443"/>
      <c r="Q40" s="443"/>
      <c r="R40" s="443"/>
      <c r="S40" s="443"/>
      <c r="T40" s="443"/>
      <c r="U40" s="443"/>
      <c r="V40" s="443"/>
      <c r="W40" s="443"/>
      <c r="X40" s="8"/>
      <c r="Y40" s="8"/>
      <c r="Z40" s="8"/>
      <c r="AA40" s="8"/>
      <c r="AB40" s="422" t="e">
        <f t="shared" si="1"/>
        <v>#N/A</v>
      </c>
      <c r="AC40" s="451" t="e">
        <f ca="1">OFFSET(Data!$A$2,$AC$8,AB40,1,1)</f>
        <v>#N/A</v>
      </c>
      <c r="AD40" s="440" t="s">
        <v>486</v>
      </c>
      <c r="AE40" s="445" t="s">
        <v>612</v>
      </c>
      <c r="AF40" s="162">
        <v>32</v>
      </c>
      <c r="AK40" s="11"/>
      <c r="AL40" s="11"/>
      <c r="AM40" s="11"/>
      <c r="AN40" s="11"/>
      <c r="AO40" s="11"/>
      <c r="AP40" s="11"/>
      <c r="AQ40" s="11"/>
      <c r="AR40" s="11"/>
      <c r="AS40" s="11"/>
      <c r="AT40" s="11"/>
      <c r="AU40" s="11"/>
      <c r="AV40" s="11"/>
      <c r="AW40" s="11"/>
      <c r="AX40" s="11"/>
      <c r="AY40" s="11"/>
      <c r="AZ40" s="11"/>
      <c r="BA40" s="11"/>
      <c r="BB40" s="11"/>
      <c r="BC40" s="11"/>
      <c r="BD40" s="11"/>
      <c r="BE40" s="11"/>
      <c r="BF40" s="11"/>
      <c r="BG40" s="11"/>
      <c r="BH40" s="11"/>
      <c r="BI40" s="11"/>
      <c r="BJ40" s="11"/>
      <c r="BK40" s="11"/>
      <c r="BL40" s="11"/>
      <c r="BM40" s="11"/>
    </row>
    <row r="41" spans="1:65" ht="18" customHeight="1">
      <c r="A41" s="8"/>
      <c r="C41" s="8"/>
      <c r="D41" s="441"/>
      <c r="E41" s="441"/>
      <c r="F41" s="445"/>
      <c r="G41" s="446"/>
      <c r="H41" s="442"/>
      <c r="I41" s="444"/>
      <c r="J41" s="441"/>
      <c r="K41" s="449"/>
      <c r="L41" s="447"/>
      <c r="M41" s="443"/>
      <c r="N41" s="443"/>
      <c r="O41" s="443"/>
      <c r="P41" s="443"/>
      <c r="Q41" s="443"/>
      <c r="R41" s="443"/>
      <c r="S41" s="443"/>
      <c r="T41" s="443"/>
      <c r="U41" s="443"/>
      <c r="V41" s="443"/>
      <c r="W41" s="443"/>
      <c r="X41" s="15"/>
      <c r="Y41" s="15"/>
      <c r="Z41" s="8"/>
      <c r="AA41" s="8"/>
      <c r="AB41" s="422">
        <f t="shared" si="1"/>
        <v>62</v>
      </c>
      <c r="AC41" s="451">
        <f ca="1">OFFSET(Data!$A$2,$AC$8,AB41,1,1)</f>
        <v>2143.8662109375</v>
      </c>
      <c r="AD41" s="491" t="s">
        <v>478</v>
      </c>
      <c r="AE41" s="445" t="s">
        <v>609</v>
      </c>
      <c r="AF41" s="162">
        <v>50</v>
      </c>
      <c r="AK41" s="11"/>
      <c r="AL41" s="11"/>
      <c r="AM41" s="11"/>
      <c r="AN41" s="11"/>
      <c r="AO41" s="11"/>
      <c r="AP41" s="11"/>
      <c r="AQ41" s="11"/>
      <c r="AR41" s="11"/>
      <c r="AS41" s="11"/>
      <c r="AT41" s="11"/>
      <c r="AU41" s="11"/>
      <c r="AV41" s="11"/>
      <c r="AW41" s="11"/>
      <c r="AX41" s="11"/>
      <c r="AY41" s="11"/>
      <c r="AZ41" s="11"/>
      <c r="BA41" s="11"/>
      <c r="BB41" s="11"/>
      <c r="BC41" s="11"/>
      <c r="BD41" s="11"/>
      <c r="BE41" s="11"/>
      <c r="BF41" s="11"/>
      <c r="BG41" s="11"/>
      <c r="BH41" s="11"/>
      <c r="BI41" s="11"/>
      <c r="BJ41" s="11"/>
      <c r="BK41" s="11"/>
      <c r="BL41" s="11"/>
      <c r="BM41" s="11"/>
    </row>
    <row r="42" spans="1:65" ht="18" customHeight="1">
      <c r="A42" s="8"/>
      <c r="B42" s="8">
        <v>0</v>
      </c>
      <c r="C42" s="8"/>
      <c r="D42" s="441"/>
      <c r="E42" s="441"/>
      <c r="F42" s="445"/>
      <c r="G42" s="446"/>
      <c r="H42" s="442"/>
      <c r="I42" s="444"/>
      <c r="J42" s="441"/>
      <c r="K42" s="449"/>
      <c r="L42" s="447"/>
      <c r="M42" s="443"/>
      <c r="N42" s="443"/>
      <c r="O42" s="443"/>
      <c r="P42" s="443"/>
      <c r="Q42" s="443"/>
      <c r="R42" s="443"/>
      <c r="S42" s="443"/>
      <c r="T42" s="443"/>
      <c r="U42" s="443"/>
      <c r="V42" s="443"/>
      <c r="W42" s="443"/>
      <c r="X42" s="28"/>
      <c r="Y42" s="28"/>
      <c r="Z42" s="8"/>
      <c r="AA42" s="8"/>
      <c r="AB42" s="422" t="e">
        <f t="shared" si="1"/>
        <v>#N/A</v>
      </c>
      <c r="AC42" s="451" t="e">
        <f ca="1">OFFSET(Data!$A$2,$AC$8,AB42,1,1)</f>
        <v>#N/A</v>
      </c>
      <c r="AD42" s="129" t="s">
        <v>143</v>
      </c>
      <c r="AK42" s="11"/>
      <c r="AL42" s="11"/>
      <c r="AM42" s="11"/>
      <c r="AN42" s="11"/>
      <c r="AO42" s="11"/>
      <c r="AP42" s="11"/>
      <c r="AQ42" s="11"/>
      <c r="AR42" s="11"/>
      <c r="AS42" s="11"/>
      <c r="AT42" s="11"/>
      <c r="AU42" s="11"/>
      <c r="AV42" s="11"/>
      <c r="AW42" s="11"/>
      <c r="AX42" s="11"/>
      <c r="AY42" s="11"/>
      <c r="AZ42" s="11"/>
      <c r="BA42" s="11"/>
      <c r="BB42" s="11"/>
      <c r="BC42" s="11"/>
      <c r="BD42" s="11"/>
      <c r="BE42" s="11"/>
      <c r="BF42" s="11"/>
      <c r="BG42" s="11"/>
      <c r="BH42" s="11"/>
      <c r="BI42" s="11"/>
      <c r="BJ42" s="11"/>
      <c r="BK42" s="11"/>
      <c r="BL42" s="11"/>
      <c r="BM42" s="11"/>
    </row>
    <row r="43" spans="1:65" ht="18" customHeight="1">
      <c r="A43" s="8"/>
      <c r="B43" s="8"/>
      <c r="C43" s="8"/>
      <c r="D43" s="441"/>
      <c r="E43" s="441"/>
      <c r="F43" s="445"/>
      <c r="G43" s="446"/>
      <c r="H43" s="442"/>
      <c r="I43" s="444"/>
      <c r="J43" s="441"/>
      <c r="K43" s="449"/>
      <c r="L43" s="447"/>
      <c r="M43" s="443"/>
      <c r="N43" s="443"/>
      <c r="O43" s="443"/>
      <c r="P43" s="443"/>
      <c r="Q43" s="443"/>
      <c r="R43" s="443"/>
      <c r="S43" s="443"/>
      <c r="T43" s="443"/>
      <c r="U43" s="443"/>
      <c r="V43" s="443"/>
      <c r="W43" s="443"/>
      <c r="X43" s="28"/>
      <c r="Y43" s="28"/>
      <c r="Z43" s="8"/>
      <c r="AA43" s="8"/>
      <c r="AB43" s="422" t="e">
        <f t="shared" si="1"/>
        <v>#N/A</v>
      </c>
      <c r="AC43" s="451" t="e">
        <f ca="1">OFFSET(Data!$A$2,$AC$8,AB43,1,1)</f>
        <v>#N/A</v>
      </c>
      <c r="AD43" s="129" t="s">
        <v>144</v>
      </c>
      <c r="AK43" s="11"/>
      <c r="AL43" s="11"/>
      <c r="AM43" s="11"/>
      <c r="AN43" s="11"/>
      <c r="AO43" s="11"/>
      <c r="AP43" s="11"/>
      <c r="AQ43" s="11"/>
      <c r="AR43" s="11"/>
      <c r="AS43" s="11"/>
      <c r="AT43" s="11"/>
      <c r="AU43" s="11"/>
      <c r="AV43" s="11"/>
      <c r="AW43" s="11"/>
      <c r="AX43" s="11"/>
      <c r="AY43" s="11"/>
      <c r="AZ43" s="11"/>
      <c r="BA43" s="11"/>
      <c r="BB43" s="11"/>
      <c r="BC43" s="11"/>
      <c r="BD43" s="11"/>
      <c r="BE43" s="11"/>
      <c r="BF43" s="11"/>
      <c r="BG43" s="11"/>
      <c r="BH43" s="11"/>
      <c r="BI43" s="11"/>
      <c r="BJ43" s="11"/>
      <c r="BK43" s="11"/>
      <c r="BL43" s="11"/>
      <c r="BM43" s="11"/>
    </row>
    <row r="44" spans="1:65" ht="18" customHeight="1">
      <c r="A44" s="8"/>
      <c r="B44" s="7"/>
      <c r="C44" s="8"/>
      <c r="D44" s="441"/>
      <c r="E44" s="441"/>
      <c r="F44" s="445"/>
      <c r="G44" s="446"/>
      <c r="H44" s="442"/>
      <c r="I44" s="444"/>
      <c r="J44" s="441"/>
      <c r="K44" s="449"/>
      <c r="L44" s="447"/>
      <c r="M44" s="443"/>
      <c r="N44" s="443"/>
      <c r="O44" s="443"/>
      <c r="P44" s="443"/>
      <c r="Q44" s="443"/>
      <c r="R44" s="443"/>
      <c r="S44" s="443"/>
      <c r="T44" s="443"/>
      <c r="U44" s="443"/>
      <c r="V44" s="443"/>
      <c r="W44" s="443"/>
      <c r="X44" s="28"/>
      <c r="Y44" s="28"/>
      <c r="Z44" s="8"/>
      <c r="AA44" s="8"/>
      <c r="AB44" s="448">
        <f>HLOOKUP(AD44,DataColumn,2,0)</f>
        <v>42</v>
      </c>
      <c r="AC44" s="451">
        <f ca="1">OFFSET(Data!$A$2,$AC$8,AB44,1,1)</f>
        <v>0</v>
      </c>
      <c r="AD44" s="129" t="s">
        <v>573</v>
      </c>
      <c r="AK44" s="11"/>
      <c r="AL44" s="11"/>
      <c r="AM44" s="11"/>
      <c r="AN44" s="11"/>
      <c r="AO44" s="11"/>
      <c r="AP44" s="11"/>
      <c r="AQ44" s="11"/>
      <c r="AR44" s="11"/>
      <c r="AS44" s="11"/>
      <c r="AT44" s="11"/>
      <c r="AU44" s="11"/>
      <c r="AV44" s="11"/>
      <c r="AW44" s="11"/>
      <c r="AX44" s="11"/>
      <c r="AY44" s="11"/>
      <c r="AZ44" s="11"/>
      <c r="BA44" s="11"/>
      <c r="BB44" s="11"/>
      <c r="BC44" s="11"/>
      <c r="BD44" s="11"/>
      <c r="BE44" s="11"/>
      <c r="BF44" s="11"/>
      <c r="BG44" s="11"/>
      <c r="BH44" s="11"/>
      <c r="BI44" s="11"/>
      <c r="BJ44" s="11"/>
      <c r="BK44" s="11"/>
      <c r="BL44" s="11"/>
      <c r="BM44" s="11"/>
    </row>
    <row r="45" spans="1:65" ht="18" customHeight="1">
      <c r="A45" s="8"/>
      <c r="B45" s="7"/>
      <c r="C45" s="8"/>
      <c r="D45" s="441"/>
      <c r="E45" s="441"/>
      <c r="F45" s="445"/>
      <c r="G45" s="446"/>
      <c r="H45" s="442"/>
      <c r="I45" s="444"/>
      <c r="J45" s="441"/>
      <c r="K45" s="449"/>
      <c r="L45" s="447"/>
      <c r="M45" s="443"/>
      <c r="N45" s="443"/>
      <c r="O45" s="443"/>
      <c r="P45" s="443"/>
      <c r="Q45" s="443"/>
      <c r="R45" s="443"/>
      <c r="S45" s="443"/>
      <c r="T45" s="443"/>
      <c r="U45" s="443"/>
      <c r="V45" s="443"/>
      <c r="W45" s="443"/>
      <c r="X45" s="28"/>
      <c r="Y45" s="28"/>
      <c r="Z45" s="8"/>
      <c r="AA45" s="8"/>
      <c r="AB45" s="422"/>
      <c r="AC45" s="451" t="str">
        <f ca="1">OFFSET(Data!$A$2,$AC$8,AB45,1,1)</f>
        <v>0_002 Cell 1.2</v>
      </c>
      <c r="AD45" s="129" t="s">
        <v>130</v>
      </c>
      <c r="AK45" s="11"/>
      <c r="AL45" s="11"/>
      <c r="AM45" s="11"/>
      <c r="AN45" s="11"/>
      <c r="AO45" s="11"/>
      <c r="AP45" s="11"/>
      <c r="AQ45" s="11"/>
      <c r="AR45" s="11"/>
      <c r="AS45" s="11"/>
      <c r="AT45" s="11"/>
      <c r="AU45" s="11"/>
      <c r="AV45" s="11"/>
      <c r="AW45" s="11"/>
      <c r="AX45" s="11"/>
      <c r="AY45" s="11"/>
      <c r="AZ45" s="11"/>
      <c r="BA45" s="11"/>
      <c r="BB45" s="11"/>
      <c r="BC45" s="11"/>
      <c r="BD45" s="11"/>
      <c r="BE45" s="11"/>
      <c r="BF45" s="11"/>
      <c r="BG45" s="11"/>
      <c r="BH45" s="11"/>
      <c r="BI45" s="11"/>
      <c r="BJ45" s="11"/>
      <c r="BK45" s="11"/>
      <c r="BL45" s="11"/>
      <c r="BM45" s="11"/>
    </row>
    <row r="46" spans="1:65" ht="18" customHeight="1">
      <c r="A46" s="8"/>
      <c r="B46" s="8"/>
      <c r="C46" s="8"/>
      <c r="D46" s="441"/>
      <c r="E46" s="441"/>
      <c r="F46" s="445"/>
      <c r="G46" s="446"/>
      <c r="H46" s="442"/>
      <c r="I46" s="444"/>
      <c r="J46" s="441"/>
      <c r="K46" s="449"/>
      <c r="L46" s="447"/>
      <c r="M46" s="443"/>
      <c r="N46" s="443"/>
      <c r="O46" s="443"/>
      <c r="P46" s="443"/>
      <c r="Q46" s="443"/>
      <c r="R46" s="443"/>
      <c r="S46" s="443"/>
      <c r="T46" s="443"/>
      <c r="U46" s="443"/>
      <c r="V46" s="443"/>
      <c r="W46" s="443"/>
      <c r="X46" s="15"/>
      <c r="Y46" s="15"/>
      <c r="Z46" s="8"/>
      <c r="AA46" s="8"/>
      <c r="AB46" s="448">
        <f>HLOOKUP(AD46,DataColumn,2,0)</f>
        <v>24</v>
      </c>
      <c r="AC46" s="451" t="str">
        <f ca="1">OFFSET(Data!$A$2,$AC$8,AB46,1,1)</f>
        <v>FCU</v>
      </c>
      <c r="AD46" s="491" t="s">
        <v>537</v>
      </c>
      <c r="AK46" s="11"/>
      <c r="AL46" s="11"/>
      <c r="AM46" s="11"/>
      <c r="AN46" s="11"/>
      <c r="AO46" s="11"/>
      <c r="AP46" s="11"/>
      <c r="AQ46" s="11"/>
      <c r="AR46" s="11"/>
      <c r="AS46" s="11"/>
      <c r="AT46" s="11"/>
      <c r="AU46" s="11"/>
      <c r="AV46" s="11"/>
      <c r="AW46" s="11"/>
      <c r="AX46" s="11"/>
      <c r="AY46" s="11"/>
      <c r="AZ46" s="11"/>
      <c r="BA46" s="11"/>
      <c r="BB46" s="11"/>
      <c r="BC46" s="11"/>
      <c r="BD46" s="11"/>
      <c r="BE46" s="11"/>
      <c r="BF46" s="11"/>
      <c r="BG46" s="11"/>
      <c r="BH46" s="11"/>
      <c r="BI46" s="11"/>
      <c r="BJ46" s="11"/>
      <c r="BK46" s="11"/>
      <c r="BL46" s="11"/>
      <c r="BM46" s="11"/>
    </row>
    <row r="47" spans="1:65" ht="18" customHeight="1">
      <c r="A47" s="8"/>
      <c r="B47" s="7"/>
      <c r="C47" s="8"/>
      <c r="D47" s="441"/>
      <c r="E47" s="441"/>
      <c r="F47" s="445"/>
      <c r="G47" s="446"/>
      <c r="H47" s="442"/>
      <c r="I47" s="444"/>
      <c r="J47" s="441"/>
      <c r="K47" s="449"/>
      <c r="L47" s="447"/>
      <c r="M47" s="443"/>
      <c r="N47" s="443"/>
      <c r="O47" s="443"/>
      <c r="P47" s="443"/>
      <c r="Q47" s="443"/>
      <c r="R47" s="443"/>
      <c r="S47" s="443"/>
      <c r="T47" s="443"/>
      <c r="U47" s="443"/>
      <c r="V47" s="443"/>
      <c r="W47" s="443"/>
      <c r="X47" s="15"/>
      <c r="Y47" s="15"/>
      <c r="Z47" s="8"/>
      <c r="AA47" s="8"/>
      <c r="AB47" s="422">
        <f t="shared" ref="AB47:AB72" si="2">HLOOKUP(AD47,DataColumn,2,0)</f>
        <v>2</v>
      </c>
      <c r="AC47" s="451" t="str">
        <f ca="1">OFFSET(Data!$A$2,$AC$8,AB47,1,1)</f>
        <v>Level 0</v>
      </c>
      <c r="AD47" s="423" t="s">
        <v>456</v>
      </c>
      <c r="AK47" s="11"/>
      <c r="AL47" s="11"/>
      <c r="AM47" s="11"/>
      <c r="AN47" s="11"/>
      <c r="AO47" s="11"/>
      <c r="AP47" s="11"/>
      <c r="AQ47" s="11"/>
      <c r="AR47" s="11"/>
      <c r="AS47" s="11"/>
      <c r="AT47" s="11"/>
      <c r="AU47" s="11"/>
      <c r="AV47" s="11"/>
      <c r="AW47" s="11"/>
      <c r="AX47" s="11"/>
      <c r="AY47" s="11"/>
      <c r="AZ47" s="11"/>
      <c r="BA47" s="11"/>
      <c r="BB47" s="11"/>
      <c r="BC47" s="11"/>
      <c r="BD47" s="11"/>
      <c r="BE47" s="11"/>
      <c r="BF47" s="11"/>
      <c r="BG47" s="11"/>
      <c r="BH47" s="11"/>
      <c r="BI47" s="11"/>
      <c r="BJ47" s="11"/>
      <c r="BK47" s="11"/>
      <c r="BL47" s="11"/>
      <c r="BM47" s="11"/>
    </row>
    <row r="48" spans="1:65" ht="18" customHeight="1">
      <c r="A48" s="8"/>
      <c r="B48" s="31"/>
      <c r="C48" s="8"/>
      <c r="D48" s="441"/>
      <c r="E48" s="441"/>
      <c r="F48" s="445"/>
      <c r="G48" s="446"/>
      <c r="H48" s="442"/>
      <c r="I48" s="444"/>
      <c r="J48" s="441"/>
      <c r="K48" s="449"/>
      <c r="L48" s="447"/>
      <c r="M48" s="443"/>
      <c r="N48" s="443"/>
      <c r="O48" s="443"/>
      <c r="P48" s="443"/>
      <c r="Q48" s="443"/>
      <c r="R48" s="443"/>
      <c r="S48" s="443"/>
      <c r="T48" s="443"/>
      <c r="U48" s="443"/>
      <c r="V48" s="443"/>
      <c r="W48" s="443"/>
      <c r="X48" s="15"/>
      <c r="Y48" s="15"/>
      <c r="Z48" s="8"/>
      <c r="AA48" s="8"/>
      <c r="AB48" s="422">
        <f t="shared" si="2"/>
        <v>3</v>
      </c>
      <c r="AC48" s="451">
        <f ca="1">OFFSET(Data!$A$2,$AC$8,AB48,1,1)</f>
        <v>2</v>
      </c>
      <c r="AD48" s="115" t="s">
        <v>592</v>
      </c>
      <c r="AK48" s="11"/>
      <c r="AL48" s="11"/>
      <c r="AM48" s="11"/>
      <c r="AN48" s="11"/>
      <c r="AO48" s="11"/>
      <c r="AP48" s="11"/>
      <c r="AQ48" s="11"/>
      <c r="AR48" s="11"/>
      <c r="AS48" s="11"/>
      <c r="AT48" s="11"/>
      <c r="AU48" s="11"/>
      <c r="AV48" s="11"/>
      <c r="AW48" s="11"/>
      <c r="AX48" s="11"/>
      <c r="AY48" s="11"/>
      <c r="AZ48" s="11"/>
      <c r="BA48" s="11"/>
      <c r="BB48" s="11"/>
      <c r="BC48" s="11"/>
      <c r="BD48" s="11"/>
      <c r="BE48" s="11"/>
      <c r="BF48" s="11"/>
      <c r="BG48" s="11"/>
      <c r="BH48" s="11"/>
      <c r="BI48" s="11"/>
      <c r="BJ48" s="11"/>
      <c r="BK48" s="11"/>
      <c r="BL48" s="11"/>
      <c r="BM48" s="11"/>
    </row>
    <row r="49" spans="1:65" ht="18" customHeight="1">
      <c r="A49" s="8"/>
      <c r="B49" s="8"/>
      <c r="C49" s="8"/>
      <c r="D49" s="441"/>
      <c r="E49" s="441"/>
      <c r="F49" s="445"/>
      <c r="G49" s="446"/>
      <c r="H49" s="442"/>
      <c r="I49" s="444"/>
      <c r="J49" s="441"/>
      <c r="K49" s="449"/>
      <c r="L49" s="447"/>
      <c r="M49" s="443"/>
      <c r="N49" s="443"/>
      <c r="O49" s="443"/>
      <c r="P49" s="443"/>
      <c r="Q49" s="443"/>
      <c r="R49" s="443"/>
      <c r="S49" s="443"/>
      <c r="T49" s="443"/>
      <c r="U49" s="443"/>
      <c r="V49" s="443"/>
      <c r="W49" s="443"/>
      <c r="X49" s="15"/>
      <c r="Y49" s="15"/>
      <c r="Z49" s="8"/>
      <c r="AA49" s="8"/>
      <c r="AB49" s="427">
        <f t="shared" si="2"/>
        <v>4</v>
      </c>
      <c r="AC49" s="451">
        <f ca="1">OFFSET(Data!$A$2,$AC$8,AB49,1,1)</f>
        <v>0</v>
      </c>
      <c r="AD49" s="115" t="s">
        <v>593</v>
      </c>
      <c r="AK49" s="11"/>
      <c r="AL49" s="11"/>
      <c r="AM49" s="11"/>
      <c r="AN49" s="11"/>
      <c r="AO49" s="11"/>
      <c r="AP49" s="11"/>
      <c r="AQ49" s="11"/>
      <c r="AR49" s="11"/>
      <c r="AS49" s="11"/>
      <c r="AT49" s="11"/>
      <c r="AU49" s="11"/>
      <c r="AV49" s="11"/>
      <c r="AW49" s="11"/>
      <c r="AX49" s="11"/>
      <c r="AY49" s="11"/>
      <c r="AZ49" s="11"/>
      <c r="BA49" s="11"/>
      <c r="BB49" s="11"/>
      <c r="BC49" s="11"/>
      <c r="BD49" s="11"/>
      <c r="BE49" s="11"/>
      <c r="BF49" s="11"/>
      <c r="BG49" s="11"/>
      <c r="BH49" s="11"/>
      <c r="BI49" s="11"/>
      <c r="BJ49" s="11"/>
      <c r="BK49" s="11"/>
      <c r="BL49" s="11"/>
      <c r="BM49" s="11"/>
    </row>
    <row r="50" spans="1:65" ht="18" customHeight="1">
      <c r="A50" s="8"/>
      <c r="B50" s="7"/>
      <c r="C50" s="8"/>
      <c r="D50" s="441"/>
      <c r="E50" s="441"/>
      <c r="F50" s="445"/>
      <c r="G50" s="446"/>
      <c r="H50" s="442"/>
      <c r="I50" s="444"/>
      <c r="J50" s="441"/>
      <c r="K50" s="449"/>
      <c r="L50" s="447"/>
      <c r="M50" s="443"/>
      <c r="N50" s="443"/>
      <c r="O50" s="443"/>
      <c r="P50" s="443"/>
      <c r="Q50" s="443"/>
      <c r="R50" s="443"/>
      <c r="S50" s="443"/>
      <c r="T50" s="443"/>
      <c r="U50" s="443"/>
      <c r="V50" s="443"/>
      <c r="W50" s="443"/>
      <c r="X50" s="16"/>
      <c r="Y50" s="16"/>
      <c r="Z50" s="8"/>
      <c r="AA50" s="8"/>
      <c r="AB50" s="428">
        <f t="shared" si="2"/>
        <v>10</v>
      </c>
      <c r="AC50" s="451" t="str">
        <f ca="1">OFFSET(Data!$A$2,$AC$8,AB50,1,1)</f>
        <v>UFH</v>
      </c>
      <c r="AD50" s="490" t="s">
        <v>536</v>
      </c>
      <c r="AK50" s="11"/>
      <c r="AL50" s="11"/>
      <c r="AM50" s="11"/>
      <c r="AN50" s="11"/>
      <c r="AO50" s="11"/>
      <c r="AP50" s="11"/>
      <c r="AQ50" s="11"/>
      <c r="AR50" s="11"/>
      <c r="AS50" s="11"/>
      <c r="AT50" s="11"/>
      <c r="AU50" s="11"/>
      <c r="AV50" s="11"/>
      <c r="AW50" s="11"/>
      <c r="AX50" s="11"/>
      <c r="AY50" s="11"/>
      <c r="AZ50" s="11"/>
      <c r="BA50" s="11"/>
      <c r="BB50" s="11"/>
      <c r="BC50" s="11"/>
      <c r="BD50" s="11"/>
      <c r="BE50" s="11"/>
      <c r="BF50" s="11"/>
      <c r="BG50" s="11"/>
      <c r="BH50" s="11"/>
      <c r="BI50" s="11"/>
      <c r="BJ50" s="11"/>
      <c r="BK50" s="11"/>
      <c r="BL50" s="11"/>
      <c r="BM50" s="11"/>
    </row>
    <row r="51" spans="1:65" ht="18" customHeight="1">
      <c r="A51" s="8"/>
      <c r="B51" s="7"/>
      <c r="C51" s="8"/>
      <c r="D51" s="441"/>
      <c r="E51" s="441"/>
      <c r="F51" s="445"/>
      <c r="G51" s="446"/>
      <c r="H51" s="442"/>
      <c r="I51" s="444"/>
      <c r="J51" s="441"/>
      <c r="K51" s="449"/>
      <c r="L51" s="447"/>
      <c r="M51" s="443"/>
      <c r="N51" s="443"/>
      <c r="O51" s="443"/>
      <c r="P51" s="443"/>
      <c r="Q51" s="443"/>
      <c r="R51" s="443"/>
      <c r="S51" s="443"/>
      <c r="T51" s="443"/>
      <c r="U51" s="443"/>
      <c r="V51" s="443"/>
      <c r="W51" s="443"/>
      <c r="X51" s="16"/>
      <c r="Y51" s="16"/>
      <c r="Z51" s="8"/>
      <c r="AA51" s="8"/>
      <c r="AB51" s="429">
        <f t="shared" si="2"/>
        <v>12</v>
      </c>
      <c r="AC51" s="451">
        <f ca="1">OFFSET(Data!$A$2,$AC$8,AB51,1,1)</f>
        <v>0</v>
      </c>
      <c r="AD51" s="430" t="s">
        <v>477</v>
      </c>
      <c r="AK51" s="11"/>
      <c r="AL51" s="11"/>
      <c r="AM51" s="11"/>
      <c r="AN51" s="11"/>
      <c r="AO51" s="11"/>
      <c r="AP51" s="11"/>
      <c r="AQ51" s="11"/>
      <c r="AR51" s="11"/>
      <c r="AS51" s="11"/>
      <c r="AT51" s="11"/>
      <c r="AU51" s="11"/>
      <c r="AV51" s="11"/>
      <c r="AW51" s="11"/>
      <c r="AX51" s="11"/>
      <c r="AY51" s="11"/>
      <c r="AZ51" s="11"/>
      <c r="BA51" s="11"/>
      <c r="BB51" s="11"/>
      <c r="BC51" s="11"/>
      <c r="BD51" s="11"/>
      <c r="BE51" s="11"/>
      <c r="BF51" s="11"/>
      <c r="BG51" s="11"/>
      <c r="BH51" s="11"/>
      <c r="BI51" s="11"/>
      <c r="BJ51" s="11"/>
      <c r="BK51" s="11"/>
      <c r="BL51" s="11"/>
      <c r="BM51" s="11"/>
    </row>
    <row r="52" spans="1:65" ht="18" customHeight="1">
      <c r="A52" s="8"/>
      <c r="B52" s="7"/>
      <c r="C52" s="8"/>
      <c r="D52" s="441"/>
      <c r="E52" s="441"/>
      <c r="F52" s="445"/>
      <c r="G52" s="446"/>
      <c r="H52" s="442"/>
      <c r="I52" s="444"/>
      <c r="J52" s="441"/>
      <c r="K52" s="449"/>
      <c r="L52" s="447"/>
      <c r="M52" s="443"/>
      <c r="N52" s="443"/>
      <c r="O52" s="443"/>
      <c r="P52" s="443"/>
      <c r="Q52" s="443"/>
      <c r="R52" s="443"/>
      <c r="S52" s="443"/>
      <c r="T52" s="443"/>
      <c r="U52" s="443"/>
      <c r="V52" s="443"/>
      <c r="W52" s="443"/>
      <c r="X52" s="16"/>
      <c r="Y52" s="16"/>
      <c r="Z52" s="8"/>
      <c r="AA52" s="8"/>
      <c r="AB52" s="431">
        <f t="shared" si="2"/>
        <v>13</v>
      </c>
      <c r="AC52" s="451">
        <f ca="1">OFFSET(Data!$A$2,$AC$8,AB52,1,1)</f>
        <v>500</v>
      </c>
      <c r="AD52" s="490" t="s">
        <v>547</v>
      </c>
      <c r="AK52" s="11"/>
      <c r="AL52" s="11"/>
      <c r="AM52" s="11"/>
      <c r="AN52" s="11"/>
      <c r="AO52" s="11"/>
      <c r="AP52" s="11"/>
      <c r="AQ52" s="11"/>
      <c r="AR52" s="11"/>
      <c r="AS52" s="11"/>
      <c r="AT52" s="11"/>
      <c r="AU52" s="11"/>
      <c r="AV52" s="11"/>
      <c r="AW52" s="11"/>
      <c r="AX52" s="11"/>
      <c r="AY52" s="11"/>
      <c r="AZ52" s="11"/>
      <c r="BA52" s="11"/>
      <c r="BB52" s="11"/>
      <c r="BC52" s="11"/>
      <c r="BD52" s="11"/>
      <c r="BE52" s="11"/>
      <c r="BF52" s="11"/>
      <c r="BG52" s="11"/>
      <c r="BH52" s="11"/>
      <c r="BI52" s="11"/>
      <c r="BJ52" s="11"/>
      <c r="BK52" s="11"/>
      <c r="BL52" s="11"/>
      <c r="BM52" s="11"/>
    </row>
    <row r="53" spans="1:65" ht="18" customHeight="1">
      <c r="A53" s="8"/>
      <c r="B53" s="8"/>
      <c r="C53" s="8"/>
      <c r="D53" s="441"/>
      <c r="E53" s="441"/>
      <c r="F53" s="445"/>
      <c r="G53" s="446"/>
      <c r="H53" s="442"/>
      <c r="I53" s="444"/>
      <c r="J53" s="441"/>
      <c r="K53" s="449"/>
      <c r="L53" s="447"/>
      <c r="M53" s="443"/>
      <c r="N53" s="443"/>
      <c r="O53" s="443"/>
      <c r="P53" s="443"/>
      <c r="Q53" s="443"/>
      <c r="R53" s="443"/>
      <c r="S53" s="443"/>
      <c r="T53" s="443"/>
      <c r="U53" s="443"/>
      <c r="V53" s="443"/>
      <c r="W53" s="443"/>
      <c r="X53" s="16"/>
      <c r="Y53" s="16"/>
      <c r="Z53" s="8"/>
      <c r="AA53" s="8"/>
      <c r="AB53" s="432">
        <f t="shared" si="2"/>
        <v>14</v>
      </c>
      <c r="AC53" s="451">
        <f ca="1">OFFSET(Data!$A$2,$AC$8,AB53,1,1)</f>
        <v>0</v>
      </c>
      <c r="AD53" s="433" t="s">
        <v>480</v>
      </c>
      <c r="AH53" s="19"/>
      <c r="AK53" s="11"/>
      <c r="AL53" s="11"/>
      <c r="AM53" s="11"/>
      <c r="AN53" s="11"/>
      <c r="AO53" s="11"/>
      <c r="AP53" s="11"/>
      <c r="AQ53" s="11"/>
      <c r="AR53" s="11"/>
      <c r="AS53" s="11"/>
      <c r="AT53" s="11"/>
      <c r="AU53" s="11"/>
      <c r="AV53" s="11"/>
      <c r="AW53" s="11"/>
      <c r="AX53" s="11"/>
      <c r="AY53" s="11"/>
      <c r="AZ53" s="11"/>
      <c r="BA53" s="11"/>
      <c r="BB53" s="11"/>
      <c r="BC53" s="11"/>
      <c r="BD53" s="11"/>
      <c r="BE53" s="11"/>
      <c r="BF53" s="11"/>
      <c r="BG53" s="11"/>
      <c r="BH53" s="11"/>
      <c r="BI53" s="11"/>
      <c r="BJ53" s="11"/>
      <c r="BK53" s="11"/>
      <c r="BL53" s="11"/>
      <c r="BM53" s="11"/>
    </row>
    <row r="54" spans="1:65" ht="18" customHeight="1">
      <c r="A54" s="8"/>
      <c r="B54" s="8"/>
      <c r="C54" s="8"/>
      <c r="D54" s="8"/>
      <c r="E54" s="8"/>
      <c r="G54" s="28"/>
      <c r="H54" s="13"/>
      <c r="I54" s="17"/>
      <c r="J54" s="8"/>
      <c r="K54" s="36"/>
      <c r="L54" s="30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16"/>
      <c r="X54" s="16"/>
      <c r="Y54" s="16"/>
      <c r="Z54" s="8"/>
      <c r="AA54" s="8"/>
      <c r="AB54" s="434">
        <f t="shared" si="2"/>
        <v>15</v>
      </c>
      <c r="AC54" s="451">
        <f ca="1">OFFSET(Data!$A$2,$AC$8,AB54,1,1)</f>
        <v>0</v>
      </c>
      <c r="AD54" s="424" t="s">
        <v>481</v>
      </c>
      <c r="AF54" s="19"/>
      <c r="AG54" s="19"/>
      <c r="AH54" s="19"/>
      <c r="AK54" s="11"/>
      <c r="AL54" s="8"/>
      <c r="AM54" s="8"/>
      <c r="AN54" s="8"/>
      <c r="AO54" s="8"/>
      <c r="AP54" s="8"/>
      <c r="AR54" s="28"/>
      <c r="AS54" s="13"/>
      <c r="AT54" s="17"/>
      <c r="AU54" s="8"/>
      <c r="AV54" s="36"/>
      <c r="AW54" s="30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8"/>
      <c r="BL54" s="8"/>
      <c r="BM54" s="27"/>
    </row>
    <row r="55" spans="1:65" ht="18" customHeight="1">
      <c r="A55" s="8"/>
      <c r="B55" s="8"/>
      <c r="C55" s="8"/>
      <c r="D55" s="8"/>
      <c r="E55" s="8"/>
      <c r="G55" s="28"/>
      <c r="H55" s="13"/>
      <c r="I55" s="17"/>
      <c r="J55" s="18"/>
      <c r="K55" s="8"/>
      <c r="L55" s="30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16"/>
      <c r="X55" s="16"/>
      <c r="Y55" s="16"/>
      <c r="Z55" s="8"/>
      <c r="AA55" s="8"/>
      <c r="AB55" s="434">
        <f t="shared" si="2"/>
        <v>16</v>
      </c>
      <c r="AC55" s="451">
        <f ca="1">OFFSET(Data!$A$2,$AC$8,AB55,1,1)</f>
        <v>0</v>
      </c>
      <c r="AD55" s="435" t="s">
        <v>482</v>
      </c>
      <c r="AE55" s="19"/>
      <c r="AF55" s="19"/>
      <c r="AG55" s="19"/>
      <c r="AH55" s="19"/>
      <c r="AK55" s="11"/>
      <c r="AL55" s="8"/>
      <c r="AM55" s="8"/>
      <c r="AN55" s="8"/>
      <c r="AO55" s="8"/>
      <c r="AP55" s="8"/>
      <c r="AR55" s="28"/>
      <c r="AS55" s="13"/>
      <c r="AT55" s="17"/>
      <c r="AU55" s="18"/>
      <c r="AV55" s="8"/>
      <c r="AW55" s="30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8"/>
      <c r="BL55" s="8"/>
      <c r="BM55" s="27"/>
    </row>
    <row r="56" spans="1:65" ht="18" customHeight="1">
      <c r="A56" s="8"/>
      <c r="B56" s="8"/>
      <c r="C56" s="8"/>
      <c r="D56" s="8"/>
      <c r="E56" s="8"/>
      <c r="G56" s="28"/>
      <c r="H56" s="13"/>
      <c r="I56" s="8"/>
      <c r="J56" s="8"/>
      <c r="K56" s="8"/>
      <c r="T56" s="16"/>
      <c r="U56" s="16"/>
      <c r="V56" s="16"/>
      <c r="W56" s="16"/>
      <c r="X56" s="16"/>
      <c r="Y56" s="16"/>
      <c r="Z56" s="8"/>
      <c r="AA56" s="8"/>
      <c r="AB56" s="437">
        <f t="shared" si="2"/>
        <v>65</v>
      </c>
      <c r="AC56" s="451">
        <f ca="1">OFFSET(Data!$A$2,$AC$8,AB56,1,1)</f>
        <v>28.59283447265625</v>
      </c>
      <c r="AD56" s="491" t="s">
        <v>542</v>
      </c>
      <c r="AE56" s="19"/>
      <c r="AF56" s="19"/>
      <c r="AG56" s="19"/>
      <c r="AH56" s="19"/>
      <c r="AK56" s="11"/>
      <c r="AL56" s="8"/>
      <c r="AM56" s="8"/>
      <c r="AN56" s="8"/>
      <c r="AO56" s="8"/>
      <c r="AP56" s="8"/>
      <c r="AR56" s="28"/>
      <c r="AS56" s="13"/>
      <c r="AT56" s="8"/>
      <c r="AU56" s="8"/>
      <c r="AV56" s="8"/>
      <c r="BE56" s="16"/>
      <c r="BF56" s="16"/>
      <c r="BG56" s="16"/>
      <c r="BH56" s="16"/>
      <c r="BI56" s="16"/>
      <c r="BJ56" s="16"/>
      <c r="BK56" s="8"/>
      <c r="BL56" s="8"/>
      <c r="BM56" s="27"/>
    </row>
    <row r="57" spans="1:65" ht="18" customHeight="1">
      <c r="A57" s="8"/>
      <c r="B57" s="8"/>
      <c r="C57" s="8"/>
      <c r="D57" s="8"/>
      <c r="E57" s="8"/>
      <c r="G57" s="28"/>
      <c r="H57" s="13"/>
      <c r="I57" s="28"/>
      <c r="J57" s="28"/>
      <c r="K57" s="28"/>
      <c r="T57" s="16"/>
      <c r="U57" s="16"/>
      <c r="V57" s="16"/>
      <c r="W57" s="16"/>
      <c r="X57" s="16"/>
      <c r="Y57" s="16"/>
      <c r="Z57" s="8"/>
      <c r="AA57" s="8"/>
      <c r="AB57" s="437" t="e">
        <f t="shared" si="2"/>
        <v>#N/A</v>
      </c>
      <c r="AC57" s="451" t="e">
        <f ca="1">OFFSET(Data!$A$2,$AC$8,AB57,1,1)</f>
        <v>#N/A</v>
      </c>
      <c r="AD57" s="490" t="s">
        <v>484</v>
      </c>
      <c r="AE57" s="19"/>
      <c r="AH57" s="19"/>
      <c r="AK57" s="11"/>
      <c r="AL57" s="8"/>
      <c r="AM57" s="8"/>
      <c r="AN57" s="8"/>
      <c r="AO57" s="8"/>
      <c r="AP57" s="8"/>
      <c r="AR57" s="28"/>
      <c r="AS57" s="13"/>
      <c r="AT57" s="28"/>
      <c r="AU57" s="28"/>
      <c r="AV57" s="28"/>
      <c r="BE57" s="16"/>
      <c r="BF57" s="16"/>
      <c r="BG57" s="16"/>
      <c r="BH57" s="16"/>
      <c r="BI57" s="16"/>
      <c r="BJ57" s="16"/>
      <c r="BK57" s="8"/>
      <c r="BL57" s="8"/>
      <c r="BM57" s="27"/>
    </row>
    <row r="58" spans="1:65" ht="18" customHeight="1">
      <c r="A58" s="8"/>
      <c r="B58" s="8"/>
      <c r="C58" s="8"/>
      <c r="D58" s="8"/>
      <c r="E58" s="8"/>
      <c r="G58" s="28"/>
      <c r="H58" s="13"/>
      <c r="I58" s="8"/>
      <c r="J58" s="8"/>
      <c r="K58" s="8"/>
      <c r="T58" s="16"/>
      <c r="U58" s="16"/>
      <c r="V58" s="16"/>
      <c r="W58" s="8"/>
      <c r="X58" s="8"/>
      <c r="Y58" s="8"/>
      <c r="Z58" s="8"/>
      <c r="AA58" s="8"/>
      <c r="AB58" s="438">
        <f t="shared" si="2"/>
        <v>61</v>
      </c>
      <c r="AC58" s="451">
        <f ca="1">OFFSET(Data!$A$2,$AC$8,AB58,1,1)</f>
        <v>937.585693359375</v>
      </c>
      <c r="AD58" s="492" t="s">
        <v>568</v>
      </c>
      <c r="AE58" s="19"/>
      <c r="AG58" s="19"/>
      <c r="AH58" s="19"/>
      <c r="AK58" s="11"/>
      <c r="AL58" s="8"/>
      <c r="AM58" s="8"/>
      <c r="AN58" s="8"/>
      <c r="AO58" s="8"/>
      <c r="AP58" s="8"/>
      <c r="AR58" s="28"/>
      <c r="AS58" s="13"/>
      <c r="AT58" s="8"/>
      <c r="AU58" s="8"/>
      <c r="AV58" s="8"/>
      <c r="BE58" s="16"/>
      <c r="BF58" s="16"/>
      <c r="BG58" s="16"/>
      <c r="BH58" s="8"/>
      <c r="BI58" s="8"/>
      <c r="BJ58" s="8"/>
      <c r="BK58" s="8"/>
      <c r="BL58" s="8"/>
      <c r="BM58" s="27"/>
    </row>
    <row r="59" spans="1:65" ht="18" customHeight="1">
      <c r="A59" s="8"/>
      <c r="B59" s="8"/>
      <c r="C59" s="8"/>
      <c r="D59" s="8"/>
      <c r="E59" s="8"/>
      <c r="G59" s="28"/>
      <c r="H59" s="13"/>
      <c r="I59" s="7"/>
      <c r="J59" s="7"/>
      <c r="K59" s="7"/>
      <c r="T59" s="16"/>
      <c r="U59" s="16"/>
      <c r="V59" s="16"/>
      <c r="W59" s="7"/>
      <c r="X59" s="7"/>
      <c r="Y59" s="7"/>
      <c r="Z59" s="8"/>
      <c r="AA59" s="8"/>
      <c r="AB59" s="439">
        <f t="shared" si="2"/>
        <v>63</v>
      </c>
      <c r="AC59" s="451">
        <f ca="1">OFFSET(Data!$A$2,$AC$8,AB59,1,1)</f>
        <v>2143.771728515625</v>
      </c>
      <c r="AD59" s="492" t="s">
        <v>569</v>
      </c>
      <c r="AE59" s="19"/>
      <c r="AF59" s="19"/>
      <c r="AH59" s="19"/>
      <c r="AK59" s="11"/>
      <c r="AL59" s="8"/>
      <c r="AM59" s="8"/>
      <c r="AN59" s="8"/>
      <c r="AO59" s="8"/>
      <c r="AP59" s="8"/>
      <c r="AR59" s="28"/>
      <c r="AS59" s="13"/>
      <c r="AT59" s="7"/>
      <c r="AU59" s="7"/>
      <c r="AV59" s="7"/>
      <c r="BE59" s="16"/>
      <c r="BF59" s="16"/>
      <c r="BG59" s="16"/>
      <c r="BH59" s="7"/>
      <c r="BI59" s="7"/>
      <c r="BJ59" s="7"/>
      <c r="BK59" s="8"/>
      <c r="BL59" s="8"/>
      <c r="BM59" s="27"/>
    </row>
    <row r="60" spans="1:65" ht="18" customHeight="1">
      <c r="A60" s="8"/>
      <c r="B60" s="8"/>
      <c r="C60" s="8"/>
      <c r="D60" s="8"/>
      <c r="E60" s="8"/>
      <c r="G60" s="28"/>
      <c r="H60" s="13"/>
      <c r="I60" s="8"/>
      <c r="J60" s="8"/>
      <c r="K60" s="8"/>
      <c r="T60" s="16"/>
      <c r="U60" s="16"/>
      <c r="V60" s="16"/>
      <c r="W60" s="8"/>
      <c r="X60" s="8"/>
      <c r="Y60" s="8"/>
      <c r="Z60" s="8"/>
      <c r="AA60" s="8"/>
      <c r="AB60" s="448">
        <f t="shared" si="2"/>
        <v>49</v>
      </c>
      <c r="AC60" s="451">
        <f ca="1">OFFSET(Data!$A$2,$AC$8,AB60,1,1)</f>
        <v>1705.525390625</v>
      </c>
      <c r="AD60" s="491" t="s">
        <v>557</v>
      </c>
      <c r="AE60" s="19"/>
      <c r="AF60" s="19"/>
      <c r="AK60" s="11"/>
      <c r="AL60" s="8"/>
      <c r="AM60" s="8"/>
      <c r="AN60" s="8"/>
      <c r="AO60" s="8"/>
      <c r="AP60" s="8"/>
      <c r="AR60" s="28"/>
      <c r="AS60" s="13"/>
      <c r="AT60" s="8"/>
      <c r="AU60" s="8"/>
      <c r="AV60" s="8"/>
      <c r="BE60" s="16"/>
      <c r="BF60" s="16"/>
      <c r="BG60" s="16"/>
      <c r="BH60" s="8"/>
      <c r="BI60" s="8"/>
      <c r="BJ60" s="8"/>
      <c r="BK60" s="8"/>
      <c r="BL60" s="8"/>
      <c r="BM60" s="27"/>
    </row>
    <row r="61" spans="1:65" ht="18" customHeight="1">
      <c r="A61" s="8"/>
      <c r="B61" s="8"/>
      <c r="C61" s="8"/>
      <c r="D61" s="8"/>
      <c r="E61" s="8"/>
      <c r="G61" s="28"/>
      <c r="H61" s="13"/>
      <c r="I61" s="8"/>
      <c r="J61" s="8"/>
      <c r="K61" s="8"/>
      <c r="T61" s="16"/>
      <c r="U61" s="16"/>
      <c r="V61" s="16"/>
      <c r="W61" s="8"/>
      <c r="X61" s="8"/>
      <c r="Y61" s="8"/>
      <c r="Z61" s="8"/>
      <c r="AA61" s="8"/>
      <c r="AB61" s="448">
        <f t="shared" si="2"/>
        <v>50</v>
      </c>
      <c r="AC61" s="451">
        <f ca="1">OFFSET(Data!$A$2,$AC$8,AB61,1,1)</f>
        <v>194.17059326171875</v>
      </c>
      <c r="AD61" s="491" t="s">
        <v>558</v>
      </c>
      <c r="AE61" s="19"/>
      <c r="AK61" s="11"/>
      <c r="AL61" s="8"/>
      <c r="AM61" s="8"/>
      <c r="AN61" s="8"/>
      <c r="AO61" s="8"/>
      <c r="AP61" s="8"/>
      <c r="AR61" s="28"/>
      <c r="AS61" s="13"/>
      <c r="AT61" s="8"/>
      <c r="AU61" s="8"/>
      <c r="AV61" s="8"/>
      <c r="BE61" s="16"/>
      <c r="BF61" s="16"/>
      <c r="BG61" s="16"/>
      <c r="BH61" s="8"/>
      <c r="BI61" s="8"/>
      <c r="BJ61" s="8"/>
      <c r="BK61" s="8"/>
      <c r="BL61" s="8"/>
      <c r="BM61" s="27"/>
    </row>
    <row r="62" spans="1:65" ht="18" customHeight="1">
      <c r="A62" s="8"/>
      <c r="B62" s="8"/>
      <c r="C62" s="8"/>
      <c r="D62" s="8"/>
      <c r="E62" s="8"/>
      <c r="G62" s="28"/>
      <c r="H62" s="13"/>
      <c r="I62" s="8"/>
      <c r="J62" s="8"/>
      <c r="K62" s="8"/>
      <c r="T62" s="16"/>
      <c r="U62" s="16"/>
      <c r="V62" s="16"/>
      <c r="W62" s="8"/>
      <c r="X62" s="8"/>
      <c r="Y62" s="8"/>
      <c r="Z62" s="8"/>
      <c r="AA62" s="8"/>
      <c r="AB62" s="448">
        <f t="shared" si="2"/>
        <v>51</v>
      </c>
      <c r="AC62" s="451">
        <f ca="1">OFFSET(Data!$A$2,$AC$8,AB62,1,1)</f>
        <v>29.720623016357422</v>
      </c>
      <c r="AD62" s="491" t="s">
        <v>559</v>
      </c>
      <c r="AK62" s="11"/>
      <c r="AL62" s="8"/>
      <c r="AM62" s="8"/>
      <c r="AN62" s="8"/>
      <c r="AO62" s="8"/>
      <c r="AP62" s="8"/>
      <c r="AR62" s="28"/>
      <c r="AS62" s="13"/>
      <c r="AT62" s="8"/>
      <c r="AU62" s="8"/>
      <c r="AV62" s="8"/>
      <c r="BE62" s="16"/>
      <c r="BF62" s="16"/>
      <c r="BG62" s="16"/>
      <c r="BH62" s="8"/>
      <c r="BI62" s="8"/>
      <c r="BJ62" s="8"/>
      <c r="BK62" s="8"/>
      <c r="BL62" s="8"/>
      <c r="BM62" s="27"/>
    </row>
    <row r="63" spans="1:65" ht="18" customHeight="1">
      <c r="A63" s="8"/>
      <c r="B63" s="8"/>
      <c r="C63" s="8"/>
      <c r="D63" s="8"/>
      <c r="E63" s="8"/>
      <c r="G63" s="28"/>
      <c r="H63" s="13"/>
      <c r="I63" s="8"/>
      <c r="J63" s="8"/>
      <c r="K63" s="8"/>
      <c r="T63" s="16"/>
      <c r="U63" s="16"/>
      <c r="V63" s="16"/>
      <c r="W63" s="8"/>
      <c r="X63" s="8"/>
      <c r="Y63" s="8"/>
      <c r="Z63" s="8"/>
      <c r="AA63" s="8"/>
      <c r="AB63" s="448">
        <f t="shared" si="2"/>
        <v>52</v>
      </c>
      <c r="AC63" s="451">
        <f ca="1">OFFSET(Data!$A$2,$AC$8,AB63,1,1)</f>
        <v>0</v>
      </c>
      <c r="AD63" s="491" t="s">
        <v>560</v>
      </c>
      <c r="AK63" s="11"/>
      <c r="AL63" s="8"/>
      <c r="AM63" s="8"/>
      <c r="AN63" s="8"/>
      <c r="AO63" s="8"/>
      <c r="AP63" s="8"/>
      <c r="AR63" s="28"/>
      <c r="AS63" s="13"/>
      <c r="AT63" s="8"/>
      <c r="AU63" s="8"/>
      <c r="AV63" s="8"/>
      <c r="BE63" s="16"/>
      <c r="BF63" s="16"/>
      <c r="BG63" s="16"/>
      <c r="BH63" s="8"/>
      <c r="BI63" s="8"/>
      <c r="BJ63" s="8"/>
      <c r="BK63" s="8"/>
      <c r="BL63" s="8"/>
      <c r="BM63" s="27"/>
    </row>
    <row r="64" spans="1:65" ht="18" customHeight="1">
      <c r="A64" s="8"/>
      <c r="B64" s="8"/>
      <c r="C64" s="8"/>
      <c r="D64" s="8"/>
      <c r="E64" s="8"/>
      <c r="G64" s="28"/>
      <c r="H64" s="13"/>
      <c r="I64" s="8"/>
      <c r="J64" s="8"/>
      <c r="K64" s="8"/>
      <c r="T64" s="16"/>
      <c r="U64" s="16"/>
      <c r="V64" s="16"/>
      <c r="W64" s="8"/>
      <c r="X64" s="8"/>
      <c r="Y64" s="8"/>
      <c r="Z64" s="8"/>
      <c r="AA64" s="8"/>
      <c r="AB64" s="448">
        <f t="shared" si="2"/>
        <v>53</v>
      </c>
      <c r="AC64" s="451">
        <f ca="1">OFFSET(Data!$A$2,$AC$8,AB64,1,1)</f>
        <v>32.150665283203125</v>
      </c>
      <c r="AD64" s="491" t="s">
        <v>561</v>
      </c>
      <c r="AK64" s="11"/>
      <c r="AL64" s="8"/>
      <c r="AM64" s="8"/>
      <c r="AN64" s="8"/>
      <c r="AO64" s="8"/>
      <c r="AP64" s="8"/>
      <c r="AR64" s="28"/>
      <c r="AS64" s="13"/>
      <c r="AT64" s="8"/>
      <c r="AU64" s="8"/>
      <c r="AV64" s="8"/>
      <c r="BE64" s="16"/>
      <c r="BF64" s="16"/>
      <c r="BG64" s="16"/>
      <c r="BH64" s="8"/>
      <c r="BI64" s="8"/>
      <c r="BJ64" s="8"/>
      <c r="BK64" s="8"/>
      <c r="BL64" s="8"/>
      <c r="BM64" s="27"/>
    </row>
    <row r="65" spans="1:65" ht="18" customHeight="1">
      <c r="A65" s="8"/>
      <c r="B65" s="15"/>
      <c r="C65" s="8"/>
      <c r="D65" s="8"/>
      <c r="E65" s="8"/>
      <c r="G65" s="28"/>
      <c r="H65" s="13"/>
      <c r="I65" s="28"/>
      <c r="J65" s="28"/>
      <c r="K65" s="28"/>
      <c r="L65" s="28"/>
      <c r="M65" s="28"/>
      <c r="N65" s="28"/>
      <c r="O65" s="28"/>
      <c r="P65" s="28"/>
      <c r="Q65" s="28"/>
      <c r="R65" s="28"/>
      <c r="S65" s="28"/>
      <c r="T65" s="16"/>
      <c r="U65" s="16"/>
      <c r="V65" s="16"/>
      <c r="W65" s="28"/>
      <c r="X65" s="28"/>
      <c r="Y65" s="28"/>
      <c r="Z65" s="8"/>
      <c r="AA65" s="8"/>
      <c r="AB65" s="448">
        <f t="shared" si="2"/>
        <v>54</v>
      </c>
      <c r="AC65" s="451">
        <f ca="1">OFFSET(Data!$A$2,$AC$8,AB65,1,1)</f>
        <v>2.5405731201171875</v>
      </c>
      <c r="AD65" s="491" t="s">
        <v>562</v>
      </c>
      <c r="AK65" s="11"/>
      <c r="AL65" s="8"/>
      <c r="AM65" s="15"/>
      <c r="AN65" s="8"/>
      <c r="AO65" s="8"/>
      <c r="AP65" s="8"/>
      <c r="AR65" s="28"/>
      <c r="AS65" s="13"/>
      <c r="AT65" s="28"/>
      <c r="AU65" s="28"/>
      <c r="AV65" s="28"/>
      <c r="AW65" s="28"/>
      <c r="AX65" s="28"/>
      <c r="AY65" s="28"/>
      <c r="AZ65" s="28"/>
      <c r="BA65" s="28"/>
      <c r="BB65" s="28"/>
      <c r="BC65" s="28"/>
      <c r="BD65" s="28"/>
      <c r="BE65" s="16"/>
      <c r="BF65" s="16"/>
      <c r="BG65" s="16"/>
      <c r="BH65" s="28"/>
      <c r="BI65" s="28"/>
      <c r="BJ65" s="28"/>
      <c r="BK65" s="8"/>
      <c r="BL65" s="8"/>
      <c r="BM65" s="27"/>
    </row>
    <row r="66" spans="1:65" ht="18" customHeight="1">
      <c r="A66" s="8"/>
      <c r="B66" s="15"/>
      <c r="C66" s="8"/>
      <c r="D66" s="8"/>
      <c r="E66" s="8"/>
      <c r="G66" s="28"/>
      <c r="H66" s="13"/>
      <c r="I66" s="15"/>
      <c r="J66" s="33"/>
      <c r="K66" s="28"/>
      <c r="L66" s="15"/>
      <c r="M66" s="15"/>
      <c r="N66" s="15"/>
      <c r="O66" s="15"/>
      <c r="P66" s="15"/>
      <c r="Q66" s="15"/>
      <c r="R66" s="15"/>
      <c r="S66" s="28"/>
      <c r="T66" s="16"/>
      <c r="U66" s="16"/>
      <c r="V66" s="16"/>
      <c r="W66" s="28"/>
      <c r="X66" s="15"/>
      <c r="Y66" s="15"/>
      <c r="Z66" s="8"/>
      <c r="AA66" s="8"/>
      <c r="AB66" s="448">
        <f t="shared" si="2"/>
        <v>55</v>
      </c>
      <c r="AC66" s="451">
        <f ca="1">OFFSET(Data!$A$2,$AC$8,AB66,1,1)</f>
        <v>-548.4713134765625</v>
      </c>
      <c r="AD66" s="491" t="s">
        <v>563</v>
      </c>
      <c r="AK66" s="11"/>
      <c r="AL66" s="8"/>
      <c r="AM66" s="15"/>
      <c r="AN66" s="8"/>
      <c r="AO66" s="8"/>
      <c r="AP66" s="8"/>
      <c r="AR66" s="28"/>
      <c r="AS66" s="13"/>
      <c r="AT66" s="15"/>
      <c r="AU66" s="33"/>
      <c r="AV66" s="28"/>
      <c r="AW66" s="15"/>
      <c r="AX66" s="15"/>
      <c r="AY66" s="15"/>
      <c r="AZ66" s="15"/>
      <c r="BA66" s="15"/>
      <c r="BB66" s="15"/>
      <c r="BC66" s="15"/>
      <c r="BD66" s="28"/>
      <c r="BE66" s="16"/>
      <c r="BF66" s="16"/>
      <c r="BG66" s="16"/>
      <c r="BH66" s="28"/>
      <c r="BI66" s="15"/>
      <c r="BJ66" s="15"/>
      <c r="BK66" s="8"/>
      <c r="BL66" s="8"/>
      <c r="BM66" s="27"/>
    </row>
    <row r="67" spans="1:65" ht="13.5" customHeight="1">
      <c r="A67" s="8"/>
      <c r="B67" s="15"/>
      <c r="C67" s="8"/>
      <c r="D67" s="8"/>
      <c r="E67" s="8"/>
      <c r="G67" s="28"/>
      <c r="H67" s="13"/>
      <c r="I67" s="8"/>
      <c r="J67" s="8"/>
      <c r="K67" s="8"/>
      <c r="L67" s="8"/>
      <c r="M67" s="8"/>
      <c r="N67" s="8"/>
      <c r="O67" s="8"/>
      <c r="P67" s="8"/>
      <c r="Q67" s="8"/>
      <c r="R67" s="8"/>
      <c r="S67" s="8"/>
      <c r="T67" s="8"/>
      <c r="U67" s="8"/>
      <c r="V67" s="8"/>
      <c r="W67" s="8"/>
      <c r="X67" s="8"/>
      <c r="Y67" s="8"/>
      <c r="Z67" s="8"/>
      <c r="AA67" s="8"/>
      <c r="AB67" s="448">
        <f t="shared" si="2"/>
        <v>56</v>
      </c>
      <c r="AC67" s="451">
        <f ca="1">OFFSET(Data!$A$2,$AC$8,AB67,1,1)</f>
        <v>242.71324157714844</v>
      </c>
      <c r="AD67" s="491" t="s">
        <v>564</v>
      </c>
      <c r="AK67" s="11"/>
      <c r="AL67" s="8"/>
      <c r="AM67" s="15"/>
      <c r="AN67" s="8"/>
      <c r="AO67" s="8"/>
      <c r="AP67" s="8"/>
      <c r="AR67" s="28"/>
      <c r="AS67" s="13"/>
      <c r="AT67" s="8"/>
      <c r="AU67" s="8"/>
      <c r="AV67" s="8"/>
      <c r="AW67" s="8"/>
      <c r="AX67" s="8"/>
      <c r="AY67" s="8"/>
      <c r="AZ67" s="8"/>
      <c r="BA67" s="8"/>
      <c r="BB67" s="8"/>
      <c r="BC67" s="8"/>
      <c r="BD67" s="8"/>
      <c r="BE67" s="8"/>
      <c r="BF67" s="8"/>
      <c r="BG67" s="8"/>
      <c r="BH67" s="8"/>
      <c r="BI67" s="8"/>
      <c r="BJ67" s="8"/>
      <c r="BK67" s="8"/>
      <c r="BL67" s="8"/>
      <c r="BM67" s="27"/>
    </row>
    <row r="68" spans="1:65" ht="13.5" customHeight="1">
      <c r="A68" s="8"/>
      <c r="B68" s="34"/>
      <c r="C68" s="35"/>
      <c r="D68" s="8"/>
      <c r="E68" s="8"/>
      <c r="G68" s="28"/>
      <c r="H68" s="13"/>
      <c r="I68" s="35"/>
      <c r="J68" s="35"/>
      <c r="K68" s="35"/>
      <c r="L68" s="35"/>
      <c r="M68" s="35"/>
      <c r="N68" s="35"/>
      <c r="O68" s="35"/>
      <c r="P68" s="35"/>
      <c r="Q68" s="35"/>
      <c r="R68" s="35"/>
      <c r="S68" s="35"/>
      <c r="T68" s="35"/>
      <c r="U68" s="35"/>
      <c r="V68" s="35"/>
      <c r="W68" s="35"/>
      <c r="X68" s="35"/>
      <c r="Y68" s="35"/>
      <c r="Z68" s="32"/>
      <c r="AA68" s="35"/>
      <c r="AB68" s="448">
        <f t="shared" si="2"/>
        <v>57</v>
      </c>
      <c r="AC68" s="451">
        <f ca="1">OFFSET(Data!$A$2,$AC$8,AB68,1,1)</f>
        <v>485.42648315429688</v>
      </c>
      <c r="AD68" s="491" t="s">
        <v>565</v>
      </c>
      <c r="AK68" s="11"/>
      <c r="AL68" s="8"/>
      <c r="AM68" s="34"/>
      <c r="AN68" s="35"/>
      <c r="AO68" s="8"/>
      <c r="AP68" s="8"/>
      <c r="AR68" s="28"/>
      <c r="AS68" s="13"/>
      <c r="AT68" s="35"/>
      <c r="AU68" s="35"/>
      <c r="AV68" s="35"/>
      <c r="AW68" s="35"/>
      <c r="AX68" s="35"/>
      <c r="AY68" s="35"/>
      <c r="AZ68" s="35"/>
      <c r="BA68" s="35"/>
      <c r="BB68" s="35"/>
      <c r="BC68" s="35"/>
      <c r="BD68" s="35"/>
      <c r="BE68" s="35"/>
      <c r="BF68" s="35"/>
      <c r="BG68" s="35"/>
      <c r="BH68" s="35"/>
      <c r="BI68" s="35"/>
      <c r="BJ68" s="35"/>
      <c r="BK68" s="32"/>
      <c r="BL68" s="35"/>
      <c r="BM68" s="27"/>
    </row>
    <row r="69" spans="1:65" ht="13.5" customHeight="1">
      <c r="A69" s="8"/>
      <c r="B69" s="34"/>
      <c r="C69" s="35"/>
      <c r="D69" s="8"/>
      <c r="E69" s="8"/>
      <c r="G69" s="28"/>
      <c r="H69" s="13"/>
      <c r="I69" s="35"/>
      <c r="J69" s="35"/>
      <c r="K69" s="35"/>
      <c r="L69" s="35"/>
      <c r="M69" s="35"/>
      <c r="N69" s="35"/>
      <c r="O69" s="35"/>
      <c r="P69" s="35"/>
      <c r="Q69" s="35"/>
      <c r="R69" s="35"/>
      <c r="S69" s="35"/>
      <c r="T69" s="35"/>
      <c r="U69" s="35"/>
      <c r="V69" s="35"/>
      <c r="W69" s="35"/>
      <c r="X69" s="35"/>
      <c r="Y69" s="35"/>
      <c r="Z69" s="32"/>
      <c r="AA69" s="35"/>
      <c r="AB69" s="448">
        <f t="shared" si="2"/>
        <v>58</v>
      </c>
      <c r="AC69" s="451">
        <f ca="1">OFFSET(Data!$A$2,$AC$8,AB69,1,1)</f>
        <v>0</v>
      </c>
      <c r="AD69" s="491" t="s">
        <v>566</v>
      </c>
      <c r="AK69" s="11"/>
      <c r="AL69" s="8"/>
      <c r="AM69" s="34"/>
      <c r="AN69" s="35"/>
      <c r="AO69" s="8"/>
      <c r="AP69" s="8"/>
      <c r="AR69" s="28"/>
      <c r="AS69" s="13"/>
      <c r="AT69" s="35"/>
      <c r="AU69" s="35"/>
      <c r="AV69" s="35"/>
      <c r="AW69" s="35"/>
      <c r="AX69" s="35"/>
      <c r="AY69" s="35"/>
      <c r="AZ69" s="35"/>
      <c r="BA69" s="35"/>
      <c r="BB69" s="35"/>
      <c r="BC69" s="35"/>
      <c r="BD69" s="35"/>
      <c r="BE69" s="35"/>
      <c r="BF69" s="35"/>
      <c r="BG69" s="35"/>
      <c r="BH69" s="35"/>
      <c r="BI69" s="35"/>
      <c r="BJ69" s="35"/>
      <c r="BK69" s="32"/>
      <c r="BL69" s="35"/>
      <c r="BM69" s="27"/>
    </row>
    <row r="70" spans="1:65" ht="13.5" customHeight="1">
      <c r="A70" s="8"/>
      <c r="B70" s="34"/>
      <c r="C70" s="35"/>
      <c r="D70" s="8"/>
      <c r="E70" s="8"/>
      <c r="G70" s="28"/>
      <c r="H70" s="13"/>
      <c r="I70" s="35"/>
      <c r="J70" s="35"/>
      <c r="K70" s="35"/>
      <c r="L70" s="35"/>
      <c r="M70" s="35"/>
      <c r="N70" s="35"/>
      <c r="O70" s="35"/>
      <c r="P70" s="35"/>
      <c r="Q70" s="35"/>
      <c r="R70" s="35"/>
      <c r="S70" s="35"/>
      <c r="T70" s="35"/>
      <c r="U70" s="35"/>
      <c r="V70" s="35"/>
      <c r="W70" s="35"/>
      <c r="X70" s="35"/>
      <c r="Y70" s="35"/>
      <c r="Z70" s="32"/>
      <c r="AA70" s="35"/>
      <c r="AB70" s="448">
        <f t="shared" si="2"/>
        <v>59</v>
      </c>
      <c r="AC70" s="451">
        <f ca="1">OFFSET(Data!$A$2,$AC$8,AB70,1,1)</f>
        <v>177.98971557617188</v>
      </c>
      <c r="AD70" s="491" t="s">
        <v>567</v>
      </c>
      <c r="AK70" s="11"/>
      <c r="AL70" s="8"/>
      <c r="AM70" s="34"/>
      <c r="AN70" s="35"/>
      <c r="AO70" s="8"/>
      <c r="AP70" s="8"/>
      <c r="AR70" s="28"/>
      <c r="AS70" s="13"/>
      <c r="AT70" s="35"/>
      <c r="AU70" s="35"/>
      <c r="AV70" s="35"/>
      <c r="AW70" s="35"/>
      <c r="AX70" s="35"/>
      <c r="AY70" s="35"/>
      <c r="AZ70" s="35"/>
      <c r="BA70" s="35"/>
      <c r="BB70" s="35"/>
      <c r="BC70" s="35"/>
      <c r="BD70" s="35"/>
      <c r="BE70" s="35"/>
      <c r="BF70" s="35"/>
      <c r="BG70" s="35"/>
      <c r="BH70" s="35"/>
      <c r="BI70" s="35"/>
      <c r="BJ70" s="35"/>
      <c r="BK70" s="32"/>
      <c r="BL70" s="35"/>
      <c r="BM70" s="27"/>
    </row>
    <row r="71" spans="1:65" ht="18" customHeight="1">
      <c r="A71" s="8"/>
      <c r="B71" s="8"/>
      <c r="C71" s="8"/>
      <c r="D71" s="8"/>
      <c r="E71" s="8"/>
      <c r="G71" s="28"/>
      <c r="H71" s="13"/>
      <c r="I71" s="8"/>
      <c r="J71" s="8"/>
      <c r="K71" s="8"/>
      <c r="L71" s="8"/>
      <c r="M71" s="8"/>
      <c r="N71" s="8"/>
      <c r="O71" s="8"/>
      <c r="P71" s="8"/>
      <c r="Q71" s="8"/>
      <c r="R71" s="8"/>
      <c r="S71" s="8"/>
      <c r="T71" s="8"/>
      <c r="U71" s="8"/>
      <c r="V71" s="8"/>
      <c r="W71" s="8"/>
      <c r="X71" s="8"/>
      <c r="Y71" s="8"/>
      <c r="Z71" s="8"/>
      <c r="AA71" s="8"/>
      <c r="AB71" s="448">
        <f t="shared" si="2"/>
        <v>43</v>
      </c>
      <c r="AC71" s="451">
        <f ca="1">OFFSET(Data!$A$2,$AC$8,AB71,1,1)</f>
        <v>0</v>
      </c>
      <c r="AD71" s="452" t="s">
        <v>476</v>
      </c>
      <c r="AK71" s="11"/>
      <c r="AL71" s="8"/>
      <c r="AM71" s="8"/>
      <c r="AN71" s="8"/>
      <c r="AO71" s="8"/>
      <c r="AP71" s="8"/>
      <c r="AR71" s="28"/>
      <c r="AS71" s="13"/>
      <c r="AT71" s="8"/>
      <c r="AU71" s="8"/>
      <c r="AV71" s="8"/>
      <c r="AW71" s="8"/>
      <c r="AX71" s="8"/>
      <c r="AY71" s="8"/>
      <c r="AZ71" s="8"/>
      <c r="BA71" s="8"/>
      <c r="BB71" s="8"/>
      <c r="BC71" s="8"/>
      <c r="BD71" s="8"/>
      <c r="BE71" s="8"/>
      <c r="BF71" s="8"/>
      <c r="BG71" s="8"/>
      <c r="BH71" s="8"/>
      <c r="BI71" s="8"/>
      <c r="BJ71" s="8"/>
      <c r="BK71" s="8"/>
      <c r="BL71" s="8"/>
      <c r="BM71" s="27"/>
    </row>
    <row r="72" spans="1:65" ht="18" customHeight="1">
      <c r="A72" s="8"/>
      <c r="B72" s="6"/>
      <c r="C72" s="13"/>
      <c r="D72" s="8"/>
      <c r="E72" s="8"/>
      <c r="G72" s="28"/>
      <c r="H72" s="13"/>
      <c r="I72" s="8"/>
      <c r="J72" s="7"/>
      <c r="K72" s="8"/>
      <c r="L72" s="8"/>
      <c r="M72" s="8"/>
      <c r="N72" s="8"/>
      <c r="O72" s="8"/>
      <c r="P72" s="8"/>
      <c r="Q72" s="8"/>
      <c r="R72" s="8"/>
      <c r="S72" s="8"/>
      <c r="T72" s="8"/>
      <c r="U72" s="8"/>
      <c r="V72" s="8"/>
      <c r="W72" s="8"/>
      <c r="X72" s="8"/>
      <c r="Y72" s="8"/>
      <c r="Z72" s="8"/>
      <c r="AA72" s="8"/>
      <c r="AB72" s="448">
        <f t="shared" si="2"/>
        <v>18</v>
      </c>
      <c r="AC72" s="451">
        <f ca="1">OFFSET(Data!$A$2,$AC$8,AB72,1,1)</f>
        <v>4240</v>
      </c>
      <c r="AD72" s="490" t="s">
        <v>549</v>
      </c>
      <c r="AK72" s="11"/>
      <c r="AL72" s="8"/>
      <c r="AM72" s="6"/>
      <c r="AN72" s="13"/>
      <c r="AO72" s="8"/>
      <c r="AP72" s="8"/>
      <c r="AR72" s="28"/>
      <c r="AS72" s="13"/>
      <c r="AT72" s="8"/>
      <c r="AU72" s="7"/>
      <c r="AV72" s="8"/>
      <c r="AW72" s="8"/>
      <c r="AX72" s="8"/>
      <c r="AY72" s="8"/>
      <c r="AZ72" s="8"/>
      <c r="BA72" s="8"/>
      <c r="BB72" s="8"/>
      <c r="BC72" s="8"/>
      <c r="BD72" s="8"/>
      <c r="BE72" s="8"/>
      <c r="BF72" s="8"/>
      <c r="BG72" s="8"/>
      <c r="BH72" s="8"/>
      <c r="BI72" s="8"/>
      <c r="BJ72" s="8"/>
      <c r="BK72" s="8"/>
      <c r="BL72" s="8"/>
      <c r="BM72" s="27"/>
    </row>
    <row r="73" spans="1:65" ht="18" customHeight="1">
      <c r="A73" s="8"/>
      <c r="B73" s="6"/>
      <c r="C73" s="13"/>
      <c r="D73" s="8"/>
      <c r="E73" s="8"/>
      <c r="G73" s="28"/>
      <c r="H73" s="13"/>
      <c r="I73" s="8"/>
      <c r="J73" s="7"/>
      <c r="K73" s="8"/>
      <c r="L73" s="8"/>
      <c r="M73" s="8"/>
      <c r="N73" s="8"/>
      <c r="O73" s="8"/>
      <c r="P73" s="8"/>
      <c r="Q73" s="8"/>
      <c r="R73" s="8"/>
      <c r="S73" s="8"/>
      <c r="T73" s="8"/>
      <c r="U73" s="8"/>
      <c r="V73" s="8"/>
      <c r="W73" s="8"/>
      <c r="X73" s="8"/>
      <c r="Y73" s="8"/>
      <c r="Z73" s="8"/>
      <c r="AA73" s="8"/>
      <c r="AB73" s="448">
        <f t="shared" ref="AB73:AB79" si="3">HLOOKUP(AD73,DataColumn,2,0)</f>
        <v>22</v>
      </c>
      <c r="AC73" s="451">
        <f ca="1">OFFSET(Data!$A$2,$AC$8,AB73,1,1)</f>
        <v>44697.359722222223</v>
      </c>
      <c r="AD73" s="491" t="s">
        <v>553</v>
      </c>
      <c r="AK73" s="11"/>
      <c r="AL73" s="8"/>
      <c r="AM73" s="6"/>
      <c r="AN73" s="13"/>
      <c r="AO73" s="8"/>
      <c r="AP73" s="8"/>
      <c r="AR73" s="28"/>
      <c r="AS73" s="13"/>
      <c r="AT73" s="8"/>
      <c r="AU73" s="7"/>
      <c r="AV73" s="8"/>
      <c r="AW73" s="8"/>
      <c r="AX73" s="8"/>
      <c r="AY73" s="8"/>
      <c r="AZ73" s="8"/>
      <c r="BA73" s="8"/>
      <c r="BB73" s="8"/>
      <c r="BC73" s="8"/>
      <c r="BD73" s="8"/>
      <c r="BE73" s="8"/>
      <c r="BF73" s="8"/>
      <c r="BG73" s="8"/>
      <c r="BH73" s="8"/>
      <c r="BI73" s="8"/>
      <c r="BJ73" s="8"/>
      <c r="BK73" s="8"/>
      <c r="BL73" s="8"/>
      <c r="BM73" s="27"/>
    </row>
    <row r="74" spans="1:65" ht="18" customHeight="1">
      <c r="A74" s="8"/>
      <c r="B74" s="6"/>
      <c r="C74" s="13"/>
      <c r="D74" s="8"/>
      <c r="E74" s="8"/>
      <c r="G74" s="28"/>
      <c r="H74" s="13"/>
      <c r="I74" s="8"/>
      <c r="J74" s="7"/>
      <c r="K74" s="8"/>
      <c r="L74" s="8"/>
      <c r="M74" s="8"/>
      <c r="N74" s="8"/>
      <c r="O74" s="8"/>
      <c r="P74" s="8"/>
      <c r="Q74" s="8"/>
      <c r="R74" s="8"/>
      <c r="S74" s="8"/>
      <c r="T74" s="8"/>
      <c r="U74" s="8"/>
      <c r="V74" s="8"/>
      <c r="W74" s="8"/>
      <c r="X74" s="8"/>
      <c r="Y74" s="8"/>
      <c r="Z74" s="8"/>
      <c r="AA74" s="8"/>
      <c r="AB74" s="448">
        <f t="shared" si="3"/>
        <v>23</v>
      </c>
      <c r="AC74" s="451">
        <f ca="1">OFFSET(Data!$A$2,$AC$8,AB74,1,1)</f>
        <v>100</v>
      </c>
      <c r="AD74" s="491" t="s">
        <v>554</v>
      </c>
      <c r="AK74" s="11"/>
      <c r="AL74" s="8"/>
      <c r="AM74" s="6"/>
      <c r="AN74" s="13"/>
      <c r="AO74" s="8"/>
      <c r="AP74" s="8"/>
      <c r="AR74" s="28"/>
      <c r="AS74" s="13"/>
      <c r="AT74" s="8"/>
      <c r="AU74" s="7"/>
      <c r="AV74" s="8"/>
      <c r="AW74" s="8"/>
      <c r="AX74" s="8"/>
      <c r="AY74" s="8"/>
      <c r="AZ74" s="8"/>
      <c r="BA74" s="8"/>
      <c r="BB74" s="8"/>
      <c r="BC74" s="8"/>
      <c r="BD74" s="8"/>
      <c r="BE74" s="8"/>
      <c r="BF74" s="8"/>
      <c r="BG74" s="8"/>
      <c r="BH74" s="8"/>
      <c r="BI74" s="8"/>
      <c r="BJ74" s="8"/>
      <c r="BK74" s="8"/>
      <c r="BL74" s="8"/>
      <c r="BM74" s="27"/>
    </row>
    <row r="75" spans="1:65" ht="18" customHeight="1">
      <c r="A75" s="8"/>
      <c r="B75" s="8"/>
      <c r="C75" s="8"/>
      <c r="D75" s="8"/>
      <c r="E75" s="8"/>
      <c r="G75" s="28"/>
      <c r="H75" s="13"/>
      <c r="I75" s="8"/>
      <c r="J75" s="8"/>
      <c r="K75" s="8"/>
      <c r="L75" s="8"/>
      <c r="M75" s="8"/>
      <c r="N75" s="8"/>
      <c r="O75" s="8"/>
      <c r="P75" s="8"/>
      <c r="Q75" s="8"/>
      <c r="R75" s="8"/>
      <c r="S75" s="8"/>
      <c r="T75" s="8"/>
      <c r="U75" s="8"/>
      <c r="V75" s="8"/>
      <c r="W75" s="8"/>
      <c r="X75" s="8"/>
      <c r="Y75" s="8"/>
      <c r="Z75" s="8"/>
      <c r="AA75" s="8"/>
      <c r="AB75" s="448">
        <f t="shared" si="3"/>
        <v>25</v>
      </c>
      <c r="AC75" s="451">
        <f ca="1">OFFSET(Data!$A$2,$AC$8,AB75,1,1)</f>
        <v>0</v>
      </c>
      <c r="AD75" s="491" t="s">
        <v>538</v>
      </c>
      <c r="AE75" s="8"/>
      <c r="AF75" s="8"/>
      <c r="AK75" s="11"/>
      <c r="AL75" s="8"/>
      <c r="AM75" s="8"/>
      <c r="AN75" s="8"/>
      <c r="AO75" s="8"/>
      <c r="AP75" s="8"/>
      <c r="AR75" s="28"/>
      <c r="AS75" s="13"/>
      <c r="AT75" s="8"/>
      <c r="AU75" s="8"/>
      <c r="AV75" s="8"/>
      <c r="AW75" s="8"/>
      <c r="AX75" s="8"/>
      <c r="AY75" s="8"/>
      <c r="AZ75" s="8"/>
      <c r="BA75" s="8"/>
      <c r="BB75" s="8"/>
      <c r="BC75" s="8"/>
      <c r="BD75" s="8"/>
      <c r="BE75" s="8"/>
      <c r="BF75" s="8"/>
      <c r="BG75" s="8"/>
      <c r="BH75" s="8"/>
      <c r="BI75" s="8"/>
      <c r="BJ75" s="8"/>
      <c r="BK75" s="8"/>
      <c r="BL75" s="8"/>
      <c r="BM75" s="27"/>
    </row>
    <row r="76" spans="1:65" ht="18" customHeight="1">
      <c r="A76" s="8"/>
      <c r="B76" s="8"/>
      <c r="C76" s="8"/>
      <c r="D76" s="8"/>
      <c r="E76" s="8"/>
      <c r="G76" s="28"/>
      <c r="H76" s="13"/>
      <c r="I76" s="15"/>
      <c r="J76" s="15"/>
      <c r="K76" s="15"/>
      <c r="L76" s="15"/>
      <c r="M76" s="15"/>
      <c r="N76" s="15"/>
      <c r="O76" s="15"/>
      <c r="P76" s="15"/>
      <c r="Q76" s="15"/>
      <c r="R76" s="15"/>
      <c r="S76" s="15"/>
      <c r="T76" s="15"/>
      <c r="U76" s="15"/>
      <c r="V76" s="15"/>
      <c r="W76" s="15"/>
      <c r="X76" s="15"/>
      <c r="Y76" s="15"/>
      <c r="Z76" s="8"/>
      <c r="AA76" s="8"/>
      <c r="AB76" s="448">
        <f t="shared" si="3"/>
        <v>26</v>
      </c>
      <c r="AC76" s="451">
        <f ca="1">OFFSET(Data!$A$2,$AC$8,AB76,1,1)</f>
        <v>0</v>
      </c>
      <c r="AD76" s="491" t="s">
        <v>539</v>
      </c>
      <c r="AE76" s="8"/>
      <c r="AF76" s="8"/>
      <c r="AK76" s="11"/>
      <c r="AL76" s="8"/>
      <c r="AM76" s="8"/>
      <c r="AN76" s="8"/>
      <c r="AO76" s="8"/>
      <c r="AP76" s="8"/>
      <c r="AR76" s="28"/>
      <c r="AS76" s="13"/>
      <c r="AT76" s="15"/>
      <c r="AU76" s="15"/>
      <c r="AV76" s="15"/>
      <c r="AW76" s="15"/>
      <c r="AX76" s="15"/>
      <c r="AY76" s="15"/>
      <c r="AZ76" s="15"/>
      <c r="BA76" s="15"/>
      <c r="BB76" s="15"/>
      <c r="BC76" s="15"/>
      <c r="BD76" s="15"/>
      <c r="BE76" s="15"/>
      <c r="BF76" s="15"/>
      <c r="BG76" s="15"/>
      <c r="BH76" s="15"/>
      <c r="BI76" s="15"/>
      <c r="BJ76" s="15"/>
      <c r="BK76" s="8"/>
      <c r="BL76" s="8"/>
      <c r="BM76" s="27"/>
    </row>
    <row r="77" spans="1:65" ht="18" customHeight="1">
      <c r="A77" s="8"/>
      <c r="B77" s="8"/>
      <c r="C77" s="8"/>
      <c r="D77" s="8"/>
      <c r="E77" s="8"/>
      <c r="G77" s="28"/>
      <c r="H77" s="13"/>
      <c r="I77" s="28"/>
      <c r="J77" s="28"/>
      <c r="K77" s="28"/>
      <c r="L77" s="28"/>
      <c r="M77" s="28"/>
      <c r="N77" s="28"/>
      <c r="O77" s="8"/>
      <c r="P77" s="8"/>
      <c r="Q77" s="28"/>
      <c r="R77" s="28"/>
      <c r="S77" s="28"/>
      <c r="T77" s="28"/>
      <c r="U77" s="28"/>
      <c r="V77" s="28"/>
      <c r="W77" s="28"/>
      <c r="X77" s="28"/>
      <c r="Y77" s="28"/>
      <c r="Z77" s="8"/>
      <c r="AA77" s="8"/>
      <c r="AB77" s="448">
        <f t="shared" si="3"/>
        <v>27</v>
      </c>
      <c r="AC77" s="451">
        <f ca="1">OFFSET(Data!$A$2,$AC$8,AB77,1,1)</f>
        <v>0</v>
      </c>
      <c r="AD77" s="491" t="s">
        <v>540</v>
      </c>
      <c r="AE77" s="21"/>
      <c r="AF77" s="21"/>
      <c r="AK77" s="11"/>
      <c r="AL77" s="8"/>
      <c r="AM77" s="8"/>
      <c r="AN77" s="8"/>
      <c r="AO77" s="8"/>
      <c r="AP77" s="8"/>
      <c r="AR77" s="28"/>
      <c r="AS77" s="13"/>
      <c r="AT77" s="28"/>
      <c r="AU77" s="28"/>
      <c r="AV77" s="28"/>
      <c r="AW77" s="28"/>
      <c r="AX77" s="28"/>
      <c r="AY77" s="28"/>
      <c r="AZ77" s="8"/>
      <c r="BA77" s="8"/>
      <c r="BB77" s="28"/>
      <c r="BC77" s="28"/>
      <c r="BD77" s="28"/>
      <c r="BE77" s="28"/>
      <c r="BF77" s="28"/>
      <c r="BG77" s="28"/>
      <c r="BH77" s="28"/>
      <c r="BI77" s="28"/>
      <c r="BJ77" s="28"/>
      <c r="BK77" s="8"/>
      <c r="BL77" s="8"/>
      <c r="BM77" s="27"/>
    </row>
    <row r="78" spans="1:65" ht="18" customHeight="1">
      <c r="A78" s="8"/>
      <c r="B78" s="8"/>
      <c r="C78" s="8"/>
      <c r="D78" s="8"/>
      <c r="E78" s="8"/>
      <c r="G78" s="28"/>
      <c r="H78" s="13"/>
      <c r="I78" s="21"/>
      <c r="J78" s="28"/>
      <c r="K78" s="28"/>
      <c r="L78" s="28"/>
      <c r="M78" s="28"/>
      <c r="N78" s="28"/>
      <c r="O78" s="28"/>
      <c r="P78" s="28"/>
      <c r="Q78" s="28"/>
      <c r="R78" s="28"/>
      <c r="S78" s="28"/>
      <c r="T78" s="28"/>
      <c r="U78" s="28"/>
      <c r="V78" s="28"/>
      <c r="W78" s="28"/>
      <c r="X78" s="28"/>
      <c r="Y78" s="28"/>
      <c r="Z78" s="8"/>
      <c r="AA78" s="8"/>
      <c r="AB78" s="448">
        <f t="shared" si="3"/>
        <v>68</v>
      </c>
      <c r="AC78" s="451">
        <f ca="1">OFFSET(Data!$A$2,$AC$8,AB78,1,1)</f>
        <v>25</v>
      </c>
      <c r="AD78" s="491" t="s">
        <v>556</v>
      </c>
      <c r="AE78" s="21"/>
      <c r="AF78" s="21"/>
      <c r="AK78" s="11"/>
      <c r="AL78" s="8"/>
      <c r="AM78" s="8"/>
      <c r="AN78" s="8"/>
      <c r="AO78" s="8"/>
      <c r="AP78" s="8"/>
      <c r="AR78" s="28"/>
      <c r="AS78" s="13"/>
      <c r="AT78" s="21"/>
      <c r="AU78" s="28"/>
      <c r="AV78" s="28"/>
      <c r="AW78" s="28"/>
      <c r="AX78" s="28"/>
      <c r="AY78" s="28"/>
      <c r="AZ78" s="28"/>
      <c r="BA78" s="28"/>
      <c r="BB78" s="28"/>
      <c r="BC78" s="28"/>
      <c r="BD78" s="28"/>
      <c r="BE78" s="28"/>
      <c r="BF78" s="28"/>
      <c r="BG78" s="28"/>
      <c r="BH78" s="28"/>
      <c r="BI78" s="28"/>
      <c r="BJ78" s="28"/>
      <c r="BK78" s="8"/>
      <c r="BL78" s="8"/>
      <c r="BM78" s="27"/>
    </row>
    <row r="79" spans="1:65" ht="12.75" customHeight="1">
      <c r="AB79" s="448">
        <f t="shared" si="3"/>
        <v>48</v>
      </c>
      <c r="AC79" s="451">
        <f ca="1">OFFSET(Data!$A$2,$AC$8,AB79,1,1)</f>
        <v>38.629358961503364</v>
      </c>
      <c r="AD79" s="491" t="s">
        <v>546</v>
      </c>
    </row>
    <row r="80" spans="1:65" ht="12.75" customHeight="1">
      <c r="AB80" s="448">
        <f t="shared" ref="AB80" si="4">HLOOKUP(AD80,DataColumn,2,0)</f>
        <v>30</v>
      </c>
      <c r="AC80" s="451">
        <f ca="1">OFFSET(Data!$A$2,$AC$8,AB80,1,1)</f>
        <v>0</v>
      </c>
      <c r="AD80" s="115" t="s">
        <v>570</v>
      </c>
    </row>
    <row r="81" spans="28:30" ht="12.75" customHeight="1">
      <c r="AB81" s="448">
        <f>HLOOKUP(AD81,DataColumn,2,0)</f>
        <v>40</v>
      </c>
      <c r="AC81" s="451">
        <f ca="1">OFFSET(Data!$A$2,$AC$8,AB81,1,1)</f>
        <v>0</v>
      </c>
      <c r="AD81" s="176" t="s">
        <v>578</v>
      </c>
    </row>
    <row r="82" spans="28:30" ht="12.75" customHeight="1">
      <c r="AB82" s="448">
        <f t="shared" ref="AB82" si="5">HLOOKUP(AD82,DataColumn,2,0)</f>
        <v>41</v>
      </c>
      <c r="AC82" s="451">
        <f ca="1">OFFSET(Data!$A$2,$AC$8,AB82,1,1)</f>
        <v>0</v>
      </c>
      <c r="AD82" s="464" t="s">
        <v>579</v>
      </c>
    </row>
    <row r="83" spans="28:30" ht="12.75" customHeight="1">
      <c r="AB83" s="448">
        <f t="shared" ref="AB83" si="6">HLOOKUP(AD83,DataColumn,2,0)</f>
        <v>32</v>
      </c>
      <c r="AC83" s="451" t="str">
        <f ca="1">OFFSET(Data!$A$2,$AC$8,AB83,1,1)</f>
        <v>Cooling Design Day</v>
      </c>
      <c r="AD83" s="181" t="s">
        <v>572</v>
      </c>
    </row>
    <row r="84" spans="28:30" ht="12.75" customHeight="1">
      <c r="AB84" s="448">
        <f t="shared" ref="AB84" si="7">HLOOKUP(AD84,DataColumn,2,0)</f>
        <v>31</v>
      </c>
      <c r="AC84" s="451">
        <f ca="1">OFFSET(Data!$A$2,$AC$8,AB84,1,1)</f>
        <v>2.0156227052211761E-2</v>
      </c>
      <c r="AD84" s="115" t="s">
        <v>571</v>
      </c>
    </row>
    <row r="85" spans="28:30" ht="12.75" customHeight="1">
      <c r="AB85" s="448">
        <f t="shared" ref="AB85:AB90" si="8">HLOOKUP(AD85,DataColumn,2,0)</f>
        <v>33</v>
      </c>
      <c r="AC85" s="451">
        <f ca="1">OFFSET(Data!$A$2,$AC$8,AB85,1,1)</f>
        <v>0</v>
      </c>
      <c r="AD85" s="115" t="s">
        <v>580</v>
      </c>
    </row>
    <row r="86" spans="28:30" ht="12.75" customHeight="1">
      <c r="AB86" s="448">
        <f t="shared" si="8"/>
        <v>34</v>
      </c>
      <c r="AC86" s="451">
        <f ca="1">OFFSET(Data!$A$2,$AC$8,AB86,1,1)</f>
        <v>0</v>
      </c>
      <c r="AD86" s="115" t="s">
        <v>581</v>
      </c>
    </row>
    <row r="87" spans="28:30" ht="12.75" customHeight="1">
      <c r="AB87" s="448">
        <f t="shared" si="8"/>
        <v>35</v>
      </c>
      <c r="AC87" s="451">
        <f ca="1">OFFSET(Data!$A$2,$AC$8,AB87,1,1)</f>
        <v>0</v>
      </c>
      <c r="AD87" s="115" t="s">
        <v>582</v>
      </c>
    </row>
    <row r="88" spans="28:30" ht="12.75" customHeight="1">
      <c r="AB88" s="448">
        <f t="shared" si="8"/>
        <v>36</v>
      </c>
      <c r="AC88" s="451">
        <f ca="1">OFFSET(Data!$A$2,$AC$8,AB88,1,1)</f>
        <v>0</v>
      </c>
      <c r="AD88" s="115" t="s">
        <v>583</v>
      </c>
    </row>
    <row r="89" spans="28:30" ht="12.75" customHeight="1">
      <c r="AB89" s="448">
        <f t="shared" si="8"/>
        <v>37</v>
      </c>
      <c r="AC89" s="451">
        <f ca="1">OFFSET(Data!$A$2,$AC$8,AB89,1,1)</f>
        <v>0</v>
      </c>
      <c r="AD89" s="115" t="s">
        <v>584</v>
      </c>
    </row>
    <row r="90" spans="28:30" ht="12.75" customHeight="1">
      <c r="AB90" s="448">
        <f t="shared" si="8"/>
        <v>38</v>
      </c>
      <c r="AC90" s="451">
        <f ca="1">OFFSET(Data!$A$2,$AC$8,AB90,1,1)</f>
        <v>0</v>
      </c>
      <c r="AD90" s="115" t="s">
        <v>585</v>
      </c>
    </row>
    <row r="91" spans="28:30" ht="12.75" customHeight="1">
      <c r="AB91" s="448">
        <f t="shared" ref="AB91:AB105" si="9">HLOOKUP(AD91,DataColumn,2,0)</f>
        <v>39</v>
      </c>
      <c r="AC91" s="451">
        <f ca="1">OFFSET(Data!$A$2,$AC$8,AB91,1,1)</f>
        <v>13</v>
      </c>
      <c r="AD91" s="445" t="s">
        <v>591</v>
      </c>
    </row>
    <row r="92" spans="28:30" ht="12.75" customHeight="1">
      <c r="AB92" s="448">
        <f t="shared" si="9"/>
        <v>69</v>
      </c>
      <c r="AC92" s="451">
        <f ca="1">OFFSET(Data!$A$2,$AC$8,AB92,1,1)</f>
        <v>-126.80799865722656</v>
      </c>
      <c r="AD92" s="115" t="s">
        <v>594</v>
      </c>
    </row>
    <row r="93" spans="28:30" ht="12.75" customHeight="1">
      <c r="AB93" s="448">
        <f t="shared" si="9"/>
        <v>70</v>
      </c>
      <c r="AC93" s="451">
        <f ca="1">OFFSET(Data!$A$2,$AC$8,AB93,1,1)</f>
        <v>0</v>
      </c>
      <c r="AD93" s="115" t="s">
        <v>595</v>
      </c>
    </row>
    <row r="94" spans="28:30" ht="12.75" customHeight="1">
      <c r="AB94" s="448">
        <f t="shared" si="9"/>
        <v>71</v>
      </c>
      <c r="AC94" s="451">
        <f ca="1">OFFSET(Data!$A$2,$AC$8,AB94,1,1)</f>
        <v>-29.223388671875</v>
      </c>
      <c r="AD94" s="115" t="s">
        <v>596</v>
      </c>
    </row>
    <row r="95" spans="28:30" ht="12.75" customHeight="1">
      <c r="AB95" s="448">
        <f t="shared" si="9"/>
        <v>72</v>
      </c>
      <c r="AC95" s="451">
        <f ca="1">OFFSET(Data!$A$2,$AC$8,AB95,1,1)</f>
        <v>-461.29132080078125</v>
      </c>
      <c r="AD95" s="115" t="s">
        <v>597</v>
      </c>
    </row>
    <row r="96" spans="28:30" ht="12.75" customHeight="1">
      <c r="AB96" s="448">
        <f t="shared" si="9"/>
        <v>73</v>
      </c>
      <c r="AC96" s="451">
        <f ca="1">OFFSET(Data!$A$2,$AC$8,AB96,1,1)</f>
        <v>-320.25994873046875</v>
      </c>
      <c r="AD96" s="115" t="s">
        <v>598</v>
      </c>
    </row>
    <row r="97" spans="28:30" ht="12.75" customHeight="1">
      <c r="AB97" s="448">
        <f t="shared" si="9"/>
        <v>74</v>
      </c>
      <c r="AC97" s="451" t="str">
        <f ca="1">OFFSET(Data!$A$2,$AC$8,AB97,1,1)</f>
        <v>Heating Design Day</v>
      </c>
      <c r="AD97" s="115" t="s">
        <v>599</v>
      </c>
    </row>
    <row r="98" spans="28:30" ht="12.75" customHeight="1">
      <c r="AB98" s="448">
        <f t="shared" si="9"/>
        <v>75</v>
      </c>
      <c r="AC98" s="451">
        <f ca="1">OFFSET(Data!$A$2,$AC$8,AB98,1,1)</f>
        <v>21</v>
      </c>
      <c r="AD98" s="115" t="s">
        <v>600</v>
      </c>
    </row>
    <row r="99" spans="28:30" ht="12.75" customHeight="1">
      <c r="AB99" s="448">
        <f t="shared" si="9"/>
        <v>76</v>
      </c>
      <c r="AC99" s="451">
        <f ca="1">OFFSET(Data!$A$2,$AC$8,AB99,1,1)</f>
        <v>19.106033325195313</v>
      </c>
      <c r="AD99" s="115" t="s">
        <v>601</v>
      </c>
    </row>
    <row r="100" spans="28:30" ht="12.75" customHeight="1">
      <c r="AB100" s="448">
        <f t="shared" si="9"/>
        <v>77</v>
      </c>
      <c r="AC100" s="451">
        <f ca="1">OFFSET(Data!$A$2,$AC$8,AB100,1,1)</f>
        <v>0</v>
      </c>
      <c r="AD100" s="115" t="s">
        <v>602</v>
      </c>
    </row>
    <row r="101" spans="28:30" ht="12.75" customHeight="1">
      <c r="AB101" s="448">
        <f t="shared" si="9"/>
        <v>78</v>
      </c>
      <c r="AC101" s="451">
        <f ca="1">OFFSET(Data!$A$2,$AC$8,AB101,1,1)</f>
        <v>0</v>
      </c>
      <c r="AD101" s="115" t="s">
        <v>603</v>
      </c>
    </row>
    <row r="102" spans="28:30" ht="12.75" customHeight="1">
      <c r="AB102" s="448">
        <f t="shared" si="9"/>
        <v>79</v>
      </c>
      <c r="AC102" s="451">
        <f ca="1">OFFSET(Data!$A$2,$AC$8,AB102,1,1)</f>
        <v>24.999006271362305</v>
      </c>
      <c r="AD102" s="115" t="s">
        <v>604</v>
      </c>
    </row>
    <row r="103" spans="28:30" ht="12.75" customHeight="1">
      <c r="AB103" s="448">
        <f t="shared" si="9"/>
        <v>80</v>
      </c>
      <c r="AC103" s="451">
        <f ca="1">OFFSET(Data!$A$2,$AC$8,AB103,1,1)</f>
        <v>0</v>
      </c>
      <c r="AD103" s="115" t="s">
        <v>605</v>
      </c>
    </row>
    <row r="104" spans="28:30" ht="12.75" customHeight="1">
      <c r="AB104" s="448">
        <f t="shared" si="9"/>
        <v>81</v>
      </c>
      <c r="AC104" s="451" t="str">
        <f ca="1">OFFSET(Data!$A$2,$AC$8,AB104,1,1)</f>
        <v>01.01.2018@17:00</v>
      </c>
      <c r="AD104" s="115" t="s">
        <v>606</v>
      </c>
    </row>
    <row r="105" spans="28:30" ht="12.75" customHeight="1">
      <c r="AB105" s="448">
        <f t="shared" si="9"/>
        <v>82</v>
      </c>
      <c r="AC105" s="451" t="str">
        <f ca="1">OFFSET(Data!$A$2,$AC$8,AB105,1,1)</f>
        <v>02.01.2018@00:00</v>
      </c>
      <c r="AD105" s="115" t="s">
        <v>607</v>
      </c>
    </row>
  </sheetData>
  <dataConsolidate/>
  <mergeCells count="13">
    <mergeCell ref="Q11:R12"/>
    <mergeCell ref="U11:V11"/>
    <mergeCell ref="S11:T11"/>
    <mergeCell ref="BD11:BE11"/>
    <mergeCell ref="AN2:AP2"/>
    <mergeCell ref="AX11:AY11"/>
    <mergeCell ref="AZ11:BA11"/>
    <mergeCell ref="L30:M30"/>
    <mergeCell ref="O30:P30"/>
    <mergeCell ref="C2:E2"/>
    <mergeCell ref="M11:N11"/>
    <mergeCell ref="O11:P11"/>
    <mergeCell ref="K11:L12"/>
  </mergeCells>
  <dataValidations disablePrompts="1" count="1">
    <dataValidation type="list" allowBlank="1" showInputMessage="1" showErrorMessage="1" sqref="AB1" xr:uid="{00000000-0002-0000-0400-000000000000}">
      <formula1>"English, Deutsch"</formula1>
    </dataValidation>
  </dataValidations>
  <pageMargins left="0" right="0" top="0" bottom="0" header="0" footer="0"/>
  <pageSetup paperSize="9" scale="96" orientation="landscape" r:id="rId1"/>
  <colBreaks count="1" manualBreakCount="1">
    <brk id="28" max="1048575" man="1"/>
  </colBreaks>
  <drawing r:id="rId2"/>
  <legacyDrawing r:id="rId3"/>
  <controls>
    <mc:AlternateContent xmlns:mc="http://schemas.openxmlformats.org/markup-compatibility/2006">
      <mc:Choice Requires="x14">
        <control shapeId="25602" r:id="rId4" name="CommandButton2">
          <controlPr defaultSize="0" autoLine="0" autoPict="0" r:id="rId5">
            <anchor moveWithCells="1" sizeWithCells="1">
              <from>
                <xdr:col>33</xdr:col>
                <xdr:colOff>861060</xdr:colOff>
                <xdr:row>0</xdr:row>
                <xdr:rowOff>76200</xdr:rowOff>
              </from>
              <to>
                <xdr:col>36</xdr:col>
                <xdr:colOff>0</xdr:colOff>
                <xdr:row>1</xdr:row>
                <xdr:rowOff>228600</xdr:rowOff>
              </to>
            </anchor>
          </controlPr>
        </control>
      </mc:Choice>
      <mc:Fallback>
        <control shapeId="25602" r:id="rId4" name="CommandButton2"/>
      </mc:Fallback>
    </mc:AlternateContent>
    <mc:AlternateContent xmlns:mc="http://schemas.openxmlformats.org/markup-compatibility/2006">
      <mc:Choice Requires="x14">
        <control shapeId="25601" r:id="rId6" name="CommandButton1">
          <controlPr defaultSize="0" autoLine="0" r:id="rId7">
            <anchor moveWithCells="1" sizeWithCells="1">
              <from>
                <xdr:col>31</xdr:col>
                <xdr:colOff>640080</xdr:colOff>
                <xdr:row>11</xdr:row>
                <xdr:rowOff>175260</xdr:rowOff>
              </from>
              <to>
                <xdr:col>32</xdr:col>
                <xdr:colOff>678180</xdr:colOff>
                <xdr:row>13</xdr:row>
                <xdr:rowOff>106680</xdr:rowOff>
              </to>
            </anchor>
          </controlPr>
        </control>
      </mc:Choice>
      <mc:Fallback>
        <control shapeId="25601" r:id="rId6" name="CommandButton1"/>
      </mc:Fallback>
    </mc:AlternateContent>
    <mc:AlternateContent xmlns:mc="http://schemas.openxmlformats.org/markup-compatibility/2006">
      <mc:Choice Requires="x14">
        <control shapeId="25619" r:id="rId8" name="CommandButton3">
          <controlPr defaultSize="0" autoLine="0" r:id="rId9">
            <anchor moveWithCells="1">
              <from>
                <xdr:col>30</xdr:col>
                <xdr:colOff>22860</xdr:colOff>
                <xdr:row>3</xdr:row>
                <xdr:rowOff>30480</xdr:rowOff>
              </from>
              <to>
                <xdr:col>30</xdr:col>
                <xdr:colOff>853440</xdr:colOff>
                <xdr:row>6</xdr:row>
                <xdr:rowOff>99060</xdr:rowOff>
              </to>
            </anchor>
          </controlPr>
        </control>
      </mc:Choice>
      <mc:Fallback>
        <control shapeId="25619" r:id="rId8" name="CommandButton3"/>
      </mc:Fallback>
    </mc:AlternateContent>
    <mc:AlternateContent xmlns:mc="http://schemas.openxmlformats.org/markup-compatibility/2006">
      <mc:Choice Requires="x14">
        <control shapeId="25620" r:id="rId10" name="Button 20">
          <controlPr defaultSize="0" print="0" autoFill="0" autoPict="0" macro="[0]!Set_Data.Set_Data">
            <anchor moveWithCells="1" sizeWithCells="1">
              <from>
                <xdr:col>33</xdr:col>
                <xdr:colOff>830580</xdr:colOff>
                <xdr:row>1</xdr:row>
                <xdr:rowOff>289560</xdr:rowOff>
              </from>
              <to>
                <xdr:col>35</xdr:col>
                <xdr:colOff>518160</xdr:colOff>
                <xdr:row>3</xdr:row>
                <xdr:rowOff>175260</xdr:rowOff>
              </to>
            </anchor>
          </controlPr>
        </control>
      </mc:Choice>
    </mc:AlternateContent>
    <mc:AlternateContent xmlns:mc="http://schemas.openxmlformats.org/markup-compatibility/2006">
      <mc:Choice Requires="x14">
        <control shapeId="25621" r:id="rId11" name="Button 21">
          <controlPr defaultSize="0" print="0" autoFill="0" autoPict="0" macro="[0]!Print_Click">
            <anchor moveWithCells="1">
              <from>
                <xdr:col>27</xdr:col>
                <xdr:colOff>861060</xdr:colOff>
                <xdr:row>3</xdr:row>
                <xdr:rowOff>144780</xdr:rowOff>
              </from>
              <to>
                <xdr:col>28</xdr:col>
                <xdr:colOff>1402080</xdr:colOff>
                <xdr:row>5</xdr:row>
                <xdr:rowOff>99060</xdr:rowOff>
              </to>
            </anchor>
          </controlPr>
        </control>
      </mc:Choice>
    </mc:AlternateContent>
  </controls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3"/>
  <dimension ref="A1:Y11005"/>
  <sheetViews>
    <sheetView zoomScale="80" zoomScaleNormal="80" workbookViewId="0">
      <selection activeCell="B1" sqref="B1"/>
    </sheetView>
  </sheetViews>
  <sheetFormatPr defaultColWidth="18.77734375" defaultRowHeight="12.75" customHeight="1"/>
  <cols>
    <col min="1" max="1" width="9.109375" style="129" customWidth="1"/>
    <col min="2" max="2" width="8.5546875" style="129" customWidth="1"/>
    <col min="3" max="3" width="7.88671875" style="129" customWidth="1"/>
    <col min="4" max="4" width="11.6640625" style="129" customWidth="1"/>
    <col min="5" max="5" width="4.5546875" style="129" customWidth="1"/>
    <col min="6" max="6" width="4.109375" style="129" customWidth="1"/>
    <col min="7" max="7" width="5.88671875" style="129" customWidth="1"/>
    <col min="8" max="8" width="9" style="129" bestFit="1" customWidth="1"/>
    <col min="9" max="9" width="30.33203125" style="129" customWidth="1"/>
    <col min="10" max="10" width="9.109375" style="129" customWidth="1"/>
    <col min="11" max="11" width="10.109375" style="129" bestFit="1" customWidth="1"/>
    <col min="12" max="12" width="10.109375" style="129" customWidth="1"/>
    <col min="13" max="14" width="9.109375" style="129" customWidth="1"/>
    <col min="15" max="15" width="12.5546875" style="129" customWidth="1"/>
    <col min="16" max="16" width="37.44140625" style="129" customWidth="1"/>
    <col min="17" max="17" width="9.109375" style="129" customWidth="1"/>
    <col min="18" max="18" width="7" style="129" customWidth="1"/>
    <col min="19" max="20" width="9.109375" style="129" customWidth="1"/>
    <col min="21" max="21" width="36.88671875" style="129" customWidth="1"/>
    <col min="22" max="22" width="12.44140625" style="129" customWidth="1"/>
    <col min="23" max="23" width="17.6640625" style="129" customWidth="1"/>
    <col min="24" max="24" width="12" style="129" customWidth="1"/>
    <col min="25" max="25" width="12.5546875" style="129" customWidth="1"/>
    <col min="26" max="41" width="9.109375" style="129" customWidth="1"/>
    <col min="42" max="44" width="18.6640625" style="129" customWidth="1"/>
    <col min="45" max="16384" width="18.77734375" style="129"/>
  </cols>
  <sheetData>
    <row r="1" spans="1:22" s="149" customFormat="1" ht="75.599999999999994" customHeight="1">
      <c r="A1" s="149">
        <v>1</v>
      </c>
      <c r="B1" s="150" t="s">
        <v>171</v>
      </c>
      <c r="C1" s="150" t="s">
        <v>172</v>
      </c>
      <c r="D1" s="150" t="s">
        <v>173</v>
      </c>
      <c r="E1" s="151" t="s">
        <v>174</v>
      </c>
      <c r="F1" s="151" t="s">
        <v>175</v>
      </c>
      <c r="G1" s="151" t="s">
        <v>176</v>
      </c>
      <c r="H1" s="151" t="s">
        <v>530</v>
      </c>
      <c r="I1" s="150" t="s">
        <v>177</v>
      </c>
      <c r="J1" s="475">
        <f>N30</f>
        <v>2</v>
      </c>
      <c r="K1" s="475">
        <f>VLOOKUP($N$30,$J$2:$L$588,2,0)</f>
        <v>20</v>
      </c>
      <c r="L1" s="475">
        <f>VLOOKUP($N$30,$J$2:$L$588,3,0)</f>
        <v>12</v>
      </c>
      <c r="N1" s="150"/>
      <c r="O1" s="150"/>
    </row>
    <row r="2" spans="1:22" ht="14.4">
      <c r="A2" s="129">
        <v>2</v>
      </c>
      <c r="B2" s="129">
        <v>1</v>
      </c>
      <c r="C2" s="129" t="s">
        <v>859</v>
      </c>
      <c r="D2" s="129" t="s">
        <v>865</v>
      </c>
      <c r="E2" s="152">
        <v>25</v>
      </c>
      <c r="F2" s="129">
        <v>3</v>
      </c>
      <c r="G2" s="129">
        <v>90</v>
      </c>
      <c r="H2" s="129">
        <v>1</v>
      </c>
      <c r="I2" s="129" t="s">
        <v>865</v>
      </c>
      <c r="J2" s="129">
        <v>1</v>
      </c>
      <c r="K2" s="129">
        <v>10</v>
      </c>
      <c r="L2" s="464">
        <v>2</v>
      </c>
      <c r="N2" s="129">
        <v>21</v>
      </c>
    </row>
    <row r="3" spans="1:22" ht="14.4">
      <c r="A3" s="129">
        <v>3</v>
      </c>
      <c r="B3" s="129">
        <v>1</v>
      </c>
      <c r="C3" s="152"/>
      <c r="D3" s="129" t="s">
        <v>866</v>
      </c>
      <c r="E3" s="129">
        <v>2.0999999046325684</v>
      </c>
      <c r="F3" s="129">
        <v>1</v>
      </c>
      <c r="G3" s="129">
        <v>90</v>
      </c>
      <c r="H3" s="129">
        <v>2</v>
      </c>
      <c r="I3" s="153" t="s">
        <v>866</v>
      </c>
      <c r="J3" s="129">
        <v>2</v>
      </c>
      <c r="K3" s="129">
        <v>20</v>
      </c>
      <c r="L3" s="464">
        <f t="shared" ref="L3" si="0">K2+$L$2</f>
        <v>12</v>
      </c>
    </row>
    <row r="4" spans="1:22" ht="14.4">
      <c r="A4" s="129">
        <v>4</v>
      </c>
      <c r="B4" s="129">
        <v>1</v>
      </c>
      <c r="C4" s="152"/>
      <c r="D4" s="129" t="s">
        <v>867</v>
      </c>
      <c r="E4" s="129">
        <v>3.2000000476837158</v>
      </c>
      <c r="F4" s="129">
        <v>1</v>
      </c>
      <c r="G4" s="129">
        <v>90</v>
      </c>
      <c r="H4" s="129">
        <v>12</v>
      </c>
      <c r="I4" s="153" t="s">
        <v>867</v>
      </c>
      <c r="L4" s="464"/>
      <c r="O4" s="129" t="s">
        <v>178</v>
      </c>
      <c r="P4" s="154" t="s">
        <v>864</v>
      </c>
      <c r="Q4" s="154"/>
    </row>
    <row r="5" spans="1:22" ht="14.4">
      <c r="A5" s="129">
        <v>5</v>
      </c>
      <c r="B5" s="129">
        <v>1</v>
      </c>
      <c r="C5" s="152"/>
      <c r="D5" s="129" t="s">
        <v>868</v>
      </c>
      <c r="E5" s="129">
        <v>23.700000762939453</v>
      </c>
      <c r="F5" s="129">
        <v>0</v>
      </c>
      <c r="G5" s="129">
        <v>180</v>
      </c>
      <c r="H5" s="129">
        <v>11</v>
      </c>
      <c r="I5" s="153" t="s">
        <v>868</v>
      </c>
      <c r="L5" s="464"/>
      <c r="O5" s="129" t="s">
        <v>179</v>
      </c>
      <c r="P5" s="129">
        <f>MAX(B2:B588)</f>
        <v>2</v>
      </c>
    </row>
    <row r="6" spans="1:22" ht="14.4">
      <c r="A6" s="129">
        <v>6</v>
      </c>
      <c r="B6" s="129">
        <v>1</v>
      </c>
      <c r="C6" s="152"/>
      <c r="D6" s="129" t="s">
        <v>869</v>
      </c>
      <c r="E6" s="129">
        <v>23.700000762939453</v>
      </c>
      <c r="F6" s="129">
        <v>1</v>
      </c>
      <c r="G6" s="129">
        <v>0</v>
      </c>
      <c r="H6" s="129">
        <v>3</v>
      </c>
      <c r="I6" s="153" t="s">
        <v>869</v>
      </c>
      <c r="L6" s="464"/>
      <c r="O6" s="129" t="str">
        <f>C2</f>
        <v>0_001 Cell 1.1</v>
      </c>
      <c r="S6" s="129" t="s">
        <v>180</v>
      </c>
      <c r="T6" s="129" t="s">
        <v>181</v>
      </c>
      <c r="U6" s="129" t="s">
        <v>182</v>
      </c>
    </row>
    <row r="7" spans="1:22" ht="14.4">
      <c r="A7" s="129">
        <v>7</v>
      </c>
      <c r="B7" s="129">
        <v>1</v>
      </c>
      <c r="C7" s="152"/>
      <c r="D7" s="129" t="s">
        <v>866</v>
      </c>
      <c r="E7" s="129">
        <v>6.1999998092651367</v>
      </c>
      <c r="F7" s="129">
        <v>1</v>
      </c>
      <c r="G7" s="129">
        <v>90</v>
      </c>
      <c r="H7" s="129">
        <v>2</v>
      </c>
      <c r="I7" s="153" t="s">
        <v>866</v>
      </c>
      <c r="L7" s="464"/>
      <c r="O7" s="155" t="s">
        <v>160</v>
      </c>
      <c r="P7" s="155"/>
      <c r="Q7" s="145">
        <f ca="1">T7</f>
        <v>0</v>
      </c>
      <c r="R7" s="156" t="s">
        <v>155</v>
      </c>
      <c r="S7" s="156"/>
      <c r="T7" s="157">
        <f ca="1">SUMIF($V$30:$V$582,R7, $Q$30:$Q$582)</f>
        <v>0</v>
      </c>
      <c r="U7" s="487" t="s">
        <v>513</v>
      </c>
      <c r="V7" s="488">
        <f t="shared" ref="V7:V27" ca="1" si="1">SUMIF($T$30:$T$582,VLOOKUP(U7,BEType,2), $Q$30:$Q$582)</f>
        <v>0</v>
      </c>
    </row>
    <row r="8" spans="1:22" ht="14.4">
      <c r="A8" s="129">
        <v>8</v>
      </c>
      <c r="B8" s="129">
        <v>1</v>
      </c>
      <c r="C8" s="152"/>
      <c r="D8" s="129" t="s">
        <v>867</v>
      </c>
      <c r="E8" s="129">
        <v>6.1999998092651367</v>
      </c>
      <c r="F8" s="129">
        <v>1</v>
      </c>
      <c r="G8" s="129">
        <v>90</v>
      </c>
      <c r="H8" s="129">
        <v>12</v>
      </c>
      <c r="I8" s="153" t="s">
        <v>867</v>
      </c>
      <c r="L8" s="464"/>
      <c r="O8" s="155" t="s">
        <v>161</v>
      </c>
      <c r="P8" s="155"/>
      <c r="Q8" s="145">
        <f t="shared" ref="Q8:Q17" ca="1" si="2">T8</f>
        <v>25</v>
      </c>
      <c r="R8" s="158" t="s">
        <v>156</v>
      </c>
      <c r="S8" s="156"/>
      <c r="T8" s="157">
        <f ca="1">SUMIF($Y$30:$Y$582,R8, $Q$30:$Q$582)</f>
        <v>25</v>
      </c>
      <c r="U8" s="487" t="s">
        <v>512</v>
      </c>
      <c r="V8" s="488">
        <f t="shared" ca="1" si="1"/>
        <v>0</v>
      </c>
    </row>
    <row r="9" spans="1:22" ht="14.4">
      <c r="A9" s="129">
        <v>9</v>
      </c>
      <c r="B9" s="129">
        <v>1</v>
      </c>
      <c r="C9" s="152"/>
      <c r="D9" s="129" t="s">
        <v>866</v>
      </c>
      <c r="E9" s="129">
        <v>4.8000001907348633</v>
      </c>
      <c r="F9" s="129">
        <v>1</v>
      </c>
      <c r="G9" s="129">
        <v>90</v>
      </c>
      <c r="H9" s="129">
        <v>2</v>
      </c>
      <c r="I9" s="153" t="s">
        <v>866</v>
      </c>
      <c r="L9" s="464"/>
      <c r="O9" s="155" t="s">
        <v>162</v>
      </c>
      <c r="P9" s="155"/>
      <c r="Q9" s="145">
        <f t="shared" ca="1" si="2"/>
        <v>0</v>
      </c>
      <c r="R9" s="156" t="s">
        <v>157</v>
      </c>
      <c r="S9" s="156"/>
      <c r="T9" s="157">
        <f ca="1">SUMIF($V$30:$V$582,R9, $Q$30:$Q$582)</f>
        <v>0</v>
      </c>
      <c r="U9" s="487" t="s">
        <v>510</v>
      </c>
      <c r="V9" s="488">
        <f t="shared" ca="1" si="1"/>
        <v>0</v>
      </c>
    </row>
    <row r="10" spans="1:22" ht="14.4">
      <c r="A10" s="129">
        <v>10</v>
      </c>
      <c r="B10" s="129">
        <v>1</v>
      </c>
      <c r="C10" s="152"/>
      <c r="D10" s="129" t="s">
        <v>867</v>
      </c>
      <c r="E10" s="129">
        <v>19.200000762939453</v>
      </c>
      <c r="F10" s="129">
        <v>1</v>
      </c>
      <c r="G10" s="129">
        <v>90</v>
      </c>
      <c r="H10" s="129">
        <v>12</v>
      </c>
      <c r="I10" s="153" t="s">
        <v>867</v>
      </c>
      <c r="L10" s="464"/>
      <c r="O10" s="155" t="s">
        <v>163</v>
      </c>
      <c r="P10" s="155"/>
      <c r="Q10" s="145">
        <f ca="1">T10+T19</f>
        <v>0</v>
      </c>
      <c r="R10" s="156" t="s">
        <v>163</v>
      </c>
      <c r="S10" s="156"/>
      <c r="T10" s="157">
        <f ca="1">SUMIF($W$30:$W$582,R10, $Q$30:$Q$582)</f>
        <v>0</v>
      </c>
      <c r="U10" s="487" t="s">
        <v>184</v>
      </c>
      <c r="V10" s="488">
        <f t="shared" ca="1" si="1"/>
        <v>0</v>
      </c>
    </row>
    <row r="11" spans="1:22" ht="14.4">
      <c r="A11" s="129">
        <v>11</v>
      </c>
      <c r="C11" s="152"/>
      <c r="I11" s="153"/>
      <c r="L11" s="464"/>
      <c r="O11" s="155" t="s">
        <v>164</v>
      </c>
      <c r="P11" s="155"/>
      <c r="Q11" s="145">
        <f t="shared" ca="1" si="2"/>
        <v>0</v>
      </c>
      <c r="R11" s="156" t="s">
        <v>165</v>
      </c>
      <c r="S11" s="156"/>
      <c r="T11" s="157">
        <f ca="1">SUMIF($Y$30:$Y$582,R11, $Q$30:$Q$582)</f>
        <v>0</v>
      </c>
      <c r="U11" s="487" t="s">
        <v>185</v>
      </c>
      <c r="V11" s="488">
        <f t="shared" ca="1" si="1"/>
        <v>27.100000619888306</v>
      </c>
    </row>
    <row r="12" spans="1:22" ht="14.4">
      <c r="A12" s="129">
        <v>12</v>
      </c>
      <c r="B12" s="129">
        <v>2</v>
      </c>
      <c r="C12" s="152" t="s">
        <v>863</v>
      </c>
      <c r="D12" s="129" t="s">
        <v>865</v>
      </c>
      <c r="E12" s="129">
        <v>25</v>
      </c>
      <c r="F12" s="129">
        <v>3</v>
      </c>
      <c r="G12" s="129">
        <v>90</v>
      </c>
      <c r="H12" s="129">
        <v>1</v>
      </c>
      <c r="I12" s="153" t="s">
        <v>865</v>
      </c>
      <c r="L12" s="464"/>
      <c r="O12" s="155" t="s">
        <v>165</v>
      </c>
      <c r="P12" s="155"/>
      <c r="Q12" s="145">
        <f t="shared" ca="1" si="2"/>
        <v>24.299999237060547</v>
      </c>
      <c r="R12" s="156" t="s">
        <v>183</v>
      </c>
      <c r="S12" s="156"/>
      <c r="T12" s="157">
        <f ca="1">SUMIF($V$30:$V$582,R12, $Q$30:$Q$582)</f>
        <v>24.299999237060547</v>
      </c>
      <c r="U12" s="487" t="s">
        <v>514</v>
      </c>
      <c r="V12" s="488">
        <f t="shared" ca="1" si="1"/>
        <v>0</v>
      </c>
    </row>
    <row r="13" spans="1:22" ht="14.4">
      <c r="A13" s="129">
        <v>13</v>
      </c>
      <c r="B13" s="129">
        <v>2</v>
      </c>
      <c r="C13" s="152"/>
      <c r="D13" s="129" t="s">
        <v>866</v>
      </c>
      <c r="E13" s="129">
        <v>5.0999999046325684</v>
      </c>
      <c r="F13" s="129">
        <v>1</v>
      </c>
      <c r="G13" s="129">
        <v>90</v>
      </c>
      <c r="H13" s="129">
        <v>2</v>
      </c>
      <c r="I13" s="153" t="s">
        <v>866</v>
      </c>
      <c r="L13" s="464"/>
      <c r="O13" s="155" t="s">
        <v>166</v>
      </c>
      <c r="P13" s="155"/>
      <c r="Q13" s="145">
        <f t="shared" ca="1" si="2"/>
        <v>0</v>
      </c>
      <c r="R13" s="156" t="s">
        <v>184</v>
      </c>
      <c r="S13" s="156"/>
      <c r="T13" s="157">
        <f ca="1">SUMIF($V$30:$V$582,R13, $Q$30:$Q$582)</f>
        <v>0</v>
      </c>
      <c r="U13" s="487" t="s">
        <v>511</v>
      </c>
      <c r="V13" s="488">
        <f t="shared" ca="1" si="1"/>
        <v>15.200000047683716</v>
      </c>
    </row>
    <row r="14" spans="1:22" ht="14.4">
      <c r="A14" s="464">
        <v>14</v>
      </c>
      <c r="B14" s="129">
        <v>2</v>
      </c>
      <c r="C14" s="152"/>
      <c r="D14" s="129" t="s">
        <v>867</v>
      </c>
      <c r="E14" s="129">
        <v>7.5999999046325684</v>
      </c>
      <c r="F14" s="129">
        <v>1</v>
      </c>
      <c r="G14" s="129">
        <v>90</v>
      </c>
      <c r="H14" s="129">
        <v>12</v>
      </c>
      <c r="I14" s="153" t="s">
        <v>867</v>
      </c>
      <c r="L14" s="464"/>
      <c r="O14" s="155" t="s">
        <v>167</v>
      </c>
      <c r="P14" s="155"/>
      <c r="Q14" s="145">
        <f t="shared" ca="1" si="2"/>
        <v>42.300000667572021</v>
      </c>
      <c r="R14" s="156" t="s">
        <v>185</v>
      </c>
      <c r="S14" s="156"/>
      <c r="T14" s="157">
        <f ca="1">SUMIF($Y$30:$Y$582,R14, $Q$30:$Q$582)</f>
        <v>42.300000667572021</v>
      </c>
      <c r="U14" s="487" t="s">
        <v>156</v>
      </c>
      <c r="V14" s="488">
        <f t="shared" ca="1" si="1"/>
        <v>25</v>
      </c>
    </row>
    <row r="15" spans="1:22" ht="14.4">
      <c r="A15" s="464">
        <v>15</v>
      </c>
      <c r="B15" s="129">
        <v>2</v>
      </c>
      <c r="C15" s="152"/>
      <c r="D15" s="129" t="s">
        <v>868</v>
      </c>
      <c r="E15" s="129">
        <v>24.299999237060547</v>
      </c>
      <c r="F15" s="129">
        <v>0</v>
      </c>
      <c r="G15" s="129">
        <v>180</v>
      </c>
      <c r="H15" s="129">
        <v>11</v>
      </c>
      <c r="I15" s="153" t="s">
        <v>868</v>
      </c>
      <c r="L15" s="464"/>
      <c r="O15" s="155" t="s">
        <v>168</v>
      </c>
      <c r="P15" s="155"/>
      <c r="Q15" s="145">
        <f t="shared" ca="1" si="2"/>
        <v>24.299999237060547</v>
      </c>
      <c r="R15" s="156" t="s">
        <v>168</v>
      </c>
      <c r="S15" s="156"/>
      <c r="T15" s="157">
        <f ca="1">SUMIF($V$30:$V$582,R15, $Q$30:$Q$582)</f>
        <v>24.299999237060547</v>
      </c>
      <c r="U15" s="487" t="s">
        <v>515</v>
      </c>
      <c r="V15" s="488">
        <f t="shared" ca="1" si="1"/>
        <v>0</v>
      </c>
    </row>
    <row r="16" spans="1:22" ht="14.4">
      <c r="A16" s="464">
        <v>16</v>
      </c>
      <c r="B16" s="129">
        <v>2</v>
      </c>
      <c r="C16" s="152"/>
      <c r="D16" s="129" t="s">
        <v>869</v>
      </c>
      <c r="E16" s="129">
        <v>24.299999237060547</v>
      </c>
      <c r="F16" s="129">
        <v>1</v>
      </c>
      <c r="G16" s="129">
        <v>0</v>
      </c>
      <c r="H16" s="129">
        <v>3</v>
      </c>
      <c r="I16" s="153" t="s">
        <v>869</v>
      </c>
      <c r="L16" s="464"/>
      <c r="O16" s="155" t="s">
        <v>169</v>
      </c>
      <c r="P16" s="155"/>
      <c r="Q16" s="145">
        <f ca="1">T16+T20+T21+T22</f>
        <v>0</v>
      </c>
      <c r="R16" s="156" t="s">
        <v>169</v>
      </c>
      <c r="S16" s="156"/>
      <c r="T16" s="157">
        <f ca="1">SUMIF($W$30:$W$582,R16, $Q$30:$Q$582)</f>
        <v>0</v>
      </c>
      <c r="U16" s="487" t="s">
        <v>516</v>
      </c>
      <c r="V16" s="488">
        <f t="shared" ca="1" si="1"/>
        <v>0</v>
      </c>
    </row>
    <row r="17" spans="1:25" ht="14.4">
      <c r="A17" s="464">
        <v>17</v>
      </c>
      <c r="B17" s="129">
        <v>2</v>
      </c>
      <c r="C17" s="152"/>
      <c r="D17" s="129" t="s">
        <v>866</v>
      </c>
      <c r="E17" s="129">
        <v>2.7999999523162842</v>
      </c>
      <c r="F17" s="129">
        <v>1</v>
      </c>
      <c r="G17" s="129">
        <v>90</v>
      </c>
      <c r="H17" s="129">
        <v>2</v>
      </c>
      <c r="I17" s="153" t="s">
        <v>866</v>
      </c>
      <c r="L17" s="464"/>
      <c r="O17" s="155" t="s">
        <v>170</v>
      </c>
      <c r="P17" s="155"/>
      <c r="Q17" s="145">
        <f t="shared" ca="1" si="2"/>
        <v>0</v>
      </c>
      <c r="R17" s="156" t="s">
        <v>170</v>
      </c>
      <c r="S17" s="156"/>
      <c r="T17" s="157">
        <f ca="1">SUMIF($W$30:$W$582,R17, $Q$30:$Q$582)</f>
        <v>0</v>
      </c>
      <c r="U17" s="487" t="s">
        <v>517</v>
      </c>
      <c r="V17" s="488">
        <f t="shared" ca="1" si="1"/>
        <v>0</v>
      </c>
    </row>
    <row r="18" spans="1:25" ht="14.4">
      <c r="A18" s="464">
        <v>18</v>
      </c>
      <c r="B18" s="129">
        <v>2</v>
      </c>
      <c r="C18" s="152"/>
      <c r="D18" s="129" t="s">
        <v>867</v>
      </c>
      <c r="E18" s="129">
        <v>2.7999999523162842</v>
      </c>
      <c r="F18" s="129">
        <v>1</v>
      </c>
      <c r="G18" s="129">
        <v>90</v>
      </c>
      <c r="H18" s="129">
        <v>12</v>
      </c>
      <c r="I18" s="153" t="s">
        <v>867</v>
      </c>
      <c r="L18" s="464"/>
      <c r="Q18" s="145"/>
      <c r="R18" s="156" t="s">
        <v>186</v>
      </c>
      <c r="S18" s="156"/>
      <c r="T18" s="157">
        <f ca="1">SUMIF($P$30:$P$582,R18, $Q$30:$Q$582)</f>
        <v>0</v>
      </c>
      <c r="U18" s="487" t="s">
        <v>518</v>
      </c>
      <c r="V18" s="488">
        <f t="shared" ca="1" si="1"/>
        <v>0</v>
      </c>
    </row>
    <row r="19" spans="1:25" ht="14.4">
      <c r="A19" s="464">
        <v>19</v>
      </c>
      <c r="B19" s="129">
        <v>2</v>
      </c>
      <c r="C19" s="152"/>
      <c r="D19" s="129" t="s">
        <v>866</v>
      </c>
      <c r="E19" s="129">
        <v>19.200000762939453</v>
      </c>
      <c r="F19" s="129">
        <v>1</v>
      </c>
      <c r="G19" s="129">
        <v>90</v>
      </c>
      <c r="H19" s="129">
        <v>2</v>
      </c>
      <c r="I19" s="153" t="s">
        <v>866</v>
      </c>
      <c r="L19" s="464"/>
      <c r="R19" s="156" t="s">
        <v>494</v>
      </c>
      <c r="S19" s="156"/>
      <c r="T19" s="157">
        <f ca="1">SUMIF($X$30:$X$582,R19, $Q$30:$Q$582)</f>
        <v>0</v>
      </c>
      <c r="U19" s="487" t="s">
        <v>519</v>
      </c>
      <c r="V19" s="488">
        <f t="shared" ca="1" si="1"/>
        <v>24.299999237060547</v>
      </c>
    </row>
    <row r="20" spans="1:25" ht="14.4">
      <c r="A20" s="464">
        <v>20</v>
      </c>
      <c r="B20" s="129">
        <v>2</v>
      </c>
      <c r="C20" s="152"/>
      <c r="D20" s="129" t="s">
        <v>867</v>
      </c>
      <c r="E20" s="129">
        <v>4.8000001907348633</v>
      </c>
      <c r="F20" s="129">
        <v>1</v>
      </c>
      <c r="G20" s="129">
        <v>90</v>
      </c>
      <c r="H20" s="129">
        <v>12</v>
      </c>
      <c r="I20" s="153" t="s">
        <v>867</v>
      </c>
      <c r="L20" s="464"/>
      <c r="R20" s="164" t="s">
        <v>495</v>
      </c>
      <c r="S20" s="156"/>
      <c r="T20" s="157">
        <f ca="1">SUMIF($X$30:$X$582,R20, $Q$30:$Q$582)</f>
        <v>0</v>
      </c>
      <c r="U20" s="487" t="s">
        <v>520</v>
      </c>
      <c r="V20" s="488">
        <f t="shared" ca="1" si="1"/>
        <v>0</v>
      </c>
    </row>
    <row r="21" spans="1:25" ht="14.4">
      <c r="A21" s="464"/>
      <c r="C21" s="152"/>
      <c r="I21" s="153"/>
      <c r="L21" s="464"/>
      <c r="R21" s="156" t="s">
        <v>496</v>
      </c>
      <c r="S21" s="156"/>
      <c r="T21" s="157">
        <f ca="1">SUMIF($X$30:$X$582,R21, $Q$30:$Q$582)</f>
        <v>0</v>
      </c>
      <c r="U21" s="487" t="s">
        <v>521</v>
      </c>
      <c r="V21" s="488">
        <f t="shared" ca="1" si="1"/>
        <v>0</v>
      </c>
    </row>
    <row r="22" spans="1:25" ht="14.4">
      <c r="A22" s="464"/>
      <c r="C22" s="152"/>
      <c r="I22" s="153"/>
      <c r="L22" s="464"/>
      <c r="R22" s="164" t="s">
        <v>497</v>
      </c>
      <c r="S22" s="156"/>
      <c r="T22" s="157">
        <f ca="1">SUMIF($X$30:$X$582,R22, $Q$30:$Q$582)</f>
        <v>0</v>
      </c>
      <c r="U22" s="487" t="s">
        <v>522</v>
      </c>
      <c r="V22" s="488">
        <f t="shared" ca="1" si="1"/>
        <v>24.299999237060547</v>
      </c>
    </row>
    <row r="23" spans="1:25" ht="14.4">
      <c r="A23" s="464"/>
      <c r="C23" s="152"/>
      <c r="I23" s="153"/>
      <c r="L23" s="464"/>
      <c r="R23" s="156" t="s">
        <v>164</v>
      </c>
      <c r="S23" s="156"/>
      <c r="T23" s="157">
        <f ca="1">SUMIF($W$30:$W$582,R23, $Q$30:$Q$582)</f>
        <v>0</v>
      </c>
      <c r="U23" s="487" t="s">
        <v>523</v>
      </c>
      <c r="V23" s="488">
        <f t="shared" ca="1" si="1"/>
        <v>0</v>
      </c>
    </row>
    <row r="24" spans="1:25" ht="14.4">
      <c r="A24" s="464"/>
      <c r="C24" s="152"/>
      <c r="I24" s="153"/>
      <c r="L24" s="464"/>
      <c r="T24" s="153"/>
      <c r="U24" s="487" t="s">
        <v>526</v>
      </c>
      <c r="V24" s="488">
        <f t="shared" ca="1" si="1"/>
        <v>0</v>
      </c>
    </row>
    <row r="25" spans="1:25" ht="14.4">
      <c r="A25" s="464"/>
      <c r="C25" s="152"/>
      <c r="I25" s="153"/>
      <c r="L25" s="464"/>
      <c r="M25" s="100"/>
      <c r="N25" s="100"/>
      <c r="O25" s="100"/>
      <c r="P25" s="100"/>
      <c r="T25" s="153"/>
      <c r="U25" s="487" t="s">
        <v>524</v>
      </c>
      <c r="V25" s="488">
        <f t="shared" ca="1" si="1"/>
        <v>0</v>
      </c>
    </row>
    <row r="26" spans="1:25" ht="14.4">
      <c r="A26" s="464"/>
      <c r="C26" s="152"/>
      <c r="I26" s="153"/>
      <c r="L26" s="464"/>
      <c r="M26" s="100"/>
      <c r="N26" s="100"/>
      <c r="O26" s="100"/>
      <c r="P26" s="100"/>
      <c r="T26" s="153"/>
      <c r="U26" s="487" t="s">
        <v>525</v>
      </c>
      <c r="V26" s="488">
        <f t="shared" ca="1" si="1"/>
        <v>0</v>
      </c>
    </row>
    <row r="27" spans="1:25" ht="14.4">
      <c r="A27" s="464"/>
      <c r="C27" s="152"/>
      <c r="I27" s="153"/>
      <c r="L27" s="464"/>
      <c r="M27" s="100"/>
      <c r="N27" s="100" t="str">
        <f ca="1">O30</f>
        <v>0_002 Cell 1.2</v>
      </c>
      <c r="O27" s="100"/>
      <c r="P27" s="100"/>
      <c r="T27" s="153"/>
      <c r="U27" s="487" t="s">
        <v>527</v>
      </c>
      <c r="V27" s="488">
        <f t="shared" ca="1" si="1"/>
        <v>0</v>
      </c>
      <c r="W27" s="129" t="s">
        <v>492</v>
      </c>
      <c r="X27" s="129" t="s">
        <v>492</v>
      </c>
    </row>
    <row r="28" spans="1:25" ht="14.4">
      <c r="A28" s="464"/>
      <c r="C28" s="152"/>
      <c r="I28" s="153"/>
      <c r="L28" s="464"/>
      <c r="M28" s="100"/>
      <c r="N28" s="100"/>
      <c r="O28" s="100"/>
      <c r="P28" s="100"/>
      <c r="V28" s="129" t="s">
        <v>191</v>
      </c>
      <c r="W28" s="129" t="s">
        <v>491</v>
      </c>
      <c r="X28" s="129" t="s">
        <v>491</v>
      </c>
    </row>
    <row r="29" spans="1:25" ht="14.4">
      <c r="C29" s="152"/>
      <c r="I29" s="153"/>
      <c r="L29" s="464"/>
      <c r="N29" s="159" t="str">
        <f>Print!AC7</f>
        <v>Index</v>
      </c>
      <c r="O29" s="129">
        <v>2</v>
      </c>
      <c r="P29" s="129">
        <v>3</v>
      </c>
      <c r="Q29" s="129">
        <v>4</v>
      </c>
      <c r="R29" s="129">
        <v>5</v>
      </c>
      <c r="S29" s="129">
        <v>6</v>
      </c>
      <c r="T29" s="129">
        <v>7</v>
      </c>
      <c r="U29" s="129">
        <v>8</v>
      </c>
      <c r="V29" s="129" t="s">
        <v>190</v>
      </c>
      <c r="W29" s="129" t="s">
        <v>490</v>
      </c>
      <c r="X29" s="129" t="s">
        <v>493</v>
      </c>
      <c r="Y29" s="129" t="s">
        <v>489</v>
      </c>
    </row>
    <row r="30" spans="1:25" ht="14.4">
      <c r="C30" s="152"/>
      <c r="I30" s="153"/>
      <c r="L30" s="464"/>
      <c r="M30" s="129">
        <f>L1</f>
        <v>12</v>
      </c>
      <c r="N30" s="159">
        <f>Print!AC8</f>
        <v>2</v>
      </c>
      <c r="O30" s="160" t="str">
        <f ca="1">IF($M30="end",0,OFFSET($A$1,$M30-1,O$29,1,1))</f>
        <v>0_002 Cell 1.2</v>
      </c>
      <c r="P30" s="160" t="str">
        <f t="shared" ref="P30:U45" ca="1" si="3">IF($M30="end",0,OFFSET($A$1,$M30-1,P$29,1,1))</f>
        <v>SIM_INT_SLD_Partition</v>
      </c>
      <c r="Q30" s="160">
        <f t="shared" ca="1" si="3"/>
        <v>25</v>
      </c>
      <c r="R30" s="160">
        <f t="shared" ca="1" si="3"/>
        <v>3</v>
      </c>
      <c r="S30" s="160">
        <f t="shared" ca="1" si="3"/>
        <v>90</v>
      </c>
      <c r="T30" s="160">
        <f ca="1">IF($M30="end",0,OFFSET($A$1,$M30-1,T$29,1,1))</f>
        <v>1</v>
      </c>
      <c r="U30" s="160" t="str">
        <f ca="1">IF($M30="end",0,OFFSET($A$1,$M30-1,U$29,1,1))</f>
        <v>SIM_INT_SLD_Partition</v>
      </c>
      <c r="V30" s="163" t="b">
        <f ca="1">IF(Q30=0,0,IF(S30=180,IF(R30=0,"Slab on Grade",IF(R30=1,"Exposed Floor",IF(R30=3,"Internal Floor",U30))),IF(S30&lt;45,IF(R30=3,"Internal Ceiling",IF(R30=1,"Roof",U30)))))</f>
        <v>0</v>
      </c>
      <c r="W30" s="163" t="str">
        <f ca="1">IF(ISNUMBER(SEARCH($W$29,U30))=TRUE,IF(ISNUMBER(SEARCH($W$27,U30))=TRUE,IF(R30=1,"eFrame",IF(R30=3,"iFrame")),IF(R30=1,"eWindow",IF(R30=3,"iWindow"))),U30)</f>
        <v>SIM_INT_SLD_Partition</v>
      </c>
      <c r="X30" s="163" t="str">
        <f ca="1">IF(ISNUMBER(SEARCH($X$29,U30))=TRUE,IF(ISNUMBER(SEARCH($X$27,U30))=TRUE,IF(R30=1,"eFrameDoor",IF(R30=3,"iFrameDoor")),IF(R30=1,"eDoor",IF(R30=3,"iDoor"))),U30)</f>
        <v>SIM_INT_SLD_Partition</v>
      </c>
      <c r="Y30" s="163" t="str">
        <f ca="1">IF(ISNUMBER(SEARCH($W$29,U30))=TRUE,"Substract",IF(ISNUMBER(SEARCH($X$29,U30))=TRUE, "Sunstract",IF(S30=90,IF(R30=1,"External Wall",IF(R30=3,"Internal Wall",IF(R30=0,"Below Grade Wall",U30))),V30)))</f>
        <v>Internal Wall</v>
      </c>
    </row>
    <row r="31" spans="1:25" ht="14.4">
      <c r="I31" s="153"/>
      <c r="L31" s="464"/>
      <c r="M31" s="129">
        <f>IF(M30="end","end",IF(M30=$K$1,"end",M30+1))</f>
        <v>13</v>
      </c>
      <c r="N31" s="161">
        <f>N30</f>
        <v>2</v>
      </c>
      <c r="O31" s="160">
        <f t="shared" ref="O31:O40" ca="1" si="4">IF($M31="end",0,OFFSET($A$1,$M31-1,O$29,1,1))</f>
        <v>0</v>
      </c>
      <c r="P31" s="160" t="str">
        <f t="shared" ca="1" si="3"/>
        <v>SIM_EXT_SLD</v>
      </c>
      <c r="Q31" s="160">
        <f t="shared" ca="1" si="3"/>
        <v>5.0999999046325684</v>
      </c>
      <c r="R31" s="160">
        <f t="shared" ca="1" si="3"/>
        <v>1</v>
      </c>
      <c r="S31" s="160">
        <f t="shared" ca="1" si="3"/>
        <v>90</v>
      </c>
      <c r="T31" s="160">
        <f t="shared" ca="1" si="3"/>
        <v>2</v>
      </c>
      <c r="U31" s="160" t="str">
        <f t="shared" ca="1" si="3"/>
        <v>SIM_EXT_SLD</v>
      </c>
      <c r="V31" s="163" t="b">
        <f t="shared" ref="V31:V94" ca="1" si="5">IF(Q31=0,0,IF(S31=180,IF(R31=0,"Slab on Grade",IF(R31=1,"Exposed Floor",IF(R31=3,"Internal Floor",U31))),IF(S31&lt;45,IF(R31=3,"Internal Ceiling",IF(R31=1,"Roof",U31)))))</f>
        <v>0</v>
      </c>
      <c r="W31" s="163" t="str">
        <f t="shared" ref="W31:W94" ca="1" si="6">IF(ISNUMBER(SEARCH($W$29,U31))=TRUE,IF(ISNUMBER(SEARCH($W$27,U31))=TRUE,IF(R31=1,"eFrame",IF(R31=3,"iFrame")),IF(R31=1,"eWindow",IF(R31=3,"iWindow"))),U31)</f>
        <v>SIM_EXT_SLD</v>
      </c>
      <c r="X31" s="163" t="str">
        <f t="shared" ref="X31:X94" ca="1" si="7">IF(ISNUMBER(SEARCH($X$29,U31))=TRUE,IF(ISNUMBER(SEARCH($X$27,U31))=TRUE,IF(R31=1,"eFrameDoor",IF(R31=3,"iFrameDoor")),IF(R31=1,"eDoor",IF(R31=3,"iDoor"))),U31)</f>
        <v>SIM_EXT_SLD</v>
      </c>
      <c r="Y31" s="163" t="str">
        <f t="shared" ref="Y31:Y94" ca="1" si="8">IF(ISNUMBER(SEARCH($W$29,U31))=TRUE,"Substract",IF(ISNUMBER(SEARCH($X$29,U31))=TRUE, "Sunstract",IF(S31=90,IF(R31=1,"External Wall",IF(R31=3,"Internal Wall",IF(R31=0,"Below Grade Wall",U31))),V31)))</f>
        <v>External Wall</v>
      </c>
    </row>
    <row r="32" spans="1:25" ht="14.4">
      <c r="I32" s="153"/>
      <c r="L32" s="464"/>
      <c r="M32" s="129">
        <f t="shared" ref="M32:M95" si="9">IF(M31="end","end",IF(M31=$K$1,"end",M31+1))</f>
        <v>14</v>
      </c>
      <c r="N32" s="161">
        <f t="shared" ref="N32:N40" si="10">N31</f>
        <v>2</v>
      </c>
      <c r="O32" s="160">
        <f t="shared" ca="1" si="4"/>
        <v>0</v>
      </c>
      <c r="P32" s="160" t="str">
        <f t="shared" ca="1" si="3"/>
        <v>SIM_EXT_GLZ -pane</v>
      </c>
      <c r="Q32" s="160">
        <f t="shared" ca="1" si="3"/>
        <v>7.5999999046325684</v>
      </c>
      <c r="R32" s="160">
        <f t="shared" ca="1" si="3"/>
        <v>1</v>
      </c>
      <c r="S32" s="160">
        <f t="shared" ca="1" si="3"/>
        <v>90</v>
      </c>
      <c r="T32" s="160">
        <f t="shared" ca="1" si="3"/>
        <v>12</v>
      </c>
      <c r="U32" s="160" t="str">
        <f t="shared" ca="1" si="3"/>
        <v>SIM_EXT_GLZ -pane</v>
      </c>
      <c r="V32" s="163" t="b">
        <f t="shared" ca="1" si="5"/>
        <v>0</v>
      </c>
      <c r="W32" s="163" t="str">
        <f t="shared" ca="1" si="6"/>
        <v>SIM_EXT_GLZ -pane</v>
      </c>
      <c r="X32" s="163" t="str">
        <f t="shared" ca="1" si="7"/>
        <v>SIM_EXT_GLZ -pane</v>
      </c>
      <c r="Y32" s="163" t="str">
        <f t="shared" ca="1" si="8"/>
        <v>External Wall</v>
      </c>
    </row>
    <row r="33" spans="9:25" ht="14.4">
      <c r="I33" s="153"/>
      <c r="L33" s="464"/>
      <c r="M33" s="129">
        <f t="shared" si="9"/>
        <v>15</v>
      </c>
      <c r="N33" s="161">
        <f t="shared" si="10"/>
        <v>2</v>
      </c>
      <c r="O33" s="160">
        <f t="shared" ca="1" si="4"/>
        <v>0</v>
      </c>
      <c r="P33" s="160" t="str">
        <f t="shared" ca="1" si="3"/>
        <v>SIM_EXT_GRD_FLR FLR01</v>
      </c>
      <c r="Q33" s="160">
        <f t="shared" ca="1" si="3"/>
        <v>24.299999237060547</v>
      </c>
      <c r="R33" s="160">
        <f t="shared" ca="1" si="3"/>
        <v>0</v>
      </c>
      <c r="S33" s="160">
        <f t="shared" ca="1" si="3"/>
        <v>180</v>
      </c>
      <c r="T33" s="160">
        <f t="shared" ca="1" si="3"/>
        <v>11</v>
      </c>
      <c r="U33" s="160" t="str">
        <f t="shared" ca="1" si="3"/>
        <v>SIM_EXT_GRD_FLR FLR01</v>
      </c>
      <c r="V33" s="163" t="str">
        <f t="shared" ca="1" si="5"/>
        <v>Slab on Grade</v>
      </c>
      <c r="W33" s="163" t="str">
        <f t="shared" ca="1" si="6"/>
        <v>SIM_EXT_GRD_FLR FLR01</v>
      </c>
      <c r="X33" s="163" t="str">
        <f t="shared" ca="1" si="7"/>
        <v>SIM_EXT_GRD_FLR FLR01</v>
      </c>
      <c r="Y33" s="163" t="str">
        <f t="shared" ca="1" si="8"/>
        <v>Slab on Grade</v>
      </c>
    </row>
    <row r="34" spans="9:25" ht="14.4">
      <c r="I34" s="153"/>
      <c r="L34" s="464"/>
      <c r="M34" s="129">
        <f t="shared" si="9"/>
        <v>16</v>
      </c>
      <c r="N34" s="161">
        <f t="shared" si="10"/>
        <v>2</v>
      </c>
      <c r="O34" s="160">
        <f t="shared" ca="1" si="4"/>
        <v>0</v>
      </c>
      <c r="P34" s="160" t="str">
        <f t="shared" ca="1" si="3"/>
        <v>SIM_EXT_SLD_Roof</v>
      </c>
      <c r="Q34" s="160">
        <f t="shared" ca="1" si="3"/>
        <v>24.299999237060547</v>
      </c>
      <c r="R34" s="160">
        <f t="shared" ca="1" si="3"/>
        <v>1</v>
      </c>
      <c r="S34" s="160">
        <f t="shared" ca="1" si="3"/>
        <v>0</v>
      </c>
      <c r="T34" s="160">
        <f t="shared" ca="1" si="3"/>
        <v>3</v>
      </c>
      <c r="U34" s="160" t="str">
        <f t="shared" ca="1" si="3"/>
        <v>SIM_EXT_SLD_Roof</v>
      </c>
      <c r="V34" s="163" t="str">
        <f t="shared" ca="1" si="5"/>
        <v>Roof</v>
      </c>
      <c r="W34" s="163" t="str">
        <f t="shared" ca="1" si="6"/>
        <v>SIM_EXT_SLD_Roof</v>
      </c>
      <c r="X34" s="163" t="str">
        <f t="shared" ca="1" si="7"/>
        <v>SIM_EXT_SLD_Roof</v>
      </c>
      <c r="Y34" s="163" t="str">
        <f t="shared" ca="1" si="8"/>
        <v>Roof</v>
      </c>
    </row>
    <row r="35" spans="9:25" ht="14.4">
      <c r="I35" s="153"/>
      <c r="L35" s="464"/>
      <c r="M35" s="129">
        <f t="shared" si="9"/>
        <v>17</v>
      </c>
      <c r="N35" s="161">
        <f t="shared" si="10"/>
        <v>2</v>
      </c>
      <c r="O35" s="160">
        <f t="shared" ca="1" si="4"/>
        <v>0</v>
      </c>
      <c r="P35" s="160" t="str">
        <f t="shared" ca="1" si="3"/>
        <v>SIM_EXT_SLD</v>
      </c>
      <c r="Q35" s="160">
        <f t="shared" ca="1" si="3"/>
        <v>2.7999999523162842</v>
      </c>
      <c r="R35" s="160">
        <f t="shared" ca="1" si="3"/>
        <v>1</v>
      </c>
      <c r="S35" s="160">
        <f t="shared" ca="1" si="3"/>
        <v>90</v>
      </c>
      <c r="T35" s="160">
        <f t="shared" ca="1" si="3"/>
        <v>2</v>
      </c>
      <c r="U35" s="160" t="str">
        <f t="shared" ca="1" si="3"/>
        <v>SIM_EXT_SLD</v>
      </c>
      <c r="V35" s="163" t="b">
        <f t="shared" ca="1" si="5"/>
        <v>0</v>
      </c>
      <c r="W35" s="163" t="str">
        <f t="shared" ca="1" si="6"/>
        <v>SIM_EXT_SLD</v>
      </c>
      <c r="X35" s="163" t="str">
        <f t="shared" ca="1" si="7"/>
        <v>SIM_EXT_SLD</v>
      </c>
      <c r="Y35" s="163" t="str">
        <f t="shared" ca="1" si="8"/>
        <v>External Wall</v>
      </c>
    </row>
    <row r="36" spans="9:25" ht="14.4">
      <c r="I36" s="153"/>
      <c r="L36" s="464"/>
      <c r="M36" s="129">
        <f t="shared" si="9"/>
        <v>18</v>
      </c>
      <c r="N36" s="161">
        <f t="shared" si="10"/>
        <v>2</v>
      </c>
      <c r="O36" s="160">
        <f t="shared" ca="1" si="4"/>
        <v>0</v>
      </c>
      <c r="P36" s="160" t="str">
        <f t="shared" ca="1" si="3"/>
        <v>SIM_EXT_GLZ -pane</v>
      </c>
      <c r="Q36" s="160">
        <f t="shared" ca="1" si="3"/>
        <v>2.7999999523162842</v>
      </c>
      <c r="R36" s="160">
        <f t="shared" ca="1" si="3"/>
        <v>1</v>
      </c>
      <c r="S36" s="160">
        <f t="shared" ca="1" si="3"/>
        <v>90</v>
      </c>
      <c r="T36" s="160">
        <f t="shared" ca="1" si="3"/>
        <v>12</v>
      </c>
      <c r="U36" s="160" t="str">
        <f t="shared" ca="1" si="3"/>
        <v>SIM_EXT_GLZ -pane</v>
      </c>
      <c r="V36" s="163" t="b">
        <f t="shared" ca="1" si="5"/>
        <v>0</v>
      </c>
      <c r="W36" s="163" t="str">
        <f t="shared" ca="1" si="6"/>
        <v>SIM_EXT_GLZ -pane</v>
      </c>
      <c r="X36" s="163" t="str">
        <f t="shared" ca="1" si="7"/>
        <v>SIM_EXT_GLZ -pane</v>
      </c>
      <c r="Y36" s="163" t="str">
        <f t="shared" ca="1" si="8"/>
        <v>External Wall</v>
      </c>
    </row>
    <row r="37" spans="9:25" ht="14.4">
      <c r="I37" s="153"/>
      <c r="L37" s="464"/>
      <c r="M37" s="129">
        <f t="shared" si="9"/>
        <v>19</v>
      </c>
      <c r="N37" s="161">
        <f t="shared" si="10"/>
        <v>2</v>
      </c>
      <c r="O37" s="160">
        <f t="shared" ca="1" si="4"/>
        <v>0</v>
      </c>
      <c r="P37" s="160" t="str">
        <f t="shared" ca="1" si="3"/>
        <v>SIM_EXT_SLD</v>
      </c>
      <c r="Q37" s="160">
        <f t="shared" ca="1" si="3"/>
        <v>19.200000762939453</v>
      </c>
      <c r="R37" s="160">
        <f t="shared" ca="1" si="3"/>
        <v>1</v>
      </c>
      <c r="S37" s="160">
        <f t="shared" ca="1" si="3"/>
        <v>90</v>
      </c>
      <c r="T37" s="160">
        <f t="shared" ca="1" si="3"/>
        <v>2</v>
      </c>
      <c r="U37" s="160" t="str">
        <f t="shared" ca="1" si="3"/>
        <v>SIM_EXT_SLD</v>
      </c>
      <c r="V37" s="163" t="b">
        <f t="shared" ca="1" si="5"/>
        <v>0</v>
      </c>
      <c r="W37" s="163" t="str">
        <f t="shared" ca="1" si="6"/>
        <v>SIM_EXT_SLD</v>
      </c>
      <c r="X37" s="163" t="str">
        <f t="shared" ca="1" si="7"/>
        <v>SIM_EXT_SLD</v>
      </c>
      <c r="Y37" s="163" t="str">
        <f t="shared" ca="1" si="8"/>
        <v>External Wall</v>
      </c>
    </row>
    <row r="38" spans="9:25" ht="14.4">
      <c r="I38" s="153"/>
      <c r="L38" s="464"/>
      <c r="M38" s="129">
        <f t="shared" si="9"/>
        <v>20</v>
      </c>
      <c r="N38" s="161">
        <f t="shared" si="10"/>
        <v>2</v>
      </c>
      <c r="O38" s="160">
        <f t="shared" ca="1" si="4"/>
        <v>0</v>
      </c>
      <c r="P38" s="160" t="str">
        <f t="shared" ca="1" si="3"/>
        <v>SIM_EXT_GLZ -pane</v>
      </c>
      <c r="Q38" s="160">
        <f t="shared" ca="1" si="3"/>
        <v>4.8000001907348633</v>
      </c>
      <c r="R38" s="160">
        <f t="shared" ca="1" si="3"/>
        <v>1</v>
      </c>
      <c r="S38" s="160">
        <f t="shared" ca="1" si="3"/>
        <v>90</v>
      </c>
      <c r="T38" s="160">
        <f t="shared" ca="1" si="3"/>
        <v>12</v>
      </c>
      <c r="U38" s="160" t="str">
        <f t="shared" ca="1" si="3"/>
        <v>SIM_EXT_GLZ -pane</v>
      </c>
      <c r="V38" s="163" t="b">
        <f t="shared" ca="1" si="5"/>
        <v>0</v>
      </c>
      <c r="W38" s="163" t="str">
        <f t="shared" ca="1" si="6"/>
        <v>SIM_EXT_GLZ -pane</v>
      </c>
      <c r="X38" s="163" t="str">
        <f t="shared" ca="1" si="7"/>
        <v>SIM_EXT_GLZ -pane</v>
      </c>
      <c r="Y38" s="163" t="str">
        <f t="shared" ca="1" si="8"/>
        <v>External Wall</v>
      </c>
    </row>
    <row r="39" spans="9:25" ht="14.4">
      <c r="I39" s="153"/>
      <c r="L39" s="464"/>
      <c r="M39" s="129" t="str">
        <f t="shared" si="9"/>
        <v>end</v>
      </c>
      <c r="N39" s="161">
        <f t="shared" si="10"/>
        <v>2</v>
      </c>
      <c r="O39" s="160">
        <f t="shared" ca="1" si="4"/>
        <v>0</v>
      </c>
      <c r="P39" s="160">
        <f t="shared" ca="1" si="3"/>
        <v>0</v>
      </c>
      <c r="Q39" s="160">
        <f t="shared" ca="1" si="3"/>
        <v>0</v>
      </c>
      <c r="R39" s="160">
        <f t="shared" ca="1" si="3"/>
        <v>0</v>
      </c>
      <c r="S39" s="160">
        <f t="shared" ca="1" si="3"/>
        <v>0</v>
      </c>
      <c r="T39" s="160">
        <f t="shared" ca="1" si="3"/>
        <v>0</v>
      </c>
      <c r="U39" s="160">
        <f t="shared" ca="1" si="3"/>
        <v>0</v>
      </c>
      <c r="V39" s="163">
        <f t="shared" ca="1" si="5"/>
        <v>0</v>
      </c>
      <c r="W39" s="163">
        <f t="shared" ca="1" si="6"/>
        <v>0</v>
      </c>
      <c r="X39" s="163">
        <f t="shared" ca="1" si="7"/>
        <v>0</v>
      </c>
      <c r="Y39" s="163">
        <f t="shared" ca="1" si="8"/>
        <v>0</v>
      </c>
    </row>
    <row r="40" spans="9:25" ht="14.4">
      <c r="I40" s="153"/>
      <c r="L40" s="464"/>
      <c r="M40" s="129" t="str">
        <f t="shared" si="9"/>
        <v>end</v>
      </c>
      <c r="N40" s="161">
        <f t="shared" si="10"/>
        <v>2</v>
      </c>
      <c r="O40" s="160">
        <f t="shared" ca="1" si="4"/>
        <v>0</v>
      </c>
      <c r="P40" s="160">
        <f t="shared" ca="1" si="3"/>
        <v>0</v>
      </c>
      <c r="Q40" s="160">
        <f t="shared" ca="1" si="3"/>
        <v>0</v>
      </c>
      <c r="R40" s="160">
        <f t="shared" ca="1" si="3"/>
        <v>0</v>
      </c>
      <c r="S40" s="160">
        <f t="shared" ca="1" si="3"/>
        <v>0</v>
      </c>
      <c r="T40" s="160">
        <f t="shared" ca="1" si="3"/>
        <v>0</v>
      </c>
      <c r="U40" s="160">
        <f t="shared" ca="1" si="3"/>
        <v>0</v>
      </c>
      <c r="V40" s="163">
        <f t="shared" ca="1" si="5"/>
        <v>0</v>
      </c>
      <c r="W40" s="163">
        <f t="shared" ca="1" si="6"/>
        <v>0</v>
      </c>
      <c r="X40" s="163">
        <f t="shared" ca="1" si="7"/>
        <v>0</v>
      </c>
      <c r="Y40" s="163">
        <f t="shared" ca="1" si="8"/>
        <v>0</v>
      </c>
    </row>
    <row r="41" spans="9:25" ht="14.4">
      <c r="I41" s="153"/>
      <c r="L41" s="464"/>
      <c r="M41" s="129" t="str">
        <f t="shared" si="9"/>
        <v>end</v>
      </c>
      <c r="N41" s="161">
        <f t="shared" ref="N41:N81" si="11">N40</f>
        <v>2</v>
      </c>
      <c r="O41" s="160">
        <f t="shared" ref="O41:O104" ca="1" si="12">IF($M41="end",0,OFFSET($A$1,$M41-1,O$29,1,1))</f>
        <v>0</v>
      </c>
      <c r="P41" s="160">
        <f t="shared" ca="1" si="3"/>
        <v>0</v>
      </c>
      <c r="Q41" s="160">
        <f t="shared" ca="1" si="3"/>
        <v>0</v>
      </c>
      <c r="R41" s="160">
        <f t="shared" ca="1" si="3"/>
        <v>0</v>
      </c>
      <c r="S41" s="160">
        <f t="shared" ca="1" si="3"/>
        <v>0</v>
      </c>
      <c r="T41" s="160">
        <f t="shared" ca="1" si="3"/>
        <v>0</v>
      </c>
      <c r="U41" s="160">
        <f t="shared" ca="1" si="3"/>
        <v>0</v>
      </c>
      <c r="V41" s="163">
        <f t="shared" ca="1" si="5"/>
        <v>0</v>
      </c>
      <c r="W41" s="163">
        <f t="shared" ca="1" si="6"/>
        <v>0</v>
      </c>
      <c r="X41" s="163">
        <f t="shared" ca="1" si="7"/>
        <v>0</v>
      </c>
      <c r="Y41" s="163">
        <f t="shared" ca="1" si="8"/>
        <v>0</v>
      </c>
    </row>
    <row r="42" spans="9:25" ht="14.4">
      <c r="L42" s="464"/>
      <c r="M42" s="129" t="str">
        <f t="shared" si="9"/>
        <v>end</v>
      </c>
      <c r="N42" s="161">
        <f t="shared" si="11"/>
        <v>2</v>
      </c>
      <c r="O42" s="160">
        <f t="shared" ca="1" si="12"/>
        <v>0</v>
      </c>
      <c r="P42" s="160">
        <f t="shared" ca="1" si="3"/>
        <v>0</v>
      </c>
      <c r="Q42" s="160">
        <f t="shared" ca="1" si="3"/>
        <v>0</v>
      </c>
      <c r="R42" s="160">
        <f t="shared" ca="1" si="3"/>
        <v>0</v>
      </c>
      <c r="S42" s="160">
        <f t="shared" ca="1" si="3"/>
        <v>0</v>
      </c>
      <c r="T42" s="160">
        <f t="shared" ca="1" si="3"/>
        <v>0</v>
      </c>
      <c r="U42" s="160">
        <f t="shared" ca="1" si="3"/>
        <v>0</v>
      </c>
      <c r="V42" s="163">
        <f t="shared" ca="1" si="5"/>
        <v>0</v>
      </c>
      <c r="W42" s="163">
        <f t="shared" ca="1" si="6"/>
        <v>0</v>
      </c>
      <c r="X42" s="163">
        <f t="shared" ca="1" si="7"/>
        <v>0</v>
      </c>
      <c r="Y42" s="163">
        <f t="shared" ca="1" si="8"/>
        <v>0</v>
      </c>
    </row>
    <row r="43" spans="9:25" ht="14.4">
      <c r="L43" s="464"/>
      <c r="M43" s="129" t="str">
        <f t="shared" si="9"/>
        <v>end</v>
      </c>
      <c r="N43" s="161">
        <f t="shared" si="11"/>
        <v>2</v>
      </c>
      <c r="O43" s="160">
        <f t="shared" ca="1" si="12"/>
        <v>0</v>
      </c>
      <c r="P43" s="160">
        <f t="shared" ca="1" si="3"/>
        <v>0</v>
      </c>
      <c r="Q43" s="160">
        <f t="shared" ca="1" si="3"/>
        <v>0</v>
      </c>
      <c r="R43" s="160">
        <f t="shared" ca="1" si="3"/>
        <v>0</v>
      </c>
      <c r="S43" s="160">
        <f t="shared" ca="1" si="3"/>
        <v>0</v>
      </c>
      <c r="T43" s="160">
        <f t="shared" ca="1" si="3"/>
        <v>0</v>
      </c>
      <c r="U43" s="160">
        <f t="shared" ca="1" si="3"/>
        <v>0</v>
      </c>
      <c r="V43" s="163">
        <f t="shared" ca="1" si="5"/>
        <v>0</v>
      </c>
      <c r="W43" s="163">
        <f t="shared" ca="1" si="6"/>
        <v>0</v>
      </c>
      <c r="X43" s="163">
        <f t="shared" ca="1" si="7"/>
        <v>0</v>
      </c>
      <c r="Y43" s="163">
        <f t="shared" ca="1" si="8"/>
        <v>0</v>
      </c>
    </row>
    <row r="44" spans="9:25" ht="14.4">
      <c r="L44" s="464"/>
      <c r="M44" s="129" t="str">
        <f t="shared" si="9"/>
        <v>end</v>
      </c>
      <c r="N44" s="161">
        <f t="shared" si="11"/>
        <v>2</v>
      </c>
      <c r="O44" s="160">
        <f t="shared" ca="1" si="12"/>
        <v>0</v>
      </c>
      <c r="P44" s="160">
        <f t="shared" ca="1" si="3"/>
        <v>0</v>
      </c>
      <c r="Q44" s="160">
        <f t="shared" ca="1" si="3"/>
        <v>0</v>
      </c>
      <c r="R44" s="160">
        <f t="shared" ca="1" si="3"/>
        <v>0</v>
      </c>
      <c r="S44" s="160">
        <f t="shared" ca="1" si="3"/>
        <v>0</v>
      </c>
      <c r="T44" s="160">
        <f t="shared" ca="1" si="3"/>
        <v>0</v>
      </c>
      <c r="U44" s="160">
        <f t="shared" ca="1" si="3"/>
        <v>0</v>
      </c>
      <c r="V44" s="163">
        <f t="shared" ca="1" si="5"/>
        <v>0</v>
      </c>
      <c r="W44" s="163">
        <f t="shared" ca="1" si="6"/>
        <v>0</v>
      </c>
      <c r="X44" s="163">
        <f t="shared" ca="1" si="7"/>
        <v>0</v>
      </c>
      <c r="Y44" s="163">
        <f t="shared" ca="1" si="8"/>
        <v>0</v>
      </c>
    </row>
    <row r="45" spans="9:25" ht="14.4">
      <c r="L45" s="464"/>
      <c r="M45" s="129" t="str">
        <f t="shared" si="9"/>
        <v>end</v>
      </c>
      <c r="N45" s="161">
        <f t="shared" si="11"/>
        <v>2</v>
      </c>
      <c r="O45" s="160">
        <f t="shared" ca="1" si="12"/>
        <v>0</v>
      </c>
      <c r="P45" s="160">
        <f t="shared" ca="1" si="3"/>
        <v>0</v>
      </c>
      <c r="Q45" s="160">
        <f t="shared" ca="1" si="3"/>
        <v>0</v>
      </c>
      <c r="R45" s="160">
        <f t="shared" ca="1" si="3"/>
        <v>0</v>
      </c>
      <c r="S45" s="160">
        <f t="shared" ca="1" si="3"/>
        <v>0</v>
      </c>
      <c r="T45" s="160">
        <f t="shared" ca="1" si="3"/>
        <v>0</v>
      </c>
      <c r="U45" s="160">
        <f t="shared" ca="1" si="3"/>
        <v>0</v>
      </c>
      <c r="V45" s="163">
        <f t="shared" ca="1" si="5"/>
        <v>0</v>
      </c>
      <c r="W45" s="163">
        <f t="shared" ca="1" si="6"/>
        <v>0</v>
      </c>
      <c r="X45" s="163">
        <f t="shared" ca="1" si="7"/>
        <v>0</v>
      </c>
      <c r="Y45" s="163">
        <f t="shared" ca="1" si="8"/>
        <v>0</v>
      </c>
    </row>
    <row r="46" spans="9:25" ht="14.4">
      <c r="L46" s="464"/>
      <c r="M46" s="129" t="str">
        <f t="shared" si="9"/>
        <v>end</v>
      </c>
      <c r="N46" s="161">
        <f t="shared" si="11"/>
        <v>2</v>
      </c>
      <c r="O46" s="160">
        <f t="shared" ca="1" si="12"/>
        <v>0</v>
      </c>
      <c r="P46" s="160">
        <f t="shared" ref="P46:Q65" ca="1" si="13">IF($M46="end",0,OFFSET($A$1,$M46-1,P$29,1,1))</f>
        <v>0</v>
      </c>
      <c r="Q46" s="160">
        <f t="shared" ca="1" si="13"/>
        <v>0</v>
      </c>
      <c r="R46" s="160">
        <f t="shared" ref="R46:U109" ca="1" si="14">IF($M46="end",0,OFFSET($A$1,$M46-1,R$29,1,1))</f>
        <v>0</v>
      </c>
      <c r="S46" s="160">
        <f t="shared" ca="1" si="14"/>
        <v>0</v>
      </c>
      <c r="T46" s="160">
        <f t="shared" ca="1" si="14"/>
        <v>0</v>
      </c>
      <c r="U46" s="160">
        <f t="shared" ca="1" si="14"/>
        <v>0</v>
      </c>
      <c r="V46" s="163">
        <f t="shared" ca="1" si="5"/>
        <v>0</v>
      </c>
      <c r="W46" s="163">
        <f t="shared" ca="1" si="6"/>
        <v>0</v>
      </c>
      <c r="X46" s="163">
        <f t="shared" ca="1" si="7"/>
        <v>0</v>
      </c>
      <c r="Y46" s="163">
        <f t="shared" ca="1" si="8"/>
        <v>0</v>
      </c>
    </row>
    <row r="47" spans="9:25" ht="14.4">
      <c r="L47" s="464"/>
      <c r="M47" s="129" t="str">
        <f t="shared" si="9"/>
        <v>end</v>
      </c>
      <c r="N47" s="161">
        <f t="shared" si="11"/>
        <v>2</v>
      </c>
      <c r="O47" s="160">
        <f t="shared" ca="1" si="12"/>
        <v>0</v>
      </c>
      <c r="P47" s="160">
        <f t="shared" ca="1" si="13"/>
        <v>0</v>
      </c>
      <c r="Q47" s="160">
        <f t="shared" ca="1" si="13"/>
        <v>0</v>
      </c>
      <c r="R47" s="160">
        <f t="shared" ca="1" si="14"/>
        <v>0</v>
      </c>
      <c r="S47" s="160">
        <f t="shared" ca="1" si="14"/>
        <v>0</v>
      </c>
      <c r="T47" s="160">
        <f t="shared" ca="1" si="14"/>
        <v>0</v>
      </c>
      <c r="U47" s="160">
        <f t="shared" ca="1" si="14"/>
        <v>0</v>
      </c>
      <c r="V47" s="163">
        <f t="shared" ca="1" si="5"/>
        <v>0</v>
      </c>
      <c r="W47" s="163">
        <f t="shared" ca="1" si="6"/>
        <v>0</v>
      </c>
      <c r="X47" s="163">
        <f t="shared" ca="1" si="7"/>
        <v>0</v>
      </c>
      <c r="Y47" s="163">
        <f t="shared" ca="1" si="8"/>
        <v>0</v>
      </c>
    </row>
    <row r="48" spans="9:25" ht="14.4">
      <c r="L48" s="464"/>
      <c r="M48" s="129" t="str">
        <f t="shared" si="9"/>
        <v>end</v>
      </c>
      <c r="N48" s="161">
        <f t="shared" si="11"/>
        <v>2</v>
      </c>
      <c r="O48" s="160">
        <f t="shared" ca="1" si="12"/>
        <v>0</v>
      </c>
      <c r="P48" s="160">
        <f t="shared" ca="1" si="13"/>
        <v>0</v>
      </c>
      <c r="Q48" s="160">
        <f t="shared" ca="1" si="13"/>
        <v>0</v>
      </c>
      <c r="R48" s="160">
        <f t="shared" ca="1" si="14"/>
        <v>0</v>
      </c>
      <c r="S48" s="160">
        <f t="shared" ca="1" si="14"/>
        <v>0</v>
      </c>
      <c r="T48" s="160">
        <f t="shared" ca="1" si="14"/>
        <v>0</v>
      </c>
      <c r="U48" s="160">
        <f t="shared" ca="1" si="14"/>
        <v>0</v>
      </c>
      <c r="V48" s="163">
        <f t="shared" ca="1" si="5"/>
        <v>0</v>
      </c>
      <c r="W48" s="163">
        <f t="shared" ca="1" si="6"/>
        <v>0</v>
      </c>
      <c r="X48" s="163">
        <f t="shared" ca="1" si="7"/>
        <v>0</v>
      </c>
      <c r="Y48" s="163">
        <f t="shared" ca="1" si="8"/>
        <v>0</v>
      </c>
    </row>
    <row r="49" spans="6:25" ht="14.4">
      <c r="L49" s="464"/>
      <c r="M49" s="129" t="str">
        <f t="shared" si="9"/>
        <v>end</v>
      </c>
      <c r="N49" s="161">
        <f t="shared" si="11"/>
        <v>2</v>
      </c>
      <c r="O49" s="160">
        <f t="shared" ca="1" si="12"/>
        <v>0</v>
      </c>
      <c r="P49" s="160">
        <f t="shared" ca="1" si="13"/>
        <v>0</v>
      </c>
      <c r="Q49" s="160">
        <f t="shared" ca="1" si="13"/>
        <v>0</v>
      </c>
      <c r="R49" s="160">
        <f t="shared" ca="1" si="14"/>
        <v>0</v>
      </c>
      <c r="S49" s="160">
        <f t="shared" ca="1" si="14"/>
        <v>0</v>
      </c>
      <c r="T49" s="160">
        <f t="shared" ca="1" si="14"/>
        <v>0</v>
      </c>
      <c r="U49" s="160">
        <f t="shared" ca="1" si="14"/>
        <v>0</v>
      </c>
      <c r="V49" s="163">
        <f t="shared" ca="1" si="5"/>
        <v>0</v>
      </c>
      <c r="W49" s="163">
        <f t="shared" ca="1" si="6"/>
        <v>0</v>
      </c>
      <c r="X49" s="163">
        <f t="shared" ca="1" si="7"/>
        <v>0</v>
      </c>
      <c r="Y49" s="163">
        <f t="shared" ca="1" si="8"/>
        <v>0</v>
      </c>
    </row>
    <row r="50" spans="6:25" ht="14.4">
      <c r="L50" s="464"/>
      <c r="M50" s="129" t="str">
        <f t="shared" si="9"/>
        <v>end</v>
      </c>
      <c r="N50" s="161">
        <f t="shared" si="11"/>
        <v>2</v>
      </c>
      <c r="O50" s="160">
        <f t="shared" ca="1" si="12"/>
        <v>0</v>
      </c>
      <c r="P50" s="160">
        <f t="shared" ca="1" si="13"/>
        <v>0</v>
      </c>
      <c r="Q50" s="160">
        <f t="shared" ca="1" si="13"/>
        <v>0</v>
      </c>
      <c r="R50" s="160">
        <f t="shared" ca="1" si="14"/>
        <v>0</v>
      </c>
      <c r="S50" s="160">
        <f t="shared" ca="1" si="14"/>
        <v>0</v>
      </c>
      <c r="T50" s="160">
        <f t="shared" ca="1" si="14"/>
        <v>0</v>
      </c>
      <c r="U50" s="160">
        <f t="shared" ca="1" si="14"/>
        <v>0</v>
      </c>
      <c r="V50" s="163">
        <f t="shared" ca="1" si="5"/>
        <v>0</v>
      </c>
      <c r="W50" s="163">
        <f t="shared" ca="1" si="6"/>
        <v>0</v>
      </c>
      <c r="X50" s="163">
        <f t="shared" ca="1" si="7"/>
        <v>0</v>
      </c>
      <c r="Y50" s="163">
        <f t="shared" ca="1" si="8"/>
        <v>0</v>
      </c>
    </row>
    <row r="51" spans="6:25" ht="14.4">
      <c r="L51" s="464"/>
      <c r="M51" s="129" t="str">
        <f t="shared" si="9"/>
        <v>end</v>
      </c>
      <c r="N51" s="161">
        <f t="shared" si="11"/>
        <v>2</v>
      </c>
      <c r="O51" s="160">
        <f t="shared" ca="1" si="12"/>
        <v>0</v>
      </c>
      <c r="P51" s="160">
        <f t="shared" ca="1" si="13"/>
        <v>0</v>
      </c>
      <c r="Q51" s="160">
        <f t="shared" ca="1" si="13"/>
        <v>0</v>
      </c>
      <c r="R51" s="160">
        <f t="shared" ca="1" si="14"/>
        <v>0</v>
      </c>
      <c r="S51" s="160">
        <f t="shared" ca="1" si="14"/>
        <v>0</v>
      </c>
      <c r="T51" s="160">
        <f t="shared" ca="1" si="14"/>
        <v>0</v>
      </c>
      <c r="U51" s="160">
        <f t="shared" ca="1" si="14"/>
        <v>0</v>
      </c>
      <c r="V51" s="163">
        <f t="shared" ca="1" si="5"/>
        <v>0</v>
      </c>
      <c r="W51" s="163">
        <f t="shared" ca="1" si="6"/>
        <v>0</v>
      </c>
      <c r="X51" s="163">
        <f t="shared" ca="1" si="7"/>
        <v>0</v>
      </c>
      <c r="Y51" s="163">
        <f t="shared" ca="1" si="8"/>
        <v>0</v>
      </c>
    </row>
    <row r="52" spans="6:25" ht="14.4">
      <c r="L52" s="464"/>
      <c r="M52" s="129" t="str">
        <f t="shared" si="9"/>
        <v>end</v>
      </c>
      <c r="N52" s="161">
        <f t="shared" si="11"/>
        <v>2</v>
      </c>
      <c r="O52" s="160">
        <f t="shared" ca="1" si="12"/>
        <v>0</v>
      </c>
      <c r="P52" s="160">
        <f t="shared" ca="1" si="13"/>
        <v>0</v>
      </c>
      <c r="Q52" s="160">
        <f t="shared" ca="1" si="13"/>
        <v>0</v>
      </c>
      <c r="R52" s="160">
        <f t="shared" ca="1" si="14"/>
        <v>0</v>
      </c>
      <c r="S52" s="160">
        <f t="shared" ca="1" si="14"/>
        <v>0</v>
      </c>
      <c r="T52" s="160">
        <f t="shared" ca="1" si="14"/>
        <v>0</v>
      </c>
      <c r="U52" s="160">
        <f t="shared" ca="1" si="14"/>
        <v>0</v>
      </c>
      <c r="V52" s="163">
        <f t="shared" ca="1" si="5"/>
        <v>0</v>
      </c>
      <c r="W52" s="163">
        <f t="shared" ca="1" si="6"/>
        <v>0</v>
      </c>
      <c r="X52" s="163">
        <f t="shared" ca="1" si="7"/>
        <v>0</v>
      </c>
      <c r="Y52" s="163">
        <f t="shared" ca="1" si="8"/>
        <v>0</v>
      </c>
    </row>
    <row r="53" spans="6:25" ht="14.4">
      <c r="L53" s="464"/>
      <c r="M53" s="129" t="str">
        <f t="shared" si="9"/>
        <v>end</v>
      </c>
      <c r="N53" s="161">
        <f t="shared" si="11"/>
        <v>2</v>
      </c>
      <c r="O53" s="160">
        <f t="shared" ca="1" si="12"/>
        <v>0</v>
      </c>
      <c r="P53" s="160">
        <f t="shared" ca="1" si="13"/>
        <v>0</v>
      </c>
      <c r="Q53" s="160">
        <f t="shared" ca="1" si="13"/>
        <v>0</v>
      </c>
      <c r="R53" s="160">
        <f t="shared" ca="1" si="14"/>
        <v>0</v>
      </c>
      <c r="S53" s="160">
        <f t="shared" ca="1" si="14"/>
        <v>0</v>
      </c>
      <c r="T53" s="160">
        <f t="shared" ca="1" si="14"/>
        <v>0</v>
      </c>
      <c r="U53" s="160">
        <f t="shared" ca="1" si="14"/>
        <v>0</v>
      </c>
      <c r="V53" s="163">
        <f t="shared" ca="1" si="5"/>
        <v>0</v>
      </c>
      <c r="W53" s="163">
        <f t="shared" ca="1" si="6"/>
        <v>0</v>
      </c>
      <c r="X53" s="163">
        <f t="shared" ca="1" si="7"/>
        <v>0</v>
      </c>
      <c r="Y53" s="163">
        <f t="shared" ca="1" si="8"/>
        <v>0</v>
      </c>
    </row>
    <row r="54" spans="6:25" ht="14.4">
      <c r="L54" s="464"/>
      <c r="M54" s="129" t="str">
        <f t="shared" si="9"/>
        <v>end</v>
      </c>
      <c r="N54" s="161">
        <f t="shared" si="11"/>
        <v>2</v>
      </c>
      <c r="O54" s="160">
        <f t="shared" ca="1" si="12"/>
        <v>0</v>
      </c>
      <c r="P54" s="160">
        <f t="shared" ca="1" si="13"/>
        <v>0</v>
      </c>
      <c r="Q54" s="160">
        <f t="shared" ca="1" si="13"/>
        <v>0</v>
      </c>
      <c r="R54" s="160">
        <f t="shared" ca="1" si="14"/>
        <v>0</v>
      </c>
      <c r="S54" s="160">
        <f t="shared" ca="1" si="14"/>
        <v>0</v>
      </c>
      <c r="T54" s="160">
        <f t="shared" ca="1" si="14"/>
        <v>0</v>
      </c>
      <c r="U54" s="160">
        <f t="shared" ca="1" si="14"/>
        <v>0</v>
      </c>
      <c r="V54" s="163">
        <f t="shared" ca="1" si="5"/>
        <v>0</v>
      </c>
      <c r="W54" s="163">
        <f t="shared" ca="1" si="6"/>
        <v>0</v>
      </c>
      <c r="X54" s="163">
        <f t="shared" ca="1" si="7"/>
        <v>0</v>
      </c>
      <c r="Y54" s="163">
        <f t="shared" ca="1" si="8"/>
        <v>0</v>
      </c>
    </row>
    <row r="55" spans="6:25" ht="14.4">
      <c r="L55" s="464"/>
      <c r="M55" s="129" t="str">
        <f t="shared" si="9"/>
        <v>end</v>
      </c>
      <c r="N55" s="161">
        <f t="shared" si="11"/>
        <v>2</v>
      </c>
      <c r="O55" s="160">
        <f t="shared" ca="1" si="12"/>
        <v>0</v>
      </c>
      <c r="P55" s="160">
        <f t="shared" ca="1" si="13"/>
        <v>0</v>
      </c>
      <c r="Q55" s="160">
        <f t="shared" ca="1" si="13"/>
        <v>0</v>
      </c>
      <c r="R55" s="160">
        <f t="shared" ca="1" si="14"/>
        <v>0</v>
      </c>
      <c r="S55" s="160">
        <f t="shared" ca="1" si="14"/>
        <v>0</v>
      </c>
      <c r="T55" s="160">
        <f t="shared" ca="1" si="14"/>
        <v>0</v>
      </c>
      <c r="U55" s="160">
        <f t="shared" ca="1" si="14"/>
        <v>0</v>
      </c>
      <c r="V55" s="163">
        <f t="shared" ca="1" si="5"/>
        <v>0</v>
      </c>
      <c r="W55" s="163">
        <f t="shared" ca="1" si="6"/>
        <v>0</v>
      </c>
      <c r="X55" s="163">
        <f t="shared" ca="1" si="7"/>
        <v>0</v>
      </c>
      <c r="Y55" s="163">
        <f t="shared" ca="1" si="8"/>
        <v>0</v>
      </c>
    </row>
    <row r="56" spans="6:25" ht="14.4">
      <c r="L56" s="464"/>
      <c r="M56" s="129" t="str">
        <f t="shared" si="9"/>
        <v>end</v>
      </c>
      <c r="N56" s="161">
        <f t="shared" si="11"/>
        <v>2</v>
      </c>
      <c r="O56" s="160">
        <f t="shared" ca="1" si="12"/>
        <v>0</v>
      </c>
      <c r="P56" s="160">
        <f t="shared" ca="1" si="13"/>
        <v>0</v>
      </c>
      <c r="Q56" s="160">
        <f t="shared" ca="1" si="13"/>
        <v>0</v>
      </c>
      <c r="R56" s="160">
        <f t="shared" ca="1" si="14"/>
        <v>0</v>
      </c>
      <c r="S56" s="160">
        <f t="shared" ca="1" si="14"/>
        <v>0</v>
      </c>
      <c r="T56" s="160">
        <f t="shared" ca="1" si="14"/>
        <v>0</v>
      </c>
      <c r="U56" s="160">
        <f t="shared" ca="1" si="14"/>
        <v>0</v>
      </c>
      <c r="V56" s="163">
        <f t="shared" ca="1" si="5"/>
        <v>0</v>
      </c>
      <c r="W56" s="163">
        <f t="shared" ca="1" si="6"/>
        <v>0</v>
      </c>
      <c r="X56" s="163">
        <f t="shared" ca="1" si="7"/>
        <v>0</v>
      </c>
      <c r="Y56" s="163">
        <f t="shared" ca="1" si="8"/>
        <v>0</v>
      </c>
    </row>
    <row r="57" spans="6:25" ht="14.4">
      <c r="F57" s="149"/>
      <c r="I57" s="149"/>
      <c r="L57" s="464"/>
      <c r="M57" s="129" t="str">
        <f t="shared" si="9"/>
        <v>end</v>
      </c>
      <c r="N57" s="161">
        <f t="shared" si="11"/>
        <v>2</v>
      </c>
      <c r="O57" s="160">
        <f t="shared" ca="1" si="12"/>
        <v>0</v>
      </c>
      <c r="P57" s="160">
        <f t="shared" ca="1" si="13"/>
        <v>0</v>
      </c>
      <c r="Q57" s="160">
        <f t="shared" ca="1" si="13"/>
        <v>0</v>
      </c>
      <c r="R57" s="160">
        <f t="shared" ca="1" si="14"/>
        <v>0</v>
      </c>
      <c r="S57" s="160">
        <f t="shared" ca="1" si="14"/>
        <v>0</v>
      </c>
      <c r="T57" s="160">
        <f t="shared" ca="1" si="14"/>
        <v>0</v>
      </c>
      <c r="U57" s="160">
        <f t="shared" ca="1" si="14"/>
        <v>0</v>
      </c>
      <c r="V57" s="163">
        <f t="shared" ca="1" si="5"/>
        <v>0</v>
      </c>
      <c r="W57" s="163">
        <f t="shared" ca="1" si="6"/>
        <v>0</v>
      </c>
      <c r="X57" s="163">
        <f t="shared" ca="1" si="7"/>
        <v>0</v>
      </c>
      <c r="Y57" s="163">
        <f t="shared" ca="1" si="8"/>
        <v>0</v>
      </c>
    </row>
    <row r="58" spans="6:25" ht="14.4">
      <c r="F58" s="149"/>
      <c r="I58" s="149"/>
      <c r="L58" s="464"/>
      <c r="M58" s="129" t="str">
        <f t="shared" si="9"/>
        <v>end</v>
      </c>
      <c r="N58" s="161">
        <f t="shared" si="11"/>
        <v>2</v>
      </c>
      <c r="O58" s="160">
        <f t="shared" ca="1" si="12"/>
        <v>0</v>
      </c>
      <c r="P58" s="160">
        <f t="shared" ca="1" si="13"/>
        <v>0</v>
      </c>
      <c r="Q58" s="160">
        <f t="shared" ca="1" si="13"/>
        <v>0</v>
      </c>
      <c r="R58" s="160">
        <f t="shared" ca="1" si="14"/>
        <v>0</v>
      </c>
      <c r="S58" s="160">
        <f t="shared" ca="1" si="14"/>
        <v>0</v>
      </c>
      <c r="T58" s="160">
        <f t="shared" ca="1" si="14"/>
        <v>0</v>
      </c>
      <c r="U58" s="160">
        <f t="shared" ca="1" si="14"/>
        <v>0</v>
      </c>
      <c r="V58" s="163">
        <f t="shared" ca="1" si="5"/>
        <v>0</v>
      </c>
      <c r="W58" s="163">
        <f t="shared" ca="1" si="6"/>
        <v>0</v>
      </c>
      <c r="X58" s="163">
        <f t="shared" ca="1" si="7"/>
        <v>0</v>
      </c>
      <c r="Y58" s="163">
        <f t="shared" ca="1" si="8"/>
        <v>0</v>
      </c>
    </row>
    <row r="59" spans="6:25" ht="14.4">
      <c r="L59" s="464"/>
      <c r="M59" s="129" t="str">
        <f t="shared" si="9"/>
        <v>end</v>
      </c>
      <c r="N59" s="161">
        <f t="shared" si="11"/>
        <v>2</v>
      </c>
      <c r="O59" s="160">
        <f t="shared" ca="1" si="12"/>
        <v>0</v>
      </c>
      <c r="P59" s="160">
        <f t="shared" ca="1" si="13"/>
        <v>0</v>
      </c>
      <c r="Q59" s="160">
        <f t="shared" ca="1" si="13"/>
        <v>0</v>
      </c>
      <c r="R59" s="160">
        <f t="shared" ca="1" si="14"/>
        <v>0</v>
      </c>
      <c r="S59" s="160">
        <f t="shared" ca="1" si="14"/>
        <v>0</v>
      </c>
      <c r="T59" s="160">
        <f t="shared" ca="1" si="14"/>
        <v>0</v>
      </c>
      <c r="U59" s="160">
        <f t="shared" ca="1" si="14"/>
        <v>0</v>
      </c>
      <c r="V59" s="163">
        <f t="shared" ca="1" si="5"/>
        <v>0</v>
      </c>
      <c r="W59" s="163">
        <f t="shared" ca="1" si="6"/>
        <v>0</v>
      </c>
      <c r="X59" s="163">
        <f t="shared" ca="1" si="7"/>
        <v>0</v>
      </c>
      <c r="Y59" s="163">
        <f t="shared" ca="1" si="8"/>
        <v>0</v>
      </c>
    </row>
    <row r="60" spans="6:25" ht="14.4">
      <c r="L60" s="464"/>
      <c r="M60" s="129" t="str">
        <f t="shared" si="9"/>
        <v>end</v>
      </c>
      <c r="N60" s="161">
        <f t="shared" si="11"/>
        <v>2</v>
      </c>
      <c r="O60" s="160">
        <f t="shared" ca="1" si="12"/>
        <v>0</v>
      </c>
      <c r="P60" s="160">
        <f t="shared" ca="1" si="13"/>
        <v>0</v>
      </c>
      <c r="Q60" s="160">
        <f t="shared" ca="1" si="13"/>
        <v>0</v>
      </c>
      <c r="R60" s="160">
        <f t="shared" ca="1" si="14"/>
        <v>0</v>
      </c>
      <c r="S60" s="160">
        <f t="shared" ca="1" si="14"/>
        <v>0</v>
      </c>
      <c r="T60" s="160">
        <f t="shared" ca="1" si="14"/>
        <v>0</v>
      </c>
      <c r="U60" s="160">
        <f t="shared" ca="1" si="14"/>
        <v>0</v>
      </c>
      <c r="V60" s="163">
        <f t="shared" ca="1" si="5"/>
        <v>0</v>
      </c>
      <c r="W60" s="163">
        <f t="shared" ca="1" si="6"/>
        <v>0</v>
      </c>
      <c r="X60" s="163">
        <f t="shared" ca="1" si="7"/>
        <v>0</v>
      </c>
      <c r="Y60" s="163">
        <f t="shared" ca="1" si="8"/>
        <v>0</v>
      </c>
    </row>
    <row r="61" spans="6:25" ht="14.4">
      <c r="L61" s="464"/>
      <c r="M61" s="129" t="str">
        <f t="shared" si="9"/>
        <v>end</v>
      </c>
      <c r="N61" s="161">
        <f t="shared" si="11"/>
        <v>2</v>
      </c>
      <c r="O61" s="160">
        <f t="shared" ca="1" si="12"/>
        <v>0</v>
      </c>
      <c r="P61" s="160">
        <f t="shared" ca="1" si="13"/>
        <v>0</v>
      </c>
      <c r="Q61" s="160">
        <f t="shared" ca="1" si="13"/>
        <v>0</v>
      </c>
      <c r="R61" s="160">
        <f t="shared" ca="1" si="14"/>
        <v>0</v>
      </c>
      <c r="S61" s="160">
        <f t="shared" ca="1" si="14"/>
        <v>0</v>
      </c>
      <c r="T61" s="160">
        <f t="shared" ca="1" si="14"/>
        <v>0</v>
      </c>
      <c r="U61" s="160">
        <f t="shared" ca="1" si="14"/>
        <v>0</v>
      </c>
      <c r="V61" s="163">
        <f t="shared" ca="1" si="5"/>
        <v>0</v>
      </c>
      <c r="W61" s="163">
        <f t="shared" ca="1" si="6"/>
        <v>0</v>
      </c>
      <c r="X61" s="163">
        <f t="shared" ca="1" si="7"/>
        <v>0</v>
      </c>
      <c r="Y61" s="163">
        <f t="shared" ca="1" si="8"/>
        <v>0</v>
      </c>
    </row>
    <row r="62" spans="6:25" ht="14.4">
      <c r="L62" s="464"/>
      <c r="M62" s="129" t="str">
        <f t="shared" si="9"/>
        <v>end</v>
      </c>
      <c r="N62" s="161">
        <f t="shared" si="11"/>
        <v>2</v>
      </c>
      <c r="O62" s="160">
        <f t="shared" ca="1" si="12"/>
        <v>0</v>
      </c>
      <c r="P62" s="160">
        <f t="shared" ca="1" si="13"/>
        <v>0</v>
      </c>
      <c r="Q62" s="160">
        <f t="shared" ca="1" si="13"/>
        <v>0</v>
      </c>
      <c r="R62" s="160">
        <f t="shared" ca="1" si="14"/>
        <v>0</v>
      </c>
      <c r="S62" s="160">
        <f t="shared" ca="1" si="14"/>
        <v>0</v>
      </c>
      <c r="T62" s="160">
        <f t="shared" ca="1" si="14"/>
        <v>0</v>
      </c>
      <c r="U62" s="160">
        <f t="shared" ca="1" si="14"/>
        <v>0</v>
      </c>
      <c r="V62" s="163">
        <f t="shared" ca="1" si="5"/>
        <v>0</v>
      </c>
      <c r="W62" s="163">
        <f t="shared" ca="1" si="6"/>
        <v>0</v>
      </c>
      <c r="X62" s="163">
        <f t="shared" ca="1" si="7"/>
        <v>0</v>
      </c>
      <c r="Y62" s="163">
        <f t="shared" ca="1" si="8"/>
        <v>0</v>
      </c>
    </row>
    <row r="63" spans="6:25" ht="14.4">
      <c r="L63" s="464"/>
      <c r="M63" s="129" t="str">
        <f t="shared" si="9"/>
        <v>end</v>
      </c>
      <c r="N63" s="161">
        <f t="shared" si="11"/>
        <v>2</v>
      </c>
      <c r="O63" s="160">
        <f t="shared" ca="1" si="12"/>
        <v>0</v>
      </c>
      <c r="P63" s="160">
        <f t="shared" ca="1" si="13"/>
        <v>0</v>
      </c>
      <c r="Q63" s="160">
        <f t="shared" ca="1" si="13"/>
        <v>0</v>
      </c>
      <c r="R63" s="160">
        <f t="shared" ca="1" si="14"/>
        <v>0</v>
      </c>
      <c r="S63" s="160">
        <f t="shared" ca="1" si="14"/>
        <v>0</v>
      </c>
      <c r="T63" s="160">
        <f t="shared" ca="1" si="14"/>
        <v>0</v>
      </c>
      <c r="U63" s="160">
        <f t="shared" ca="1" si="14"/>
        <v>0</v>
      </c>
      <c r="V63" s="163">
        <f t="shared" ca="1" si="5"/>
        <v>0</v>
      </c>
      <c r="W63" s="163">
        <f t="shared" ca="1" si="6"/>
        <v>0</v>
      </c>
      <c r="X63" s="163">
        <f t="shared" ca="1" si="7"/>
        <v>0</v>
      </c>
      <c r="Y63" s="163">
        <f t="shared" ca="1" si="8"/>
        <v>0</v>
      </c>
    </row>
    <row r="64" spans="6:25" ht="14.4">
      <c r="L64" s="464"/>
      <c r="M64" s="129" t="str">
        <f t="shared" si="9"/>
        <v>end</v>
      </c>
      <c r="N64" s="161">
        <f t="shared" si="11"/>
        <v>2</v>
      </c>
      <c r="O64" s="160">
        <f t="shared" ca="1" si="12"/>
        <v>0</v>
      </c>
      <c r="P64" s="160">
        <f t="shared" ca="1" si="13"/>
        <v>0</v>
      </c>
      <c r="Q64" s="160">
        <f t="shared" ca="1" si="13"/>
        <v>0</v>
      </c>
      <c r="R64" s="160">
        <f t="shared" ca="1" si="14"/>
        <v>0</v>
      </c>
      <c r="S64" s="160">
        <f t="shared" ca="1" si="14"/>
        <v>0</v>
      </c>
      <c r="T64" s="160">
        <f t="shared" ca="1" si="14"/>
        <v>0</v>
      </c>
      <c r="U64" s="160">
        <f t="shared" ca="1" si="14"/>
        <v>0</v>
      </c>
      <c r="V64" s="163">
        <f t="shared" ca="1" si="5"/>
        <v>0</v>
      </c>
      <c r="W64" s="163">
        <f t="shared" ca="1" si="6"/>
        <v>0</v>
      </c>
      <c r="X64" s="163">
        <f t="shared" ca="1" si="7"/>
        <v>0</v>
      </c>
      <c r="Y64" s="163">
        <f t="shared" ca="1" si="8"/>
        <v>0</v>
      </c>
    </row>
    <row r="65" spans="12:25" ht="14.4">
      <c r="L65" s="464"/>
      <c r="M65" s="129" t="str">
        <f t="shared" si="9"/>
        <v>end</v>
      </c>
      <c r="N65" s="161">
        <f t="shared" si="11"/>
        <v>2</v>
      </c>
      <c r="O65" s="160">
        <f t="shared" ca="1" si="12"/>
        <v>0</v>
      </c>
      <c r="P65" s="160">
        <f t="shared" ca="1" si="13"/>
        <v>0</v>
      </c>
      <c r="Q65" s="160">
        <f t="shared" ca="1" si="13"/>
        <v>0</v>
      </c>
      <c r="R65" s="160">
        <f t="shared" ca="1" si="14"/>
        <v>0</v>
      </c>
      <c r="S65" s="160">
        <f t="shared" ca="1" si="14"/>
        <v>0</v>
      </c>
      <c r="T65" s="160">
        <f t="shared" ca="1" si="14"/>
        <v>0</v>
      </c>
      <c r="U65" s="160">
        <f t="shared" ca="1" si="14"/>
        <v>0</v>
      </c>
      <c r="V65" s="163">
        <f t="shared" ca="1" si="5"/>
        <v>0</v>
      </c>
      <c r="W65" s="163">
        <f t="shared" ca="1" si="6"/>
        <v>0</v>
      </c>
      <c r="X65" s="163">
        <f t="shared" ca="1" si="7"/>
        <v>0</v>
      </c>
      <c r="Y65" s="163">
        <f t="shared" ca="1" si="8"/>
        <v>0</v>
      </c>
    </row>
    <row r="66" spans="12:25" ht="14.4">
      <c r="L66" s="464"/>
      <c r="M66" s="129" t="str">
        <f t="shared" si="9"/>
        <v>end</v>
      </c>
      <c r="N66" s="161">
        <f t="shared" si="11"/>
        <v>2</v>
      </c>
      <c r="O66" s="160">
        <f t="shared" ca="1" si="12"/>
        <v>0</v>
      </c>
      <c r="P66" s="160">
        <f t="shared" ref="P66:Q85" ca="1" si="15">IF($M66="end",0,OFFSET($A$1,$M66-1,P$29,1,1))</f>
        <v>0</v>
      </c>
      <c r="Q66" s="160">
        <f t="shared" ca="1" si="15"/>
        <v>0</v>
      </c>
      <c r="R66" s="160">
        <f t="shared" ca="1" si="14"/>
        <v>0</v>
      </c>
      <c r="S66" s="160">
        <f t="shared" ca="1" si="14"/>
        <v>0</v>
      </c>
      <c r="T66" s="160">
        <f t="shared" ca="1" si="14"/>
        <v>0</v>
      </c>
      <c r="U66" s="160">
        <f t="shared" ca="1" si="14"/>
        <v>0</v>
      </c>
      <c r="V66" s="163">
        <f t="shared" ca="1" si="5"/>
        <v>0</v>
      </c>
      <c r="W66" s="163">
        <f t="shared" ca="1" si="6"/>
        <v>0</v>
      </c>
      <c r="X66" s="163">
        <f t="shared" ca="1" si="7"/>
        <v>0</v>
      </c>
      <c r="Y66" s="163">
        <f t="shared" ca="1" si="8"/>
        <v>0</v>
      </c>
    </row>
    <row r="67" spans="12:25" ht="14.4">
      <c r="L67" s="464"/>
      <c r="M67" s="129" t="str">
        <f t="shared" si="9"/>
        <v>end</v>
      </c>
      <c r="N67" s="161">
        <f t="shared" si="11"/>
        <v>2</v>
      </c>
      <c r="O67" s="160">
        <f t="shared" ca="1" si="12"/>
        <v>0</v>
      </c>
      <c r="P67" s="160">
        <f t="shared" ca="1" si="15"/>
        <v>0</v>
      </c>
      <c r="Q67" s="160">
        <f t="shared" ca="1" si="15"/>
        <v>0</v>
      </c>
      <c r="R67" s="160">
        <f t="shared" ca="1" si="14"/>
        <v>0</v>
      </c>
      <c r="S67" s="160">
        <f t="shared" ca="1" si="14"/>
        <v>0</v>
      </c>
      <c r="T67" s="160">
        <f t="shared" ca="1" si="14"/>
        <v>0</v>
      </c>
      <c r="U67" s="160">
        <f t="shared" ca="1" si="14"/>
        <v>0</v>
      </c>
      <c r="V67" s="163">
        <f t="shared" ca="1" si="5"/>
        <v>0</v>
      </c>
      <c r="W67" s="163">
        <f t="shared" ca="1" si="6"/>
        <v>0</v>
      </c>
      <c r="X67" s="163">
        <f t="shared" ca="1" si="7"/>
        <v>0</v>
      </c>
      <c r="Y67" s="163">
        <f t="shared" ca="1" si="8"/>
        <v>0</v>
      </c>
    </row>
    <row r="68" spans="12:25" ht="14.4">
      <c r="L68" s="464"/>
      <c r="M68" s="129" t="str">
        <f t="shared" si="9"/>
        <v>end</v>
      </c>
      <c r="N68" s="161">
        <f t="shared" si="11"/>
        <v>2</v>
      </c>
      <c r="O68" s="160">
        <f t="shared" ca="1" si="12"/>
        <v>0</v>
      </c>
      <c r="P68" s="160">
        <f t="shared" ca="1" si="15"/>
        <v>0</v>
      </c>
      <c r="Q68" s="160">
        <f t="shared" ca="1" si="15"/>
        <v>0</v>
      </c>
      <c r="R68" s="160">
        <f t="shared" ca="1" si="14"/>
        <v>0</v>
      </c>
      <c r="S68" s="160">
        <f t="shared" ca="1" si="14"/>
        <v>0</v>
      </c>
      <c r="T68" s="160">
        <f t="shared" ca="1" si="14"/>
        <v>0</v>
      </c>
      <c r="U68" s="160">
        <f t="shared" ca="1" si="14"/>
        <v>0</v>
      </c>
      <c r="V68" s="163">
        <f t="shared" ca="1" si="5"/>
        <v>0</v>
      </c>
      <c r="W68" s="163">
        <f t="shared" ca="1" si="6"/>
        <v>0</v>
      </c>
      <c r="X68" s="163">
        <f t="shared" ca="1" si="7"/>
        <v>0</v>
      </c>
      <c r="Y68" s="163">
        <f t="shared" ca="1" si="8"/>
        <v>0</v>
      </c>
    </row>
    <row r="69" spans="12:25" ht="14.4">
      <c r="L69" s="464"/>
      <c r="M69" s="129" t="str">
        <f t="shared" si="9"/>
        <v>end</v>
      </c>
      <c r="N69" s="161">
        <f t="shared" si="11"/>
        <v>2</v>
      </c>
      <c r="O69" s="160">
        <f t="shared" ca="1" si="12"/>
        <v>0</v>
      </c>
      <c r="P69" s="160">
        <f t="shared" ca="1" si="15"/>
        <v>0</v>
      </c>
      <c r="Q69" s="160">
        <f t="shared" ca="1" si="15"/>
        <v>0</v>
      </c>
      <c r="R69" s="160">
        <f t="shared" ca="1" si="14"/>
        <v>0</v>
      </c>
      <c r="S69" s="160">
        <f t="shared" ca="1" si="14"/>
        <v>0</v>
      </c>
      <c r="T69" s="160">
        <f t="shared" ca="1" si="14"/>
        <v>0</v>
      </c>
      <c r="U69" s="160">
        <f t="shared" ca="1" si="14"/>
        <v>0</v>
      </c>
      <c r="V69" s="163">
        <f t="shared" ca="1" si="5"/>
        <v>0</v>
      </c>
      <c r="W69" s="163">
        <f t="shared" ca="1" si="6"/>
        <v>0</v>
      </c>
      <c r="X69" s="163">
        <f t="shared" ca="1" si="7"/>
        <v>0</v>
      </c>
      <c r="Y69" s="163">
        <f t="shared" ca="1" si="8"/>
        <v>0</v>
      </c>
    </row>
    <row r="70" spans="12:25" ht="14.4">
      <c r="L70" s="464"/>
      <c r="M70" s="129" t="str">
        <f t="shared" si="9"/>
        <v>end</v>
      </c>
      <c r="N70" s="161">
        <f t="shared" si="11"/>
        <v>2</v>
      </c>
      <c r="O70" s="160">
        <f t="shared" ca="1" si="12"/>
        <v>0</v>
      </c>
      <c r="P70" s="160">
        <f t="shared" ca="1" si="15"/>
        <v>0</v>
      </c>
      <c r="Q70" s="160">
        <f t="shared" ca="1" si="15"/>
        <v>0</v>
      </c>
      <c r="R70" s="160">
        <f t="shared" ca="1" si="14"/>
        <v>0</v>
      </c>
      <c r="S70" s="160">
        <f t="shared" ca="1" si="14"/>
        <v>0</v>
      </c>
      <c r="T70" s="160">
        <f t="shared" ca="1" si="14"/>
        <v>0</v>
      </c>
      <c r="U70" s="160">
        <f t="shared" ca="1" si="14"/>
        <v>0</v>
      </c>
      <c r="V70" s="163">
        <f t="shared" ca="1" si="5"/>
        <v>0</v>
      </c>
      <c r="W70" s="163">
        <f t="shared" ca="1" si="6"/>
        <v>0</v>
      </c>
      <c r="X70" s="163">
        <f t="shared" ca="1" si="7"/>
        <v>0</v>
      </c>
      <c r="Y70" s="163">
        <f t="shared" ca="1" si="8"/>
        <v>0</v>
      </c>
    </row>
    <row r="71" spans="12:25" ht="14.4">
      <c r="L71" s="464"/>
      <c r="M71" s="129" t="str">
        <f t="shared" si="9"/>
        <v>end</v>
      </c>
      <c r="N71" s="161">
        <f t="shared" si="11"/>
        <v>2</v>
      </c>
      <c r="O71" s="160">
        <f t="shared" ca="1" si="12"/>
        <v>0</v>
      </c>
      <c r="P71" s="160">
        <f t="shared" ca="1" si="15"/>
        <v>0</v>
      </c>
      <c r="Q71" s="160">
        <f t="shared" ca="1" si="15"/>
        <v>0</v>
      </c>
      <c r="R71" s="160">
        <f t="shared" ca="1" si="14"/>
        <v>0</v>
      </c>
      <c r="S71" s="160">
        <f t="shared" ca="1" si="14"/>
        <v>0</v>
      </c>
      <c r="T71" s="160">
        <f t="shared" ca="1" si="14"/>
        <v>0</v>
      </c>
      <c r="U71" s="160">
        <f t="shared" ca="1" si="14"/>
        <v>0</v>
      </c>
      <c r="V71" s="163">
        <f t="shared" ca="1" si="5"/>
        <v>0</v>
      </c>
      <c r="W71" s="163">
        <f t="shared" ca="1" si="6"/>
        <v>0</v>
      </c>
      <c r="X71" s="163">
        <f t="shared" ca="1" si="7"/>
        <v>0</v>
      </c>
      <c r="Y71" s="163">
        <f t="shared" ca="1" si="8"/>
        <v>0</v>
      </c>
    </row>
    <row r="72" spans="12:25" ht="14.4">
      <c r="L72" s="464"/>
      <c r="M72" s="129" t="str">
        <f t="shared" si="9"/>
        <v>end</v>
      </c>
      <c r="N72" s="161">
        <f t="shared" si="11"/>
        <v>2</v>
      </c>
      <c r="O72" s="160">
        <f t="shared" ca="1" si="12"/>
        <v>0</v>
      </c>
      <c r="P72" s="160">
        <f t="shared" ca="1" si="15"/>
        <v>0</v>
      </c>
      <c r="Q72" s="160">
        <f t="shared" ca="1" si="15"/>
        <v>0</v>
      </c>
      <c r="R72" s="160">
        <f t="shared" ca="1" si="14"/>
        <v>0</v>
      </c>
      <c r="S72" s="160">
        <f t="shared" ca="1" si="14"/>
        <v>0</v>
      </c>
      <c r="T72" s="160">
        <f t="shared" ca="1" si="14"/>
        <v>0</v>
      </c>
      <c r="U72" s="160">
        <f t="shared" ca="1" si="14"/>
        <v>0</v>
      </c>
      <c r="V72" s="163">
        <f t="shared" ca="1" si="5"/>
        <v>0</v>
      </c>
      <c r="W72" s="163">
        <f t="shared" ca="1" si="6"/>
        <v>0</v>
      </c>
      <c r="X72" s="163">
        <f t="shared" ca="1" si="7"/>
        <v>0</v>
      </c>
      <c r="Y72" s="163">
        <f t="shared" ca="1" si="8"/>
        <v>0</v>
      </c>
    </row>
    <row r="73" spans="12:25" ht="14.4">
      <c r="L73" s="464"/>
      <c r="M73" s="129" t="str">
        <f t="shared" si="9"/>
        <v>end</v>
      </c>
      <c r="N73" s="161">
        <f t="shared" si="11"/>
        <v>2</v>
      </c>
      <c r="O73" s="160">
        <f t="shared" ca="1" si="12"/>
        <v>0</v>
      </c>
      <c r="P73" s="160">
        <f t="shared" ca="1" si="15"/>
        <v>0</v>
      </c>
      <c r="Q73" s="160">
        <f t="shared" ca="1" si="15"/>
        <v>0</v>
      </c>
      <c r="R73" s="160">
        <f t="shared" ca="1" si="14"/>
        <v>0</v>
      </c>
      <c r="S73" s="160">
        <f t="shared" ca="1" si="14"/>
        <v>0</v>
      </c>
      <c r="T73" s="160">
        <f t="shared" ca="1" si="14"/>
        <v>0</v>
      </c>
      <c r="U73" s="160">
        <f t="shared" ca="1" si="14"/>
        <v>0</v>
      </c>
      <c r="V73" s="163">
        <f t="shared" ca="1" si="5"/>
        <v>0</v>
      </c>
      <c r="W73" s="163">
        <f t="shared" ca="1" si="6"/>
        <v>0</v>
      </c>
      <c r="X73" s="163">
        <f t="shared" ca="1" si="7"/>
        <v>0</v>
      </c>
      <c r="Y73" s="163">
        <f t="shared" ca="1" si="8"/>
        <v>0</v>
      </c>
    </row>
    <row r="74" spans="12:25" ht="14.4">
      <c r="L74" s="464"/>
      <c r="M74" s="129" t="str">
        <f t="shared" si="9"/>
        <v>end</v>
      </c>
      <c r="N74" s="161">
        <f t="shared" si="11"/>
        <v>2</v>
      </c>
      <c r="O74" s="160">
        <f t="shared" ca="1" si="12"/>
        <v>0</v>
      </c>
      <c r="P74" s="160">
        <f t="shared" ca="1" si="15"/>
        <v>0</v>
      </c>
      <c r="Q74" s="160">
        <f t="shared" ca="1" si="15"/>
        <v>0</v>
      </c>
      <c r="R74" s="160">
        <f t="shared" ca="1" si="14"/>
        <v>0</v>
      </c>
      <c r="S74" s="160">
        <f t="shared" ca="1" si="14"/>
        <v>0</v>
      </c>
      <c r="T74" s="160">
        <f t="shared" ca="1" si="14"/>
        <v>0</v>
      </c>
      <c r="U74" s="160">
        <f t="shared" ca="1" si="14"/>
        <v>0</v>
      </c>
      <c r="V74" s="163">
        <f t="shared" ca="1" si="5"/>
        <v>0</v>
      </c>
      <c r="W74" s="163">
        <f t="shared" ca="1" si="6"/>
        <v>0</v>
      </c>
      <c r="X74" s="163">
        <f t="shared" ca="1" si="7"/>
        <v>0</v>
      </c>
      <c r="Y74" s="163">
        <f t="shared" ca="1" si="8"/>
        <v>0</v>
      </c>
    </row>
    <row r="75" spans="12:25" ht="14.4">
      <c r="L75" s="464"/>
      <c r="M75" s="129" t="str">
        <f t="shared" si="9"/>
        <v>end</v>
      </c>
      <c r="N75" s="161">
        <f t="shared" si="11"/>
        <v>2</v>
      </c>
      <c r="O75" s="160">
        <f t="shared" ca="1" si="12"/>
        <v>0</v>
      </c>
      <c r="P75" s="160">
        <f t="shared" ca="1" si="15"/>
        <v>0</v>
      </c>
      <c r="Q75" s="160">
        <f t="shared" ca="1" si="15"/>
        <v>0</v>
      </c>
      <c r="R75" s="160">
        <f t="shared" ca="1" si="14"/>
        <v>0</v>
      </c>
      <c r="S75" s="160">
        <f t="shared" ca="1" si="14"/>
        <v>0</v>
      </c>
      <c r="T75" s="160">
        <f t="shared" ca="1" si="14"/>
        <v>0</v>
      </c>
      <c r="U75" s="160">
        <f t="shared" ca="1" si="14"/>
        <v>0</v>
      </c>
      <c r="V75" s="163">
        <f t="shared" ca="1" si="5"/>
        <v>0</v>
      </c>
      <c r="W75" s="163">
        <f t="shared" ca="1" si="6"/>
        <v>0</v>
      </c>
      <c r="X75" s="163">
        <f t="shared" ca="1" si="7"/>
        <v>0</v>
      </c>
      <c r="Y75" s="163">
        <f t="shared" ca="1" si="8"/>
        <v>0</v>
      </c>
    </row>
    <row r="76" spans="12:25" ht="14.4">
      <c r="L76" s="464"/>
      <c r="M76" s="129" t="str">
        <f t="shared" si="9"/>
        <v>end</v>
      </c>
      <c r="N76" s="161">
        <f t="shared" si="11"/>
        <v>2</v>
      </c>
      <c r="O76" s="160">
        <f t="shared" ca="1" si="12"/>
        <v>0</v>
      </c>
      <c r="P76" s="160">
        <f t="shared" ca="1" si="15"/>
        <v>0</v>
      </c>
      <c r="Q76" s="160">
        <f t="shared" ca="1" si="15"/>
        <v>0</v>
      </c>
      <c r="R76" s="160">
        <f t="shared" ca="1" si="14"/>
        <v>0</v>
      </c>
      <c r="S76" s="160">
        <f t="shared" ca="1" si="14"/>
        <v>0</v>
      </c>
      <c r="T76" s="160">
        <f t="shared" ca="1" si="14"/>
        <v>0</v>
      </c>
      <c r="U76" s="160">
        <f t="shared" ca="1" si="14"/>
        <v>0</v>
      </c>
      <c r="V76" s="163">
        <f t="shared" ca="1" si="5"/>
        <v>0</v>
      </c>
      <c r="W76" s="163">
        <f t="shared" ca="1" si="6"/>
        <v>0</v>
      </c>
      <c r="X76" s="163">
        <f t="shared" ca="1" si="7"/>
        <v>0</v>
      </c>
      <c r="Y76" s="163">
        <f t="shared" ca="1" si="8"/>
        <v>0</v>
      </c>
    </row>
    <row r="77" spans="12:25" ht="14.4">
      <c r="L77" s="464"/>
      <c r="M77" s="129" t="str">
        <f t="shared" si="9"/>
        <v>end</v>
      </c>
      <c r="N77" s="161">
        <f t="shared" si="11"/>
        <v>2</v>
      </c>
      <c r="O77" s="160">
        <f t="shared" ca="1" si="12"/>
        <v>0</v>
      </c>
      <c r="P77" s="160">
        <f t="shared" ca="1" si="15"/>
        <v>0</v>
      </c>
      <c r="Q77" s="160">
        <f t="shared" ca="1" si="15"/>
        <v>0</v>
      </c>
      <c r="R77" s="160">
        <f t="shared" ca="1" si="14"/>
        <v>0</v>
      </c>
      <c r="S77" s="160">
        <f t="shared" ca="1" si="14"/>
        <v>0</v>
      </c>
      <c r="T77" s="160">
        <f t="shared" ca="1" si="14"/>
        <v>0</v>
      </c>
      <c r="U77" s="160">
        <f t="shared" ca="1" si="14"/>
        <v>0</v>
      </c>
      <c r="V77" s="163">
        <f t="shared" ca="1" si="5"/>
        <v>0</v>
      </c>
      <c r="W77" s="163">
        <f t="shared" ca="1" si="6"/>
        <v>0</v>
      </c>
      <c r="X77" s="163">
        <f t="shared" ca="1" si="7"/>
        <v>0</v>
      </c>
      <c r="Y77" s="163">
        <f t="shared" ca="1" si="8"/>
        <v>0</v>
      </c>
    </row>
    <row r="78" spans="12:25" ht="14.4">
      <c r="L78" s="464"/>
      <c r="M78" s="129" t="str">
        <f t="shared" si="9"/>
        <v>end</v>
      </c>
      <c r="N78" s="161">
        <f t="shared" si="11"/>
        <v>2</v>
      </c>
      <c r="O78" s="160">
        <f t="shared" ca="1" si="12"/>
        <v>0</v>
      </c>
      <c r="P78" s="160">
        <f t="shared" ca="1" si="15"/>
        <v>0</v>
      </c>
      <c r="Q78" s="160">
        <f t="shared" ca="1" si="15"/>
        <v>0</v>
      </c>
      <c r="R78" s="160">
        <f t="shared" ca="1" si="14"/>
        <v>0</v>
      </c>
      <c r="S78" s="160">
        <f t="shared" ca="1" si="14"/>
        <v>0</v>
      </c>
      <c r="T78" s="160">
        <f t="shared" ca="1" si="14"/>
        <v>0</v>
      </c>
      <c r="U78" s="160">
        <f t="shared" ca="1" si="14"/>
        <v>0</v>
      </c>
      <c r="V78" s="163">
        <f t="shared" ca="1" si="5"/>
        <v>0</v>
      </c>
      <c r="W78" s="163">
        <f t="shared" ca="1" si="6"/>
        <v>0</v>
      </c>
      <c r="X78" s="163">
        <f t="shared" ca="1" si="7"/>
        <v>0</v>
      </c>
      <c r="Y78" s="163">
        <f t="shared" ca="1" si="8"/>
        <v>0</v>
      </c>
    </row>
    <row r="79" spans="12:25" ht="14.4">
      <c r="L79" s="464"/>
      <c r="M79" s="129" t="str">
        <f t="shared" si="9"/>
        <v>end</v>
      </c>
      <c r="N79" s="161">
        <f t="shared" si="11"/>
        <v>2</v>
      </c>
      <c r="O79" s="160">
        <f t="shared" ca="1" si="12"/>
        <v>0</v>
      </c>
      <c r="P79" s="160">
        <f t="shared" ca="1" si="15"/>
        <v>0</v>
      </c>
      <c r="Q79" s="160">
        <f t="shared" ca="1" si="15"/>
        <v>0</v>
      </c>
      <c r="R79" s="160">
        <f t="shared" ca="1" si="14"/>
        <v>0</v>
      </c>
      <c r="S79" s="160">
        <f t="shared" ca="1" si="14"/>
        <v>0</v>
      </c>
      <c r="T79" s="160">
        <f t="shared" ca="1" si="14"/>
        <v>0</v>
      </c>
      <c r="U79" s="160">
        <f t="shared" ca="1" si="14"/>
        <v>0</v>
      </c>
      <c r="V79" s="163">
        <f t="shared" ca="1" si="5"/>
        <v>0</v>
      </c>
      <c r="W79" s="163">
        <f t="shared" ca="1" si="6"/>
        <v>0</v>
      </c>
      <c r="X79" s="163">
        <f t="shared" ca="1" si="7"/>
        <v>0</v>
      </c>
      <c r="Y79" s="163">
        <f t="shared" ca="1" si="8"/>
        <v>0</v>
      </c>
    </row>
    <row r="80" spans="12:25" ht="14.4">
      <c r="L80" s="464"/>
      <c r="M80" s="129" t="str">
        <f t="shared" si="9"/>
        <v>end</v>
      </c>
      <c r="N80" s="161">
        <f t="shared" si="11"/>
        <v>2</v>
      </c>
      <c r="O80" s="160">
        <f t="shared" ca="1" si="12"/>
        <v>0</v>
      </c>
      <c r="P80" s="160">
        <f t="shared" ca="1" si="15"/>
        <v>0</v>
      </c>
      <c r="Q80" s="160">
        <f t="shared" ca="1" si="15"/>
        <v>0</v>
      </c>
      <c r="R80" s="160">
        <f t="shared" ca="1" si="14"/>
        <v>0</v>
      </c>
      <c r="S80" s="160">
        <f t="shared" ca="1" si="14"/>
        <v>0</v>
      </c>
      <c r="T80" s="160">
        <f t="shared" ca="1" si="14"/>
        <v>0</v>
      </c>
      <c r="U80" s="160">
        <f t="shared" ca="1" si="14"/>
        <v>0</v>
      </c>
      <c r="V80" s="163">
        <f t="shared" ca="1" si="5"/>
        <v>0</v>
      </c>
      <c r="W80" s="163">
        <f t="shared" ca="1" si="6"/>
        <v>0</v>
      </c>
      <c r="X80" s="163">
        <f t="shared" ca="1" si="7"/>
        <v>0</v>
      </c>
      <c r="Y80" s="163">
        <f t="shared" ca="1" si="8"/>
        <v>0</v>
      </c>
    </row>
    <row r="81" spans="12:25" ht="14.4">
      <c r="L81" s="464"/>
      <c r="M81" s="129" t="str">
        <f t="shared" si="9"/>
        <v>end</v>
      </c>
      <c r="N81" s="161">
        <f t="shared" si="11"/>
        <v>2</v>
      </c>
      <c r="O81" s="160">
        <f t="shared" ca="1" si="12"/>
        <v>0</v>
      </c>
      <c r="P81" s="160">
        <f t="shared" ca="1" si="15"/>
        <v>0</v>
      </c>
      <c r="Q81" s="160">
        <f t="shared" ca="1" si="15"/>
        <v>0</v>
      </c>
      <c r="R81" s="160">
        <f t="shared" ca="1" si="14"/>
        <v>0</v>
      </c>
      <c r="S81" s="160">
        <f t="shared" ca="1" si="14"/>
        <v>0</v>
      </c>
      <c r="T81" s="160">
        <f t="shared" ca="1" si="14"/>
        <v>0</v>
      </c>
      <c r="U81" s="160">
        <f t="shared" ca="1" si="14"/>
        <v>0</v>
      </c>
      <c r="V81" s="163">
        <f t="shared" ca="1" si="5"/>
        <v>0</v>
      </c>
      <c r="W81" s="163">
        <f t="shared" ca="1" si="6"/>
        <v>0</v>
      </c>
      <c r="X81" s="163">
        <f t="shared" ca="1" si="7"/>
        <v>0</v>
      </c>
      <c r="Y81" s="163">
        <f t="shared" ca="1" si="8"/>
        <v>0</v>
      </c>
    </row>
    <row r="82" spans="12:25" ht="14.4">
      <c r="L82" s="464"/>
      <c r="M82" s="129" t="str">
        <f t="shared" si="9"/>
        <v>end</v>
      </c>
      <c r="N82" s="161">
        <f t="shared" ref="N82:N145" si="16">N81</f>
        <v>2</v>
      </c>
      <c r="O82" s="160">
        <f t="shared" ca="1" si="12"/>
        <v>0</v>
      </c>
      <c r="P82" s="160">
        <f t="shared" ca="1" si="15"/>
        <v>0</v>
      </c>
      <c r="Q82" s="160">
        <f t="shared" ca="1" si="15"/>
        <v>0</v>
      </c>
      <c r="R82" s="160">
        <f t="shared" ca="1" si="14"/>
        <v>0</v>
      </c>
      <c r="S82" s="160">
        <f t="shared" ca="1" si="14"/>
        <v>0</v>
      </c>
      <c r="T82" s="160">
        <f t="shared" ca="1" si="14"/>
        <v>0</v>
      </c>
      <c r="U82" s="160">
        <f t="shared" ca="1" si="14"/>
        <v>0</v>
      </c>
      <c r="V82" s="163">
        <f t="shared" ca="1" si="5"/>
        <v>0</v>
      </c>
      <c r="W82" s="163">
        <f t="shared" ca="1" si="6"/>
        <v>0</v>
      </c>
      <c r="X82" s="163">
        <f t="shared" ca="1" si="7"/>
        <v>0</v>
      </c>
      <c r="Y82" s="163">
        <f t="shared" ca="1" si="8"/>
        <v>0</v>
      </c>
    </row>
    <row r="83" spans="12:25" ht="14.4">
      <c r="L83" s="464"/>
      <c r="M83" s="129" t="str">
        <f t="shared" si="9"/>
        <v>end</v>
      </c>
      <c r="N83" s="161">
        <f t="shared" si="16"/>
        <v>2</v>
      </c>
      <c r="O83" s="160">
        <f t="shared" ca="1" si="12"/>
        <v>0</v>
      </c>
      <c r="P83" s="160">
        <f t="shared" ca="1" si="15"/>
        <v>0</v>
      </c>
      <c r="Q83" s="160">
        <f t="shared" ca="1" si="15"/>
        <v>0</v>
      </c>
      <c r="R83" s="160">
        <f t="shared" ca="1" si="14"/>
        <v>0</v>
      </c>
      <c r="S83" s="160">
        <f t="shared" ca="1" si="14"/>
        <v>0</v>
      </c>
      <c r="T83" s="160">
        <f t="shared" ca="1" si="14"/>
        <v>0</v>
      </c>
      <c r="U83" s="160">
        <f t="shared" ca="1" si="14"/>
        <v>0</v>
      </c>
      <c r="V83" s="163">
        <f t="shared" ca="1" si="5"/>
        <v>0</v>
      </c>
      <c r="W83" s="163">
        <f t="shared" ca="1" si="6"/>
        <v>0</v>
      </c>
      <c r="X83" s="163">
        <f t="shared" ca="1" si="7"/>
        <v>0</v>
      </c>
      <c r="Y83" s="163">
        <f t="shared" ca="1" si="8"/>
        <v>0</v>
      </c>
    </row>
    <row r="84" spans="12:25" ht="14.4">
      <c r="L84" s="464"/>
      <c r="M84" s="129" t="str">
        <f t="shared" si="9"/>
        <v>end</v>
      </c>
      <c r="N84" s="161">
        <f t="shared" si="16"/>
        <v>2</v>
      </c>
      <c r="O84" s="160">
        <f t="shared" ca="1" si="12"/>
        <v>0</v>
      </c>
      <c r="P84" s="160">
        <f t="shared" ca="1" si="15"/>
        <v>0</v>
      </c>
      <c r="Q84" s="160">
        <f t="shared" ca="1" si="15"/>
        <v>0</v>
      </c>
      <c r="R84" s="160">
        <f t="shared" ca="1" si="14"/>
        <v>0</v>
      </c>
      <c r="S84" s="160">
        <f t="shared" ca="1" si="14"/>
        <v>0</v>
      </c>
      <c r="T84" s="160">
        <f t="shared" ca="1" si="14"/>
        <v>0</v>
      </c>
      <c r="U84" s="160">
        <f t="shared" ca="1" si="14"/>
        <v>0</v>
      </c>
      <c r="V84" s="163">
        <f t="shared" ca="1" si="5"/>
        <v>0</v>
      </c>
      <c r="W84" s="163">
        <f t="shared" ca="1" si="6"/>
        <v>0</v>
      </c>
      <c r="X84" s="163">
        <f t="shared" ca="1" si="7"/>
        <v>0</v>
      </c>
      <c r="Y84" s="163">
        <f t="shared" ca="1" si="8"/>
        <v>0</v>
      </c>
    </row>
    <row r="85" spans="12:25" ht="14.4">
      <c r="L85" s="464"/>
      <c r="M85" s="129" t="str">
        <f t="shared" si="9"/>
        <v>end</v>
      </c>
      <c r="N85" s="161">
        <f t="shared" si="16"/>
        <v>2</v>
      </c>
      <c r="O85" s="160">
        <f t="shared" ca="1" si="12"/>
        <v>0</v>
      </c>
      <c r="P85" s="160">
        <f t="shared" ca="1" si="15"/>
        <v>0</v>
      </c>
      <c r="Q85" s="160">
        <f t="shared" ca="1" si="15"/>
        <v>0</v>
      </c>
      <c r="R85" s="160">
        <f t="shared" ca="1" si="14"/>
        <v>0</v>
      </c>
      <c r="S85" s="160">
        <f t="shared" ca="1" si="14"/>
        <v>0</v>
      </c>
      <c r="T85" s="160">
        <f t="shared" ca="1" si="14"/>
        <v>0</v>
      </c>
      <c r="U85" s="160">
        <f t="shared" ca="1" si="14"/>
        <v>0</v>
      </c>
      <c r="V85" s="163">
        <f t="shared" ca="1" si="5"/>
        <v>0</v>
      </c>
      <c r="W85" s="163">
        <f t="shared" ca="1" si="6"/>
        <v>0</v>
      </c>
      <c r="X85" s="163">
        <f t="shared" ca="1" si="7"/>
        <v>0</v>
      </c>
      <c r="Y85" s="163">
        <f t="shared" ca="1" si="8"/>
        <v>0</v>
      </c>
    </row>
    <row r="86" spans="12:25" ht="14.4">
      <c r="L86" s="464"/>
      <c r="M86" s="129" t="str">
        <f t="shared" si="9"/>
        <v>end</v>
      </c>
      <c r="N86" s="161">
        <f t="shared" si="16"/>
        <v>2</v>
      </c>
      <c r="O86" s="160">
        <f t="shared" ca="1" si="12"/>
        <v>0</v>
      </c>
      <c r="P86" s="160">
        <f t="shared" ref="P86:Q105" ca="1" si="17">IF($M86="end",0,OFFSET($A$1,$M86-1,P$29,1,1))</f>
        <v>0</v>
      </c>
      <c r="Q86" s="160">
        <f t="shared" ca="1" si="17"/>
        <v>0</v>
      </c>
      <c r="R86" s="160">
        <f t="shared" ca="1" si="14"/>
        <v>0</v>
      </c>
      <c r="S86" s="160">
        <f t="shared" ca="1" si="14"/>
        <v>0</v>
      </c>
      <c r="T86" s="160">
        <f t="shared" ca="1" si="14"/>
        <v>0</v>
      </c>
      <c r="U86" s="160">
        <f t="shared" ca="1" si="14"/>
        <v>0</v>
      </c>
      <c r="V86" s="163">
        <f t="shared" ca="1" si="5"/>
        <v>0</v>
      </c>
      <c r="W86" s="163">
        <f t="shared" ca="1" si="6"/>
        <v>0</v>
      </c>
      <c r="X86" s="163">
        <f t="shared" ca="1" si="7"/>
        <v>0</v>
      </c>
      <c r="Y86" s="163">
        <f t="shared" ca="1" si="8"/>
        <v>0</v>
      </c>
    </row>
    <row r="87" spans="12:25" ht="14.4">
      <c r="L87" s="464"/>
      <c r="M87" s="129" t="str">
        <f t="shared" si="9"/>
        <v>end</v>
      </c>
      <c r="N87" s="161">
        <f t="shared" si="16"/>
        <v>2</v>
      </c>
      <c r="O87" s="160">
        <f t="shared" ca="1" si="12"/>
        <v>0</v>
      </c>
      <c r="P87" s="160">
        <f t="shared" ca="1" si="17"/>
        <v>0</v>
      </c>
      <c r="Q87" s="160">
        <f t="shared" ca="1" si="17"/>
        <v>0</v>
      </c>
      <c r="R87" s="160">
        <f t="shared" ca="1" si="14"/>
        <v>0</v>
      </c>
      <c r="S87" s="160">
        <f t="shared" ca="1" si="14"/>
        <v>0</v>
      </c>
      <c r="T87" s="160">
        <f t="shared" ca="1" si="14"/>
        <v>0</v>
      </c>
      <c r="U87" s="160">
        <f t="shared" ca="1" si="14"/>
        <v>0</v>
      </c>
      <c r="V87" s="163">
        <f t="shared" ca="1" si="5"/>
        <v>0</v>
      </c>
      <c r="W87" s="163">
        <f t="shared" ca="1" si="6"/>
        <v>0</v>
      </c>
      <c r="X87" s="163">
        <f t="shared" ca="1" si="7"/>
        <v>0</v>
      </c>
      <c r="Y87" s="163">
        <f t="shared" ca="1" si="8"/>
        <v>0</v>
      </c>
    </row>
    <row r="88" spans="12:25" ht="14.4">
      <c r="L88" s="464"/>
      <c r="M88" s="129" t="str">
        <f t="shared" si="9"/>
        <v>end</v>
      </c>
      <c r="N88" s="161">
        <f t="shared" si="16"/>
        <v>2</v>
      </c>
      <c r="O88" s="160">
        <f t="shared" ca="1" si="12"/>
        <v>0</v>
      </c>
      <c r="P88" s="160">
        <f t="shared" ca="1" si="17"/>
        <v>0</v>
      </c>
      <c r="Q88" s="160">
        <f t="shared" ca="1" si="17"/>
        <v>0</v>
      </c>
      <c r="R88" s="160">
        <f t="shared" ca="1" si="14"/>
        <v>0</v>
      </c>
      <c r="S88" s="160">
        <f t="shared" ca="1" si="14"/>
        <v>0</v>
      </c>
      <c r="T88" s="160">
        <f t="shared" ca="1" si="14"/>
        <v>0</v>
      </c>
      <c r="U88" s="160">
        <f t="shared" ca="1" si="14"/>
        <v>0</v>
      </c>
      <c r="V88" s="163">
        <f t="shared" ca="1" si="5"/>
        <v>0</v>
      </c>
      <c r="W88" s="163">
        <f t="shared" ca="1" si="6"/>
        <v>0</v>
      </c>
      <c r="X88" s="163">
        <f t="shared" ca="1" si="7"/>
        <v>0</v>
      </c>
      <c r="Y88" s="163">
        <f t="shared" ca="1" si="8"/>
        <v>0</v>
      </c>
    </row>
    <row r="89" spans="12:25" ht="14.4">
      <c r="L89" s="464"/>
      <c r="M89" s="129" t="str">
        <f t="shared" si="9"/>
        <v>end</v>
      </c>
      <c r="N89" s="161">
        <f t="shared" si="16"/>
        <v>2</v>
      </c>
      <c r="O89" s="160">
        <f t="shared" ca="1" si="12"/>
        <v>0</v>
      </c>
      <c r="P89" s="160">
        <f t="shared" ca="1" si="17"/>
        <v>0</v>
      </c>
      <c r="Q89" s="160">
        <f t="shared" ca="1" si="17"/>
        <v>0</v>
      </c>
      <c r="R89" s="160">
        <f t="shared" ca="1" si="14"/>
        <v>0</v>
      </c>
      <c r="S89" s="160">
        <f t="shared" ca="1" si="14"/>
        <v>0</v>
      </c>
      <c r="T89" s="160">
        <f t="shared" ca="1" si="14"/>
        <v>0</v>
      </c>
      <c r="U89" s="160">
        <f t="shared" ca="1" si="14"/>
        <v>0</v>
      </c>
      <c r="V89" s="163">
        <f t="shared" ca="1" si="5"/>
        <v>0</v>
      </c>
      <c r="W89" s="163">
        <f t="shared" ca="1" si="6"/>
        <v>0</v>
      </c>
      <c r="X89" s="163">
        <f t="shared" ca="1" si="7"/>
        <v>0</v>
      </c>
      <c r="Y89" s="163">
        <f t="shared" ca="1" si="8"/>
        <v>0</v>
      </c>
    </row>
    <row r="90" spans="12:25" ht="14.4">
      <c r="L90" s="464"/>
      <c r="M90" s="129" t="str">
        <f t="shared" si="9"/>
        <v>end</v>
      </c>
      <c r="N90" s="161">
        <f t="shared" si="16"/>
        <v>2</v>
      </c>
      <c r="O90" s="160">
        <f t="shared" ca="1" si="12"/>
        <v>0</v>
      </c>
      <c r="P90" s="160">
        <f t="shared" ca="1" si="17"/>
        <v>0</v>
      </c>
      <c r="Q90" s="160">
        <f t="shared" ca="1" si="17"/>
        <v>0</v>
      </c>
      <c r="R90" s="160">
        <f t="shared" ca="1" si="14"/>
        <v>0</v>
      </c>
      <c r="S90" s="160">
        <f t="shared" ca="1" si="14"/>
        <v>0</v>
      </c>
      <c r="T90" s="160">
        <f t="shared" ca="1" si="14"/>
        <v>0</v>
      </c>
      <c r="U90" s="160">
        <f t="shared" ca="1" si="14"/>
        <v>0</v>
      </c>
      <c r="V90" s="163">
        <f t="shared" ca="1" si="5"/>
        <v>0</v>
      </c>
      <c r="W90" s="163">
        <f t="shared" ca="1" si="6"/>
        <v>0</v>
      </c>
      <c r="X90" s="163">
        <f t="shared" ca="1" si="7"/>
        <v>0</v>
      </c>
      <c r="Y90" s="163">
        <f t="shared" ca="1" si="8"/>
        <v>0</v>
      </c>
    </row>
    <row r="91" spans="12:25" ht="14.4">
      <c r="L91" s="464"/>
      <c r="M91" s="129" t="str">
        <f t="shared" si="9"/>
        <v>end</v>
      </c>
      <c r="N91" s="161">
        <f t="shared" si="16"/>
        <v>2</v>
      </c>
      <c r="O91" s="160">
        <f t="shared" ca="1" si="12"/>
        <v>0</v>
      </c>
      <c r="P91" s="160">
        <f t="shared" ca="1" si="17"/>
        <v>0</v>
      </c>
      <c r="Q91" s="160">
        <f t="shared" ca="1" si="17"/>
        <v>0</v>
      </c>
      <c r="R91" s="160">
        <f t="shared" ca="1" si="14"/>
        <v>0</v>
      </c>
      <c r="S91" s="160">
        <f t="shared" ca="1" si="14"/>
        <v>0</v>
      </c>
      <c r="T91" s="160">
        <f t="shared" ca="1" si="14"/>
        <v>0</v>
      </c>
      <c r="U91" s="160">
        <f t="shared" ca="1" si="14"/>
        <v>0</v>
      </c>
      <c r="V91" s="163">
        <f t="shared" ca="1" si="5"/>
        <v>0</v>
      </c>
      <c r="W91" s="163">
        <f t="shared" ca="1" si="6"/>
        <v>0</v>
      </c>
      <c r="X91" s="163">
        <f t="shared" ca="1" si="7"/>
        <v>0</v>
      </c>
      <c r="Y91" s="163">
        <f t="shared" ca="1" si="8"/>
        <v>0</v>
      </c>
    </row>
    <row r="92" spans="12:25" ht="14.4">
      <c r="L92" s="464"/>
      <c r="M92" s="129" t="str">
        <f t="shared" si="9"/>
        <v>end</v>
      </c>
      <c r="N92" s="161">
        <f t="shared" si="16"/>
        <v>2</v>
      </c>
      <c r="O92" s="160">
        <f t="shared" ca="1" si="12"/>
        <v>0</v>
      </c>
      <c r="P92" s="160">
        <f t="shared" ca="1" si="17"/>
        <v>0</v>
      </c>
      <c r="Q92" s="160">
        <f t="shared" ca="1" si="17"/>
        <v>0</v>
      </c>
      <c r="R92" s="160">
        <f t="shared" ca="1" si="14"/>
        <v>0</v>
      </c>
      <c r="S92" s="160">
        <f t="shared" ca="1" si="14"/>
        <v>0</v>
      </c>
      <c r="T92" s="160">
        <f t="shared" ca="1" si="14"/>
        <v>0</v>
      </c>
      <c r="U92" s="160">
        <f t="shared" ca="1" si="14"/>
        <v>0</v>
      </c>
      <c r="V92" s="163">
        <f t="shared" ca="1" si="5"/>
        <v>0</v>
      </c>
      <c r="W92" s="163">
        <f t="shared" ca="1" si="6"/>
        <v>0</v>
      </c>
      <c r="X92" s="163">
        <f t="shared" ca="1" si="7"/>
        <v>0</v>
      </c>
      <c r="Y92" s="163">
        <f t="shared" ca="1" si="8"/>
        <v>0</v>
      </c>
    </row>
    <row r="93" spans="12:25" ht="14.4">
      <c r="L93" s="464"/>
      <c r="M93" s="129" t="str">
        <f t="shared" si="9"/>
        <v>end</v>
      </c>
      <c r="N93" s="161">
        <f t="shared" si="16"/>
        <v>2</v>
      </c>
      <c r="O93" s="160">
        <f t="shared" ca="1" si="12"/>
        <v>0</v>
      </c>
      <c r="P93" s="160">
        <f t="shared" ca="1" si="17"/>
        <v>0</v>
      </c>
      <c r="Q93" s="160">
        <f t="shared" ca="1" si="17"/>
        <v>0</v>
      </c>
      <c r="R93" s="160">
        <f t="shared" ca="1" si="14"/>
        <v>0</v>
      </c>
      <c r="S93" s="160">
        <f t="shared" ca="1" si="14"/>
        <v>0</v>
      </c>
      <c r="T93" s="160">
        <f t="shared" ca="1" si="14"/>
        <v>0</v>
      </c>
      <c r="U93" s="160">
        <f t="shared" ca="1" si="14"/>
        <v>0</v>
      </c>
      <c r="V93" s="163">
        <f t="shared" ca="1" si="5"/>
        <v>0</v>
      </c>
      <c r="W93" s="163">
        <f t="shared" ca="1" si="6"/>
        <v>0</v>
      </c>
      <c r="X93" s="163">
        <f t="shared" ca="1" si="7"/>
        <v>0</v>
      </c>
      <c r="Y93" s="163">
        <f t="shared" ca="1" si="8"/>
        <v>0</v>
      </c>
    </row>
    <row r="94" spans="12:25" ht="14.4">
      <c r="L94" s="464"/>
      <c r="M94" s="129" t="str">
        <f t="shared" si="9"/>
        <v>end</v>
      </c>
      <c r="N94" s="161">
        <f t="shared" si="16"/>
        <v>2</v>
      </c>
      <c r="O94" s="160">
        <f t="shared" ca="1" si="12"/>
        <v>0</v>
      </c>
      <c r="P94" s="160">
        <f t="shared" ca="1" si="17"/>
        <v>0</v>
      </c>
      <c r="Q94" s="160">
        <f t="shared" ca="1" si="17"/>
        <v>0</v>
      </c>
      <c r="R94" s="160">
        <f t="shared" ca="1" si="14"/>
        <v>0</v>
      </c>
      <c r="S94" s="160">
        <f t="shared" ca="1" si="14"/>
        <v>0</v>
      </c>
      <c r="T94" s="160">
        <f t="shared" ca="1" si="14"/>
        <v>0</v>
      </c>
      <c r="U94" s="160">
        <f t="shared" ca="1" si="14"/>
        <v>0</v>
      </c>
      <c r="V94" s="163">
        <f t="shared" ca="1" si="5"/>
        <v>0</v>
      </c>
      <c r="W94" s="163">
        <f t="shared" ca="1" si="6"/>
        <v>0</v>
      </c>
      <c r="X94" s="163">
        <f t="shared" ca="1" si="7"/>
        <v>0</v>
      </c>
      <c r="Y94" s="163">
        <f t="shared" ca="1" si="8"/>
        <v>0</v>
      </c>
    </row>
    <row r="95" spans="12:25" ht="14.4">
      <c r="L95" s="464"/>
      <c r="M95" s="129" t="str">
        <f t="shared" si="9"/>
        <v>end</v>
      </c>
      <c r="N95" s="161">
        <f t="shared" si="16"/>
        <v>2</v>
      </c>
      <c r="O95" s="160">
        <f t="shared" ca="1" si="12"/>
        <v>0</v>
      </c>
      <c r="P95" s="160">
        <f t="shared" ca="1" si="17"/>
        <v>0</v>
      </c>
      <c r="Q95" s="160">
        <f t="shared" ca="1" si="17"/>
        <v>0</v>
      </c>
      <c r="R95" s="160">
        <f t="shared" ca="1" si="14"/>
        <v>0</v>
      </c>
      <c r="S95" s="160">
        <f t="shared" ca="1" si="14"/>
        <v>0</v>
      </c>
      <c r="T95" s="160">
        <f t="shared" ca="1" si="14"/>
        <v>0</v>
      </c>
      <c r="U95" s="160">
        <f t="shared" ca="1" si="14"/>
        <v>0</v>
      </c>
      <c r="V95" s="163">
        <f t="shared" ref="V95:V158" ca="1" si="18">IF(Q95=0,0,IF(S95=180,IF(R95=0,"Slab on Grade",IF(R95=1,"Exposed Floor",IF(R95=3,"Internal Floor",U95))),IF(S95&lt;45,IF(R95=3,"Internal Ceiling",IF(R95=1,"Roof",U95)))))</f>
        <v>0</v>
      </c>
      <c r="W95" s="163">
        <f t="shared" ref="W95:W158" ca="1" si="19">IF(ISNUMBER(SEARCH($W$29,U95))=TRUE,IF(ISNUMBER(SEARCH($W$27,U95))=TRUE,IF(R95=1,"eFrame",IF(R95=3,"iFrame")),IF(R95=1,"eWindow",IF(R95=3,"iWindow"))),U95)</f>
        <v>0</v>
      </c>
      <c r="X95" s="163">
        <f t="shared" ref="X95:X158" ca="1" si="20">IF(ISNUMBER(SEARCH($X$29,U95))=TRUE,IF(ISNUMBER(SEARCH($X$27,U95))=TRUE,IF(R95=1,"eFrameDoor",IF(R95=3,"iFrameDoor")),IF(R95=1,"eDoor",IF(R95=3,"iDoor"))),U95)</f>
        <v>0</v>
      </c>
      <c r="Y95" s="163">
        <f t="shared" ref="Y95:Y158" ca="1" si="21">IF(ISNUMBER(SEARCH($W$29,U95))=TRUE,"Substract",IF(ISNUMBER(SEARCH($X$29,U95))=TRUE, "Sunstract",IF(S95=90,IF(R95=1,"External Wall",IF(R95=3,"Internal Wall",IF(R95=0,"Below Grade Wall",U95))),V95)))</f>
        <v>0</v>
      </c>
    </row>
    <row r="96" spans="12:25" ht="14.4">
      <c r="L96" s="464"/>
      <c r="M96" s="129" t="str">
        <f t="shared" ref="M96:M159" si="22">IF(M95="end","end",IF(M95=$K$1,"end",M95+1))</f>
        <v>end</v>
      </c>
      <c r="N96" s="161">
        <f t="shared" si="16"/>
        <v>2</v>
      </c>
      <c r="O96" s="160">
        <f t="shared" ca="1" si="12"/>
        <v>0</v>
      </c>
      <c r="P96" s="160">
        <f t="shared" ca="1" si="17"/>
        <v>0</v>
      </c>
      <c r="Q96" s="160">
        <f t="shared" ca="1" si="17"/>
        <v>0</v>
      </c>
      <c r="R96" s="160">
        <f t="shared" ca="1" si="14"/>
        <v>0</v>
      </c>
      <c r="S96" s="160">
        <f t="shared" ca="1" si="14"/>
        <v>0</v>
      </c>
      <c r="T96" s="160">
        <f t="shared" ca="1" si="14"/>
        <v>0</v>
      </c>
      <c r="U96" s="160">
        <f t="shared" ca="1" si="14"/>
        <v>0</v>
      </c>
      <c r="V96" s="163">
        <f t="shared" ca="1" si="18"/>
        <v>0</v>
      </c>
      <c r="W96" s="163">
        <f t="shared" ca="1" si="19"/>
        <v>0</v>
      </c>
      <c r="X96" s="163">
        <f t="shared" ca="1" si="20"/>
        <v>0</v>
      </c>
      <c r="Y96" s="163">
        <f t="shared" ca="1" si="21"/>
        <v>0</v>
      </c>
    </row>
    <row r="97" spans="12:25" ht="14.4">
      <c r="L97" s="464"/>
      <c r="M97" s="129" t="str">
        <f t="shared" si="22"/>
        <v>end</v>
      </c>
      <c r="N97" s="161">
        <f t="shared" si="16"/>
        <v>2</v>
      </c>
      <c r="O97" s="160">
        <f t="shared" ca="1" si="12"/>
        <v>0</v>
      </c>
      <c r="P97" s="160">
        <f t="shared" ca="1" si="17"/>
        <v>0</v>
      </c>
      <c r="Q97" s="160">
        <f t="shared" ca="1" si="17"/>
        <v>0</v>
      </c>
      <c r="R97" s="160">
        <f t="shared" ca="1" si="14"/>
        <v>0</v>
      </c>
      <c r="S97" s="160">
        <f t="shared" ca="1" si="14"/>
        <v>0</v>
      </c>
      <c r="T97" s="160">
        <f t="shared" ca="1" si="14"/>
        <v>0</v>
      </c>
      <c r="U97" s="160">
        <f t="shared" ca="1" si="14"/>
        <v>0</v>
      </c>
      <c r="V97" s="163">
        <f t="shared" ca="1" si="18"/>
        <v>0</v>
      </c>
      <c r="W97" s="163">
        <f t="shared" ca="1" si="19"/>
        <v>0</v>
      </c>
      <c r="X97" s="163">
        <f t="shared" ca="1" si="20"/>
        <v>0</v>
      </c>
      <c r="Y97" s="163">
        <f t="shared" ca="1" si="21"/>
        <v>0</v>
      </c>
    </row>
    <row r="98" spans="12:25" ht="14.4">
      <c r="L98" s="464"/>
      <c r="M98" s="129" t="str">
        <f t="shared" si="22"/>
        <v>end</v>
      </c>
      <c r="N98" s="161">
        <f t="shared" si="16"/>
        <v>2</v>
      </c>
      <c r="O98" s="160">
        <f t="shared" ca="1" si="12"/>
        <v>0</v>
      </c>
      <c r="P98" s="160">
        <f t="shared" ca="1" si="17"/>
        <v>0</v>
      </c>
      <c r="Q98" s="160">
        <f t="shared" ca="1" si="17"/>
        <v>0</v>
      </c>
      <c r="R98" s="160">
        <f t="shared" ca="1" si="14"/>
        <v>0</v>
      </c>
      <c r="S98" s="160">
        <f t="shared" ca="1" si="14"/>
        <v>0</v>
      </c>
      <c r="T98" s="160">
        <f t="shared" ca="1" si="14"/>
        <v>0</v>
      </c>
      <c r="U98" s="160">
        <f t="shared" ca="1" si="14"/>
        <v>0</v>
      </c>
      <c r="V98" s="163">
        <f t="shared" ca="1" si="18"/>
        <v>0</v>
      </c>
      <c r="W98" s="163">
        <f t="shared" ca="1" si="19"/>
        <v>0</v>
      </c>
      <c r="X98" s="163">
        <f t="shared" ca="1" si="20"/>
        <v>0</v>
      </c>
      <c r="Y98" s="163">
        <f t="shared" ca="1" si="21"/>
        <v>0</v>
      </c>
    </row>
    <row r="99" spans="12:25" ht="14.4">
      <c r="L99" s="464"/>
      <c r="M99" s="129" t="str">
        <f t="shared" si="22"/>
        <v>end</v>
      </c>
      <c r="N99" s="161">
        <f t="shared" si="16"/>
        <v>2</v>
      </c>
      <c r="O99" s="160">
        <f t="shared" ca="1" si="12"/>
        <v>0</v>
      </c>
      <c r="P99" s="160">
        <f t="shared" ca="1" si="17"/>
        <v>0</v>
      </c>
      <c r="Q99" s="160">
        <f t="shared" ca="1" si="17"/>
        <v>0</v>
      </c>
      <c r="R99" s="160">
        <f t="shared" ca="1" si="14"/>
        <v>0</v>
      </c>
      <c r="S99" s="160">
        <f t="shared" ca="1" si="14"/>
        <v>0</v>
      </c>
      <c r="T99" s="160">
        <f t="shared" ca="1" si="14"/>
        <v>0</v>
      </c>
      <c r="U99" s="160">
        <f t="shared" ca="1" si="14"/>
        <v>0</v>
      </c>
      <c r="V99" s="163">
        <f t="shared" ca="1" si="18"/>
        <v>0</v>
      </c>
      <c r="W99" s="163">
        <f t="shared" ca="1" si="19"/>
        <v>0</v>
      </c>
      <c r="X99" s="163">
        <f t="shared" ca="1" si="20"/>
        <v>0</v>
      </c>
      <c r="Y99" s="163">
        <f t="shared" ca="1" si="21"/>
        <v>0</v>
      </c>
    </row>
    <row r="100" spans="12:25" ht="14.4">
      <c r="L100" s="464"/>
      <c r="M100" s="129" t="str">
        <f t="shared" si="22"/>
        <v>end</v>
      </c>
      <c r="N100" s="161">
        <f t="shared" si="16"/>
        <v>2</v>
      </c>
      <c r="O100" s="160">
        <f t="shared" ca="1" si="12"/>
        <v>0</v>
      </c>
      <c r="P100" s="160">
        <f t="shared" ca="1" si="17"/>
        <v>0</v>
      </c>
      <c r="Q100" s="160">
        <f t="shared" ca="1" si="17"/>
        <v>0</v>
      </c>
      <c r="R100" s="160">
        <f t="shared" ca="1" si="14"/>
        <v>0</v>
      </c>
      <c r="S100" s="160">
        <f t="shared" ca="1" si="14"/>
        <v>0</v>
      </c>
      <c r="T100" s="160">
        <f t="shared" ca="1" si="14"/>
        <v>0</v>
      </c>
      <c r="U100" s="160">
        <f t="shared" ca="1" si="14"/>
        <v>0</v>
      </c>
      <c r="V100" s="163">
        <f t="shared" ca="1" si="18"/>
        <v>0</v>
      </c>
      <c r="W100" s="163">
        <f t="shared" ca="1" si="19"/>
        <v>0</v>
      </c>
      <c r="X100" s="163">
        <f t="shared" ca="1" si="20"/>
        <v>0</v>
      </c>
      <c r="Y100" s="163">
        <f t="shared" ca="1" si="21"/>
        <v>0</v>
      </c>
    </row>
    <row r="101" spans="12:25" ht="14.4">
      <c r="L101" s="464"/>
      <c r="M101" s="129" t="str">
        <f t="shared" si="22"/>
        <v>end</v>
      </c>
      <c r="N101" s="161">
        <f t="shared" si="16"/>
        <v>2</v>
      </c>
      <c r="O101" s="160">
        <f t="shared" ca="1" si="12"/>
        <v>0</v>
      </c>
      <c r="P101" s="160">
        <f t="shared" ca="1" si="17"/>
        <v>0</v>
      </c>
      <c r="Q101" s="160">
        <f t="shared" ca="1" si="17"/>
        <v>0</v>
      </c>
      <c r="R101" s="160">
        <f t="shared" ca="1" si="14"/>
        <v>0</v>
      </c>
      <c r="S101" s="160">
        <f t="shared" ca="1" si="14"/>
        <v>0</v>
      </c>
      <c r="T101" s="160">
        <f t="shared" ca="1" si="14"/>
        <v>0</v>
      </c>
      <c r="U101" s="160">
        <f t="shared" ca="1" si="14"/>
        <v>0</v>
      </c>
      <c r="V101" s="163">
        <f t="shared" ca="1" si="18"/>
        <v>0</v>
      </c>
      <c r="W101" s="163">
        <f t="shared" ca="1" si="19"/>
        <v>0</v>
      </c>
      <c r="X101" s="163">
        <f t="shared" ca="1" si="20"/>
        <v>0</v>
      </c>
      <c r="Y101" s="163">
        <f t="shared" ca="1" si="21"/>
        <v>0</v>
      </c>
    </row>
    <row r="102" spans="12:25" ht="14.4">
      <c r="L102" s="464"/>
      <c r="M102" s="129" t="str">
        <f t="shared" si="22"/>
        <v>end</v>
      </c>
      <c r="N102" s="161">
        <f t="shared" si="16"/>
        <v>2</v>
      </c>
      <c r="O102" s="160">
        <f t="shared" ca="1" si="12"/>
        <v>0</v>
      </c>
      <c r="P102" s="160">
        <f t="shared" ca="1" si="17"/>
        <v>0</v>
      </c>
      <c r="Q102" s="160">
        <f t="shared" ca="1" si="17"/>
        <v>0</v>
      </c>
      <c r="R102" s="160">
        <f t="shared" ca="1" si="14"/>
        <v>0</v>
      </c>
      <c r="S102" s="160">
        <f t="shared" ca="1" si="14"/>
        <v>0</v>
      </c>
      <c r="T102" s="160">
        <f t="shared" ca="1" si="14"/>
        <v>0</v>
      </c>
      <c r="U102" s="160">
        <f t="shared" ca="1" si="14"/>
        <v>0</v>
      </c>
      <c r="V102" s="163">
        <f t="shared" ca="1" si="18"/>
        <v>0</v>
      </c>
      <c r="W102" s="163">
        <f t="shared" ca="1" si="19"/>
        <v>0</v>
      </c>
      <c r="X102" s="163">
        <f t="shared" ca="1" si="20"/>
        <v>0</v>
      </c>
      <c r="Y102" s="163">
        <f t="shared" ca="1" si="21"/>
        <v>0</v>
      </c>
    </row>
    <row r="103" spans="12:25" ht="14.4">
      <c r="L103" s="464"/>
      <c r="M103" s="129" t="str">
        <f t="shared" si="22"/>
        <v>end</v>
      </c>
      <c r="N103" s="161">
        <f t="shared" si="16"/>
        <v>2</v>
      </c>
      <c r="O103" s="160">
        <f t="shared" ca="1" si="12"/>
        <v>0</v>
      </c>
      <c r="P103" s="160">
        <f t="shared" ca="1" si="17"/>
        <v>0</v>
      </c>
      <c r="Q103" s="160">
        <f t="shared" ca="1" si="17"/>
        <v>0</v>
      </c>
      <c r="R103" s="160">
        <f t="shared" ca="1" si="14"/>
        <v>0</v>
      </c>
      <c r="S103" s="160">
        <f t="shared" ca="1" si="14"/>
        <v>0</v>
      </c>
      <c r="T103" s="160">
        <f t="shared" ca="1" si="14"/>
        <v>0</v>
      </c>
      <c r="U103" s="160">
        <f t="shared" ca="1" si="14"/>
        <v>0</v>
      </c>
      <c r="V103" s="163">
        <f t="shared" ca="1" si="18"/>
        <v>0</v>
      </c>
      <c r="W103" s="163">
        <f t="shared" ca="1" si="19"/>
        <v>0</v>
      </c>
      <c r="X103" s="163">
        <f t="shared" ca="1" si="20"/>
        <v>0</v>
      </c>
      <c r="Y103" s="163">
        <f t="shared" ca="1" si="21"/>
        <v>0</v>
      </c>
    </row>
    <row r="104" spans="12:25" ht="14.4">
      <c r="L104" s="464"/>
      <c r="M104" s="129" t="str">
        <f t="shared" si="22"/>
        <v>end</v>
      </c>
      <c r="N104" s="161">
        <f t="shared" si="16"/>
        <v>2</v>
      </c>
      <c r="O104" s="160">
        <f t="shared" ca="1" si="12"/>
        <v>0</v>
      </c>
      <c r="P104" s="160">
        <f t="shared" ca="1" si="17"/>
        <v>0</v>
      </c>
      <c r="Q104" s="160">
        <f t="shared" ca="1" si="17"/>
        <v>0</v>
      </c>
      <c r="R104" s="160">
        <f t="shared" ca="1" si="14"/>
        <v>0</v>
      </c>
      <c r="S104" s="160">
        <f t="shared" ca="1" si="14"/>
        <v>0</v>
      </c>
      <c r="T104" s="160">
        <f t="shared" ca="1" si="14"/>
        <v>0</v>
      </c>
      <c r="U104" s="160">
        <f t="shared" ca="1" si="14"/>
        <v>0</v>
      </c>
      <c r="V104" s="163">
        <f t="shared" ca="1" si="18"/>
        <v>0</v>
      </c>
      <c r="W104" s="163">
        <f t="shared" ca="1" si="19"/>
        <v>0</v>
      </c>
      <c r="X104" s="163">
        <f t="shared" ca="1" si="20"/>
        <v>0</v>
      </c>
      <c r="Y104" s="163">
        <f t="shared" ca="1" si="21"/>
        <v>0</v>
      </c>
    </row>
    <row r="105" spans="12:25" ht="14.4">
      <c r="L105" s="464"/>
      <c r="M105" s="129" t="str">
        <f t="shared" si="22"/>
        <v>end</v>
      </c>
      <c r="N105" s="161">
        <f t="shared" si="16"/>
        <v>2</v>
      </c>
      <c r="O105" s="160">
        <f t="shared" ref="O105:O168" ca="1" si="23">IF($M105="end",0,OFFSET($A$1,$M105-1,O$29,1,1))</f>
        <v>0</v>
      </c>
      <c r="P105" s="160">
        <f t="shared" ca="1" si="17"/>
        <v>0</v>
      </c>
      <c r="Q105" s="160">
        <f t="shared" ca="1" si="17"/>
        <v>0</v>
      </c>
      <c r="R105" s="160">
        <f t="shared" ca="1" si="14"/>
        <v>0</v>
      </c>
      <c r="S105" s="160">
        <f t="shared" ca="1" si="14"/>
        <v>0</v>
      </c>
      <c r="T105" s="160">
        <f t="shared" ca="1" si="14"/>
        <v>0</v>
      </c>
      <c r="U105" s="160">
        <f t="shared" ca="1" si="14"/>
        <v>0</v>
      </c>
      <c r="V105" s="163">
        <f t="shared" ca="1" si="18"/>
        <v>0</v>
      </c>
      <c r="W105" s="163">
        <f t="shared" ca="1" si="19"/>
        <v>0</v>
      </c>
      <c r="X105" s="163">
        <f t="shared" ca="1" si="20"/>
        <v>0</v>
      </c>
      <c r="Y105" s="163">
        <f t="shared" ca="1" si="21"/>
        <v>0</v>
      </c>
    </row>
    <row r="106" spans="12:25" ht="14.4">
      <c r="L106" s="464"/>
      <c r="M106" s="129" t="str">
        <f t="shared" si="22"/>
        <v>end</v>
      </c>
      <c r="N106" s="161">
        <f t="shared" si="16"/>
        <v>2</v>
      </c>
      <c r="O106" s="160">
        <f t="shared" ca="1" si="23"/>
        <v>0</v>
      </c>
      <c r="P106" s="160">
        <f t="shared" ref="P106:Q113" ca="1" si="24">IF($M106="end",0,OFFSET($A$1,$M106-1,P$29,1,1))</f>
        <v>0</v>
      </c>
      <c r="Q106" s="160">
        <f t="shared" ca="1" si="24"/>
        <v>0</v>
      </c>
      <c r="R106" s="160">
        <f t="shared" ca="1" si="14"/>
        <v>0</v>
      </c>
      <c r="S106" s="160">
        <f t="shared" ca="1" si="14"/>
        <v>0</v>
      </c>
      <c r="T106" s="160">
        <f t="shared" ca="1" si="14"/>
        <v>0</v>
      </c>
      <c r="U106" s="160">
        <f t="shared" ca="1" si="14"/>
        <v>0</v>
      </c>
      <c r="V106" s="163">
        <f t="shared" ca="1" si="18"/>
        <v>0</v>
      </c>
      <c r="W106" s="163">
        <f t="shared" ca="1" si="19"/>
        <v>0</v>
      </c>
      <c r="X106" s="163">
        <f t="shared" ca="1" si="20"/>
        <v>0</v>
      </c>
      <c r="Y106" s="163">
        <f t="shared" ca="1" si="21"/>
        <v>0</v>
      </c>
    </row>
    <row r="107" spans="12:25" ht="14.4">
      <c r="L107" s="464"/>
      <c r="M107" s="129" t="str">
        <f t="shared" si="22"/>
        <v>end</v>
      </c>
      <c r="N107" s="161">
        <f t="shared" si="16"/>
        <v>2</v>
      </c>
      <c r="O107" s="160">
        <f t="shared" ca="1" si="23"/>
        <v>0</v>
      </c>
      <c r="P107" s="160">
        <f t="shared" ca="1" si="24"/>
        <v>0</v>
      </c>
      <c r="Q107" s="160">
        <f t="shared" ca="1" si="24"/>
        <v>0</v>
      </c>
      <c r="R107" s="160">
        <f t="shared" ca="1" si="14"/>
        <v>0</v>
      </c>
      <c r="S107" s="160">
        <f t="shared" ca="1" si="14"/>
        <v>0</v>
      </c>
      <c r="T107" s="160">
        <f t="shared" ca="1" si="14"/>
        <v>0</v>
      </c>
      <c r="U107" s="160">
        <f t="shared" ca="1" si="14"/>
        <v>0</v>
      </c>
      <c r="V107" s="163">
        <f t="shared" ca="1" si="18"/>
        <v>0</v>
      </c>
      <c r="W107" s="163">
        <f t="shared" ca="1" si="19"/>
        <v>0</v>
      </c>
      <c r="X107" s="163">
        <f t="shared" ca="1" si="20"/>
        <v>0</v>
      </c>
      <c r="Y107" s="163">
        <f t="shared" ca="1" si="21"/>
        <v>0</v>
      </c>
    </row>
    <row r="108" spans="12:25" ht="14.4">
      <c r="L108" s="464"/>
      <c r="M108" s="129" t="str">
        <f t="shared" si="22"/>
        <v>end</v>
      </c>
      <c r="N108" s="161">
        <f t="shared" si="16"/>
        <v>2</v>
      </c>
      <c r="O108" s="160">
        <f t="shared" ca="1" si="23"/>
        <v>0</v>
      </c>
      <c r="P108" s="160">
        <f t="shared" ca="1" si="24"/>
        <v>0</v>
      </c>
      <c r="Q108" s="160">
        <f t="shared" ca="1" si="24"/>
        <v>0</v>
      </c>
      <c r="R108" s="160">
        <f t="shared" ca="1" si="14"/>
        <v>0</v>
      </c>
      <c r="S108" s="160">
        <f t="shared" ca="1" si="14"/>
        <v>0</v>
      </c>
      <c r="T108" s="160">
        <f t="shared" ca="1" si="14"/>
        <v>0</v>
      </c>
      <c r="U108" s="160">
        <f t="shared" ca="1" si="14"/>
        <v>0</v>
      </c>
      <c r="V108" s="163">
        <f t="shared" ca="1" si="18"/>
        <v>0</v>
      </c>
      <c r="W108" s="163">
        <f t="shared" ca="1" si="19"/>
        <v>0</v>
      </c>
      <c r="X108" s="163">
        <f t="shared" ca="1" si="20"/>
        <v>0</v>
      </c>
      <c r="Y108" s="163">
        <f t="shared" ca="1" si="21"/>
        <v>0</v>
      </c>
    </row>
    <row r="109" spans="12:25" ht="14.4">
      <c r="L109" s="464"/>
      <c r="M109" s="129" t="str">
        <f t="shared" si="22"/>
        <v>end</v>
      </c>
      <c r="N109" s="161">
        <f t="shared" si="16"/>
        <v>2</v>
      </c>
      <c r="O109" s="160">
        <f t="shared" ca="1" si="23"/>
        <v>0</v>
      </c>
      <c r="P109" s="160">
        <f t="shared" ca="1" si="24"/>
        <v>0</v>
      </c>
      <c r="Q109" s="160">
        <f t="shared" ca="1" si="24"/>
        <v>0</v>
      </c>
      <c r="R109" s="160">
        <f t="shared" ca="1" si="14"/>
        <v>0</v>
      </c>
      <c r="S109" s="160">
        <f t="shared" ca="1" si="14"/>
        <v>0</v>
      </c>
      <c r="T109" s="160">
        <f t="shared" ca="1" si="14"/>
        <v>0</v>
      </c>
      <c r="U109" s="160">
        <f t="shared" ref="U109:U172" ca="1" si="25">IF($M109="end",0,OFFSET($A$1,$M109-1,U$29,1,1))</f>
        <v>0</v>
      </c>
      <c r="V109" s="163">
        <f t="shared" ca="1" si="18"/>
        <v>0</v>
      </c>
      <c r="W109" s="163">
        <f t="shared" ca="1" si="19"/>
        <v>0</v>
      </c>
      <c r="X109" s="163">
        <f t="shared" ca="1" si="20"/>
        <v>0</v>
      </c>
      <c r="Y109" s="163">
        <f t="shared" ca="1" si="21"/>
        <v>0</v>
      </c>
    </row>
    <row r="110" spans="12:25" ht="14.4">
      <c r="L110" s="464"/>
      <c r="M110" s="129" t="str">
        <f t="shared" si="22"/>
        <v>end</v>
      </c>
      <c r="N110" s="161">
        <f t="shared" si="16"/>
        <v>2</v>
      </c>
      <c r="O110" s="160">
        <f t="shared" ca="1" si="23"/>
        <v>0</v>
      </c>
      <c r="P110" s="160">
        <f t="shared" ca="1" si="24"/>
        <v>0</v>
      </c>
      <c r="Q110" s="160">
        <f t="shared" ca="1" si="24"/>
        <v>0</v>
      </c>
      <c r="R110" s="160">
        <f t="shared" ref="R110:T113" ca="1" si="26">IF($M110="end",0,OFFSET($A$1,$M110-1,R$29,1,1))</f>
        <v>0</v>
      </c>
      <c r="S110" s="160">
        <f t="shared" ca="1" si="26"/>
        <v>0</v>
      </c>
      <c r="T110" s="160">
        <f t="shared" ca="1" si="26"/>
        <v>0</v>
      </c>
      <c r="U110" s="160">
        <f t="shared" ca="1" si="25"/>
        <v>0</v>
      </c>
      <c r="V110" s="163">
        <f t="shared" ca="1" si="18"/>
        <v>0</v>
      </c>
      <c r="W110" s="163">
        <f t="shared" ca="1" si="19"/>
        <v>0</v>
      </c>
      <c r="X110" s="163">
        <f t="shared" ca="1" si="20"/>
        <v>0</v>
      </c>
      <c r="Y110" s="163">
        <f t="shared" ca="1" si="21"/>
        <v>0</v>
      </c>
    </row>
    <row r="111" spans="12:25" ht="14.4">
      <c r="L111" s="464"/>
      <c r="M111" s="129" t="str">
        <f t="shared" si="22"/>
        <v>end</v>
      </c>
      <c r="N111" s="161">
        <f t="shared" si="16"/>
        <v>2</v>
      </c>
      <c r="O111" s="160">
        <f t="shared" ca="1" si="23"/>
        <v>0</v>
      </c>
      <c r="P111" s="160">
        <f t="shared" ca="1" si="24"/>
        <v>0</v>
      </c>
      <c r="Q111" s="160">
        <f t="shared" ca="1" si="24"/>
        <v>0</v>
      </c>
      <c r="R111" s="160">
        <f t="shared" ca="1" si="26"/>
        <v>0</v>
      </c>
      <c r="S111" s="160">
        <f t="shared" ca="1" si="26"/>
        <v>0</v>
      </c>
      <c r="T111" s="160">
        <f t="shared" ca="1" si="26"/>
        <v>0</v>
      </c>
      <c r="U111" s="160">
        <f t="shared" ca="1" si="25"/>
        <v>0</v>
      </c>
      <c r="V111" s="163">
        <f t="shared" ca="1" si="18"/>
        <v>0</v>
      </c>
      <c r="W111" s="163">
        <f t="shared" ca="1" si="19"/>
        <v>0</v>
      </c>
      <c r="X111" s="163">
        <f t="shared" ca="1" si="20"/>
        <v>0</v>
      </c>
      <c r="Y111" s="163">
        <f t="shared" ca="1" si="21"/>
        <v>0</v>
      </c>
    </row>
    <row r="112" spans="12:25" ht="14.4">
      <c r="L112" s="464"/>
      <c r="M112" s="129" t="str">
        <f t="shared" si="22"/>
        <v>end</v>
      </c>
      <c r="N112" s="161">
        <f t="shared" si="16"/>
        <v>2</v>
      </c>
      <c r="O112" s="160">
        <f t="shared" ca="1" si="23"/>
        <v>0</v>
      </c>
      <c r="P112" s="160">
        <f t="shared" ca="1" si="24"/>
        <v>0</v>
      </c>
      <c r="Q112" s="160">
        <f t="shared" ca="1" si="24"/>
        <v>0</v>
      </c>
      <c r="R112" s="160">
        <f t="shared" ca="1" si="26"/>
        <v>0</v>
      </c>
      <c r="S112" s="160">
        <f t="shared" ca="1" si="26"/>
        <v>0</v>
      </c>
      <c r="T112" s="160">
        <f t="shared" ca="1" si="26"/>
        <v>0</v>
      </c>
      <c r="U112" s="160">
        <f t="shared" ca="1" si="25"/>
        <v>0</v>
      </c>
      <c r="V112" s="163">
        <f t="shared" ca="1" si="18"/>
        <v>0</v>
      </c>
      <c r="W112" s="163">
        <f t="shared" ca="1" si="19"/>
        <v>0</v>
      </c>
      <c r="X112" s="163">
        <f t="shared" ca="1" si="20"/>
        <v>0</v>
      </c>
      <c r="Y112" s="163">
        <f t="shared" ca="1" si="21"/>
        <v>0</v>
      </c>
    </row>
    <row r="113" spans="12:25" ht="14.4">
      <c r="L113" s="464"/>
      <c r="M113" s="129" t="str">
        <f t="shared" si="22"/>
        <v>end</v>
      </c>
      <c r="N113" s="161">
        <f t="shared" si="16"/>
        <v>2</v>
      </c>
      <c r="O113" s="160">
        <f t="shared" ca="1" si="23"/>
        <v>0</v>
      </c>
      <c r="P113" s="160">
        <f t="shared" ca="1" si="24"/>
        <v>0</v>
      </c>
      <c r="Q113" s="160">
        <f t="shared" ca="1" si="24"/>
        <v>0</v>
      </c>
      <c r="R113" s="160">
        <f t="shared" ca="1" si="26"/>
        <v>0</v>
      </c>
      <c r="S113" s="160">
        <f t="shared" ca="1" si="26"/>
        <v>0</v>
      </c>
      <c r="T113" s="160">
        <f t="shared" ca="1" si="26"/>
        <v>0</v>
      </c>
      <c r="U113" s="160">
        <f t="shared" ca="1" si="25"/>
        <v>0</v>
      </c>
      <c r="V113" s="163">
        <f t="shared" ca="1" si="18"/>
        <v>0</v>
      </c>
      <c r="W113" s="163">
        <f t="shared" ca="1" si="19"/>
        <v>0</v>
      </c>
      <c r="X113" s="163">
        <f t="shared" ca="1" si="20"/>
        <v>0</v>
      </c>
      <c r="Y113" s="163">
        <f t="shared" ca="1" si="21"/>
        <v>0</v>
      </c>
    </row>
    <row r="114" spans="12:25" ht="14.4">
      <c r="L114" s="464"/>
      <c r="M114" s="129" t="str">
        <f t="shared" si="22"/>
        <v>end</v>
      </c>
      <c r="N114" s="161">
        <f t="shared" si="16"/>
        <v>2</v>
      </c>
      <c r="O114" s="160">
        <f t="shared" ca="1" si="23"/>
        <v>0</v>
      </c>
      <c r="P114" s="160">
        <f t="shared" ref="P114:P177" ca="1" si="27">IF($M114="end",0,OFFSET($A$1,$M114-1,P$29,1,1))</f>
        <v>0</v>
      </c>
      <c r="Q114" s="160">
        <f t="shared" ref="Q114:T177" ca="1" si="28">IF($M114="end",0,OFFSET($A$1,$M114-1,Q$29,1,1))</f>
        <v>0</v>
      </c>
      <c r="R114" s="160">
        <f t="shared" ca="1" si="28"/>
        <v>0</v>
      </c>
      <c r="S114" s="160">
        <f t="shared" ca="1" si="28"/>
        <v>0</v>
      </c>
      <c r="T114" s="160">
        <f t="shared" ca="1" si="28"/>
        <v>0</v>
      </c>
      <c r="U114" s="160">
        <f t="shared" ca="1" si="25"/>
        <v>0</v>
      </c>
      <c r="V114" s="163">
        <f t="shared" ca="1" si="18"/>
        <v>0</v>
      </c>
      <c r="W114" s="163">
        <f t="shared" ca="1" si="19"/>
        <v>0</v>
      </c>
      <c r="X114" s="163">
        <f t="shared" ca="1" si="20"/>
        <v>0</v>
      </c>
      <c r="Y114" s="163">
        <f t="shared" ca="1" si="21"/>
        <v>0</v>
      </c>
    </row>
    <row r="115" spans="12:25" ht="14.4">
      <c r="L115" s="464"/>
      <c r="M115" s="129" t="str">
        <f t="shared" si="22"/>
        <v>end</v>
      </c>
      <c r="N115" s="161">
        <f t="shared" si="16"/>
        <v>2</v>
      </c>
      <c r="O115" s="160">
        <f t="shared" ca="1" si="23"/>
        <v>0</v>
      </c>
      <c r="P115" s="160">
        <f t="shared" ca="1" si="27"/>
        <v>0</v>
      </c>
      <c r="Q115" s="160">
        <f t="shared" ca="1" si="28"/>
        <v>0</v>
      </c>
      <c r="R115" s="160">
        <f t="shared" ca="1" si="28"/>
        <v>0</v>
      </c>
      <c r="S115" s="160">
        <f t="shared" ca="1" si="28"/>
        <v>0</v>
      </c>
      <c r="T115" s="160">
        <f t="shared" ca="1" si="28"/>
        <v>0</v>
      </c>
      <c r="U115" s="160">
        <f t="shared" ca="1" si="25"/>
        <v>0</v>
      </c>
      <c r="V115" s="163">
        <f t="shared" ca="1" si="18"/>
        <v>0</v>
      </c>
      <c r="W115" s="163">
        <f t="shared" ca="1" si="19"/>
        <v>0</v>
      </c>
      <c r="X115" s="163">
        <f t="shared" ca="1" si="20"/>
        <v>0</v>
      </c>
      <c r="Y115" s="163">
        <f t="shared" ca="1" si="21"/>
        <v>0</v>
      </c>
    </row>
    <row r="116" spans="12:25" ht="14.4">
      <c r="L116" s="464"/>
      <c r="M116" s="129" t="str">
        <f t="shared" si="22"/>
        <v>end</v>
      </c>
      <c r="N116" s="161">
        <f t="shared" si="16"/>
        <v>2</v>
      </c>
      <c r="O116" s="160">
        <f t="shared" ca="1" si="23"/>
        <v>0</v>
      </c>
      <c r="P116" s="160">
        <f t="shared" ca="1" si="27"/>
        <v>0</v>
      </c>
      <c r="Q116" s="160">
        <f t="shared" ca="1" si="28"/>
        <v>0</v>
      </c>
      <c r="R116" s="160">
        <f t="shared" ca="1" si="28"/>
        <v>0</v>
      </c>
      <c r="S116" s="160">
        <f t="shared" ca="1" si="28"/>
        <v>0</v>
      </c>
      <c r="T116" s="160">
        <f t="shared" ca="1" si="28"/>
        <v>0</v>
      </c>
      <c r="U116" s="160">
        <f t="shared" ca="1" si="25"/>
        <v>0</v>
      </c>
      <c r="V116" s="163">
        <f t="shared" ca="1" si="18"/>
        <v>0</v>
      </c>
      <c r="W116" s="163">
        <f t="shared" ca="1" si="19"/>
        <v>0</v>
      </c>
      <c r="X116" s="163">
        <f t="shared" ca="1" si="20"/>
        <v>0</v>
      </c>
      <c r="Y116" s="163">
        <f t="shared" ca="1" si="21"/>
        <v>0</v>
      </c>
    </row>
    <row r="117" spans="12:25" ht="14.4">
      <c r="L117" s="464"/>
      <c r="M117" s="129" t="str">
        <f t="shared" si="22"/>
        <v>end</v>
      </c>
      <c r="N117" s="161">
        <f t="shared" si="16"/>
        <v>2</v>
      </c>
      <c r="O117" s="160">
        <f t="shared" ca="1" si="23"/>
        <v>0</v>
      </c>
      <c r="P117" s="160">
        <f t="shared" ca="1" si="27"/>
        <v>0</v>
      </c>
      <c r="Q117" s="160">
        <f t="shared" ca="1" si="28"/>
        <v>0</v>
      </c>
      <c r="R117" s="160">
        <f t="shared" ca="1" si="28"/>
        <v>0</v>
      </c>
      <c r="S117" s="160">
        <f t="shared" ca="1" si="28"/>
        <v>0</v>
      </c>
      <c r="T117" s="160">
        <f t="shared" ca="1" si="28"/>
        <v>0</v>
      </c>
      <c r="U117" s="160">
        <f t="shared" ca="1" si="25"/>
        <v>0</v>
      </c>
      <c r="V117" s="163">
        <f t="shared" ca="1" si="18"/>
        <v>0</v>
      </c>
      <c r="W117" s="163">
        <f t="shared" ca="1" si="19"/>
        <v>0</v>
      </c>
      <c r="X117" s="163">
        <f t="shared" ca="1" si="20"/>
        <v>0</v>
      </c>
      <c r="Y117" s="163">
        <f t="shared" ca="1" si="21"/>
        <v>0</v>
      </c>
    </row>
    <row r="118" spans="12:25" ht="14.4">
      <c r="L118" s="464"/>
      <c r="M118" s="129" t="str">
        <f t="shared" si="22"/>
        <v>end</v>
      </c>
      <c r="N118" s="161">
        <f t="shared" si="16"/>
        <v>2</v>
      </c>
      <c r="O118" s="160">
        <f t="shared" ca="1" si="23"/>
        <v>0</v>
      </c>
      <c r="P118" s="160">
        <f t="shared" ca="1" si="27"/>
        <v>0</v>
      </c>
      <c r="Q118" s="160">
        <f t="shared" ca="1" si="28"/>
        <v>0</v>
      </c>
      <c r="R118" s="160">
        <f t="shared" ca="1" si="28"/>
        <v>0</v>
      </c>
      <c r="S118" s="160">
        <f t="shared" ca="1" si="28"/>
        <v>0</v>
      </c>
      <c r="T118" s="160">
        <f t="shared" ca="1" si="28"/>
        <v>0</v>
      </c>
      <c r="U118" s="160">
        <f t="shared" ca="1" si="25"/>
        <v>0</v>
      </c>
      <c r="V118" s="163">
        <f t="shared" ca="1" si="18"/>
        <v>0</v>
      </c>
      <c r="W118" s="163">
        <f t="shared" ca="1" si="19"/>
        <v>0</v>
      </c>
      <c r="X118" s="163">
        <f t="shared" ca="1" si="20"/>
        <v>0</v>
      </c>
      <c r="Y118" s="163">
        <f t="shared" ca="1" si="21"/>
        <v>0</v>
      </c>
    </row>
    <row r="119" spans="12:25" ht="14.4">
      <c r="L119" s="464"/>
      <c r="M119" s="129" t="str">
        <f t="shared" si="22"/>
        <v>end</v>
      </c>
      <c r="N119" s="161">
        <f t="shared" si="16"/>
        <v>2</v>
      </c>
      <c r="O119" s="160">
        <f t="shared" ca="1" si="23"/>
        <v>0</v>
      </c>
      <c r="P119" s="160">
        <f t="shared" ca="1" si="27"/>
        <v>0</v>
      </c>
      <c r="Q119" s="160">
        <f t="shared" ca="1" si="28"/>
        <v>0</v>
      </c>
      <c r="R119" s="160">
        <f t="shared" ca="1" si="28"/>
        <v>0</v>
      </c>
      <c r="S119" s="160">
        <f t="shared" ca="1" si="28"/>
        <v>0</v>
      </c>
      <c r="T119" s="160">
        <f t="shared" ca="1" si="28"/>
        <v>0</v>
      </c>
      <c r="U119" s="160">
        <f t="shared" ca="1" si="25"/>
        <v>0</v>
      </c>
      <c r="V119" s="163">
        <f t="shared" ca="1" si="18"/>
        <v>0</v>
      </c>
      <c r="W119" s="163">
        <f t="shared" ca="1" si="19"/>
        <v>0</v>
      </c>
      <c r="X119" s="163">
        <f t="shared" ca="1" si="20"/>
        <v>0</v>
      </c>
      <c r="Y119" s="163">
        <f t="shared" ca="1" si="21"/>
        <v>0</v>
      </c>
    </row>
    <row r="120" spans="12:25" ht="14.4">
      <c r="L120" s="464"/>
      <c r="M120" s="129" t="str">
        <f t="shared" si="22"/>
        <v>end</v>
      </c>
      <c r="N120" s="161">
        <f t="shared" si="16"/>
        <v>2</v>
      </c>
      <c r="O120" s="160">
        <f t="shared" ca="1" si="23"/>
        <v>0</v>
      </c>
      <c r="P120" s="160">
        <f t="shared" ca="1" si="27"/>
        <v>0</v>
      </c>
      <c r="Q120" s="160">
        <f t="shared" ca="1" si="28"/>
        <v>0</v>
      </c>
      <c r="R120" s="160">
        <f t="shared" ca="1" si="28"/>
        <v>0</v>
      </c>
      <c r="S120" s="160">
        <f t="shared" ca="1" si="28"/>
        <v>0</v>
      </c>
      <c r="T120" s="160">
        <f t="shared" ca="1" si="28"/>
        <v>0</v>
      </c>
      <c r="U120" s="160">
        <f t="shared" ca="1" si="25"/>
        <v>0</v>
      </c>
      <c r="V120" s="163">
        <f t="shared" ca="1" si="18"/>
        <v>0</v>
      </c>
      <c r="W120" s="163">
        <f t="shared" ca="1" si="19"/>
        <v>0</v>
      </c>
      <c r="X120" s="163">
        <f t="shared" ca="1" si="20"/>
        <v>0</v>
      </c>
      <c r="Y120" s="163">
        <f t="shared" ca="1" si="21"/>
        <v>0</v>
      </c>
    </row>
    <row r="121" spans="12:25" ht="14.4">
      <c r="L121" s="464"/>
      <c r="M121" s="129" t="str">
        <f t="shared" si="22"/>
        <v>end</v>
      </c>
      <c r="N121" s="161">
        <f t="shared" si="16"/>
        <v>2</v>
      </c>
      <c r="O121" s="160">
        <f t="shared" ca="1" si="23"/>
        <v>0</v>
      </c>
      <c r="P121" s="160">
        <f t="shared" ca="1" si="27"/>
        <v>0</v>
      </c>
      <c r="Q121" s="160">
        <f t="shared" ca="1" si="28"/>
        <v>0</v>
      </c>
      <c r="R121" s="160">
        <f t="shared" ca="1" si="28"/>
        <v>0</v>
      </c>
      <c r="S121" s="160">
        <f t="shared" ca="1" si="28"/>
        <v>0</v>
      </c>
      <c r="T121" s="160">
        <f t="shared" ca="1" si="28"/>
        <v>0</v>
      </c>
      <c r="U121" s="160">
        <f t="shared" ca="1" si="25"/>
        <v>0</v>
      </c>
      <c r="V121" s="163">
        <f t="shared" ca="1" si="18"/>
        <v>0</v>
      </c>
      <c r="W121" s="163">
        <f t="shared" ca="1" si="19"/>
        <v>0</v>
      </c>
      <c r="X121" s="163">
        <f t="shared" ca="1" si="20"/>
        <v>0</v>
      </c>
      <c r="Y121" s="163">
        <f t="shared" ca="1" si="21"/>
        <v>0</v>
      </c>
    </row>
    <row r="122" spans="12:25" ht="14.4">
      <c r="L122" s="464"/>
      <c r="M122" s="129" t="str">
        <f t="shared" si="22"/>
        <v>end</v>
      </c>
      <c r="N122" s="161">
        <f t="shared" si="16"/>
        <v>2</v>
      </c>
      <c r="O122" s="160">
        <f t="shared" ca="1" si="23"/>
        <v>0</v>
      </c>
      <c r="P122" s="160">
        <f t="shared" ca="1" si="27"/>
        <v>0</v>
      </c>
      <c r="Q122" s="160">
        <f t="shared" ca="1" si="28"/>
        <v>0</v>
      </c>
      <c r="R122" s="160">
        <f t="shared" ca="1" si="28"/>
        <v>0</v>
      </c>
      <c r="S122" s="160">
        <f t="shared" ca="1" si="28"/>
        <v>0</v>
      </c>
      <c r="T122" s="160">
        <f t="shared" ca="1" si="28"/>
        <v>0</v>
      </c>
      <c r="U122" s="160">
        <f t="shared" ca="1" si="25"/>
        <v>0</v>
      </c>
      <c r="V122" s="163">
        <f t="shared" ca="1" si="18"/>
        <v>0</v>
      </c>
      <c r="W122" s="163">
        <f t="shared" ca="1" si="19"/>
        <v>0</v>
      </c>
      <c r="X122" s="163">
        <f t="shared" ca="1" si="20"/>
        <v>0</v>
      </c>
      <c r="Y122" s="163">
        <f t="shared" ca="1" si="21"/>
        <v>0</v>
      </c>
    </row>
    <row r="123" spans="12:25" ht="14.4">
      <c r="L123" s="464"/>
      <c r="M123" s="129" t="str">
        <f t="shared" si="22"/>
        <v>end</v>
      </c>
      <c r="N123" s="161">
        <f t="shared" si="16"/>
        <v>2</v>
      </c>
      <c r="O123" s="160">
        <f t="shared" ca="1" si="23"/>
        <v>0</v>
      </c>
      <c r="P123" s="160">
        <f t="shared" ca="1" si="27"/>
        <v>0</v>
      </c>
      <c r="Q123" s="160">
        <f t="shared" ca="1" si="28"/>
        <v>0</v>
      </c>
      <c r="R123" s="160">
        <f t="shared" ca="1" si="28"/>
        <v>0</v>
      </c>
      <c r="S123" s="160">
        <f t="shared" ca="1" si="28"/>
        <v>0</v>
      </c>
      <c r="T123" s="160">
        <f t="shared" ca="1" si="28"/>
        <v>0</v>
      </c>
      <c r="U123" s="160">
        <f t="shared" ca="1" si="25"/>
        <v>0</v>
      </c>
      <c r="V123" s="163">
        <f t="shared" ca="1" si="18"/>
        <v>0</v>
      </c>
      <c r="W123" s="163">
        <f t="shared" ca="1" si="19"/>
        <v>0</v>
      </c>
      <c r="X123" s="163">
        <f t="shared" ca="1" si="20"/>
        <v>0</v>
      </c>
      <c r="Y123" s="163">
        <f t="shared" ca="1" si="21"/>
        <v>0</v>
      </c>
    </row>
    <row r="124" spans="12:25" ht="14.4">
      <c r="L124" s="464"/>
      <c r="M124" s="129" t="str">
        <f t="shared" si="22"/>
        <v>end</v>
      </c>
      <c r="N124" s="161">
        <f t="shared" si="16"/>
        <v>2</v>
      </c>
      <c r="O124" s="160">
        <f t="shared" ca="1" si="23"/>
        <v>0</v>
      </c>
      <c r="P124" s="160">
        <f t="shared" ca="1" si="27"/>
        <v>0</v>
      </c>
      <c r="Q124" s="160">
        <f t="shared" ca="1" si="28"/>
        <v>0</v>
      </c>
      <c r="R124" s="160">
        <f t="shared" ca="1" si="28"/>
        <v>0</v>
      </c>
      <c r="S124" s="160">
        <f t="shared" ca="1" si="28"/>
        <v>0</v>
      </c>
      <c r="T124" s="160">
        <f t="shared" ca="1" si="28"/>
        <v>0</v>
      </c>
      <c r="U124" s="160">
        <f t="shared" ca="1" si="25"/>
        <v>0</v>
      </c>
      <c r="V124" s="163">
        <f t="shared" ca="1" si="18"/>
        <v>0</v>
      </c>
      <c r="W124" s="163">
        <f t="shared" ca="1" si="19"/>
        <v>0</v>
      </c>
      <c r="X124" s="163">
        <f t="shared" ca="1" si="20"/>
        <v>0</v>
      </c>
      <c r="Y124" s="163">
        <f t="shared" ca="1" si="21"/>
        <v>0</v>
      </c>
    </row>
    <row r="125" spans="12:25" ht="14.4">
      <c r="L125" s="464"/>
      <c r="M125" s="129" t="str">
        <f t="shared" si="22"/>
        <v>end</v>
      </c>
      <c r="N125" s="161">
        <f t="shared" si="16"/>
        <v>2</v>
      </c>
      <c r="O125" s="160">
        <f t="shared" ca="1" si="23"/>
        <v>0</v>
      </c>
      <c r="P125" s="160">
        <f t="shared" ca="1" si="27"/>
        <v>0</v>
      </c>
      <c r="Q125" s="160">
        <f t="shared" ca="1" si="28"/>
        <v>0</v>
      </c>
      <c r="R125" s="160">
        <f t="shared" ca="1" si="28"/>
        <v>0</v>
      </c>
      <c r="S125" s="160">
        <f t="shared" ca="1" si="28"/>
        <v>0</v>
      </c>
      <c r="T125" s="160">
        <f t="shared" ca="1" si="28"/>
        <v>0</v>
      </c>
      <c r="U125" s="160">
        <f t="shared" ca="1" si="25"/>
        <v>0</v>
      </c>
      <c r="V125" s="163">
        <f t="shared" ca="1" si="18"/>
        <v>0</v>
      </c>
      <c r="W125" s="163">
        <f t="shared" ca="1" si="19"/>
        <v>0</v>
      </c>
      <c r="X125" s="163">
        <f t="shared" ca="1" si="20"/>
        <v>0</v>
      </c>
      <c r="Y125" s="163">
        <f t="shared" ca="1" si="21"/>
        <v>0</v>
      </c>
    </row>
    <row r="126" spans="12:25" ht="14.4">
      <c r="L126" s="464"/>
      <c r="M126" s="129" t="str">
        <f t="shared" si="22"/>
        <v>end</v>
      </c>
      <c r="N126" s="161">
        <f t="shared" si="16"/>
        <v>2</v>
      </c>
      <c r="O126" s="160">
        <f t="shared" ca="1" si="23"/>
        <v>0</v>
      </c>
      <c r="P126" s="160">
        <f t="shared" ca="1" si="27"/>
        <v>0</v>
      </c>
      <c r="Q126" s="160">
        <f t="shared" ca="1" si="28"/>
        <v>0</v>
      </c>
      <c r="R126" s="160">
        <f t="shared" ca="1" si="28"/>
        <v>0</v>
      </c>
      <c r="S126" s="160">
        <f t="shared" ca="1" si="28"/>
        <v>0</v>
      </c>
      <c r="T126" s="160">
        <f t="shared" ca="1" si="28"/>
        <v>0</v>
      </c>
      <c r="U126" s="160">
        <f t="shared" ca="1" si="25"/>
        <v>0</v>
      </c>
      <c r="V126" s="163">
        <f t="shared" ca="1" si="18"/>
        <v>0</v>
      </c>
      <c r="W126" s="163">
        <f t="shared" ca="1" si="19"/>
        <v>0</v>
      </c>
      <c r="X126" s="163">
        <f t="shared" ca="1" si="20"/>
        <v>0</v>
      </c>
      <c r="Y126" s="163">
        <f t="shared" ca="1" si="21"/>
        <v>0</v>
      </c>
    </row>
    <row r="127" spans="12:25" ht="14.4">
      <c r="L127" s="464"/>
      <c r="M127" s="129" t="str">
        <f t="shared" si="22"/>
        <v>end</v>
      </c>
      <c r="N127" s="161">
        <f t="shared" si="16"/>
        <v>2</v>
      </c>
      <c r="O127" s="160">
        <f t="shared" ca="1" si="23"/>
        <v>0</v>
      </c>
      <c r="P127" s="160">
        <f t="shared" ca="1" si="27"/>
        <v>0</v>
      </c>
      <c r="Q127" s="160">
        <f t="shared" ca="1" si="28"/>
        <v>0</v>
      </c>
      <c r="R127" s="160">
        <f t="shared" ca="1" si="28"/>
        <v>0</v>
      </c>
      <c r="S127" s="160">
        <f t="shared" ca="1" si="28"/>
        <v>0</v>
      </c>
      <c r="T127" s="160">
        <f t="shared" ca="1" si="28"/>
        <v>0</v>
      </c>
      <c r="U127" s="160">
        <f t="shared" ca="1" si="25"/>
        <v>0</v>
      </c>
      <c r="V127" s="163">
        <f t="shared" ca="1" si="18"/>
        <v>0</v>
      </c>
      <c r="W127" s="163">
        <f t="shared" ca="1" si="19"/>
        <v>0</v>
      </c>
      <c r="X127" s="163">
        <f t="shared" ca="1" si="20"/>
        <v>0</v>
      </c>
      <c r="Y127" s="163">
        <f t="shared" ca="1" si="21"/>
        <v>0</v>
      </c>
    </row>
    <row r="128" spans="12:25" ht="14.4">
      <c r="L128" s="464"/>
      <c r="M128" s="129" t="str">
        <f t="shared" si="22"/>
        <v>end</v>
      </c>
      <c r="N128" s="161">
        <f t="shared" si="16"/>
        <v>2</v>
      </c>
      <c r="O128" s="160">
        <f t="shared" ca="1" si="23"/>
        <v>0</v>
      </c>
      <c r="P128" s="160">
        <f t="shared" ca="1" si="27"/>
        <v>0</v>
      </c>
      <c r="Q128" s="160">
        <f t="shared" ca="1" si="28"/>
        <v>0</v>
      </c>
      <c r="R128" s="160">
        <f t="shared" ca="1" si="28"/>
        <v>0</v>
      </c>
      <c r="S128" s="160">
        <f t="shared" ca="1" si="28"/>
        <v>0</v>
      </c>
      <c r="T128" s="160">
        <f t="shared" ca="1" si="28"/>
        <v>0</v>
      </c>
      <c r="U128" s="160">
        <f t="shared" ca="1" si="25"/>
        <v>0</v>
      </c>
      <c r="V128" s="163">
        <f t="shared" ca="1" si="18"/>
        <v>0</v>
      </c>
      <c r="W128" s="163">
        <f t="shared" ca="1" si="19"/>
        <v>0</v>
      </c>
      <c r="X128" s="163">
        <f t="shared" ca="1" si="20"/>
        <v>0</v>
      </c>
      <c r="Y128" s="163">
        <f t="shared" ca="1" si="21"/>
        <v>0</v>
      </c>
    </row>
    <row r="129" spans="12:25" ht="14.4">
      <c r="L129" s="464"/>
      <c r="M129" s="129" t="str">
        <f t="shared" si="22"/>
        <v>end</v>
      </c>
      <c r="N129" s="161">
        <f t="shared" si="16"/>
        <v>2</v>
      </c>
      <c r="O129" s="160">
        <f t="shared" ca="1" si="23"/>
        <v>0</v>
      </c>
      <c r="P129" s="160">
        <f t="shared" ca="1" si="27"/>
        <v>0</v>
      </c>
      <c r="Q129" s="160">
        <f t="shared" ca="1" si="28"/>
        <v>0</v>
      </c>
      <c r="R129" s="160">
        <f t="shared" ca="1" si="28"/>
        <v>0</v>
      </c>
      <c r="S129" s="160">
        <f t="shared" ca="1" si="28"/>
        <v>0</v>
      </c>
      <c r="T129" s="160">
        <f t="shared" ca="1" si="28"/>
        <v>0</v>
      </c>
      <c r="U129" s="160">
        <f t="shared" ca="1" si="25"/>
        <v>0</v>
      </c>
      <c r="V129" s="163">
        <f t="shared" ca="1" si="18"/>
        <v>0</v>
      </c>
      <c r="W129" s="163">
        <f t="shared" ca="1" si="19"/>
        <v>0</v>
      </c>
      <c r="X129" s="163">
        <f t="shared" ca="1" si="20"/>
        <v>0</v>
      </c>
      <c r="Y129" s="163">
        <f t="shared" ca="1" si="21"/>
        <v>0</v>
      </c>
    </row>
    <row r="130" spans="12:25" ht="14.4">
      <c r="L130" s="464"/>
      <c r="M130" s="129" t="str">
        <f t="shared" si="22"/>
        <v>end</v>
      </c>
      <c r="N130" s="161">
        <f t="shared" si="16"/>
        <v>2</v>
      </c>
      <c r="O130" s="160">
        <f t="shared" ca="1" si="23"/>
        <v>0</v>
      </c>
      <c r="P130" s="160">
        <f t="shared" ca="1" si="27"/>
        <v>0</v>
      </c>
      <c r="Q130" s="160">
        <f t="shared" ca="1" si="28"/>
        <v>0</v>
      </c>
      <c r="R130" s="160">
        <f t="shared" ca="1" si="28"/>
        <v>0</v>
      </c>
      <c r="S130" s="160">
        <f t="shared" ca="1" si="28"/>
        <v>0</v>
      </c>
      <c r="T130" s="160">
        <f t="shared" ca="1" si="28"/>
        <v>0</v>
      </c>
      <c r="U130" s="160">
        <f t="shared" ca="1" si="25"/>
        <v>0</v>
      </c>
      <c r="V130" s="163">
        <f t="shared" ca="1" si="18"/>
        <v>0</v>
      </c>
      <c r="W130" s="163">
        <f t="shared" ca="1" si="19"/>
        <v>0</v>
      </c>
      <c r="X130" s="163">
        <f t="shared" ca="1" si="20"/>
        <v>0</v>
      </c>
      <c r="Y130" s="163">
        <f t="shared" ca="1" si="21"/>
        <v>0</v>
      </c>
    </row>
    <row r="131" spans="12:25" ht="14.4">
      <c r="L131" s="464"/>
      <c r="M131" s="129" t="str">
        <f t="shared" si="22"/>
        <v>end</v>
      </c>
      <c r="N131" s="161">
        <f t="shared" si="16"/>
        <v>2</v>
      </c>
      <c r="O131" s="160">
        <f t="shared" ca="1" si="23"/>
        <v>0</v>
      </c>
      <c r="P131" s="160">
        <f t="shared" ca="1" si="27"/>
        <v>0</v>
      </c>
      <c r="Q131" s="160">
        <f t="shared" ca="1" si="28"/>
        <v>0</v>
      </c>
      <c r="R131" s="160">
        <f t="shared" ca="1" si="28"/>
        <v>0</v>
      </c>
      <c r="S131" s="160">
        <f t="shared" ca="1" si="28"/>
        <v>0</v>
      </c>
      <c r="T131" s="160">
        <f t="shared" ca="1" si="28"/>
        <v>0</v>
      </c>
      <c r="U131" s="160">
        <f t="shared" ca="1" si="25"/>
        <v>0</v>
      </c>
      <c r="V131" s="163">
        <f t="shared" ca="1" si="18"/>
        <v>0</v>
      </c>
      <c r="W131" s="163">
        <f t="shared" ca="1" si="19"/>
        <v>0</v>
      </c>
      <c r="X131" s="163">
        <f t="shared" ca="1" si="20"/>
        <v>0</v>
      </c>
      <c r="Y131" s="163">
        <f t="shared" ca="1" si="21"/>
        <v>0</v>
      </c>
    </row>
    <row r="132" spans="12:25" ht="14.4">
      <c r="L132" s="464"/>
      <c r="M132" s="129" t="str">
        <f t="shared" si="22"/>
        <v>end</v>
      </c>
      <c r="N132" s="161">
        <f t="shared" si="16"/>
        <v>2</v>
      </c>
      <c r="O132" s="160">
        <f t="shared" ca="1" si="23"/>
        <v>0</v>
      </c>
      <c r="P132" s="160">
        <f t="shared" ca="1" si="27"/>
        <v>0</v>
      </c>
      <c r="Q132" s="160">
        <f t="shared" ca="1" si="28"/>
        <v>0</v>
      </c>
      <c r="R132" s="160">
        <f t="shared" ca="1" si="28"/>
        <v>0</v>
      </c>
      <c r="S132" s="160">
        <f t="shared" ca="1" si="28"/>
        <v>0</v>
      </c>
      <c r="T132" s="160">
        <f t="shared" ca="1" si="28"/>
        <v>0</v>
      </c>
      <c r="U132" s="160">
        <f t="shared" ca="1" si="25"/>
        <v>0</v>
      </c>
      <c r="V132" s="163">
        <f t="shared" ca="1" si="18"/>
        <v>0</v>
      </c>
      <c r="W132" s="163">
        <f t="shared" ca="1" si="19"/>
        <v>0</v>
      </c>
      <c r="X132" s="163">
        <f t="shared" ca="1" si="20"/>
        <v>0</v>
      </c>
      <c r="Y132" s="163">
        <f t="shared" ca="1" si="21"/>
        <v>0</v>
      </c>
    </row>
    <row r="133" spans="12:25" ht="14.4">
      <c r="L133" s="464"/>
      <c r="M133" s="129" t="str">
        <f t="shared" si="22"/>
        <v>end</v>
      </c>
      <c r="N133" s="161">
        <f t="shared" si="16"/>
        <v>2</v>
      </c>
      <c r="O133" s="160">
        <f t="shared" ca="1" si="23"/>
        <v>0</v>
      </c>
      <c r="P133" s="160">
        <f t="shared" ca="1" si="27"/>
        <v>0</v>
      </c>
      <c r="Q133" s="160">
        <f t="shared" ca="1" si="28"/>
        <v>0</v>
      </c>
      <c r="R133" s="160">
        <f t="shared" ca="1" si="28"/>
        <v>0</v>
      </c>
      <c r="S133" s="160">
        <f t="shared" ca="1" si="28"/>
        <v>0</v>
      </c>
      <c r="T133" s="160">
        <f t="shared" ca="1" si="28"/>
        <v>0</v>
      </c>
      <c r="U133" s="160">
        <f t="shared" ca="1" si="25"/>
        <v>0</v>
      </c>
      <c r="V133" s="163">
        <f t="shared" ca="1" si="18"/>
        <v>0</v>
      </c>
      <c r="W133" s="163">
        <f t="shared" ca="1" si="19"/>
        <v>0</v>
      </c>
      <c r="X133" s="163">
        <f t="shared" ca="1" si="20"/>
        <v>0</v>
      </c>
      <c r="Y133" s="163">
        <f t="shared" ca="1" si="21"/>
        <v>0</v>
      </c>
    </row>
    <row r="134" spans="12:25" ht="14.4">
      <c r="L134" s="464"/>
      <c r="M134" s="129" t="str">
        <f t="shared" si="22"/>
        <v>end</v>
      </c>
      <c r="N134" s="161">
        <f t="shared" si="16"/>
        <v>2</v>
      </c>
      <c r="O134" s="160">
        <f t="shared" ca="1" si="23"/>
        <v>0</v>
      </c>
      <c r="P134" s="160">
        <f t="shared" ca="1" si="27"/>
        <v>0</v>
      </c>
      <c r="Q134" s="160">
        <f t="shared" ca="1" si="28"/>
        <v>0</v>
      </c>
      <c r="R134" s="160">
        <f t="shared" ca="1" si="28"/>
        <v>0</v>
      </c>
      <c r="S134" s="160">
        <f t="shared" ca="1" si="28"/>
        <v>0</v>
      </c>
      <c r="T134" s="160">
        <f t="shared" ca="1" si="28"/>
        <v>0</v>
      </c>
      <c r="U134" s="160">
        <f t="shared" ca="1" si="25"/>
        <v>0</v>
      </c>
      <c r="V134" s="163">
        <f t="shared" ca="1" si="18"/>
        <v>0</v>
      </c>
      <c r="W134" s="163">
        <f t="shared" ca="1" si="19"/>
        <v>0</v>
      </c>
      <c r="X134" s="163">
        <f t="shared" ca="1" si="20"/>
        <v>0</v>
      </c>
      <c r="Y134" s="163">
        <f t="shared" ca="1" si="21"/>
        <v>0</v>
      </c>
    </row>
    <row r="135" spans="12:25" ht="14.4">
      <c r="L135" s="464"/>
      <c r="M135" s="129" t="str">
        <f t="shared" si="22"/>
        <v>end</v>
      </c>
      <c r="N135" s="161">
        <f t="shared" si="16"/>
        <v>2</v>
      </c>
      <c r="O135" s="160">
        <f t="shared" ca="1" si="23"/>
        <v>0</v>
      </c>
      <c r="P135" s="160">
        <f t="shared" ca="1" si="27"/>
        <v>0</v>
      </c>
      <c r="Q135" s="160">
        <f t="shared" ca="1" si="28"/>
        <v>0</v>
      </c>
      <c r="R135" s="160">
        <f t="shared" ca="1" si="28"/>
        <v>0</v>
      </c>
      <c r="S135" s="160">
        <f t="shared" ca="1" si="28"/>
        <v>0</v>
      </c>
      <c r="T135" s="160">
        <f t="shared" ca="1" si="28"/>
        <v>0</v>
      </c>
      <c r="U135" s="160">
        <f t="shared" ca="1" si="25"/>
        <v>0</v>
      </c>
      <c r="V135" s="163">
        <f t="shared" ca="1" si="18"/>
        <v>0</v>
      </c>
      <c r="W135" s="163">
        <f t="shared" ca="1" si="19"/>
        <v>0</v>
      </c>
      <c r="X135" s="163">
        <f t="shared" ca="1" si="20"/>
        <v>0</v>
      </c>
      <c r="Y135" s="163">
        <f t="shared" ca="1" si="21"/>
        <v>0</v>
      </c>
    </row>
    <row r="136" spans="12:25" ht="14.4">
      <c r="L136" s="464"/>
      <c r="M136" s="129" t="str">
        <f t="shared" si="22"/>
        <v>end</v>
      </c>
      <c r="N136" s="161">
        <f t="shared" si="16"/>
        <v>2</v>
      </c>
      <c r="O136" s="160">
        <f t="shared" ca="1" si="23"/>
        <v>0</v>
      </c>
      <c r="P136" s="160">
        <f t="shared" ca="1" si="27"/>
        <v>0</v>
      </c>
      <c r="Q136" s="160">
        <f t="shared" ca="1" si="28"/>
        <v>0</v>
      </c>
      <c r="R136" s="160">
        <f t="shared" ca="1" si="28"/>
        <v>0</v>
      </c>
      <c r="S136" s="160">
        <f t="shared" ca="1" si="28"/>
        <v>0</v>
      </c>
      <c r="T136" s="160">
        <f t="shared" ca="1" si="28"/>
        <v>0</v>
      </c>
      <c r="U136" s="160">
        <f t="shared" ca="1" si="25"/>
        <v>0</v>
      </c>
      <c r="V136" s="163">
        <f t="shared" ca="1" si="18"/>
        <v>0</v>
      </c>
      <c r="W136" s="163">
        <f t="shared" ca="1" si="19"/>
        <v>0</v>
      </c>
      <c r="X136" s="163">
        <f t="shared" ca="1" si="20"/>
        <v>0</v>
      </c>
      <c r="Y136" s="163">
        <f t="shared" ca="1" si="21"/>
        <v>0</v>
      </c>
    </row>
    <row r="137" spans="12:25" ht="14.4">
      <c r="L137" s="464"/>
      <c r="M137" s="129" t="str">
        <f t="shared" si="22"/>
        <v>end</v>
      </c>
      <c r="N137" s="161">
        <f t="shared" si="16"/>
        <v>2</v>
      </c>
      <c r="O137" s="160">
        <f t="shared" ca="1" si="23"/>
        <v>0</v>
      </c>
      <c r="P137" s="160">
        <f t="shared" ca="1" si="27"/>
        <v>0</v>
      </c>
      <c r="Q137" s="160">
        <f t="shared" ca="1" si="28"/>
        <v>0</v>
      </c>
      <c r="R137" s="160">
        <f t="shared" ca="1" si="28"/>
        <v>0</v>
      </c>
      <c r="S137" s="160">
        <f t="shared" ca="1" si="28"/>
        <v>0</v>
      </c>
      <c r="T137" s="160">
        <f t="shared" ca="1" si="28"/>
        <v>0</v>
      </c>
      <c r="U137" s="160">
        <f t="shared" ca="1" si="25"/>
        <v>0</v>
      </c>
      <c r="V137" s="163">
        <f t="shared" ca="1" si="18"/>
        <v>0</v>
      </c>
      <c r="W137" s="163">
        <f t="shared" ca="1" si="19"/>
        <v>0</v>
      </c>
      <c r="X137" s="163">
        <f t="shared" ca="1" si="20"/>
        <v>0</v>
      </c>
      <c r="Y137" s="163">
        <f t="shared" ca="1" si="21"/>
        <v>0</v>
      </c>
    </row>
    <row r="138" spans="12:25" ht="14.4">
      <c r="L138" s="464"/>
      <c r="M138" s="129" t="str">
        <f t="shared" si="22"/>
        <v>end</v>
      </c>
      <c r="N138" s="161">
        <f t="shared" si="16"/>
        <v>2</v>
      </c>
      <c r="O138" s="160">
        <f t="shared" ca="1" si="23"/>
        <v>0</v>
      </c>
      <c r="P138" s="160">
        <f t="shared" ca="1" si="27"/>
        <v>0</v>
      </c>
      <c r="Q138" s="160">
        <f t="shared" ca="1" si="28"/>
        <v>0</v>
      </c>
      <c r="R138" s="160">
        <f t="shared" ca="1" si="28"/>
        <v>0</v>
      </c>
      <c r="S138" s="160">
        <f t="shared" ca="1" si="28"/>
        <v>0</v>
      </c>
      <c r="T138" s="160">
        <f t="shared" ca="1" si="28"/>
        <v>0</v>
      </c>
      <c r="U138" s="160">
        <f t="shared" ca="1" si="25"/>
        <v>0</v>
      </c>
      <c r="V138" s="163">
        <f t="shared" ca="1" si="18"/>
        <v>0</v>
      </c>
      <c r="W138" s="163">
        <f t="shared" ca="1" si="19"/>
        <v>0</v>
      </c>
      <c r="X138" s="163">
        <f t="shared" ca="1" si="20"/>
        <v>0</v>
      </c>
      <c r="Y138" s="163">
        <f t="shared" ca="1" si="21"/>
        <v>0</v>
      </c>
    </row>
    <row r="139" spans="12:25" ht="14.4">
      <c r="L139" s="464"/>
      <c r="M139" s="129" t="str">
        <f t="shared" si="22"/>
        <v>end</v>
      </c>
      <c r="N139" s="161">
        <f t="shared" si="16"/>
        <v>2</v>
      </c>
      <c r="O139" s="160">
        <f t="shared" ca="1" si="23"/>
        <v>0</v>
      </c>
      <c r="P139" s="160">
        <f t="shared" ca="1" si="27"/>
        <v>0</v>
      </c>
      <c r="Q139" s="160">
        <f t="shared" ca="1" si="28"/>
        <v>0</v>
      </c>
      <c r="R139" s="160">
        <f t="shared" ca="1" si="28"/>
        <v>0</v>
      </c>
      <c r="S139" s="160">
        <f t="shared" ca="1" si="28"/>
        <v>0</v>
      </c>
      <c r="T139" s="160">
        <f t="shared" ca="1" si="28"/>
        <v>0</v>
      </c>
      <c r="U139" s="160">
        <f t="shared" ca="1" si="25"/>
        <v>0</v>
      </c>
      <c r="V139" s="163">
        <f t="shared" ca="1" si="18"/>
        <v>0</v>
      </c>
      <c r="W139" s="163">
        <f t="shared" ca="1" si="19"/>
        <v>0</v>
      </c>
      <c r="X139" s="163">
        <f t="shared" ca="1" si="20"/>
        <v>0</v>
      </c>
      <c r="Y139" s="163">
        <f t="shared" ca="1" si="21"/>
        <v>0</v>
      </c>
    </row>
    <row r="140" spans="12:25" ht="14.4">
      <c r="L140" s="464"/>
      <c r="M140" s="129" t="str">
        <f t="shared" si="22"/>
        <v>end</v>
      </c>
      <c r="N140" s="161">
        <f t="shared" si="16"/>
        <v>2</v>
      </c>
      <c r="O140" s="160">
        <f t="shared" ca="1" si="23"/>
        <v>0</v>
      </c>
      <c r="P140" s="160">
        <f t="shared" ca="1" si="27"/>
        <v>0</v>
      </c>
      <c r="Q140" s="160">
        <f t="shared" ca="1" si="28"/>
        <v>0</v>
      </c>
      <c r="R140" s="160">
        <f t="shared" ca="1" si="28"/>
        <v>0</v>
      </c>
      <c r="S140" s="160">
        <f t="shared" ca="1" si="28"/>
        <v>0</v>
      </c>
      <c r="T140" s="160">
        <f t="shared" ca="1" si="28"/>
        <v>0</v>
      </c>
      <c r="U140" s="160">
        <f t="shared" ca="1" si="25"/>
        <v>0</v>
      </c>
      <c r="V140" s="163">
        <f t="shared" ca="1" si="18"/>
        <v>0</v>
      </c>
      <c r="W140" s="163">
        <f t="shared" ca="1" si="19"/>
        <v>0</v>
      </c>
      <c r="X140" s="163">
        <f t="shared" ca="1" si="20"/>
        <v>0</v>
      </c>
      <c r="Y140" s="163">
        <f t="shared" ca="1" si="21"/>
        <v>0</v>
      </c>
    </row>
    <row r="141" spans="12:25" ht="14.4">
      <c r="L141" s="464"/>
      <c r="M141" s="129" t="str">
        <f t="shared" si="22"/>
        <v>end</v>
      </c>
      <c r="N141" s="161">
        <f t="shared" si="16"/>
        <v>2</v>
      </c>
      <c r="O141" s="160">
        <f t="shared" ca="1" si="23"/>
        <v>0</v>
      </c>
      <c r="P141" s="160">
        <f t="shared" ca="1" si="27"/>
        <v>0</v>
      </c>
      <c r="Q141" s="160">
        <f t="shared" ca="1" si="28"/>
        <v>0</v>
      </c>
      <c r="R141" s="160">
        <f t="shared" ca="1" si="28"/>
        <v>0</v>
      </c>
      <c r="S141" s="160">
        <f t="shared" ca="1" si="28"/>
        <v>0</v>
      </c>
      <c r="T141" s="160">
        <f t="shared" ca="1" si="28"/>
        <v>0</v>
      </c>
      <c r="U141" s="160">
        <f t="shared" ca="1" si="25"/>
        <v>0</v>
      </c>
      <c r="V141" s="163">
        <f t="shared" ca="1" si="18"/>
        <v>0</v>
      </c>
      <c r="W141" s="163">
        <f t="shared" ca="1" si="19"/>
        <v>0</v>
      </c>
      <c r="X141" s="163">
        <f t="shared" ca="1" si="20"/>
        <v>0</v>
      </c>
      <c r="Y141" s="163">
        <f t="shared" ca="1" si="21"/>
        <v>0</v>
      </c>
    </row>
    <row r="142" spans="12:25" ht="14.4">
      <c r="L142" s="464"/>
      <c r="M142" s="129" t="str">
        <f t="shared" si="22"/>
        <v>end</v>
      </c>
      <c r="N142" s="161">
        <f t="shared" si="16"/>
        <v>2</v>
      </c>
      <c r="O142" s="160">
        <f t="shared" ca="1" si="23"/>
        <v>0</v>
      </c>
      <c r="P142" s="160">
        <f t="shared" ca="1" si="27"/>
        <v>0</v>
      </c>
      <c r="Q142" s="160">
        <f t="shared" ca="1" si="28"/>
        <v>0</v>
      </c>
      <c r="R142" s="160">
        <f t="shared" ca="1" si="28"/>
        <v>0</v>
      </c>
      <c r="S142" s="160">
        <f t="shared" ca="1" si="28"/>
        <v>0</v>
      </c>
      <c r="T142" s="160">
        <f t="shared" ca="1" si="28"/>
        <v>0</v>
      </c>
      <c r="U142" s="160">
        <f t="shared" ca="1" si="25"/>
        <v>0</v>
      </c>
      <c r="V142" s="163">
        <f t="shared" ca="1" si="18"/>
        <v>0</v>
      </c>
      <c r="W142" s="163">
        <f t="shared" ca="1" si="19"/>
        <v>0</v>
      </c>
      <c r="X142" s="163">
        <f t="shared" ca="1" si="20"/>
        <v>0</v>
      </c>
      <c r="Y142" s="163">
        <f t="shared" ca="1" si="21"/>
        <v>0</v>
      </c>
    </row>
    <row r="143" spans="12:25" ht="14.4">
      <c r="L143" s="464"/>
      <c r="M143" s="129" t="str">
        <f t="shared" si="22"/>
        <v>end</v>
      </c>
      <c r="N143" s="161">
        <f t="shared" si="16"/>
        <v>2</v>
      </c>
      <c r="O143" s="160">
        <f t="shared" ca="1" si="23"/>
        <v>0</v>
      </c>
      <c r="P143" s="160">
        <f t="shared" ca="1" si="27"/>
        <v>0</v>
      </c>
      <c r="Q143" s="160">
        <f t="shared" ca="1" si="28"/>
        <v>0</v>
      </c>
      <c r="R143" s="160">
        <f t="shared" ca="1" si="28"/>
        <v>0</v>
      </c>
      <c r="S143" s="160">
        <f t="shared" ca="1" si="28"/>
        <v>0</v>
      </c>
      <c r="T143" s="160">
        <f t="shared" ca="1" si="28"/>
        <v>0</v>
      </c>
      <c r="U143" s="160">
        <f t="shared" ca="1" si="25"/>
        <v>0</v>
      </c>
      <c r="V143" s="163">
        <f t="shared" ca="1" si="18"/>
        <v>0</v>
      </c>
      <c r="W143" s="163">
        <f t="shared" ca="1" si="19"/>
        <v>0</v>
      </c>
      <c r="X143" s="163">
        <f t="shared" ca="1" si="20"/>
        <v>0</v>
      </c>
      <c r="Y143" s="163">
        <f t="shared" ca="1" si="21"/>
        <v>0</v>
      </c>
    </row>
    <row r="144" spans="12:25" ht="14.4">
      <c r="L144" s="464"/>
      <c r="M144" s="129" t="str">
        <f t="shared" si="22"/>
        <v>end</v>
      </c>
      <c r="N144" s="161">
        <f t="shared" si="16"/>
        <v>2</v>
      </c>
      <c r="O144" s="160">
        <f t="shared" ca="1" si="23"/>
        <v>0</v>
      </c>
      <c r="P144" s="160">
        <f t="shared" ca="1" si="27"/>
        <v>0</v>
      </c>
      <c r="Q144" s="160">
        <f t="shared" ca="1" si="28"/>
        <v>0</v>
      </c>
      <c r="R144" s="160">
        <f t="shared" ca="1" si="28"/>
        <v>0</v>
      </c>
      <c r="S144" s="160">
        <f t="shared" ca="1" si="28"/>
        <v>0</v>
      </c>
      <c r="T144" s="160">
        <f t="shared" ca="1" si="28"/>
        <v>0</v>
      </c>
      <c r="U144" s="160">
        <f t="shared" ca="1" si="25"/>
        <v>0</v>
      </c>
      <c r="V144" s="163">
        <f t="shared" ca="1" si="18"/>
        <v>0</v>
      </c>
      <c r="W144" s="163">
        <f t="shared" ca="1" si="19"/>
        <v>0</v>
      </c>
      <c r="X144" s="163">
        <f t="shared" ca="1" si="20"/>
        <v>0</v>
      </c>
      <c r="Y144" s="163">
        <f t="shared" ca="1" si="21"/>
        <v>0</v>
      </c>
    </row>
    <row r="145" spans="12:25" ht="14.4">
      <c r="L145" s="464"/>
      <c r="M145" s="129" t="str">
        <f t="shared" si="22"/>
        <v>end</v>
      </c>
      <c r="N145" s="161">
        <f t="shared" si="16"/>
        <v>2</v>
      </c>
      <c r="O145" s="160">
        <f t="shared" ca="1" si="23"/>
        <v>0</v>
      </c>
      <c r="P145" s="160">
        <f t="shared" ca="1" si="27"/>
        <v>0</v>
      </c>
      <c r="Q145" s="160">
        <f t="shared" ca="1" si="28"/>
        <v>0</v>
      </c>
      <c r="R145" s="160">
        <f t="shared" ca="1" si="28"/>
        <v>0</v>
      </c>
      <c r="S145" s="160">
        <f t="shared" ca="1" si="28"/>
        <v>0</v>
      </c>
      <c r="T145" s="160">
        <f t="shared" ca="1" si="28"/>
        <v>0</v>
      </c>
      <c r="U145" s="160">
        <f t="shared" ca="1" si="25"/>
        <v>0</v>
      </c>
      <c r="V145" s="163">
        <f t="shared" ca="1" si="18"/>
        <v>0</v>
      </c>
      <c r="W145" s="163">
        <f t="shared" ca="1" si="19"/>
        <v>0</v>
      </c>
      <c r="X145" s="163">
        <f t="shared" ca="1" si="20"/>
        <v>0</v>
      </c>
      <c r="Y145" s="163">
        <f t="shared" ca="1" si="21"/>
        <v>0</v>
      </c>
    </row>
    <row r="146" spans="12:25" ht="14.4">
      <c r="L146" s="464"/>
      <c r="M146" s="129" t="str">
        <f t="shared" si="22"/>
        <v>end</v>
      </c>
      <c r="N146" s="161">
        <f t="shared" ref="N146:N209" si="29">N145</f>
        <v>2</v>
      </c>
      <c r="O146" s="160">
        <f t="shared" ca="1" si="23"/>
        <v>0</v>
      </c>
      <c r="P146" s="160">
        <f t="shared" ca="1" si="27"/>
        <v>0</v>
      </c>
      <c r="Q146" s="160">
        <f t="shared" ca="1" si="28"/>
        <v>0</v>
      </c>
      <c r="R146" s="160">
        <f t="shared" ca="1" si="28"/>
        <v>0</v>
      </c>
      <c r="S146" s="160">
        <f t="shared" ca="1" si="28"/>
        <v>0</v>
      </c>
      <c r="T146" s="160">
        <f t="shared" ca="1" si="28"/>
        <v>0</v>
      </c>
      <c r="U146" s="160">
        <f t="shared" ca="1" si="25"/>
        <v>0</v>
      </c>
      <c r="V146" s="163">
        <f t="shared" ca="1" si="18"/>
        <v>0</v>
      </c>
      <c r="W146" s="163">
        <f t="shared" ca="1" si="19"/>
        <v>0</v>
      </c>
      <c r="X146" s="163">
        <f t="shared" ca="1" si="20"/>
        <v>0</v>
      </c>
      <c r="Y146" s="163">
        <f t="shared" ca="1" si="21"/>
        <v>0</v>
      </c>
    </row>
    <row r="147" spans="12:25" ht="14.4">
      <c r="L147" s="464"/>
      <c r="M147" s="129" t="str">
        <f t="shared" si="22"/>
        <v>end</v>
      </c>
      <c r="N147" s="161">
        <f t="shared" si="29"/>
        <v>2</v>
      </c>
      <c r="O147" s="160">
        <f t="shared" ca="1" si="23"/>
        <v>0</v>
      </c>
      <c r="P147" s="160">
        <f t="shared" ca="1" si="27"/>
        <v>0</v>
      </c>
      <c r="Q147" s="160">
        <f t="shared" ca="1" si="28"/>
        <v>0</v>
      </c>
      <c r="R147" s="160">
        <f t="shared" ca="1" si="28"/>
        <v>0</v>
      </c>
      <c r="S147" s="160">
        <f t="shared" ca="1" si="28"/>
        <v>0</v>
      </c>
      <c r="T147" s="160">
        <f t="shared" ca="1" si="28"/>
        <v>0</v>
      </c>
      <c r="U147" s="160">
        <f t="shared" ca="1" si="25"/>
        <v>0</v>
      </c>
      <c r="V147" s="163">
        <f t="shared" ca="1" si="18"/>
        <v>0</v>
      </c>
      <c r="W147" s="163">
        <f t="shared" ca="1" si="19"/>
        <v>0</v>
      </c>
      <c r="X147" s="163">
        <f t="shared" ca="1" si="20"/>
        <v>0</v>
      </c>
      <c r="Y147" s="163">
        <f t="shared" ca="1" si="21"/>
        <v>0</v>
      </c>
    </row>
    <row r="148" spans="12:25" ht="14.4">
      <c r="L148" s="464"/>
      <c r="M148" s="129" t="str">
        <f t="shared" si="22"/>
        <v>end</v>
      </c>
      <c r="N148" s="161">
        <f t="shared" si="29"/>
        <v>2</v>
      </c>
      <c r="O148" s="160">
        <f t="shared" ca="1" si="23"/>
        <v>0</v>
      </c>
      <c r="P148" s="160">
        <f t="shared" ca="1" si="27"/>
        <v>0</v>
      </c>
      <c r="Q148" s="160">
        <f t="shared" ca="1" si="28"/>
        <v>0</v>
      </c>
      <c r="R148" s="160">
        <f t="shared" ca="1" si="28"/>
        <v>0</v>
      </c>
      <c r="S148" s="160">
        <f t="shared" ca="1" si="28"/>
        <v>0</v>
      </c>
      <c r="T148" s="160">
        <f t="shared" ca="1" si="28"/>
        <v>0</v>
      </c>
      <c r="U148" s="160">
        <f t="shared" ca="1" si="25"/>
        <v>0</v>
      </c>
      <c r="V148" s="163">
        <f t="shared" ca="1" si="18"/>
        <v>0</v>
      </c>
      <c r="W148" s="163">
        <f t="shared" ca="1" si="19"/>
        <v>0</v>
      </c>
      <c r="X148" s="163">
        <f t="shared" ca="1" si="20"/>
        <v>0</v>
      </c>
      <c r="Y148" s="163">
        <f t="shared" ca="1" si="21"/>
        <v>0</v>
      </c>
    </row>
    <row r="149" spans="12:25" ht="14.4">
      <c r="L149" s="464"/>
      <c r="M149" s="129" t="str">
        <f t="shared" si="22"/>
        <v>end</v>
      </c>
      <c r="N149" s="161">
        <f t="shared" si="29"/>
        <v>2</v>
      </c>
      <c r="O149" s="160">
        <f t="shared" ca="1" si="23"/>
        <v>0</v>
      </c>
      <c r="P149" s="160">
        <f t="shared" ca="1" si="27"/>
        <v>0</v>
      </c>
      <c r="Q149" s="160">
        <f t="shared" ca="1" si="28"/>
        <v>0</v>
      </c>
      <c r="R149" s="160">
        <f t="shared" ca="1" si="28"/>
        <v>0</v>
      </c>
      <c r="S149" s="160">
        <f t="shared" ca="1" si="28"/>
        <v>0</v>
      </c>
      <c r="T149" s="160">
        <f t="shared" ca="1" si="28"/>
        <v>0</v>
      </c>
      <c r="U149" s="160">
        <f t="shared" ca="1" si="25"/>
        <v>0</v>
      </c>
      <c r="V149" s="163">
        <f t="shared" ca="1" si="18"/>
        <v>0</v>
      </c>
      <c r="W149" s="163">
        <f t="shared" ca="1" si="19"/>
        <v>0</v>
      </c>
      <c r="X149" s="163">
        <f t="shared" ca="1" si="20"/>
        <v>0</v>
      </c>
      <c r="Y149" s="163">
        <f t="shared" ca="1" si="21"/>
        <v>0</v>
      </c>
    </row>
    <row r="150" spans="12:25" ht="14.4">
      <c r="L150" s="464"/>
      <c r="M150" s="129" t="str">
        <f t="shared" si="22"/>
        <v>end</v>
      </c>
      <c r="N150" s="161">
        <f t="shared" si="29"/>
        <v>2</v>
      </c>
      <c r="O150" s="160">
        <f t="shared" ca="1" si="23"/>
        <v>0</v>
      </c>
      <c r="P150" s="160">
        <f t="shared" ca="1" si="27"/>
        <v>0</v>
      </c>
      <c r="Q150" s="160">
        <f t="shared" ca="1" si="28"/>
        <v>0</v>
      </c>
      <c r="R150" s="160">
        <f t="shared" ca="1" si="28"/>
        <v>0</v>
      </c>
      <c r="S150" s="160">
        <f t="shared" ca="1" si="28"/>
        <v>0</v>
      </c>
      <c r="T150" s="160">
        <f t="shared" ca="1" si="28"/>
        <v>0</v>
      </c>
      <c r="U150" s="160">
        <f t="shared" ca="1" si="25"/>
        <v>0</v>
      </c>
      <c r="V150" s="163">
        <f t="shared" ca="1" si="18"/>
        <v>0</v>
      </c>
      <c r="W150" s="163">
        <f t="shared" ca="1" si="19"/>
        <v>0</v>
      </c>
      <c r="X150" s="163">
        <f t="shared" ca="1" si="20"/>
        <v>0</v>
      </c>
      <c r="Y150" s="163">
        <f t="shared" ca="1" si="21"/>
        <v>0</v>
      </c>
    </row>
    <row r="151" spans="12:25" ht="14.4">
      <c r="L151" s="464"/>
      <c r="M151" s="129" t="str">
        <f t="shared" si="22"/>
        <v>end</v>
      </c>
      <c r="N151" s="161">
        <f t="shared" si="29"/>
        <v>2</v>
      </c>
      <c r="O151" s="160">
        <f t="shared" ca="1" si="23"/>
        <v>0</v>
      </c>
      <c r="P151" s="160">
        <f t="shared" ca="1" si="27"/>
        <v>0</v>
      </c>
      <c r="Q151" s="160">
        <f t="shared" ca="1" si="28"/>
        <v>0</v>
      </c>
      <c r="R151" s="160">
        <f t="shared" ca="1" si="28"/>
        <v>0</v>
      </c>
      <c r="S151" s="160">
        <f t="shared" ca="1" si="28"/>
        <v>0</v>
      </c>
      <c r="T151" s="160">
        <f t="shared" ca="1" si="28"/>
        <v>0</v>
      </c>
      <c r="U151" s="160">
        <f t="shared" ca="1" si="25"/>
        <v>0</v>
      </c>
      <c r="V151" s="163">
        <f t="shared" ca="1" si="18"/>
        <v>0</v>
      </c>
      <c r="W151" s="163">
        <f t="shared" ca="1" si="19"/>
        <v>0</v>
      </c>
      <c r="X151" s="163">
        <f t="shared" ca="1" si="20"/>
        <v>0</v>
      </c>
      <c r="Y151" s="163">
        <f t="shared" ca="1" si="21"/>
        <v>0</v>
      </c>
    </row>
    <row r="152" spans="12:25" ht="14.4">
      <c r="L152" s="464"/>
      <c r="M152" s="129" t="str">
        <f t="shared" si="22"/>
        <v>end</v>
      </c>
      <c r="N152" s="161">
        <f t="shared" si="29"/>
        <v>2</v>
      </c>
      <c r="O152" s="160">
        <f t="shared" ca="1" si="23"/>
        <v>0</v>
      </c>
      <c r="P152" s="160">
        <f t="shared" ca="1" si="27"/>
        <v>0</v>
      </c>
      <c r="Q152" s="160">
        <f t="shared" ca="1" si="28"/>
        <v>0</v>
      </c>
      <c r="R152" s="160">
        <f t="shared" ca="1" si="28"/>
        <v>0</v>
      </c>
      <c r="S152" s="160">
        <f t="shared" ca="1" si="28"/>
        <v>0</v>
      </c>
      <c r="T152" s="160">
        <f t="shared" ca="1" si="28"/>
        <v>0</v>
      </c>
      <c r="U152" s="160">
        <f t="shared" ca="1" si="25"/>
        <v>0</v>
      </c>
      <c r="V152" s="163">
        <f t="shared" ca="1" si="18"/>
        <v>0</v>
      </c>
      <c r="W152" s="163">
        <f t="shared" ca="1" si="19"/>
        <v>0</v>
      </c>
      <c r="X152" s="163">
        <f t="shared" ca="1" si="20"/>
        <v>0</v>
      </c>
      <c r="Y152" s="163">
        <f t="shared" ca="1" si="21"/>
        <v>0</v>
      </c>
    </row>
    <row r="153" spans="12:25" ht="14.4">
      <c r="L153" s="464"/>
      <c r="M153" s="129" t="str">
        <f t="shared" si="22"/>
        <v>end</v>
      </c>
      <c r="N153" s="161">
        <f t="shared" si="29"/>
        <v>2</v>
      </c>
      <c r="O153" s="160">
        <f t="shared" ca="1" si="23"/>
        <v>0</v>
      </c>
      <c r="P153" s="160">
        <f t="shared" ca="1" si="27"/>
        <v>0</v>
      </c>
      <c r="Q153" s="160">
        <f t="shared" ca="1" si="28"/>
        <v>0</v>
      </c>
      <c r="R153" s="160">
        <f t="shared" ca="1" si="28"/>
        <v>0</v>
      </c>
      <c r="S153" s="160">
        <f t="shared" ca="1" si="28"/>
        <v>0</v>
      </c>
      <c r="T153" s="160">
        <f t="shared" ca="1" si="28"/>
        <v>0</v>
      </c>
      <c r="U153" s="160">
        <f t="shared" ca="1" si="25"/>
        <v>0</v>
      </c>
      <c r="V153" s="163">
        <f t="shared" ca="1" si="18"/>
        <v>0</v>
      </c>
      <c r="W153" s="163">
        <f t="shared" ca="1" si="19"/>
        <v>0</v>
      </c>
      <c r="X153" s="163">
        <f t="shared" ca="1" si="20"/>
        <v>0</v>
      </c>
      <c r="Y153" s="163">
        <f t="shared" ca="1" si="21"/>
        <v>0</v>
      </c>
    </row>
    <row r="154" spans="12:25" ht="14.4">
      <c r="L154" s="464"/>
      <c r="M154" s="129" t="str">
        <f t="shared" si="22"/>
        <v>end</v>
      </c>
      <c r="N154" s="161">
        <f t="shared" si="29"/>
        <v>2</v>
      </c>
      <c r="O154" s="160">
        <f t="shared" ca="1" si="23"/>
        <v>0</v>
      </c>
      <c r="P154" s="160">
        <f t="shared" ca="1" si="27"/>
        <v>0</v>
      </c>
      <c r="Q154" s="160">
        <f t="shared" ca="1" si="28"/>
        <v>0</v>
      </c>
      <c r="R154" s="160">
        <f t="shared" ca="1" si="28"/>
        <v>0</v>
      </c>
      <c r="S154" s="160">
        <f t="shared" ca="1" si="28"/>
        <v>0</v>
      </c>
      <c r="T154" s="160">
        <f t="shared" ca="1" si="28"/>
        <v>0</v>
      </c>
      <c r="U154" s="160">
        <f t="shared" ca="1" si="25"/>
        <v>0</v>
      </c>
      <c r="V154" s="163">
        <f t="shared" ca="1" si="18"/>
        <v>0</v>
      </c>
      <c r="W154" s="163">
        <f t="shared" ca="1" si="19"/>
        <v>0</v>
      </c>
      <c r="X154" s="163">
        <f t="shared" ca="1" si="20"/>
        <v>0</v>
      </c>
      <c r="Y154" s="163">
        <f t="shared" ca="1" si="21"/>
        <v>0</v>
      </c>
    </row>
    <row r="155" spans="12:25" ht="14.4">
      <c r="L155" s="464"/>
      <c r="M155" s="129" t="str">
        <f t="shared" si="22"/>
        <v>end</v>
      </c>
      <c r="N155" s="161">
        <f t="shared" si="29"/>
        <v>2</v>
      </c>
      <c r="O155" s="160">
        <f t="shared" ca="1" si="23"/>
        <v>0</v>
      </c>
      <c r="P155" s="160">
        <f t="shared" ca="1" si="27"/>
        <v>0</v>
      </c>
      <c r="Q155" s="160">
        <f t="shared" ca="1" si="28"/>
        <v>0</v>
      </c>
      <c r="R155" s="160">
        <f t="shared" ca="1" si="28"/>
        <v>0</v>
      </c>
      <c r="S155" s="160">
        <f t="shared" ca="1" si="28"/>
        <v>0</v>
      </c>
      <c r="T155" s="160">
        <f t="shared" ca="1" si="28"/>
        <v>0</v>
      </c>
      <c r="U155" s="160">
        <f t="shared" ca="1" si="25"/>
        <v>0</v>
      </c>
      <c r="V155" s="163">
        <f t="shared" ca="1" si="18"/>
        <v>0</v>
      </c>
      <c r="W155" s="163">
        <f t="shared" ca="1" si="19"/>
        <v>0</v>
      </c>
      <c r="X155" s="163">
        <f t="shared" ca="1" si="20"/>
        <v>0</v>
      </c>
      <c r="Y155" s="163">
        <f t="shared" ca="1" si="21"/>
        <v>0</v>
      </c>
    </row>
    <row r="156" spans="12:25" ht="14.4">
      <c r="L156" s="464"/>
      <c r="M156" s="129" t="str">
        <f t="shared" si="22"/>
        <v>end</v>
      </c>
      <c r="N156" s="161">
        <f t="shared" si="29"/>
        <v>2</v>
      </c>
      <c r="O156" s="160">
        <f t="shared" ca="1" si="23"/>
        <v>0</v>
      </c>
      <c r="P156" s="160">
        <f t="shared" ca="1" si="27"/>
        <v>0</v>
      </c>
      <c r="Q156" s="160">
        <f t="shared" ca="1" si="28"/>
        <v>0</v>
      </c>
      <c r="R156" s="160">
        <f t="shared" ca="1" si="28"/>
        <v>0</v>
      </c>
      <c r="S156" s="160">
        <f t="shared" ca="1" si="28"/>
        <v>0</v>
      </c>
      <c r="T156" s="160">
        <f t="shared" ca="1" si="28"/>
        <v>0</v>
      </c>
      <c r="U156" s="160">
        <f t="shared" ca="1" si="25"/>
        <v>0</v>
      </c>
      <c r="V156" s="163">
        <f t="shared" ca="1" si="18"/>
        <v>0</v>
      </c>
      <c r="W156" s="163">
        <f t="shared" ca="1" si="19"/>
        <v>0</v>
      </c>
      <c r="X156" s="163">
        <f t="shared" ca="1" si="20"/>
        <v>0</v>
      </c>
      <c r="Y156" s="163">
        <f t="shared" ca="1" si="21"/>
        <v>0</v>
      </c>
    </row>
    <row r="157" spans="12:25" ht="14.4">
      <c r="L157" s="464"/>
      <c r="M157" s="129" t="str">
        <f t="shared" si="22"/>
        <v>end</v>
      </c>
      <c r="N157" s="161">
        <f t="shared" si="29"/>
        <v>2</v>
      </c>
      <c r="O157" s="160">
        <f t="shared" ca="1" si="23"/>
        <v>0</v>
      </c>
      <c r="P157" s="160">
        <f t="shared" ca="1" si="27"/>
        <v>0</v>
      </c>
      <c r="Q157" s="160">
        <f t="shared" ca="1" si="28"/>
        <v>0</v>
      </c>
      <c r="R157" s="160">
        <f t="shared" ca="1" si="28"/>
        <v>0</v>
      </c>
      <c r="S157" s="160">
        <f t="shared" ca="1" si="28"/>
        <v>0</v>
      </c>
      <c r="T157" s="160">
        <f t="shared" ca="1" si="28"/>
        <v>0</v>
      </c>
      <c r="U157" s="160">
        <f t="shared" ca="1" si="25"/>
        <v>0</v>
      </c>
      <c r="V157" s="163">
        <f t="shared" ca="1" si="18"/>
        <v>0</v>
      </c>
      <c r="W157" s="163">
        <f t="shared" ca="1" si="19"/>
        <v>0</v>
      </c>
      <c r="X157" s="163">
        <f t="shared" ca="1" si="20"/>
        <v>0</v>
      </c>
      <c r="Y157" s="163">
        <f t="shared" ca="1" si="21"/>
        <v>0</v>
      </c>
    </row>
    <row r="158" spans="12:25" ht="14.4">
      <c r="L158" s="464"/>
      <c r="M158" s="129" t="str">
        <f t="shared" si="22"/>
        <v>end</v>
      </c>
      <c r="N158" s="161">
        <f t="shared" si="29"/>
        <v>2</v>
      </c>
      <c r="O158" s="160">
        <f t="shared" ca="1" si="23"/>
        <v>0</v>
      </c>
      <c r="P158" s="160">
        <f t="shared" ca="1" si="27"/>
        <v>0</v>
      </c>
      <c r="Q158" s="160">
        <f t="shared" ca="1" si="28"/>
        <v>0</v>
      </c>
      <c r="R158" s="160">
        <f t="shared" ca="1" si="28"/>
        <v>0</v>
      </c>
      <c r="S158" s="160">
        <f t="shared" ca="1" si="28"/>
        <v>0</v>
      </c>
      <c r="T158" s="160">
        <f t="shared" ca="1" si="28"/>
        <v>0</v>
      </c>
      <c r="U158" s="160">
        <f t="shared" ca="1" si="25"/>
        <v>0</v>
      </c>
      <c r="V158" s="163">
        <f t="shared" ca="1" si="18"/>
        <v>0</v>
      </c>
      <c r="W158" s="163">
        <f t="shared" ca="1" si="19"/>
        <v>0</v>
      </c>
      <c r="X158" s="163">
        <f t="shared" ca="1" si="20"/>
        <v>0</v>
      </c>
      <c r="Y158" s="163">
        <f t="shared" ca="1" si="21"/>
        <v>0</v>
      </c>
    </row>
    <row r="159" spans="12:25" ht="14.4">
      <c r="L159" s="464"/>
      <c r="M159" s="129" t="str">
        <f t="shared" si="22"/>
        <v>end</v>
      </c>
      <c r="N159" s="161">
        <f t="shared" si="29"/>
        <v>2</v>
      </c>
      <c r="O159" s="160">
        <f t="shared" ca="1" si="23"/>
        <v>0</v>
      </c>
      <c r="P159" s="160">
        <f t="shared" ca="1" si="27"/>
        <v>0</v>
      </c>
      <c r="Q159" s="160">
        <f t="shared" ca="1" si="28"/>
        <v>0</v>
      </c>
      <c r="R159" s="160">
        <f t="shared" ca="1" si="28"/>
        <v>0</v>
      </c>
      <c r="S159" s="160">
        <f t="shared" ca="1" si="28"/>
        <v>0</v>
      </c>
      <c r="T159" s="160">
        <f t="shared" ca="1" si="28"/>
        <v>0</v>
      </c>
      <c r="U159" s="160">
        <f t="shared" ca="1" si="25"/>
        <v>0</v>
      </c>
      <c r="V159" s="163">
        <f t="shared" ref="V159:V222" ca="1" si="30">IF(Q159=0,0,IF(S159=180,IF(R159=0,"Slab on Grade",IF(R159=1,"Exposed Floor",IF(R159=3,"Internal Floor",U159))),IF(S159&lt;45,IF(R159=3,"Internal Ceiling",IF(R159=1,"Roof",U159)))))</f>
        <v>0</v>
      </c>
      <c r="W159" s="163">
        <f t="shared" ref="W159:W222" ca="1" si="31">IF(ISNUMBER(SEARCH($W$29,U159))=TRUE,IF(ISNUMBER(SEARCH($W$27,U159))=TRUE,IF(R159=1,"eFrame",IF(R159=3,"iFrame")),IF(R159=1,"eWindow",IF(R159=3,"iWindow"))),U159)</f>
        <v>0</v>
      </c>
      <c r="X159" s="163">
        <f t="shared" ref="X159:X222" ca="1" si="32">IF(ISNUMBER(SEARCH($X$29,U159))=TRUE,IF(ISNUMBER(SEARCH($X$27,U159))=TRUE,IF(R159=1,"eFrameDoor",IF(R159=3,"iFrameDoor")),IF(R159=1,"eDoor",IF(R159=3,"iDoor"))),U159)</f>
        <v>0</v>
      </c>
      <c r="Y159" s="163">
        <f t="shared" ref="Y159:Y222" ca="1" si="33">IF(ISNUMBER(SEARCH($W$29,U159))=TRUE,"Substract",IF(ISNUMBER(SEARCH($X$29,U159))=TRUE, "Sunstract",IF(S159=90,IF(R159=1,"External Wall",IF(R159=3,"Internal Wall",IF(R159=0,"Below Grade Wall",U159))),V159)))</f>
        <v>0</v>
      </c>
    </row>
    <row r="160" spans="12:25" ht="14.4">
      <c r="L160" s="464"/>
      <c r="M160" s="129" t="str">
        <f t="shared" ref="M160:M223" si="34">IF(M159="end","end",IF(M159=$K$1,"end",M159+1))</f>
        <v>end</v>
      </c>
      <c r="N160" s="161">
        <f t="shared" si="29"/>
        <v>2</v>
      </c>
      <c r="O160" s="160">
        <f t="shared" ca="1" si="23"/>
        <v>0</v>
      </c>
      <c r="P160" s="160">
        <f t="shared" ca="1" si="27"/>
        <v>0</v>
      </c>
      <c r="Q160" s="160">
        <f t="shared" ca="1" si="28"/>
        <v>0</v>
      </c>
      <c r="R160" s="160">
        <f t="shared" ca="1" si="28"/>
        <v>0</v>
      </c>
      <c r="S160" s="160">
        <f t="shared" ca="1" si="28"/>
        <v>0</v>
      </c>
      <c r="T160" s="160">
        <f t="shared" ca="1" si="28"/>
        <v>0</v>
      </c>
      <c r="U160" s="160">
        <f t="shared" ca="1" si="25"/>
        <v>0</v>
      </c>
      <c r="V160" s="163">
        <f t="shared" ca="1" si="30"/>
        <v>0</v>
      </c>
      <c r="W160" s="163">
        <f t="shared" ca="1" si="31"/>
        <v>0</v>
      </c>
      <c r="X160" s="163">
        <f t="shared" ca="1" si="32"/>
        <v>0</v>
      </c>
      <c r="Y160" s="163">
        <f t="shared" ca="1" si="33"/>
        <v>0</v>
      </c>
    </row>
    <row r="161" spans="12:25" ht="14.4">
      <c r="L161" s="464"/>
      <c r="M161" s="129" t="str">
        <f t="shared" si="34"/>
        <v>end</v>
      </c>
      <c r="N161" s="161">
        <f t="shared" si="29"/>
        <v>2</v>
      </c>
      <c r="O161" s="160">
        <f t="shared" ca="1" si="23"/>
        <v>0</v>
      </c>
      <c r="P161" s="160">
        <f t="shared" ca="1" si="27"/>
        <v>0</v>
      </c>
      <c r="Q161" s="160">
        <f t="shared" ca="1" si="28"/>
        <v>0</v>
      </c>
      <c r="R161" s="160">
        <f t="shared" ca="1" si="28"/>
        <v>0</v>
      </c>
      <c r="S161" s="160">
        <f t="shared" ca="1" si="28"/>
        <v>0</v>
      </c>
      <c r="T161" s="160">
        <f t="shared" ca="1" si="28"/>
        <v>0</v>
      </c>
      <c r="U161" s="160">
        <f t="shared" ca="1" si="25"/>
        <v>0</v>
      </c>
      <c r="V161" s="163">
        <f t="shared" ca="1" si="30"/>
        <v>0</v>
      </c>
      <c r="W161" s="163">
        <f t="shared" ca="1" si="31"/>
        <v>0</v>
      </c>
      <c r="X161" s="163">
        <f t="shared" ca="1" si="32"/>
        <v>0</v>
      </c>
      <c r="Y161" s="163">
        <f t="shared" ca="1" si="33"/>
        <v>0</v>
      </c>
    </row>
    <row r="162" spans="12:25" ht="14.4">
      <c r="L162" s="464"/>
      <c r="M162" s="129" t="str">
        <f t="shared" si="34"/>
        <v>end</v>
      </c>
      <c r="N162" s="161">
        <f t="shared" si="29"/>
        <v>2</v>
      </c>
      <c r="O162" s="160">
        <f t="shared" ca="1" si="23"/>
        <v>0</v>
      </c>
      <c r="P162" s="160">
        <f t="shared" ca="1" si="27"/>
        <v>0</v>
      </c>
      <c r="Q162" s="160">
        <f t="shared" ca="1" si="28"/>
        <v>0</v>
      </c>
      <c r="R162" s="160">
        <f t="shared" ca="1" si="28"/>
        <v>0</v>
      </c>
      <c r="S162" s="160">
        <f t="shared" ca="1" si="28"/>
        <v>0</v>
      </c>
      <c r="T162" s="160">
        <f t="shared" ca="1" si="28"/>
        <v>0</v>
      </c>
      <c r="U162" s="160">
        <f t="shared" ca="1" si="25"/>
        <v>0</v>
      </c>
      <c r="V162" s="163">
        <f t="shared" ca="1" si="30"/>
        <v>0</v>
      </c>
      <c r="W162" s="163">
        <f t="shared" ca="1" si="31"/>
        <v>0</v>
      </c>
      <c r="X162" s="163">
        <f t="shared" ca="1" si="32"/>
        <v>0</v>
      </c>
      <c r="Y162" s="163">
        <f t="shared" ca="1" si="33"/>
        <v>0</v>
      </c>
    </row>
    <row r="163" spans="12:25" ht="14.4">
      <c r="L163" s="464"/>
      <c r="M163" s="129" t="str">
        <f t="shared" si="34"/>
        <v>end</v>
      </c>
      <c r="N163" s="161">
        <f t="shared" si="29"/>
        <v>2</v>
      </c>
      <c r="O163" s="160">
        <f t="shared" ca="1" si="23"/>
        <v>0</v>
      </c>
      <c r="P163" s="160">
        <f t="shared" ca="1" si="27"/>
        <v>0</v>
      </c>
      <c r="Q163" s="160">
        <f t="shared" ca="1" si="28"/>
        <v>0</v>
      </c>
      <c r="R163" s="160">
        <f t="shared" ca="1" si="28"/>
        <v>0</v>
      </c>
      <c r="S163" s="160">
        <f t="shared" ca="1" si="28"/>
        <v>0</v>
      </c>
      <c r="T163" s="160">
        <f t="shared" ca="1" si="28"/>
        <v>0</v>
      </c>
      <c r="U163" s="160">
        <f t="shared" ca="1" si="25"/>
        <v>0</v>
      </c>
      <c r="V163" s="163">
        <f t="shared" ca="1" si="30"/>
        <v>0</v>
      </c>
      <c r="W163" s="163">
        <f t="shared" ca="1" si="31"/>
        <v>0</v>
      </c>
      <c r="X163" s="163">
        <f t="shared" ca="1" si="32"/>
        <v>0</v>
      </c>
      <c r="Y163" s="163">
        <f t="shared" ca="1" si="33"/>
        <v>0</v>
      </c>
    </row>
    <row r="164" spans="12:25" ht="14.4">
      <c r="L164" s="464"/>
      <c r="M164" s="129" t="str">
        <f t="shared" si="34"/>
        <v>end</v>
      </c>
      <c r="N164" s="161">
        <f t="shared" si="29"/>
        <v>2</v>
      </c>
      <c r="O164" s="160">
        <f t="shared" ca="1" si="23"/>
        <v>0</v>
      </c>
      <c r="P164" s="160">
        <f t="shared" ca="1" si="27"/>
        <v>0</v>
      </c>
      <c r="Q164" s="160">
        <f t="shared" ca="1" si="28"/>
        <v>0</v>
      </c>
      <c r="R164" s="160">
        <f t="shared" ca="1" si="28"/>
        <v>0</v>
      </c>
      <c r="S164" s="160">
        <f t="shared" ca="1" si="28"/>
        <v>0</v>
      </c>
      <c r="T164" s="160">
        <f t="shared" ca="1" si="28"/>
        <v>0</v>
      </c>
      <c r="U164" s="160">
        <f t="shared" ca="1" si="25"/>
        <v>0</v>
      </c>
      <c r="V164" s="163">
        <f t="shared" ca="1" si="30"/>
        <v>0</v>
      </c>
      <c r="W164" s="163">
        <f t="shared" ca="1" si="31"/>
        <v>0</v>
      </c>
      <c r="X164" s="163">
        <f t="shared" ca="1" si="32"/>
        <v>0</v>
      </c>
      <c r="Y164" s="163">
        <f t="shared" ca="1" si="33"/>
        <v>0</v>
      </c>
    </row>
    <row r="165" spans="12:25" ht="14.4">
      <c r="L165" s="464"/>
      <c r="M165" s="129" t="str">
        <f t="shared" si="34"/>
        <v>end</v>
      </c>
      <c r="N165" s="161">
        <f t="shared" si="29"/>
        <v>2</v>
      </c>
      <c r="O165" s="160">
        <f t="shared" ca="1" si="23"/>
        <v>0</v>
      </c>
      <c r="P165" s="160">
        <f t="shared" ca="1" si="27"/>
        <v>0</v>
      </c>
      <c r="Q165" s="160">
        <f t="shared" ca="1" si="28"/>
        <v>0</v>
      </c>
      <c r="R165" s="160">
        <f t="shared" ca="1" si="28"/>
        <v>0</v>
      </c>
      <c r="S165" s="160">
        <f t="shared" ca="1" si="28"/>
        <v>0</v>
      </c>
      <c r="T165" s="160">
        <f t="shared" ca="1" si="28"/>
        <v>0</v>
      </c>
      <c r="U165" s="160">
        <f t="shared" ca="1" si="25"/>
        <v>0</v>
      </c>
      <c r="V165" s="163">
        <f t="shared" ca="1" si="30"/>
        <v>0</v>
      </c>
      <c r="W165" s="163">
        <f t="shared" ca="1" si="31"/>
        <v>0</v>
      </c>
      <c r="X165" s="163">
        <f t="shared" ca="1" si="32"/>
        <v>0</v>
      </c>
      <c r="Y165" s="163">
        <f t="shared" ca="1" si="33"/>
        <v>0</v>
      </c>
    </row>
    <row r="166" spans="12:25" ht="14.4">
      <c r="L166" s="464"/>
      <c r="M166" s="129" t="str">
        <f t="shared" si="34"/>
        <v>end</v>
      </c>
      <c r="N166" s="161">
        <f t="shared" si="29"/>
        <v>2</v>
      </c>
      <c r="O166" s="160">
        <f t="shared" ca="1" si="23"/>
        <v>0</v>
      </c>
      <c r="P166" s="160">
        <f t="shared" ca="1" si="27"/>
        <v>0</v>
      </c>
      <c r="Q166" s="160">
        <f t="shared" ca="1" si="28"/>
        <v>0</v>
      </c>
      <c r="R166" s="160">
        <f t="shared" ca="1" si="28"/>
        <v>0</v>
      </c>
      <c r="S166" s="160">
        <f t="shared" ca="1" si="28"/>
        <v>0</v>
      </c>
      <c r="T166" s="160">
        <f t="shared" ca="1" si="28"/>
        <v>0</v>
      </c>
      <c r="U166" s="160">
        <f t="shared" ca="1" si="25"/>
        <v>0</v>
      </c>
      <c r="V166" s="163">
        <f t="shared" ca="1" si="30"/>
        <v>0</v>
      </c>
      <c r="W166" s="163">
        <f t="shared" ca="1" si="31"/>
        <v>0</v>
      </c>
      <c r="X166" s="163">
        <f t="shared" ca="1" si="32"/>
        <v>0</v>
      </c>
      <c r="Y166" s="163">
        <f t="shared" ca="1" si="33"/>
        <v>0</v>
      </c>
    </row>
    <row r="167" spans="12:25" ht="14.4">
      <c r="L167" s="464"/>
      <c r="M167" s="129" t="str">
        <f t="shared" si="34"/>
        <v>end</v>
      </c>
      <c r="N167" s="161">
        <f t="shared" si="29"/>
        <v>2</v>
      </c>
      <c r="O167" s="160">
        <f t="shared" ca="1" si="23"/>
        <v>0</v>
      </c>
      <c r="P167" s="160">
        <f t="shared" ca="1" si="27"/>
        <v>0</v>
      </c>
      <c r="Q167" s="160">
        <f t="shared" ca="1" si="28"/>
        <v>0</v>
      </c>
      <c r="R167" s="160">
        <f t="shared" ca="1" si="28"/>
        <v>0</v>
      </c>
      <c r="S167" s="160">
        <f t="shared" ca="1" si="28"/>
        <v>0</v>
      </c>
      <c r="T167" s="160">
        <f t="shared" ca="1" si="28"/>
        <v>0</v>
      </c>
      <c r="U167" s="160">
        <f t="shared" ca="1" si="25"/>
        <v>0</v>
      </c>
      <c r="V167" s="163">
        <f t="shared" ca="1" si="30"/>
        <v>0</v>
      </c>
      <c r="W167" s="163">
        <f t="shared" ca="1" si="31"/>
        <v>0</v>
      </c>
      <c r="X167" s="163">
        <f t="shared" ca="1" si="32"/>
        <v>0</v>
      </c>
      <c r="Y167" s="163">
        <f t="shared" ca="1" si="33"/>
        <v>0</v>
      </c>
    </row>
    <row r="168" spans="12:25" ht="14.4">
      <c r="L168" s="464"/>
      <c r="M168" s="129" t="str">
        <f t="shared" si="34"/>
        <v>end</v>
      </c>
      <c r="N168" s="161">
        <f t="shared" si="29"/>
        <v>2</v>
      </c>
      <c r="O168" s="160">
        <f t="shared" ca="1" si="23"/>
        <v>0</v>
      </c>
      <c r="P168" s="160">
        <f t="shared" ca="1" si="27"/>
        <v>0</v>
      </c>
      <c r="Q168" s="160">
        <f t="shared" ca="1" si="28"/>
        <v>0</v>
      </c>
      <c r="R168" s="160">
        <f t="shared" ca="1" si="28"/>
        <v>0</v>
      </c>
      <c r="S168" s="160">
        <f t="shared" ca="1" si="28"/>
        <v>0</v>
      </c>
      <c r="T168" s="160">
        <f t="shared" ca="1" si="28"/>
        <v>0</v>
      </c>
      <c r="U168" s="160">
        <f t="shared" ca="1" si="25"/>
        <v>0</v>
      </c>
      <c r="V168" s="163">
        <f t="shared" ca="1" si="30"/>
        <v>0</v>
      </c>
      <c r="W168" s="163">
        <f t="shared" ca="1" si="31"/>
        <v>0</v>
      </c>
      <c r="X168" s="163">
        <f t="shared" ca="1" si="32"/>
        <v>0</v>
      </c>
      <c r="Y168" s="163">
        <f t="shared" ca="1" si="33"/>
        <v>0</v>
      </c>
    </row>
    <row r="169" spans="12:25" ht="14.4">
      <c r="L169" s="464"/>
      <c r="M169" s="129" t="str">
        <f t="shared" si="34"/>
        <v>end</v>
      </c>
      <c r="N169" s="161">
        <f t="shared" si="29"/>
        <v>2</v>
      </c>
      <c r="O169" s="160">
        <f t="shared" ref="O169:O232" ca="1" si="35">IF($M169="end",0,OFFSET($A$1,$M169-1,O$29,1,1))</f>
        <v>0</v>
      </c>
      <c r="P169" s="160">
        <f t="shared" ca="1" si="27"/>
        <v>0</v>
      </c>
      <c r="Q169" s="160">
        <f t="shared" ca="1" si="28"/>
        <v>0</v>
      </c>
      <c r="R169" s="160">
        <f t="shared" ca="1" si="28"/>
        <v>0</v>
      </c>
      <c r="S169" s="160">
        <f t="shared" ca="1" si="28"/>
        <v>0</v>
      </c>
      <c r="T169" s="160">
        <f t="shared" ca="1" si="28"/>
        <v>0</v>
      </c>
      <c r="U169" s="160">
        <f t="shared" ca="1" si="25"/>
        <v>0</v>
      </c>
      <c r="V169" s="163">
        <f t="shared" ca="1" si="30"/>
        <v>0</v>
      </c>
      <c r="W169" s="163">
        <f t="shared" ca="1" si="31"/>
        <v>0</v>
      </c>
      <c r="X169" s="163">
        <f t="shared" ca="1" si="32"/>
        <v>0</v>
      </c>
      <c r="Y169" s="163">
        <f t="shared" ca="1" si="33"/>
        <v>0</v>
      </c>
    </row>
    <row r="170" spans="12:25" ht="14.4">
      <c r="L170" s="464"/>
      <c r="M170" s="129" t="str">
        <f t="shared" si="34"/>
        <v>end</v>
      </c>
      <c r="N170" s="161">
        <f t="shared" si="29"/>
        <v>2</v>
      </c>
      <c r="O170" s="160">
        <f t="shared" ca="1" si="35"/>
        <v>0</v>
      </c>
      <c r="P170" s="160">
        <f t="shared" ca="1" si="27"/>
        <v>0</v>
      </c>
      <c r="Q170" s="160">
        <f t="shared" ca="1" si="28"/>
        <v>0</v>
      </c>
      <c r="R170" s="160">
        <f t="shared" ca="1" si="28"/>
        <v>0</v>
      </c>
      <c r="S170" s="160">
        <f t="shared" ca="1" si="28"/>
        <v>0</v>
      </c>
      <c r="T170" s="160">
        <f t="shared" ca="1" si="28"/>
        <v>0</v>
      </c>
      <c r="U170" s="160">
        <f t="shared" ca="1" si="25"/>
        <v>0</v>
      </c>
      <c r="V170" s="163">
        <f t="shared" ca="1" si="30"/>
        <v>0</v>
      </c>
      <c r="W170" s="163">
        <f t="shared" ca="1" si="31"/>
        <v>0</v>
      </c>
      <c r="X170" s="163">
        <f t="shared" ca="1" si="32"/>
        <v>0</v>
      </c>
      <c r="Y170" s="163">
        <f t="shared" ca="1" si="33"/>
        <v>0</v>
      </c>
    </row>
    <row r="171" spans="12:25" ht="14.4">
      <c r="L171" s="464"/>
      <c r="M171" s="129" t="str">
        <f t="shared" si="34"/>
        <v>end</v>
      </c>
      <c r="N171" s="161">
        <f t="shared" si="29"/>
        <v>2</v>
      </c>
      <c r="O171" s="160">
        <f t="shared" ca="1" si="35"/>
        <v>0</v>
      </c>
      <c r="P171" s="160">
        <f t="shared" ca="1" si="27"/>
        <v>0</v>
      </c>
      <c r="Q171" s="160">
        <f t="shared" ca="1" si="28"/>
        <v>0</v>
      </c>
      <c r="R171" s="160">
        <f t="shared" ca="1" si="28"/>
        <v>0</v>
      </c>
      <c r="S171" s="160">
        <f t="shared" ca="1" si="28"/>
        <v>0</v>
      </c>
      <c r="T171" s="160">
        <f t="shared" ca="1" si="28"/>
        <v>0</v>
      </c>
      <c r="U171" s="160">
        <f t="shared" ca="1" si="25"/>
        <v>0</v>
      </c>
      <c r="V171" s="163">
        <f t="shared" ca="1" si="30"/>
        <v>0</v>
      </c>
      <c r="W171" s="163">
        <f t="shared" ca="1" si="31"/>
        <v>0</v>
      </c>
      <c r="X171" s="163">
        <f t="shared" ca="1" si="32"/>
        <v>0</v>
      </c>
      <c r="Y171" s="163">
        <f t="shared" ca="1" si="33"/>
        <v>0</v>
      </c>
    </row>
    <row r="172" spans="12:25" ht="14.4">
      <c r="L172" s="464"/>
      <c r="M172" s="129" t="str">
        <f t="shared" si="34"/>
        <v>end</v>
      </c>
      <c r="N172" s="161">
        <f t="shared" si="29"/>
        <v>2</v>
      </c>
      <c r="O172" s="160">
        <f t="shared" ca="1" si="35"/>
        <v>0</v>
      </c>
      <c r="P172" s="160">
        <f t="shared" ca="1" si="27"/>
        <v>0</v>
      </c>
      <c r="Q172" s="160">
        <f t="shared" ca="1" si="28"/>
        <v>0</v>
      </c>
      <c r="R172" s="160">
        <f t="shared" ca="1" si="28"/>
        <v>0</v>
      </c>
      <c r="S172" s="160">
        <f t="shared" ca="1" si="28"/>
        <v>0</v>
      </c>
      <c r="T172" s="160">
        <f t="shared" ca="1" si="28"/>
        <v>0</v>
      </c>
      <c r="U172" s="160">
        <f t="shared" ca="1" si="25"/>
        <v>0</v>
      </c>
      <c r="V172" s="163">
        <f t="shared" ca="1" si="30"/>
        <v>0</v>
      </c>
      <c r="W172" s="163">
        <f t="shared" ca="1" si="31"/>
        <v>0</v>
      </c>
      <c r="X172" s="163">
        <f t="shared" ca="1" si="32"/>
        <v>0</v>
      </c>
      <c r="Y172" s="163">
        <f t="shared" ca="1" si="33"/>
        <v>0</v>
      </c>
    </row>
    <row r="173" spans="12:25" ht="14.4">
      <c r="L173" s="464"/>
      <c r="M173" s="129" t="str">
        <f t="shared" si="34"/>
        <v>end</v>
      </c>
      <c r="N173" s="161">
        <f t="shared" si="29"/>
        <v>2</v>
      </c>
      <c r="O173" s="160">
        <f t="shared" ca="1" si="35"/>
        <v>0</v>
      </c>
      <c r="P173" s="160">
        <f t="shared" ca="1" si="27"/>
        <v>0</v>
      </c>
      <c r="Q173" s="160">
        <f t="shared" ca="1" si="28"/>
        <v>0</v>
      </c>
      <c r="R173" s="160">
        <f t="shared" ca="1" si="28"/>
        <v>0</v>
      </c>
      <c r="S173" s="160">
        <f t="shared" ca="1" si="28"/>
        <v>0</v>
      </c>
      <c r="T173" s="160">
        <f t="shared" ca="1" si="28"/>
        <v>0</v>
      </c>
      <c r="U173" s="160">
        <f t="shared" ref="U173:U236" ca="1" si="36">IF($M173="end",0,OFFSET($A$1,$M173-1,U$29,1,1))</f>
        <v>0</v>
      </c>
      <c r="V173" s="163">
        <f t="shared" ca="1" si="30"/>
        <v>0</v>
      </c>
      <c r="W173" s="163">
        <f t="shared" ca="1" si="31"/>
        <v>0</v>
      </c>
      <c r="X173" s="163">
        <f t="shared" ca="1" si="32"/>
        <v>0</v>
      </c>
      <c r="Y173" s="163">
        <f t="shared" ca="1" si="33"/>
        <v>0</v>
      </c>
    </row>
    <row r="174" spans="12:25" ht="14.4">
      <c r="L174" s="464"/>
      <c r="M174" s="129" t="str">
        <f t="shared" si="34"/>
        <v>end</v>
      </c>
      <c r="N174" s="161">
        <f t="shared" si="29"/>
        <v>2</v>
      </c>
      <c r="O174" s="160">
        <f t="shared" ca="1" si="35"/>
        <v>0</v>
      </c>
      <c r="P174" s="160">
        <f t="shared" ca="1" si="27"/>
        <v>0</v>
      </c>
      <c r="Q174" s="160">
        <f t="shared" ca="1" si="28"/>
        <v>0</v>
      </c>
      <c r="R174" s="160">
        <f t="shared" ca="1" si="28"/>
        <v>0</v>
      </c>
      <c r="S174" s="160">
        <f t="shared" ca="1" si="28"/>
        <v>0</v>
      </c>
      <c r="T174" s="160">
        <f t="shared" ca="1" si="28"/>
        <v>0</v>
      </c>
      <c r="U174" s="160">
        <f t="shared" ca="1" si="36"/>
        <v>0</v>
      </c>
      <c r="V174" s="163">
        <f t="shared" ca="1" si="30"/>
        <v>0</v>
      </c>
      <c r="W174" s="163">
        <f t="shared" ca="1" si="31"/>
        <v>0</v>
      </c>
      <c r="X174" s="163">
        <f t="shared" ca="1" si="32"/>
        <v>0</v>
      </c>
      <c r="Y174" s="163">
        <f t="shared" ca="1" si="33"/>
        <v>0</v>
      </c>
    </row>
    <row r="175" spans="12:25" ht="14.4">
      <c r="L175" s="464"/>
      <c r="M175" s="129" t="str">
        <f t="shared" si="34"/>
        <v>end</v>
      </c>
      <c r="N175" s="161">
        <f t="shared" si="29"/>
        <v>2</v>
      </c>
      <c r="O175" s="160">
        <f t="shared" ca="1" si="35"/>
        <v>0</v>
      </c>
      <c r="P175" s="160">
        <f t="shared" ca="1" si="27"/>
        <v>0</v>
      </c>
      <c r="Q175" s="160">
        <f t="shared" ca="1" si="28"/>
        <v>0</v>
      </c>
      <c r="R175" s="160">
        <f t="shared" ca="1" si="28"/>
        <v>0</v>
      </c>
      <c r="S175" s="160">
        <f t="shared" ca="1" si="28"/>
        <v>0</v>
      </c>
      <c r="T175" s="160">
        <f t="shared" ca="1" si="28"/>
        <v>0</v>
      </c>
      <c r="U175" s="160">
        <f t="shared" ca="1" si="36"/>
        <v>0</v>
      </c>
      <c r="V175" s="163">
        <f t="shared" ca="1" si="30"/>
        <v>0</v>
      </c>
      <c r="W175" s="163">
        <f t="shared" ca="1" si="31"/>
        <v>0</v>
      </c>
      <c r="X175" s="163">
        <f t="shared" ca="1" si="32"/>
        <v>0</v>
      </c>
      <c r="Y175" s="163">
        <f t="shared" ca="1" si="33"/>
        <v>0</v>
      </c>
    </row>
    <row r="176" spans="12:25" ht="14.4">
      <c r="L176" s="464"/>
      <c r="M176" s="129" t="str">
        <f t="shared" si="34"/>
        <v>end</v>
      </c>
      <c r="N176" s="161">
        <f t="shared" si="29"/>
        <v>2</v>
      </c>
      <c r="O176" s="160">
        <f t="shared" ca="1" si="35"/>
        <v>0</v>
      </c>
      <c r="P176" s="160">
        <f t="shared" ca="1" si="27"/>
        <v>0</v>
      </c>
      <c r="Q176" s="160">
        <f t="shared" ca="1" si="28"/>
        <v>0</v>
      </c>
      <c r="R176" s="160">
        <f t="shared" ca="1" si="28"/>
        <v>0</v>
      </c>
      <c r="S176" s="160">
        <f t="shared" ca="1" si="28"/>
        <v>0</v>
      </c>
      <c r="T176" s="160">
        <f t="shared" ca="1" si="28"/>
        <v>0</v>
      </c>
      <c r="U176" s="160">
        <f t="shared" ca="1" si="36"/>
        <v>0</v>
      </c>
      <c r="V176" s="163">
        <f t="shared" ca="1" si="30"/>
        <v>0</v>
      </c>
      <c r="W176" s="163">
        <f t="shared" ca="1" si="31"/>
        <v>0</v>
      </c>
      <c r="X176" s="163">
        <f t="shared" ca="1" si="32"/>
        <v>0</v>
      </c>
      <c r="Y176" s="163">
        <f t="shared" ca="1" si="33"/>
        <v>0</v>
      </c>
    </row>
    <row r="177" spans="12:25" ht="14.4">
      <c r="L177" s="464"/>
      <c r="M177" s="129" t="str">
        <f t="shared" si="34"/>
        <v>end</v>
      </c>
      <c r="N177" s="161">
        <f t="shared" si="29"/>
        <v>2</v>
      </c>
      <c r="O177" s="160">
        <f t="shared" ca="1" si="35"/>
        <v>0</v>
      </c>
      <c r="P177" s="160">
        <f t="shared" ca="1" si="27"/>
        <v>0</v>
      </c>
      <c r="Q177" s="160">
        <f t="shared" ca="1" si="28"/>
        <v>0</v>
      </c>
      <c r="R177" s="160">
        <f t="shared" ca="1" si="28"/>
        <v>0</v>
      </c>
      <c r="S177" s="160">
        <f t="shared" ca="1" si="28"/>
        <v>0</v>
      </c>
      <c r="T177" s="160">
        <f t="shared" ref="T177:U240" ca="1" si="37">IF($M177="end",0,OFFSET($A$1,$M177-1,T$29,1,1))</f>
        <v>0</v>
      </c>
      <c r="U177" s="160">
        <f t="shared" ca="1" si="36"/>
        <v>0</v>
      </c>
      <c r="V177" s="163">
        <f t="shared" ca="1" si="30"/>
        <v>0</v>
      </c>
      <c r="W177" s="163">
        <f t="shared" ca="1" si="31"/>
        <v>0</v>
      </c>
      <c r="X177" s="163">
        <f t="shared" ca="1" si="32"/>
        <v>0</v>
      </c>
      <c r="Y177" s="163">
        <f t="shared" ca="1" si="33"/>
        <v>0</v>
      </c>
    </row>
    <row r="178" spans="12:25" ht="14.4">
      <c r="L178" s="464"/>
      <c r="M178" s="129" t="str">
        <f t="shared" si="34"/>
        <v>end</v>
      </c>
      <c r="N178" s="161">
        <f t="shared" si="29"/>
        <v>2</v>
      </c>
      <c r="O178" s="160">
        <f t="shared" ca="1" si="35"/>
        <v>0</v>
      </c>
      <c r="P178" s="160">
        <f t="shared" ref="P178:P241" ca="1" si="38">IF($M178="end",0,OFFSET($A$1,$M178-1,P$29,1,1))</f>
        <v>0</v>
      </c>
      <c r="Q178" s="160">
        <f t="shared" ref="Q178:U241" ca="1" si="39">IF($M178="end",0,OFFSET($A$1,$M178-1,Q$29,1,1))</f>
        <v>0</v>
      </c>
      <c r="R178" s="160">
        <f t="shared" ca="1" si="39"/>
        <v>0</v>
      </c>
      <c r="S178" s="160">
        <f t="shared" ca="1" si="39"/>
        <v>0</v>
      </c>
      <c r="T178" s="160">
        <f t="shared" ca="1" si="37"/>
        <v>0</v>
      </c>
      <c r="U178" s="160">
        <f t="shared" ca="1" si="36"/>
        <v>0</v>
      </c>
      <c r="V178" s="163">
        <f t="shared" ca="1" si="30"/>
        <v>0</v>
      </c>
      <c r="W178" s="163">
        <f t="shared" ca="1" si="31"/>
        <v>0</v>
      </c>
      <c r="X178" s="163">
        <f t="shared" ca="1" si="32"/>
        <v>0</v>
      </c>
      <c r="Y178" s="163">
        <f t="shared" ca="1" si="33"/>
        <v>0</v>
      </c>
    </row>
    <row r="179" spans="12:25" ht="14.4">
      <c r="L179" s="464"/>
      <c r="M179" s="129" t="str">
        <f t="shared" si="34"/>
        <v>end</v>
      </c>
      <c r="N179" s="161">
        <f t="shared" si="29"/>
        <v>2</v>
      </c>
      <c r="O179" s="160">
        <f t="shared" ca="1" si="35"/>
        <v>0</v>
      </c>
      <c r="P179" s="160">
        <f t="shared" ca="1" si="38"/>
        <v>0</v>
      </c>
      <c r="Q179" s="160">
        <f t="shared" ca="1" si="39"/>
        <v>0</v>
      </c>
      <c r="R179" s="160">
        <f t="shared" ca="1" si="39"/>
        <v>0</v>
      </c>
      <c r="S179" s="160">
        <f t="shared" ca="1" si="39"/>
        <v>0</v>
      </c>
      <c r="T179" s="160">
        <f t="shared" ca="1" si="37"/>
        <v>0</v>
      </c>
      <c r="U179" s="160">
        <f t="shared" ca="1" si="36"/>
        <v>0</v>
      </c>
      <c r="V179" s="163">
        <f t="shared" ca="1" si="30"/>
        <v>0</v>
      </c>
      <c r="W179" s="163">
        <f t="shared" ca="1" si="31"/>
        <v>0</v>
      </c>
      <c r="X179" s="163">
        <f t="shared" ca="1" si="32"/>
        <v>0</v>
      </c>
      <c r="Y179" s="163">
        <f t="shared" ca="1" si="33"/>
        <v>0</v>
      </c>
    </row>
    <row r="180" spans="12:25" ht="14.4">
      <c r="L180" s="464"/>
      <c r="M180" s="129" t="str">
        <f t="shared" si="34"/>
        <v>end</v>
      </c>
      <c r="N180" s="161">
        <f t="shared" si="29"/>
        <v>2</v>
      </c>
      <c r="O180" s="160">
        <f t="shared" ca="1" si="35"/>
        <v>0</v>
      </c>
      <c r="P180" s="160">
        <f t="shared" ca="1" si="38"/>
        <v>0</v>
      </c>
      <c r="Q180" s="160">
        <f t="shared" ca="1" si="39"/>
        <v>0</v>
      </c>
      <c r="R180" s="160">
        <f t="shared" ca="1" si="39"/>
        <v>0</v>
      </c>
      <c r="S180" s="160">
        <f t="shared" ca="1" si="39"/>
        <v>0</v>
      </c>
      <c r="T180" s="160">
        <f t="shared" ca="1" si="37"/>
        <v>0</v>
      </c>
      <c r="U180" s="160">
        <f t="shared" ca="1" si="36"/>
        <v>0</v>
      </c>
      <c r="V180" s="163">
        <f t="shared" ca="1" si="30"/>
        <v>0</v>
      </c>
      <c r="W180" s="163">
        <f t="shared" ca="1" si="31"/>
        <v>0</v>
      </c>
      <c r="X180" s="163">
        <f t="shared" ca="1" si="32"/>
        <v>0</v>
      </c>
      <c r="Y180" s="163">
        <f t="shared" ca="1" si="33"/>
        <v>0</v>
      </c>
    </row>
    <row r="181" spans="12:25" ht="14.4">
      <c r="L181" s="464"/>
      <c r="M181" s="129" t="str">
        <f t="shared" si="34"/>
        <v>end</v>
      </c>
      <c r="N181" s="161">
        <f t="shared" si="29"/>
        <v>2</v>
      </c>
      <c r="O181" s="160">
        <f t="shared" ca="1" si="35"/>
        <v>0</v>
      </c>
      <c r="P181" s="160">
        <f t="shared" ca="1" si="38"/>
        <v>0</v>
      </c>
      <c r="Q181" s="160">
        <f t="shared" ca="1" si="39"/>
        <v>0</v>
      </c>
      <c r="R181" s="160">
        <f t="shared" ca="1" si="39"/>
        <v>0</v>
      </c>
      <c r="S181" s="160">
        <f t="shared" ca="1" si="39"/>
        <v>0</v>
      </c>
      <c r="T181" s="160">
        <f t="shared" ca="1" si="37"/>
        <v>0</v>
      </c>
      <c r="U181" s="160">
        <f t="shared" ca="1" si="36"/>
        <v>0</v>
      </c>
      <c r="V181" s="163">
        <f t="shared" ca="1" si="30"/>
        <v>0</v>
      </c>
      <c r="W181" s="163">
        <f t="shared" ca="1" si="31"/>
        <v>0</v>
      </c>
      <c r="X181" s="163">
        <f t="shared" ca="1" si="32"/>
        <v>0</v>
      </c>
      <c r="Y181" s="163">
        <f t="shared" ca="1" si="33"/>
        <v>0</v>
      </c>
    </row>
    <row r="182" spans="12:25" ht="14.4">
      <c r="L182" s="464"/>
      <c r="M182" s="129" t="str">
        <f t="shared" si="34"/>
        <v>end</v>
      </c>
      <c r="N182" s="161">
        <f t="shared" si="29"/>
        <v>2</v>
      </c>
      <c r="O182" s="160">
        <f t="shared" ca="1" si="35"/>
        <v>0</v>
      </c>
      <c r="P182" s="160">
        <f t="shared" ca="1" si="38"/>
        <v>0</v>
      </c>
      <c r="Q182" s="160">
        <f t="shared" ca="1" si="39"/>
        <v>0</v>
      </c>
      <c r="R182" s="160">
        <f t="shared" ca="1" si="39"/>
        <v>0</v>
      </c>
      <c r="S182" s="160">
        <f t="shared" ca="1" si="39"/>
        <v>0</v>
      </c>
      <c r="T182" s="160">
        <f t="shared" ca="1" si="37"/>
        <v>0</v>
      </c>
      <c r="U182" s="160">
        <f t="shared" ca="1" si="36"/>
        <v>0</v>
      </c>
      <c r="V182" s="163">
        <f t="shared" ca="1" si="30"/>
        <v>0</v>
      </c>
      <c r="W182" s="163">
        <f t="shared" ca="1" si="31"/>
        <v>0</v>
      </c>
      <c r="X182" s="163">
        <f t="shared" ca="1" si="32"/>
        <v>0</v>
      </c>
      <c r="Y182" s="163">
        <f t="shared" ca="1" si="33"/>
        <v>0</v>
      </c>
    </row>
    <row r="183" spans="12:25" ht="14.4">
      <c r="L183" s="464"/>
      <c r="M183" s="129" t="str">
        <f t="shared" si="34"/>
        <v>end</v>
      </c>
      <c r="N183" s="161">
        <f t="shared" si="29"/>
        <v>2</v>
      </c>
      <c r="O183" s="160">
        <f t="shared" ca="1" si="35"/>
        <v>0</v>
      </c>
      <c r="P183" s="160">
        <f t="shared" ca="1" si="38"/>
        <v>0</v>
      </c>
      <c r="Q183" s="160">
        <f t="shared" ca="1" si="39"/>
        <v>0</v>
      </c>
      <c r="R183" s="160">
        <f t="shared" ca="1" si="39"/>
        <v>0</v>
      </c>
      <c r="S183" s="160">
        <f t="shared" ca="1" si="39"/>
        <v>0</v>
      </c>
      <c r="T183" s="160">
        <f t="shared" ca="1" si="37"/>
        <v>0</v>
      </c>
      <c r="U183" s="160">
        <f t="shared" ca="1" si="36"/>
        <v>0</v>
      </c>
      <c r="V183" s="163">
        <f t="shared" ca="1" si="30"/>
        <v>0</v>
      </c>
      <c r="W183" s="163">
        <f t="shared" ca="1" si="31"/>
        <v>0</v>
      </c>
      <c r="X183" s="163">
        <f t="shared" ca="1" si="32"/>
        <v>0</v>
      </c>
      <c r="Y183" s="163">
        <f t="shared" ca="1" si="33"/>
        <v>0</v>
      </c>
    </row>
    <row r="184" spans="12:25" ht="14.4">
      <c r="L184" s="464"/>
      <c r="M184" s="129" t="str">
        <f t="shared" si="34"/>
        <v>end</v>
      </c>
      <c r="N184" s="161">
        <f t="shared" si="29"/>
        <v>2</v>
      </c>
      <c r="O184" s="160">
        <f t="shared" ca="1" si="35"/>
        <v>0</v>
      </c>
      <c r="P184" s="160">
        <f t="shared" ca="1" si="38"/>
        <v>0</v>
      </c>
      <c r="Q184" s="160">
        <f t="shared" ca="1" si="39"/>
        <v>0</v>
      </c>
      <c r="R184" s="160">
        <f t="shared" ca="1" si="39"/>
        <v>0</v>
      </c>
      <c r="S184" s="160">
        <f t="shared" ca="1" si="39"/>
        <v>0</v>
      </c>
      <c r="T184" s="160">
        <f t="shared" ca="1" si="37"/>
        <v>0</v>
      </c>
      <c r="U184" s="160">
        <f t="shared" ca="1" si="36"/>
        <v>0</v>
      </c>
      <c r="V184" s="163">
        <f t="shared" ca="1" si="30"/>
        <v>0</v>
      </c>
      <c r="W184" s="163">
        <f t="shared" ca="1" si="31"/>
        <v>0</v>
      </c>
      <c r="X184" s="163">
        <f t="shared" ca="1" si="32"/>
        <v>0</v>
      </c>
      <c r="Y184" s="163">
        <f t="shared" ca="1" si="33"/>
        <v>0</v>
      </c>
    </row>
    <row r="185" spans="12:25" ht="14.4">
      <c r="L185" s="464"/>
      <c r="M185" s="129" t="str">
        <f t="shared" si="34"/>
        <v>end</v>
      </c>
      <c r="N185" s="161">
        <f t="shared" si="29"/>
        <v>2</v>
      </c>
      <c r="O185" s="160">
        <f t="shared" ca="1" si="35"/>
        <v>0</v>
      </c>
      <c r="P185" s="160">
        <f t="shared" ca="1" si="38"/>
        <v>0</v>
      </c>
      <c r="Q185" s="160">
        <f t="shared" ca="1" si="39"/>
        <v>0</v>
      </c>
      <c r="R185" s="160">
        <f t="shared" ca="1" si="39"/>
        <v>0</v>
      </c>
      <c r="S185" s="160">
        <f t="shared" ca="1" si="39"/>
        <v>0</v>
      </c>
      <c r="T185" s="160">
        <f t="shared" ca="1" si="37"/>
        <v>0</v>
      </c>
      <c r="U185" s="160">
        <f t="shared" ca="1" si="36"/>
        <v>0</v>
      </c>
      <c r="V185" s="163">
        <f t="shared" ca="1" si="30"/>
        <v>0</v>
      </c>
      <c r="W185" s="163">
        <f t="shared" ca="1" si="31"/>
        <v>0</v>
      </c>
      <c r="X185" s="163">
        <f t="shared" ca="1" si="32"/>
        <v>0</v>
      </c>
      <c r="Y185" s="163">
        <f t="shared" ca="1" si="33"/>
        <v>0</v>
      </c>
    </row>
    <row r="186" spans="12:25" ht="14.4">
      <c r="L186" s="464"/>
      <c r="M186" s="129" t="str">
        <f t="shared" si="34"/>
        <v>end</v>
      </c>
      <c r="N186" s="161">
        <f t="shared" si="29"/>
        <v>2</v>
      </c>
      <c r="O186" s="160">
        <f t="shared" ca="1" si="35"/>
        <v>0</v>
      </c>
      <c r="P186" s="160">
        <f t="shared" ca="1" si="38"/>
        <v>0</v>
      </c>
      <c r="Q186" s="160">
        <f t="shared" ca="1" si="39"/>
        <v>0</v>
      </c>
      <c r="R186" s="160">
        <f t="shared" ca="1" si="39"/>
        <v>0</v>
      </c>
      <c r="S186" s="160">
        <f t="shared" ca="1" si="39"/>
        <v>0</v>
      </c>
      <c r="T186" s="160">
        <f t="shared" ca="1" si="37"/>
        <v>0</v>
      </c>
      <c r="U186" s="160">
        <f t="shared" ca="1" si="36"/>
        <v>0</v>
      </c>
      <c r="V186" s="163">
        <f t="shared" ca="1" si="30"/>
        <v>0</v>
      </c>
      <c r="W186" s="163">
        <f t="shared" ca="1" si="31"/>
        <v>0</v>
      </c>
      <c r="X186" s="163">
        <f t="shared" ca="1" si="32"/>
        <v>0</v>
      </c>
      <c r="Y186" s="163">
        <f t="shared" ca="1" si="33"/>
        <v>0</v>
      </c>
    </row>
    <row r="187" spans="12:25" ht="14.4">
      <c r="L187" s="464"/>
      <c r="M187" s="129" t="str">
        <f t="shared" si="34"/>
        <v>end</v>
      </c>
      <c r="N187" s="161">
        <f t="shared" si="29"/>
        <v>2</v>
      </c>
      <c r="O187" s="160">
        <f t="shared" ca="1" si="35"/>
        <v>0</v>
      </c>
      <c r="P187" s="160">
        <f t="shared" ca="1" si="38"/>
        <v>0</v>
      </c>
      <c r="Q187" s="160">
        <f t="shared" ca="1" si="39"/>
        <v>0</v>
      </c>
      <c r="R187" s="160">
        <f t="shared" ca="1" si="39"/>
        <v>0</v>
      </c>
      <c r="S187" s="160">
        <f t="shared" ca="1" si="39"/>
        <v>0</v>
      </c>
      <c r="T187" s="160">
        <f t="shared" ca="1" si="37"/>
        <v>0</v>
      </c>
      <c r="U187" s="160">
        <f t="shared" ca="1" si="36"/>
        <v>0</v>
      </c>
      <c r="V187" s="163">
        <f t="shared" ca="1" si="30"/>
        <v>0</v>
      </c>
      <c r="W187" s="163">
        <f t="shared" ca="1" si="31"/>
        <v>0</v>
      </c>
      <c r="X187" s="163">
        <f t="shared" ca="1" si="32"/>
        <v>0</v>
      </c>
      <c r="Y187" s="163">
        <f t="shared" ca="1" si="33"/>
        <v>0</v>
      </c>
    </row>
    <row r="188" spans="12:25" ht="14.4">
      <c r="L188" s="464"/>
      <c r="M188" s="129" t="str">
        <f t="shared" si="34"/>
        <v>end</v>
      </c>
      <c r="N188" s="161">
        <f t="shared" si="29"/>
        <v>2</v>
      </c>
      <c r="O188" s="160">
        <f t="shared" ca="1" si="35"/>
        <v>0</v>
      </c>
      <c r="P188" s="160">
        <f t="shared" ca="1" si="38"/>
        <v>0</v>
      </c>
      <c r="Q188" s="160">
        <f t="shared" ca="1" si="39"/>
        <v>0</v>
      </c>
      <c r="R188" s="160">
        <f t="shared" ca="1" si="39"/>
        <v>0</v>
      </c>
      <c r="S188" s="160">
        <f t="shared" ca="1" si="39"/>
        <v>0</v>
      </c>
      <c r="T188" s="160">
        <f t="shared" ca="1" si="37"/>
        <v>0</v>
      </c>
      <c r="U188" s="160">
        <f t="shared" ca="1" si="36"/>
        <v>0</v>
      </c>
      <c r="V188" s="163">
        <f t="shared" ca="1" si="30"/>
        <v>0</v>
      </c>
      <c r="W188" s="163">
        <f t="shared" ca="1" si="31"/>
        <v>0</v>
      </c>
      <c r="X188" s="163">
        <f t="shared" ca="1" si="32"/>
        <v>0</v>
      </c>
      <c r="Y188" s="163">
        <f t="shared" ca="1" si="33"/>
        <v>0</v>
      </c>
    </row>
    <row r="189" spans="12:25" ht="14.4">
      <c r="L189" s="464"/>
      <c r="M189" s="129" t="str">
        <f t="shared" si="34"/>
        <v>end</v>
      </c>
      <c r="N189" s="161">
        <f t="shared" si="29"/>
        <v>2</v>
      </c>
      <c r="O189" s="160">
        <f t="shared" ca="1" si="35"/>
        <v>0</v>
      </c>
      <c r="P189" s="160">
        <f t="shared" ca="1" si="38"/>
        <v>0</v>
      </c>
      <c r="Q189" s="160">
        <f t="shared" ca="1" si="39"/>
        <v>0</v>
      </c>
      <c r="R189" s="160">
        <f t="shared" ca="1" si="39"/>
        <v>0</v>
      </c>
      <c r="S189" s="160">
        <f t="shared" ca="1" si="39"/>
        <v>0</v>
      </c>
      <c r="T189" s="160">
        <f t="shared" ca="1" si="37"/>
        <v>0</v>
      </c>
      <c r="U189" s="160">
        <f t="shared" ca="1" si="36"/>
        <v>0</v>
      </c>
      <c r="V189" s="163">
        <f t="shared" ca="1" si="30"/>
        <v>0</v>
      </c>
      <c r="W189" s="163">
        <f t="shared" ca="1" si="31"/>
        <v>0</v>
      </c>
      <c r="X189" s="163">
        <f t="shared" ca="1" si="32"/>
        <v>0</v>
      </c>
      <c r="Y189" s="163">
        <f t="shared" ca="1" si="33"/>
        <v>0</v>
      </c>
    </row>
    <row r="190" spans="12:25" ht="14.4">
      <c r="L190" s="464"/>
      <c r="M190" s="129" t="str">
        <f t="shared" si="34"/>
        <v>end</v>
      </c>
      <c r="N190" s="161">
        <f t="shared" si="29"/>
        <v>2</v>
      </c>
      <c r="O190" s="160">
        <f t="shared" ca="1" si="35"/>
        <v>0</v>
      </c>
      <c r="P190" s="160">
        <f t="shared" ca="1" si="38"/>
        <v>0</v>
      </c>
      <c r="Q190" s="160">
        <f t="shared" ca="1" si="39"/>
        <v>0</v>
      </c>
      <c r="R190" s="160">
        <f t="shared" ca="1" si="39"/>
        <v>0</v>
      </c>
      <c r="S190" s="160">
        <f t="shared" ca="1" si="39"/>
        <v>0</v>
      </c>
      <c r="T190" s="160">
        <f t="shared" ca="1" si="37"/>
        <v>0</v>
      </c>
      <c r="U190" s="160">
        <f t="shared" ca="1" si="36"/>
        <v>0</v>
      </c>
      <c r="V190" s="163">
        <f t="shared" ca="1" si="30"/>
        <v>0</v>
      </c>
      <c r="W190" s="163">
        <f t="shared" ca="1" si="31"/>
        <v>0</v>
      </c>
      <c r="X190" s="163">
        <f t="shared" ca="1" si="32"/>
        <v>0</v>
      </c>
      <c r="Y190" s="163">
        <f t="shared" ca="1" si="33"/>
        <v>0</v>
      </c>
    </row>
    <row r="191" spans="12:25" ht="14.4">
      <c r="L191" s="464"/>
      <c r="M191" s="129" t="str">
        <f t="shared" si="34"/>
        <v>end</v>
      </c>
      <c r="N191" s="161">
        <f t="shared" si="29"/>
        <v>2</v>
      </c>
      <c r="O191" s="160">
        <f t="shared" ca="1" si="35"/>
        <v>0</v>
      </c>
      <c r="P191" s="160">
        <f t="shared" ca="1" si="38"/>
        <v>0</v>
      </c>
      <c r="Q191" s="160">
        <f t="shared" ca="1" si="39"/>
        <v>0</v>
      </c>
      <c r="R191" s="160">
        <f t="shared" ca="1" si="39"/>
        <v>0</v>
      </c>
      <c r="S191" s="160">
        <f t="shared" ca="1" si="39"/>
        <v>0</v>
      </c>
      <c r="T191" s="160">
        <f t="shared" ca="1" si="37"/>
        <v>0</v>
      </c>
      <c r="U191" s="160">
        <f t="shared" ca="1" si="36"/>
        <v>0</v>
      </c>
      <c r="V191" s="163">
        <f t="shared" ca="1" si="30"/>
        <v>0</v>
      </c>
      <c r="W191" s="163">
        <f t="shared" ca="1" si="31"/>
        <v>0</v>
      </c>
      <c r="X191" s="163">
        <f t="shared" ca="1" si="32"/>
        <v>0</v>
      </c>
      <c r="Y191" s="163">
        <f t="shared" ca="1" si="33"/>
        <v>0</v>
      </c>
    </row>
    <row r="192" spans="12:25" ht="14.4">
      <c r="L192" s="464"/>
      <c r="M192" s="129" t="str">
        <f t="shared" si="34"/>
        <v>end</v>
      </c>
      <c r="N192" s="161">
        <f t="shared" si="29"/>
        <v>2</v>
      </c>
      <c r="O192" s="160">
        <f t="shared" ca="1" si="35"/>
        <v>0</v>
      </c>
      <c r="P192" s="160">
        <f t="shared" ca="1" si="38"/>
        <v>0</v>
      </c>
      <c r="Q192" s="160">
        <f t="shared" ca="1" si="39"/>
        <v>0</v>
      </c>
      <c r="R192" s="160">
        <f t="shared" ca="1" si="39"/>
        <v>0</v>
      </c>
      <c r="S192" s="160">
        <f t="shared" ca="1" si="39"/>
        <v>0</v>
      </c>
      <c r="T192" s="160">
        <f t="shared" ca="1" si="37"/>
        <v>0</v>
      </c>
      <c r="U192" s="160">
        <f t="shared" ca="1" si="36"/>
        <v>0</v>
      </c>
      <c r="V192" s="163">
        <f t="shared" ca="1" si="30"/>
        <v>0</v>
      </c>
      <c r="W192" s="163">
        <f t="shared" ca="1" si="31"/>
        <v>0</v>
      </c>
      <c r="X192" s="163">
        <f t="shared" ca="1" si="32"/>
        <v>0</v>
      </c>
      <c r="Y192" s="163">
        <f t="shared" ca="1" si="33"/>
        <v>0</v>
      </c>
    </row>
    <row r="193" spans="12:25" ht="14.4">
      <c r="L193" s="464"/>
      <c r="M193" s="129" t="str">
        <f t="shared" si="34"/>
        <v>end</v>
      </c>
      <c r="N193" s="161">
        <f t="shared" si="29"/>
        <v>2</v>
      </c>
      <c r="O193" s="160">
        <f t="shared" ca="1" si="35"/>
        <v>0</v>
      </c>
      <c r="P193" s="160">
        <f t="shared" ca="1" si="38"/>
        <v>0</v>
      </c>
      <c r="Q193" s="160">
        <f t="shared" ca="1" si="39"/>
        <v>0</v>
      </c>
      <c r="R193" s="160">
        <f t="shared" ca="1" si="39"/>
        <v>0</v>
      </c>
      <c r="S193" s="160">
        <f t="shared" ca="1" si="39"/>
        <v>0</v>
      </c>
      <c r="T193" s="160">
        <f t="shared" ca="1" si="37"/>
        <v>0</v>
      </c>
      <c r="U193" s="160">
        <f t="shared" ca="1" si="36"/>
        <v>0</v>
      </c>
      <c r="V193" s="163">
        <f t="shared" ca="1" si="30"/>
        <v>0</v>
      </c>
      <c r="W193" s="163">
        <f t="shared" ca="1" si="31"/>
        <v>0</v>
      </c>
      <c r="X193" s="163">
        <f t="shared" ca="1" si="32"/>
        <v>0</v>
      </c>
      <c r="Y193" s="163">
        <f t="shared" ca="1" si="33"/>
        <v>0</v>
      </c>
    </row>
    <row r="194" spans="12:25" ht="14.4">
      <c r="L194" s="464"/>
      <c r="M194" s="129" t="str">
        <f t="shared" si="34"/>
        <v>end</v>
      </c>
      <c r="N194" s="161">
        <f t="shared" si="29"/>
        <v>2</v>
      </c>
      <c r="O194" s="160">
        <f t="shared" ca="1" si="35"/>
        <v>0</v>
      </c>
      <c r="P194" s="160">
        <f t="shared" ca="1" si="38"/>
        <v>0</v>
      </c>
      <c r="Q194" s="160">
        <f t="shared" ca="1" si="39"/>
        <v>0</v>
      </c>
      <c r="R194" s="160">
        <f t="shared" ca="1" si="39"/>
        <v>0</v>
      </c>
      <c r="S194" s="160">
        <f t="shared" ca="1" si="39"/>
        <v>0</v>
      </c>
      <c r="T194" s="160">
        <f t="shared" ca="1" si="37"/>
        <v>0</v>
      </c>
      <c r="U194" s="160">
        <f t="shared" ca="1" si="36"/>
        <v>0</v>
      </c>
      <c r="V194" s="163">
        <f t="shared" ca="1" si="30"/>
        <v>0</v>
      </c>
      <c r="W194" s="163">
        <f t="shared" ca="1" si="31"/>
        <v>0</v>
      </c>
      <c r="X194" s="163">
        <f t="shared" ca="1" si="32"/>
        <v>0</v>
      </c>
      <c r="Y194" s="163">
        <f t="shared" ca="1" si="33"/>
        <v>0</v>
      </c>
    </row>
    <row r="195" spans="12:25" ht="14.4">
      <c r="L195" s="464"/>
      <c r="M195" s="129" t="str">
        <f t="shared" si="34"/>
        <v>end</v>
      </c>
      <c r="N195" s="161">
        <f t="shared" si="29"/>
        <v>2</v>
      </c>
      <c r="O195" s="160">
        <f t="shared" ca="1" si="35"/>
        <v>0</v>
      </c>
      <c r="P195" s="160">
        <f t="shared" ca="1" si="38"/>
        <v>0</v>
      </c>
      <c r="Q195" s="160">
        <f t="shared" ca="1" si="39"/>
        <v>0</v>
      </c>
      <c r="R195" s="160">
        <f t="shared" ca="1" si="39"/>
        <v>0</v>
      </c>
      <c r="S195" s="160">
        <f t="shared" ca="1" si="39"/>
        <v>0</v>
      </c>
      <c r="T195" s="160">
        <f t="shared" ca="1" si="37"/>
        <v>0</v>
      </c>
      <c r="U195" s="160">
        <f t="shared" ca="1" si="36"/>
        <v>0</v>
      </c>
      <c r="V195" s="163">
        <f t="shared" ca="1" si="30"/>
        <v>0</v>
      </c>
      <c r="W195" s="163">
        <f t="shared" ca="1" si="31"/>
        <v>0</v>
      </c>
      <c r="X195" s="163">
        <f t="shared" ca="1" si="32"/>
        <v>0</v>
      </c>
      <c r="Y195" s="163">
        <f t="shared" ca="1" si="33"/>
        <v>0</v>
      </c>
    </row>
    <row r="196" spans="12:25" ht="14.4">
      <c r="L196" s="464"/>
      <c r="M196" s="129" t="str">
        <f t="shared" si="34"/>
        <v>end</v>
      </c>
      <c r="N196" s="161">
        <f t="shared" si="29"/>
        <v>2</v>
      </c>
      <c r="O196" s="160">
        <f t="shared" ca="1" si="35"/>
        <v>0</v>
      </c>
      <c r="P196" s="160">
        <f t="shared" ca="1" si="38"/>
        <v>0</v>
      </c>
      <c r="Q196" s="160">
        <f t="shared" ca="1" si="39"/>
        <v>0</v>
      </c>
      <c r="R196" s="160">
        <f t="shared" ca="1" si="39"/>
        <v>0</v>
      </c>
      <c r="S196" s="160">
        <f t="shared" ca="1" si="39"/>
        <v>0</v>
      </c>
      <c r="T196" s="160">
        <f t="shared" ca="1" si="37"/>
        <v>0</v>
      </c>
      <c r="U196" s="160">
        <f t="shared" ca="1" si="36"/>
        <v>0</v>
      </c>
      <c r="V196" s="163">
        <f t="shared" ca="1" si="30"/>
        <v>0</v>
      </c>
      <c r="W196" s="163">
        <f t="shared" ca="1" si="31"/>
        <v>0</v>
      </c>
      <c r="X196" s="163">
        <f t="shared" ca="1" si="32"/>
        <v>0</v>
      </c>
      <c r="Y196" s="163">
        <f t="shared" ca="1" si="33"/>
        <v>0</v>
      </c>
    </row>
    <row r="197" spans="12:25" ht="14.4">
      <c r="L197" s="464"/>
      <c r="M197" s="129" t="str">
        <f t="shared" si="34"/>
        <v>end</v>
      </c>
      <c r="N197" s="161">
        <f t="shared" si="29"/>
        <v>2</v>
      </c>
      <c r="O197" s="160">
        <f t="shared" ca="1" si="35"/>
        <v>0</v>
      </c>
      <c r="P197" s="160">
        <f t="shared" ca="1" si="38"/>
        <v>0</v>
      </c>
      <c r="Q197" s="160">
        <f t="shared" ca="1" si="39"/>
        <v>0</v>
      </c>
      <c r="R197" s="160">
        <f t="shared" ca="1" si="39"/>
        <v>0</v>
      </c>
      <c r="S197" s="160">
        <f t="shared" ca="1" si="39"/>
        <v>0</v>
      </c>
      <c r="T197" s="160">
        <f t="shared" ca="1" si="37"/>
        <v>0</v>
      </c>
      <c r="U197" s="160">
        <f t="shared" ca="1" si="36"/>
        <v>0</v>
      </c>
      <c r="V197" s="163">
        <f t="shared" ca="1" si="30"/>
        <v>0</v>
      </c>
      <c r="W197" s="163">
        <f t="shared" ca="1" si="31"/>
        <v>0</v>
      </c>
      <c r="X197" s="163">
        <f t="shared" ca="1" si="32"/>
        <v>0</v>
      </c>
      <c r="Y197" s="163">
        <f t="shared" ca="1" si="33"/>
        <v>0</v>
      </c>
    </row>
    <row r="198" spans="12:25" ht="14.4">
      <c r="L198" s="464"/>
      <c r="M198" s="129" t="str">
        <f t="shared" si="34"/>
        <v>end</v>
      </c>
      <c r="N198" s="161">
        <f t="shared" si="29"/>
        <v>2</v>
      </c>
      <c r="O198" s="160">
        <f t="shared" ca="1" si="35"/>
        <v>0</v>
      </c>
      <c r="P198" s="160">
        <f t="shared" ca="1" si="38"/>
        <v>0</v>
      </c>
      <c r="Q198" s="160">
        <f t="shared" ca="1" si="39"/>
        <v>0</v>
      </c>
      <c r="R198" s="160">
        <f t="shared" ca="1" si="39"/>
        <v>0</v>
      </c>
      <c r="S198" s="160">
        <f t="shared" ca="1" si="39"/>
        <v>0</v>
      </c>
      <c r="T198" s="160">
        <f t="shared" ca="1" si="37"/>
        <v>0</v>
      </c>
      <c r="U198" s="160">
        <f t="shared" ca="1" si="36"/>
        <v>0</v>
      </c>
      <c r="V198" s="163">
        <f t="shared" ca="1" si="30"/>
        <v>0</v>
      </c>
      <c r="W198" s="163">
        <f t="shared" ca="1" si="31"/>
        <v>0</v>
      </c>
      <c r="X198" s="163">
        <f t="shared" ca="1" si="32"/>
        <v>0</v>
      </c>
      <c r="Y198" s="163">
        <f t="shared" ca="1" si="33"/>
        <v>0</v>
      </c>
    </row>
    <row r="199" spans="12:25" ht="14.4">
      <c r="L199" s="464"/>
      <c r="M199" s="129" t="str">
        <f t="shared" si="34"/>
        <v>end</v>
      </c>
      <c r="N199" s="161">
        <f t="shared" si="29"/>
        <v>2</v>
      </c>
      <c r="O199" s="160">
        <f t="shared" ca="1" si="35"/>
        <v>0</v>
      </c>
      <c r="P199" s="160">
        <f t="shared" ca="1" si="38"/>
        <v>0</v>
      </c>
      <c r="Q199" s="160">
        <f t="shared" ca="1" si="39"/>
        <v>0</v>
      </c>
      <c r="R199" s="160">
        <f t="shared" ca="1" si="39"/>
        <v>0</v>
      </c>
      <c r="S199" s="160">
        <f t="shared" ca="1" si="39"/>
        <v>0</v>
      </c>
      <c r="T199" s="160">
        <f t="shared" ca="1" si="37"/>
        <v>0</v>
      </c>
      <c r="U199" s="160">
        <f t="shared" ca="1" si="36"/>
        <v>0</v>
      </c>
      <c r="V199" s="163">
        <f t="shared" ca="1" si="30"/>
        <v>0</v>
      </c>
      <c r="W199" s="163">
        <f t="shared" ca="1" si="31"/>
        <v>0</v>
      </c>
      <c r="X199" s="163">
        <f t="shared" ca="1" si="32"/>
        <v>0</v>
      </c>
      <c r="Y199" s="163">
        <f t="shared" ca="1" si="33"/>
        <v>0</v>
      </c>
    </row>
    <row r="200" spans="12:25" ht="14.4">
      <c r="L200" s="464"/>
      <c r="M200" s="129" t="str">
        <f t="shared" si="34"/>
        <v>end</v>
      </c>
      <c r="N200" s="161">
        <f t="shared" si="29"/>
        <v>2</v>
      </c>
      <c r="O200" s="160">
        <f t="shared" ca="1" si="35"/>
        <v>0</v>
      </c>
      <c r="P200" s="160">
        <f t="shared" ca="1" si="38"/>
        <v>0</v>
      </c>
      <c r="Q200" s="160">
        <f t="shared" ca="1" si="39"/>
        <v>0</v>
      </c>
      <c r="R200" s="160">
        <f t="shared" ca="1" si="39"/>
        <v>0</v>
      </c>
      <c r="S200" s="160">
        <f t="shared" ca="1" si="39"/>
        <v>0</v>
      </c>
      <c r="T200" s="160">
        <f t="shared" ca="1" si="37"/>
        <v>0</v>
      </c>
      <c r="U200" s="160">
        <f t="shared" ca="1" si="36"/>
        <v>0</v>
      </c>
      <c r="V200" s="163">
        <f t="shared" ca="1" si="30"/>
        <v>0</v>
      </c>
      <c r="W200" s="163">
        <f t="shared" ca="1" si="31"/>
        <v>0</v>
      </c>
      <c r="X200" s="163">
        <f t="shared" ca="1" si="32"/>
        <v>0</v>
      </c>
      <c r="Y200" s="163">
        <f t="shared" ca="1" si="33"/>
        <v>0</v>
      </c>
    </row>
    <row r="201" spans="12:25" ht="14.4">
      <c r="L201" s="464"/>
      <c r="M201" s="129" t="str">
        <f t="shared" si="34"/>
        <v>end</v>
      </c>
      <c r="N201" s="161">
        <f t="shared" si="29"/>
        <v>2</v>
      </c>
      <c r="O201" s="160">
        <f t="shared" ca="1" si="35"/>
        <v>0</v>
      </c>
      <c r="P201" s="160">
        <f t="shared" ca="1" si="38"/>
        <v>0</v>
      </c>
      <c r="Q201" s="160">
        <f t="shared" ca="1" si="39"/>
        <v>0</v>
      </c>
      <c r="R201" s="160">
        <f t="shared" ca="1" si="39"/>
        <v>0</v>
      </c>
      <c r="S201" s="160">
        <f t="shared" ca="1" si="39"/>
        <v>0</v>
      </c>
      <c r="T201" s="160">
        <f t="shared" ca="1" si="37"/>
        <v>0</v>
      </c>
      <c r="U201" s="160">
        <f t="shared" ca="1" si="36"/>
        <v>0</v>
      </c>
      <c r="V201" s="163">
        <f t="shared" ca="1" si="30"/>
        <v>0</v>
      </c>
      <c r="W201" s="163">
        <f t="shared" ca="1" si="31"/>
        <v>0</v>
      </c>
      <c r="X201" s="163">
        <f t="shared" ca="1" si="32"/>
        <v>0</v>
      </c>
      <c r="Y201" s="163">
        <f t="shared" ca="1" si="33"/>
        <v>0</v>
      </c>
    </row>
    <row r="202" spans="12:25" ht="14.4">
      <c r="L202" s="464"/>
      <c r="M202" s="129" t="str">
        <f t="shared" si="34"/>
        <v>end</v>
      </c>
      <c r="N202" s="161">
        <f t="shared" si="29"/>
        <v>2</v>
      </c>
      <c r="O202" s="160">
        <f t="shared" ca="1" si="35"/>
        <v>0</v>
      </c>
      <c r="P202" s="160">
        <f t="shared" ca="1" si="38"/>
        <v>0</v>
      </c>
      <c r="Q202" s="160">
        <f t="shared" ca="1" si="39"/>
        <v>0</v>
      </c>
      <c r="R202" s="160">
        <f t="shared" ca="1" si="39"/>
        <v>0</v>
      </c>
      <c r="S202" s="160">
        <f t="shared" ca="1" si="39"/>
        <v>0</v>
      </c>
      <c r="T202" s="160">
        <f t="shared" ca="1" si="37"/>
        <v>0</v>
      </c>
      <c r="U202" s="160">
        <f t="shared" ca="1" si="36"/>
        <v>0</v>
      </c>
      <c r="V202" s="163">
        <f t="shared" ca="1" si="30"/>
        <v>0</v>
      </c>
      <c r="W202" s="163">
        <f t="shared" ca="1" si="31"/>
        <v>0</v>
      </c>
      <c r="X202" s="163">
        <f t="shared" ca="1" si="32"/>
        <v>0</v>
      </c>
      <c r="Y202" s="163">
        <f t="shared" ca="1" si="33"/>
        <v>0</v>
      </c>
    </row>
    <row r="203" spans="12:25" ht="14.4">
      <c r="L203" s="464"/>
      <c r="M203" s="129" t="str">
        <f t="shared" si="34"/>
        <v>end</v>
      </c>
      <c r="N203" s="161">
        <f t="shared" si="29"/>
        <v>2</v>
      </c>
      <c r="O203" s="160">
        <f t="shared" ca="1" si="35"/>
        <v>0</v>
      </c>
      <c r="P203" s="160">
        <f t="shared" ca="1" si="38"/>
        <v>0</v>
      </c>
      <c r="Q203" s="160">
        <f t="shared" ca="1" si="39"/>
        <v>0</v>
      </c>
      <c r="R203" s="160">
        <f t="shared" ca="1" si="39"/>
        <v>0</v>
      </c>
      <c r="S203" s="160">
        <f t="shared" ca="1" si="39"/>
        <v>0</v>
      </c>
      <c r="T203" s="160">
        <f t="shared" ca="1" si="37"/>
        <v>0</v>
      </c>
      <c r="U203" s="160">
        <f t="shared" ca="1" si="36"/>
        <v>0</v>
      </c>
      <c r="V203" s="163">
        <f t="shared" ca="1" si="30"/>
        <v>0</v>
      </c>
      <c r="W203" s="163">
        <f t="shared" ca="1" si="31"/>
        <v>0</v>
      </c>
      <c r="X203" s="163">
        <f t="shared" ca="1" si="32"/>
        <v>0</v>
      </c>
      <c r="Y203" s="163">
        <f t="shared" ca="1" si="33"/>
        <v>0</v>
      </c>
    </row>
    <row r="204" spans="12:25" ht="14.4">
      <c r="L204" s="464"/>
      <c r="M204" s="129" t="str">
        <f t="shared" si="34"/>
        <v>end</v>
      </c>
      <c r="N204" s="161">
        <f t="shared" si="29"/>
        <v>2</v>
      </c>
      <c r="O204" s="160">
        <f t="shared" ca="1" si="35"/>
        <v>0</v>
      </c>
      <c r="P204" s="160">
        <f t="shared" ca="1" si="38"/>
        <v>0</v>
      </c>
      <c r="Q204" s="160">
        <f t="shared" ca="1" si="39"/>
        <v>0</v>
      </c>
      <c r="R204" s="160">
        <f t="shared" ca="1" si="39"/>
        <v>0</v>
      </c>
      <c r="S204" s="160">
        <f t="shared" ca="1" si="39"/>
        <v>0</v>
      </c>
      <c r="T204" s="160">
        <f t="shared" ca="1" si="37"/>
        <v>0</v>
      </c>
      <c r="U204" s="160">
        <f t="shared" ca="1" si="36"/>
        <v>0</v>
      </c>
      <c r="V204" s="163">
        <f t="shared" ca="1" si="30"/>
        <v>0</v>
      </c>
      <c r="W204" s="163">
        <f t="shared" ca="1" si="31"/>
        <v>0</v>
      </c>
      <c r="X204" s="163">
        <f t="shared" ca="1" si="32"/>
        <v>0</v>
      </c>
      <c r="Y204" s="163">
        <f t="shared" ca="1" si="33"/>
        <v>0</v>
      </c>
    </row>
    <row r="205" spans="12:25" ht="14.4">
      <c r="L205" s="464"/>
      <c r="M205" s="129" t="str">
        <f t="shared" si="34"/>
        <v>end</v>
      </c>
      <c r="N205" s="161">
        <f t="shared" si="29"/>
        <v>2</v>
      </c>
      <c r="O205" s="160">
        <f t="shared" ca="1" si="35"/>
        <v>0</v>
      </c>
      <c r="P205" s="160">
        <f t="shared" ca="1" si="38"/>
        <v>0</v>
      </c>
      <c r="Q205" s="160">
        <f t="shared" ca="1" si="39"/>
        <v>0</v>
      </c>
      <c r="R205" s="160">
        <f t="shared" ca="1" si="39"/>
        <v>0</v>
      </c>
      <c r="S205" s="160">
        <f t="shared" ca="1" si="39"/>
        <v>0</v>
      </c>
      <c r="T205" s="160">
        <f t="shared" ca="1" si="37"/>
        <v>0</v>
      </c>
      <c r="U205" s="160">
        <f t="shared" ca="1" si="36"/>
        <v>0</v>
      </c>
      <c r="V205" s="163">
        <f t="shared" ca="1" si="30"/>
        <v>0</v>
      </c>
      <c r="W205" s="163">
        <f t="shared" ca="1" si="31"/>
        <v>0</v>
      </c>
      <c r="X205" s="163">
        <f t="shared" ca="1" si="32"/>
        <v>0</v>
      </c>
      <c r="Y205" s="163">
        <f t="shared" ca="1" si="33"/>
        <v>0</v>
      </c>
    </row>
    <row r="206" spans="12:25" ht="14.4">
      <c r="L206" s="464"/>
      <c r="M206" s="129" t="str">
        <f t="shared" si="34"/>
        <v>end</v>
      </c>
      <c r="N206" s="161">
        <f t="shared" si="29"/>
        <v>2</v>
      </c>
      <c r="O206" s="160">
        <f t="shared" ca="1" si="35"/>
        <v>0</v>
      </c>
      <c r="P206" s="160">
        <f t="shared" ca="1" si="38"/>
        <v>0</v>
      </c>
      <c r="Q206" s="160">
        <f t="shared" ca="1" si="39"/>
        <v>0</v>
      </c>
      <c r="R206" s="160">
        <f t="shared" ca="1" si="39"/>
        <v>0</v>
      </c>
      <c r="S206" s="160">
        <f t="shared" ca="1" si="39"/>
        <v>0</v>
      </c>
      <c r="T206" s="160">
        <f t="shared" ca="1" si="37"/>
        <v>0</v>
      </c>
      <c r="U206" s="160">
        <f t="shared" ca="1" si="36"/>
        <v>0</v>
      </c>
      <c r="V206" s="163">
        <f t="shared" ca="1" si="30"/>
        <v>0</v>
      </c>
      <c r="W206" s="163">
        <f t="shared" ca="1" si="31"/>
        <v>0</v>
      </c>
      <c r="X206" s="163">
        <f t="shared" ca="1" si="32"/>
        <v>0</v>
      </c>
      <c r="Y206" s="163">
        <f t="shared" ca="1" si="33"/>
        <v>0</v>
      </c>
    </row>
    <row r="207" spans="12:25" ht="14.4">
      <c r="L207" s="464"/>
      <c r="M207" s="129" t="str">
        <f t="shared" si="34"/>
        <v>end</v>
      </c>
      <c r="N207" s="161">
        <f t="shared" si="29"/>
        <v>2</v>
      </c>
      <c r="O207" s="160">
        <f t="shared" ca="1" si="35"/>
        <v>0</v>
      </c>
      <c r="P207" s="160">
        <f t="shared" ca="1" si="38"/>
        <v>0</v>
      </c>
      <c r="Q207" s="160">
        <f t="shared" ca="1" si="39"/>
        <v>0</v>
      </c>
      <c r="R207" s="160">
        <f t="shared" ca="1" si="39"/>
        <v>0</v>
      </c>
      <c r="S207" s="160">
        <f t="shared" ca="1" si="39"/>
        <v>0</v>
      </c>
      <c r="T207" s="160">
        <f t="shared" ca="1" si="37"/>
        <v>0</v>
      </c>
      <c r="U207" s="160">
        <f t="shared" ca="1" si="36"/>
        <v>0</v>
      </c>
      <c r="V207" s="163">
        <f t="shared" ca="1" si="30"/>
        <v>0</v>
      </c>
      <c r="W207" s="163">
        <f t="shared" ca="1" si="31"/>
        <v>0</v>
      </c>
      <c r="X207" s="163">
        <f t="shared" ca="1" si="32"/>
        <v>0</v>
      </c>
      <c r="Y207" s="163">
        <f t="shared" ca="1" si="33"/>
        <v>0</v>
      </c>
    </row>
    <row r="208" spans="12:25" ht="14.4">
      <c r="L208" s="464"/>
      <c r="M208" s="129" t="str">
        <f t="shared" si="34"/>
        <v>end</v>
      </c>
      <c r="N208" s="161">
        <f t="shared" si="29"/>
        <v>2</v>
      </c>
      <c r="O208" s="160">
        <f t="shared" ca="1" si="35"/>
        <v>0</v>
      </c>
      <c r="P208" s="160">
        <f t="shared" ca="1" si="38"/>
        <v>0</v>
      </c>
      <c r="Q208" s="160">
        <f t="shared" ca="1" si="39"/>
        <v>0</v>
      </c>
      <c r="R208" s="160">
        <f t="shared" ca="1" si="39"/>
        <v>0</v>
      </c>
      <c r="S208" s="160">
        <f t="shared" ca="1" si="39"/>
        <v>0</v>
      </c>
      <c r="T208" s="160">
        <f t="shared" ca="1" si="37"/>
        <v>0</v>
      </c>
      <c r="U208" s="160">
        <f t="shared" ca="1" si="36"/>
        <v>0</v>
      </c>
      <c r="V208" s="163">
        <f t="shared" ca="1" si="30"/>
        <v>0</v>
      </c>
      <c r="W208" s="163">
        <f t="shared" ca="1" si="31"/>
        <v>0</v>
      </c>
      <c r="X208" s="163">
        <f t="shared" ca="1" si="32"/>
        <v>0</v>
      </c>
      <c r="Y208" s="163">
        <f t="shared" ca="1" si="33"/>
        <v>0</v>
      </c>
    </row>
    <row r="209" spans="12:25" ht="14.4">
      <c r="L209" s="464"/>
      <c r="M209" s="129" t="str">
        <f t="shared" si="34"/>
        <v>end</v>
      </c>
      <c r="N209" s="161">
        <f t="shared" si="29"/>
        <v>2</v>
      </c>
      <c r="O209" s="160">
        <f t="shared" ca="1" si="35"/>
        <v>0</v>
      </c>
      <c r="P209" s="160">
        <f t="shared" ca="1" si="38"/>
        <v>0</v>
      </c>
      <c r="Q209" s="160">
        <f t="shared" ca="1" si="39"/>
        <v>0</v>
      </c>
      <c r="R209" s="160">
        <f t="shared" ca="1" si="39"/>
        <v>0</v>
      </c>
      <c r="S209" s="160">
        <f t="shared" ca="1" si="39"/>
        <v>0</v>
      </c>
      <c r="T209" s="160">
        <f t="shared" ca="1" si="37"/>
        <v>0</v>
      </c>
      <c r="U209" s="160">
        <f t="shared" ca="1" si="36"/>
        <v>0</v>
      </c>
      <c r="V209" s="163">
        <f t="shared" ca="1" si="30"/>
        <v>0</v>
      </c>
      <c r="W209" s="163">
        <f t="shared" ca="1" si="31"/>
        <v>0</v>
      </c>
      <c r="X209" s="163">
        <f t="shared" ca="1" si="32"/>
        <v>0</v>
      </c>
      <c r="Y209" s="163">
        <f t="shared" ca="1" si="33"/>
        <v>0</v>
      </c>
    </row>
    <row r="210" spans="12:25" ht="14.4">
      <c r="L210" s="464"/>
      <c r="M210" s="129" t="str">
        <f t="shared" si="34"/>
        <v>end</v>
      </c>
      <c r="N210" s="161">
        <f t="shared" ref="N210:N273" si="40">N209</f>
        <v>2</v>
      </c>
      <c r="O210" s="160">
        <f t="shared" ca="1" si="35"/>
        <v>0</v>
      </c>
      <c r="P210" s="160">
        <f t="shared" ca="1" si="38"/>
        <v>0</v>
      </c>
      <c r="Q210" s="160">
        <f t="shared" ca="1" si="39"/>
        <v>0</v>
      </c>
      <c r="R210" s="160">
        <f t="shared" ca="1" si="39"/>
        <v>0</v>
      </c>
      <c r="S210" s="160">
        <f t="shared" ca="1" si="39"/>
        <v>0</v>
      </c>
      <c r="T210" s="160">
        <f t="shared" ca="1" si="37"/>
        <v>0</v>
      </c>
      <c r="U210" s="160">
        <f t="shared" ca="1" si="36"/>
        <v>0</v>
      </c>
      <c r="V210" s="163">
        <f t="shared" ca="1" si="30"/>
        <v>0</v>
      </c>
      <c r="W210" s="163">
        <f t="shared" ca="1" si="31"/>
        <v>0</v>
      </c>
      <c r="X210" s="163">
        <f t="shared" ca="1" si="32"/>
        <v>0</v>
      </c>
      <c r="Y210" s="163">
        <f t="shared" ca="1" si="33"/>
        <v>0</v>
      </c>
    </row>
    <row r="211" spans="12:25" ht="14.4">
      <c r="L211" s="464"/>
      <c r="M211" s="129" t="str">
        <f t="shared" si="34"/>
        <v>end</v>
      </c>
      <c r="N211" s="161">
        <f t="shared" si="40"/>
        <v>2</v>
      </c>
      <c r="O211" s="160">
        <f t="shared" ca="1" si="35"/>
        <v>0</v>
      </c>
      <c r="P211" s="160">
        <f t="shared" ca="1" si="38"/>
        <v>0</v>
      </c>
      <c r="Q211" s="160">
        <f t="shared" ca="1" si="39"/>
        <v>0</v>
      </c>
      <c r="R211" s="160">
        <f t="shared" ca="1" si="39"/>
        <v>0</v>
      </c>
      <c r="S211" s="160">
        <f t="shared" ca="1" si="39"/>
        <v>0</v>
      </c>
      <c r="T211" s="160">
        <f t="shared" ca="1" si="37"/>
        <v>0</v>
      </c>
      <c r="U211" s="160">
        <f t="shared" ca="1" si="36"/>
        <v>0</v>
      </c>
      <c r="V211" s="163">
        <f t="shared" ca="1" si="30"/>
        <v>0</v>
      </c>
      <c r="W211" s="163">
        <f t="shared" ca="1" si="31"/>
        <v>0</v>
      </c>
      <c r="X211" s="163">
        <f t="shared" ca="1" si="32"/>
        <v>0</v>
      </c>
      <c r="Y211" s="163">
        <f t="shared" ca="1" si="33"/>
        <v>0</v>
      </c>
    </row>
    <row r="212" spans="12:25" ht="14.4">
      <c r="L212" s="464"/>
      <c r="M212" s="129" t="str">
        <f t="shared" si="34"/>
        <v>end</v>
      </c>
      <c r="N212" s="161">
        <f t="shared" si="40"/>
        <v>2</v>
      </c>
      <c r="O212" s="160">
        <f t="shared" ca="1" si="35"/>
        <v>0</v>
      </c>
      <c r="P212" s="160">
        <f t="shared" ca="1" si="38"/>
        <v>0</v>
      </c>
      <c r="Q212" s="160">
        <f t="shared" ca="1" si="39"/>
        <v>0</v>
      </c>
      <c r="R212" s="160">
        <f t="shared" ca="1" si="39"/>
        <v>0</v>
      </c>
      <c r="S212" s="160">
        <f t="shared" ca="1" si="39"/>
        <v>0</v>
      </c>
      <c r="T212" s="160">
        <f t="shared" ca="1" si="37"/>
        <v>0</v>
      </c>
      <c r="U212" s="160">
        <f t="shared" ca="1" si="36"/>
        <v>0</v>
      </c>
      <c r="V212" s="163">
        <f t="shared" ca="1" si="30"/>
        <v>0</v>
      </c>
      <c r="W212" s="163">
        <f t="shared" ca="1" si="31"/>
        <v>0</v>
      </c>
      <c r="X212" s="163">
        <f t="shared" ca="1" si="32"/>
        <v>0</v>
      </c>
      <c r="Y212" s="163">
        <f t="shared" ca="1" si="33"/>
        <v>0</v>
      </c>
    </row>
    <row r="213" spans="12:25" ht="14.4">
      <c r="L213" s="464"/>
      <c r="M213" s="129" t="str">
        <f t="shared" si="34"/>
        <v>end</v>
      </c>
      <c r="N213" s="161">
        <f t="shared" si="40"/>
        <v>2</v>
      </c>
      <c r="O213" s="160">
        <f t="shared" ca="1" si="35"/>
        <v>0</v>
      </c>
      <c r="P213" s="160">
        <f t="shared" ca="1" si="38"/>
        <v>0</v>
      </c>
      <c r="Q213" s="160">
        <f t="shared" ca="1" si="39"/>
        <v>0</v>
      </c>
      <c r="R213" s="160">
        <f t="shared" ca="1" si="39"/>
        <v>0</v>
      </c>
      <c r="S213" s="160">
        <f t="shared" ca="1" si="39"/>
        <v>0</v>
      </c>
      <c r="T213" s="160">
        <f t="shared" ca="1" si="37"/>
        <v>0</v>
      </c>
      <c r="U213" s="160">
        <f t="shared" ca="1" si="36"/>
        <v>0</v>
      </c>
      <c r="V213" s="163">
        <f t="shared" ca="1" si="30"/>
        <v>0</v>
      </c>
      <c r="W213" s="163">
        <f t="shared" ca="1" si="31"/>
        <v>0</v>
      </c>
      <c r="X213" s="163">
        <f t="shared" ca="1" si="32"/>
        <v>0</v>
      </c>
      <c r="Y213" s="163">
        <f t="shared" ca="1" si="33"/>
        <v>0</v>
      </c>
    </row>
    <row r="214" spans="12:25" ht="14.4">
      <c r="L214" s="464"/>
      <c r="M214" s="129" t="str">
        <f t="shared" si="34"/>
        <v>end</v>
      </c>
      <c r="N214" s="161">
        <f t="shared" si="40"/>
        <v>2</v>
      </c>
      <c r="O214" s="160">
        <f t="shared" ca="1" si="35"/>
        <v>0</v>
      </c>
      <c r="P214" s="160">
        <f t="shared" ca="1" si="38"/>
        <v>0</v>
      </c>
      <c r="Q214" s="160">
        <f t="shared" ca="1" si="39"/>
        <v>0</v>
      </c>
      <c r="R214" s="160">
        <f t="shared" ca="1" si="39"/>
        <v>0</v>
      </c>
      <c r="S214" s="160">
        <f t="shared" ca="1" si="39"/>
        <v>0</v>
      </c>
      <c r="T214" s="160">
        <f t="shared" ca="1" si="37"/>
        <v>0</v>
      </c>
      <c r="U214" s="160">
        <f t="shared" ca="1" si="36"/>
        <v>0</v>
      </c>
      <c r="V214" s="163">
        <f t="shared" ca="1" si="30"/>
        <v>0</v>
      </c>
      <c r="W214" s="163">
        <f t="shared" ca="1" si="31"/>
        <v>0</v>
      </c>
      <c r="X214" s="163">
        <f t="shared" ca="1" si="32"/>
        <v>0</v>
      </c>
      <c r="Y214" s="163">
        <f t="shared" ca="1" si="33"/>
        <v>0</v>
      </c>
    </row>
    <row r="215" spans="12:25" ht="14.4">
      <c r="L215" s="464"/>
      <c r="M215" s="129" t="str">
        <f t="shared" si="34"/>
        <v>end</v>
      </c>
      <c r="N215" s="161">
        <f t="shared" si="40"/>
        <v>2</v>
      </c>
      <c r="O215" s="160">
        <f t="shared" ca="1" si="35"/>
        <v>0</v>
      </c>
      <c r="P215" s="160">
        <f t="shared" ca="1" si="38"/>
        <v>0</v>
      </c>
      <c r="Q215" s="160">
        <f t="shared" ca="1" si="39"/>
        <v>0</v>
      </c>
      <c r="R215" s="160">
        <f t="shared" ca="1" si="39"/>
        <v>0</v>
      </c>
      <c r="S215" s="160">
        <f t="shared" ca="1" si="39"/>
        <v>0</v>
      </c>
      <c r="T215" s="160">
        <f t="shared" ca="1" si="37"/>
        <v>0</v>
      </c>
      <c r="U215" s="160">
        <f t="shared" ca="1" si="36"/>
        <v>0</v>
      </c>
      <c r="V215" s="163">
        <f t="shared" ca="1" si="30"/>
        <v>0</v>
      </c>
      <c r="W215" s="163">
        <f t="shared" ca="1" si="31"/>
        <v>0</v>
      </c>
      <c r="X215" s="163">
        <f t="shared" ca="1" si="32"/>
        <v>0</v>
      </c>
      <c r="Y215" s="163">
        <f t="shared" ca="1" si="33"/>
        <v>0</v>
      </c>
    </row>
    <row r="216" spans="12:25" ht="14.4">
      <c r="L216" s="464"/>
      <c r="M216" s="129" t="str">
        <f t="shared" si="34"/>
        <v>end</v>
      </c>
      <c r="N216" s="161">
        <f t="shared" si="40"/>
        <v>2</v>
      </c>
      <c r="O216" s="160">
        <f t="shared" ca="1" si="35"/>
        <v>0</v>
      </c>
      <c r="P216" s="160">
        <f t="shared" ca="1" si="38"/>
        <v>0</v>
      </c>
      <c r="Q216" s="160">
        <f t="shared" ca="1" si="39"/>
        <v>0</v>
      </c>
      <c r="R216" s="160">
        <f t="shared" ca="1" si="39"/>
        <v>0</v>
      </c>
      <c r="S216" s="160">
        <f t="shared" ca="1" si="39"/>
        <v>0</v>
      </c>
      <c r="T216" s="160">
        <f t="shared" ca="1" si="37"/>
        <v>0</v>
      </c>
      <c r="U216" s="160">
        <f t="shared" ca="1" si="36"/>
        <v>0</v>
      </c>
      <c r="V216" s="163">
        <f t="shared" ca="1" si="30"/>
        <v>0</v>
      </c>
      <c r="W216" s="163">
        <f t="shared" ca="1" si="31"/>
        <v>0</v>
      </c>
      <c r="X216" s="163">
        <f t="shared" ca="1" si="32"/>
        <v>0</v>
      </c>
      <c r="Y216" s="163">
        <f t="shared" ca="1" si="33"/>
        <v>0</v>
      </c>
    </row>
    <row r="217" spans="12:25" ht="14.4">
      <c r="L217" s="464"/>
      <c r="M217" s="129" t="str">
        <f t="shared" si="34"/>
        <v>end</v>
      </c>
      <c r="N217" s="161">
        <f t="shared" si="40"/>
        <v>2</v>
      </c>
      <c r="O217" s="160">
        <f t="shared" ca="1" si="35"/>
        <v>0</v>
      </c>
      <c r="P217" s="160">
        <f t="shared" ca="1" si="38"/>
        <v>0</v>
      </c>
      <c r="Q217" s="160">
        <f t="shared" ca="1" si="39"/>
        <v>0</v>
      </c>
      <c r="R217" s="160">
        <f t="shared" ca="1" si="39"/>
        <v>0</v>
      </c>
      <c r="S217" s="160">
        <f t="shared" ca="1" si="39"/>
        <v>0</v>
      </c>
      <c r="T217" s="160">
        <f t="shared" ca="1" si="37"/>
        <v>0</v>
      </c>
      <c r="U217" s="160">
        <f t="shared" ca="1" si="36"/>
        <v>0</v>
      </c>
      <c r="V217" s="163">
        <f t="shared" ca="1" si="30"/>
        <v>0</v>
      </c>
      <c r="W217" s="163">
        <f t="shared" ca="1" si="31"/>
        <v>0</v>
      </c>
      <c r="X217" s="163">
        <f t="shared" ca="1" si="32"/>
        <v>0</v>
      </c>
      <c r="Y217" s="163">
        <f t="shared" ca="1" si="33"/>
        <v>0</v>
      </c>
    </row>
    <row r="218" spans="12:25" ht="14.4">
      <c r="L218" s="464"/>
      <c r="M218" s="129" t="str">
        <f t="shared" si="34"/>
        <v>end</v>
      </c>
      <c r="N218" s="161">
        <f t="shared" si="40"/>
        <v>2</v>
      </c>
      <c r="O218" s="160">
        <f t="shared" ca="1" si="35"/>
        <v>0</v>
      </c>
      <c r="P218" s="160">
        <f t="shared" ca="1" si="38"/>
        <v>0</v>
      </c>
      <c r="Q218" s="160">
        <f t="shared" ca="1" si="39"/>
        <v>0</v>
      </c>
      <c r="R218" s="160">
        <f t="shared" ca="1" si="39"/>
        <v>0</v>
      </c>
      <c r="S218" s="160">
        <f t="shared" ca="1" si="39"/>
        <v>0</v>
      </c>
      <c r="T218" s="160">
        <f t="shared" ca="1" si="37"/>
        <v>0</v>
      </c>
      <c r="U218" s="160">
        <f t="shared" ca="1" si="36"/>
        <v>0</v>
      </c>
      <c r="V218" s="163">
        <f t="shared" ca="1" si="30"/>
        <v>0</v>
      </c>
      <c r="W218" s="163">
        <f t="shared" ca="1" si="31"/>
        <v>0</v>
      </c>
      <c r="X218" s="163">
        <f t="shared" ca="1" si="32"/>
        <v>0</v>
      </c>
      <c r="Y218" s="163">
        <f t="shared" ca="1" si="33"/>
        <v>0</v>
      </c>
    </row>
    <row r="219" spans="12:25" ht="14.4">
      <c r="L219" s="464"/>
      <c r="M219" s="129" t="str">
        <f t="shared" si="34"/>
        <v>end</v>
      </c>
      <c r="N219" s="161">
        <f t="shared" si="40"/>
        <v>2</v>
      </c>
      <c r="O219" s="160">
        <f t="shared" ca="1" si="35"/>
        <v>0</v>
      </c>
      <c r="P219" s="160">
        <f t="shared" ca="1" si="38"/>
        <v>0</v>
      </c>
      <c r="Q219" s="160">
        <f t="shared" ca="1" si="39"/>
        <v>0</v>
      </c>
      <c r="R219" s="160">
        <f t="shared" ca="1" si="39"/>
        <v>0</v>
      </c>
      <c r="S219" s="160">
        <f t="shared" ca="1" si="39"/>
        <v>0</v>
      </c>
      <c r="T219" s="160">
        <f t="shared" ca="1" si="37"/>
        <v>0</v>
      </c>
      <c r="U219" s="160">
        <f t="shared" ca="1" si="36"/>
        <v>0</v>
      </c>
      <c r="V219" s="163">
        <f t="shared" ca="1" si="30"/>
        <v>0</v>
      </c>
      <c r="W219" s="163">
        <f t="shared" ca="1" si="31"/>
        <v>0</v>
      </c>
      <c r="X219" s="163">
        <f t="shared" ca="1" si="32"/>
        <v>0</v>
      </c>
      <c r="Y219" s="163">
        <f t="shared" ca="1" si="33"/>
        <v>0</v>
      </c>
    </row>
    <row r="220" spans="12:25" ht="14.4">
      <c r="L220" s="464"/>
      <c r="M220" s="129" t="str">
        <f t="shared" si="34"/>
        <v>end</v>
      </c>
      <c r="N220" s="161">
        <f t="shared" si="40"/>
        <v>2</v>
      </c>
      <c r="O220" s="160">
        <f t="shared" ca="1" si="35"/>
        <v>0</v>
      </c>
      <c r="P220" s="160">
        <f t="shared" ca="1" si="38"/>
        <v>0</v>
      </c>
      <c r="Q220" s="160">
        <f t="shared" ca="1" si="39"/>
        <v>0</v>
      </c>
      <c r="R220" s="160">
        <f t="shared" ca="1" si="39"/>
        <v>0</v>
      </c>
      <c r="S220" s="160">
        <f t="shared" ca="1" si="39"/>
        <v>0</v>
      </c>
      <c r="T220" s="160">
        <f t="shared" ca="1" si="37"/>
        <v>0</v>
      </c>
      <c r="U220" s="160">
        <f t="shared" ca="1" si="36"/>
        <v>0</v>
      </c>
      <c r="V220" s="163">
        <f t="shared" ca="1" si="30"/>
        <v>0</v>
      </c>
      <c r="W220" s="163">
        <f t="shared" ca="1" si="31"/>
        <v>0</v>
      </c>
      <c r="X220" s="163">
        <f t="shared" ca="1" si="32"/>
        <v>0</v>
      </c>
      <c r="Y220" s="163">
        <f t="shared" ca="1" si="33"/>
        <v>0</v>
      </c>
    </row>
    <row r="221" spans="12:25" ht="14.4">
      <c r="L221" s="464"/>
      <c r="M221" s="129" t="str">
        <f t="shared" si="34"/>
        <v>end</v>
      </c>
      <c r="N221" s="161">
        <f t="shared" si="40"/>
        <v>2</v>
      </c>
      <c r="O221" s="160">
        <f t="shared" ca="1" si="35"/>
        <v>0</v>
      </c>
      <c r="P221" s="160">
        <f t="shared" ca="1" si="38"/>
        <v>0</v>
      </c>
      <c r="Q221" s="160">
        <f t="shared" ca="1" si="39"/>
        <v>0</v>
      </c>
      <c r="R221" s="160">
        <f t="shared" ca="1" si="39"/>
        <v>0</v>
      </c>
      <c r="S221" s="160">
        <f t="shared" ca="1" si="39"/>
        <v>0</v>
      </c>
      <c r="T221" s="160">
        <f t="shared" ca="1" si="37"/>
        <v>0</v>
      </c>
      <c r="U221" s="160">
        <f t="shared" ca="1" si="36"/>
        <v>0</v>
      </c>
      <c r="V221" s="163">
        <f t="shared" ca="1" si="30"/>
        <v>0</v>
      </c>
      <c r="W221" s="163">
        <f t="shared" ca="1" si="31"/>
        <v>0</v>
      </c>
      <c r="X221" s="163">
        <f t="shared" ca="1" si="32"/>
        <v>0</v>
      </c>
      <c r="Y221" s="163">
        <f t="shared" ca="1" si="33"/>
        <v>0</v>
      </c>
    </row>
    <row r="222" spans="12:25" ht="14.4">
      <c r="L222" s="464"/>
      <c r="M222" s="129" t="str">
        <f t="shared" si="34"/>
        <v>end</v>
      </c>
      <c r="N222" s="161">
        <f t="shared" si="40"/>
        <v>2</v>
      </c>
      <c r="O222" s="160">
        <f t="shared" ca="1" si="35"/>
        <v>0</v>
      </c>
      <c r="P222" s="160">
        <f t="shared" ca="1" si="38"/>
        <v>0</v>
      </c>
      <c r="Q222" s="160">
        <f t="shared" ca="1" si="39"/>
        <v>0</v>
      </c>
      <c r="R222" s="160">
        <f t="shared" ca="1" si="39"/>
        <v>0</v>
      </c>
      <c r="S222" s="160">
        <f t="shared" ca="1" si="39"/>
        <v>0</v>
      </c>
      <c r="T222" s="160">
        <f t="shared" ca="1" si="37"/>
        <v>0</v>
      </c>
      <c r="U222" s="160">
        <f t="shared" ca="1" si="36"/>
        <v>0</v>
      </c>
      <c r="V222" s="163">
        <f t="shared" ca="1" si="30"/>
        <v>0</v>
      </c>
      <c r="W222" s="163">
        <f t="shared" ca="1" si="31"/>
        <v>0</v>
      </c>
      <c r="X222" s="163">
        <f t="shared" ca="1" si="32"/>
        <v>0</v>
      </c>
      <c r="Y222" s="163">
        <f t="shared" ca="1" si="33"/>
        <v>0</v>
      </c>
    </row>
    <row r="223" spans="12:25" ht="14.4">
      <c r="L223" s="464"/>
      <c r="M223" s="129" t="str">
        <f t="shared" si="34"/>
        <v>end</v>
      </c>
      <c r="N223" s="161">
        <f t="shared" si="40"/>
        <v>2</v>
      </c>
      <c r="O223" s="160">
        <f t="shared" ca="1" si="35"/>
        <v>0</v>
      </c>
      <c r="P223" s="160">
        <f t="shared" ca="1" si="38"/>
        <v>0</v>
      </c>
      <c r="Q223" s="160">
        <f t="shared" ca="1" si="39"/>
        <v>0</v>
      </c>
      <c r="R223" s="160">
        <f t="shared" ca="1" si="39"/>
        <v>0</v>
      </c>
      <c r="S223" s="160">
        <f t="shared" ca="1" si="39"/>
        <v>0</v>
      </c>
      <c r="T223" s="160">
        <f t="shared" ca="1" si="37"/>
        <v>0</v>
      </c>
      <c r="U223" s="160">
        <f t="shared" ca="1" si="36"/>
        <v>0</v>
      </c>
      <c r="V223" s="163">
        <f t="shared" ref="V223:V286" ca="1" si="41">IF(Q223=0,0,IF(S223=180,IF(R223=0,"Slab on Grade",IF(R223=1,"Exposed Floor",IF(R223=3,"Internal Floor",U223))),IF(S223&lt;45,IF(R223=3,"Internal Ceiling",IF(R223=1,"Roof",U223)))))</f>
        <v>0</v>
      </c>
      <c r="W223" s="163">
        <f t="shared" ref="W223:W286" ca="1" si="42">IF(ISNUMBER(SEARCH($W$29,U223))=TRUE,IF(ISNUMBER(SEARCH($W$27,U223))=TRUE,IF(R223=1,"eFrame",IF(R223=3,"iFrame")),IF(R223=1,"eWindow",IF(R223=3,"iWindow"))),U223)</f>
        <v>0</v>
      </c>
      <c r="X223" s="163">
        <f t="shared" ref="X223:X286" ca="1" si="43">IF(ISNUMBER(SEARCH($X$29,U223))=TRUE,IF(ISNUMBER(SEARCH($X$27,U223))=TRUE,IF(R223=1,"eFrameDoor",IF(R223=3,"iFrameDoor")),IF(R223=1,"eDoor",IF(R223=3,"iDoor"))),U223)</f>
        <v>0</v>
      </c>
      <c r="Y223" s="163">
        <f t="shared" ref="Y223:Y286" ca="1" si="44">IF(ISNUMBER(SEARCH($W$29,U223))=TRUE,"Substract",IF(ISNUMBER(SEARCH($X$29,U223))=TRUE, "Sunstract",IF(S223=90,IF(R223=1,"External Wall",IF(R223=3,"Internal Wall",IF(R223=0,"Below Grade Wall",U223))),V223)))</f>
        <v>0</v>
      </c>
    </row>
    <row r="224" spans="12:25" ht="14.4">
      <c r="L224" s="464"/>
      <c r="M224" s="129" t="str">
        <f t="shared" ref="M224:M287" si="45">IF(M223="end","end",IF(M223=$K$1,"end",M223+1))</f>
        <v>end</v>
      </c>
      <c r="N224" s="161">
        <f t="shared" si="40"/>
        <v>2</v>
      </c>
      <c r="O224" s="160">
        <f t="shared" ca="1" si="35"/>
        <v>0</v>
      </c>
      <c r="P224" s="160">
        <f t="shared" ca="1" si="38"/>
        <v>0</v>
      </c>
      <c r="Q224" s="160">
        <f t="shared" ca="1" si="39"/>
        <v>0</v>
      </c>
      <c r="R224" s="160">
        <f t="shared" ca="1" si="39"/>
        <v>0</v>
      </c>
      <c r="S224" s="160">
        <f t="shared" ca="1" si="39"/>
        <v>0</v>
      </c>
      <c r="T224" s="160">
        <f t="shared" ca="1" si="37"/>
        <v>0</v>
      </c>
      <c r="U224" s="160">
        <f t="shared" ca="1" si="36"/>
        <v>0</v>
      </c>
      <c r="V224" s="163">
        <f t="shared" ca="1" si="41"/>
        <v>0</v>
      </c>
      <c r="W224" s="163">
        <f t="shared" ca="1" si="42"/>
        <v>0</v>
      </c>
      <c r="X224" s="163">
        <f t="shared" ca="1" si="43"/>
        <v>0</v>
      </c>
      <c r="Y224" s="163">
        <f t="shared" ca="1" si="44"/>
        <v>0</v>
      </c>
    </row>
    <row r="225" spans="12:25" ht="14.4">
      <c r="L225" s="464"/>
      <c r="M225" s="129" t="str">
        <f t="shared" si="45"/>
        <v>end</v>
      </c>
      <c r="N225" s="161">
        <f t="shared" si="40"/>
        <v>2</v>
      </c>
      <c r="O225" s="160">
        <f t="shared" ca="1" si="35"/>
        <v>0</v>
      </c>
      <c r="P225" s="160">
        <f t="shared" ca="1" si="38"/>
        <v>0</v>
      </c>
      <c r="Q225" s="160">
        <f t="shared" ca="1" si="39"/>
        <v>0</v>
      </c>
      <c r="R225" s="160">
        <f t="shared" ca="1" si="39"/>
        <v>0</v>
      </c>
      <c r="S225" s="160">
        <f t="shared" ca="1" si="39"/>
        <v>0</v>
      </c>
      <c r="T225" s="160">
        <f t="shared" ca="1" si="37"/>
        <v>0</v>
      </c>
      <c r="U225" s="160">
        <f t="shared" ca="1" si="36"/>
        <v>0</v>
      </c>
      <c r="V225" s="163">
        <f t="shared" ca="1" si="41"/>
        <v>0</v>
      </c>
      <c r="W225" s="163">
        <f t="shared" ca="1" si="42"/>
        <v>0</v>
      </c>
      <c r="X225" s="163">
        <f t="shared" ca="1" si="43"/>
        <v>0</v>
      </c>
      <c r="Y225" s="163">
        <f t="shared" ca="1" si="44"/>
        <v>0</v>
      </c>
    </row>
    <row r="226" spans="12:25" ht="14.4">
      <c r="L226" s="464"/>
      <c r="M226" s="129" t="str">
        <f t="shared" si="45"/>
        <v>end</v>
      </c>
      <c r="N226" s="161">
        <f t="shared" si="40"/>
        <v>2</v>
      </c>
      <c r="O226" s="160">
        <f t="shared" ca="1" si="35"/>
        <v>0</v>
      </c>
      <c r="P226" s="160">
        <f t="shared" ca="1" si="38"/>
        <v>0</v>
      </c>
      <c r="Q226" s="160">
        <f t="shared" ca="1" si="39"/>
        <v>0</v>
      </c>
      <c r="R226" s="160">
        <f t="shared" ca="1" si="39"/>
        <v>0</v>
      </c>
      <c r="S226" s="160">
        <f t="shared" ca="1" si="39"/>
        <v>0</v>
      </c>
      <c r="T226" s="160">
        <f t="shared" ca="1" si="37"/>
        <v>0</v>
      </c>
      <c r="U226" s="160">
        <f t="shared" ca="1" si="36"/>
        <v>0</v>
      </c>
      <c r="V226" s="163">
        <f t="shared" ca="1" si="41"/>
        <v>0</v>
      </c>
      <c r="W226" s="163">
        <f t="shared" ca="1" si="42"/>
        <v>0</v>
      </c>
      <c r="X226" s="163">
        <f t="shared" ca="1" si="43"/>
        <v>0</v>
      </c>
      <c r="Y226" s="163">
        <f t="shared" ca="1" si="44"/>
        <v>0</v>
      </c>
    </row>
    <row r="227" spans="12:25" ht="14.4">
      <c r="L227" s="464"/>
      <c r="M227" s="129" t="str">
        <f t="shared" si="45"/>
        <v>end</v>
      </c>
      <c r="N227" s="161">
        <f t="shared" si="40"/>
        <v>2</v>
      </c>
      <c r="O227" s="160">
        <f t="shared" ca="1" si="35"/>
        <v>0</v>
      </c>
      <c r="P227" s="160">
        <f t="shared" ca="1" si="38"/>
        <v>0</v>
      </c>
      <c r="Q227" s="160">
        <f t="shared" ca="1" si="39"/>
        <v>0</v>
      </c>
      <c r="R227" s="160">
        <f t="shared" ca="1" si="39"/>
        <v>0</v>
      </c>
      <c r="S227" s="160">
        <f t="shared" ca="1" si="39"/>
        <v>0</v>
      </c>
      <c r="T227" s="160">
        <f t="shared" ca="1" si="37"/>
        <v>0</v>
      </c>
      <c r="U227" s="160">
        <f t="shared" ca="1" si="36"/>
        <v>0</v>
      </c>
      <c r="V227" s="163">
        <f t="shared" ca="1" si="41"/>
        <v>0</v>
      </c>
      <c r="W227" s="163">
        <f t="shared" ca="1" si="42"/>
        <v>0</v>
      </c>
      <c r="X227" s="163">
        <f t="shared" ca="1" si="43"/>
        <v>0</v>
      </c>
      <c r="Y227" s="163">
        <f t="shared" ca="1" si="44"/>
        <v>0</v>
      </c>
    </row>
    <row r="228" spans="12:25" ht="14.4">
      <c r="L228" s="464"/>
      <c r="M228" s="129" t="str">
        <f t="shared" si="45"/>
        <v>end</v>
      </c>
      <c r="N228" s="161">
        <f t="shared" si="40"/>
        <v>2</v>
      </c>
      <c r="O228" s="160">
        <f t="shared" ca="1" si="35"/>
        <v>0</v>
      </c>
      <c r="P228" s="160">
        <f t="shared" ca="1" si="38"/>
        <v>0</v>
      </c>
      <c r="Q228" s="160">
        <f t="shared" ca="1" si="39"/>
        <v>0</v>
      </c>
      <c r="R228" s="160">
        <f t="shared" ca="1" si="39"/>
        <v>0</v>
      </c>
      <c r="S228" s="160">
        <f t="shared" ca="1" si="39"/>
        <v>0</v>
      </c>
      <c r="T228" s="160">
        <f t="shared" ca="1" si="37"/>
        <v>0</v>
      </c>
      <c r="U228" s="160">
        <f t="shared" ca="1" si="36"/>
        <v>0</v>
      </c>
      <c r="V228" s="163">
        <f t="shared" ca="1" si="41"/>
        <v>0</v>
      </c>
      <c r="W228" s="163">
        <f t="shared" ca="1" si="42"/>
        <v>0</v>
      </c>
      <c r="X228" s="163">
        <f t="shared" ca="1" si="43"/>
        <v>0</v>
      </c>
      <c r="Y228" s="163">
        <f t="shared" ca="1" si="44"/>
        <v>0</v>
      </c>
    </row>
    <row r="229" spans="12:25" ht="14.4">
      <c r="L229" s="464"/>
      <c r="M229" s="129" t="str">
        <f t="shared" si="45"/>
        <v>end</v>
      </c>
      <c r="N229" s="161">
        <f t="shared" si="40"/>
        <v>2</v>
      </c>
      <c r="O229" s="160">
        <f t="shared" ca="1" si="35"/>
        <v>0</v>
      </c>
      <c r="P229" s="160">
        <f t="shared" ca="1" si="38"/>
        <v>0</v>
      </c>
      <c r="Q229" s="160">
        <f t="shared" ca="1" si="39"/>
        <v>0</v>
      </c>
      <c r="R229" s="160">
        <f t="shared" ca="1" si="39"/>
        <v>0</v>
      </c>
      <c r="S229" s="160">
        <f t="shared" ca="1" si="39"/>
        <v>0</v>
      </c>
      <c r="T229" s="160">
        <f t="shared" ca="1" si="37"/>
        <v>0</v>
      </c>
      <c r="U229" s="160">
        <f t="shared" ca="1" si="36"/>
        <v>0</v>
      </c>
      <c r="V229" s="163">
        <f t="shared" ca="1" si="41"/>
        <v>0</v>
      </c>
      <c r="W229" s="163">
        <f t="shared" ca="1" si="42"/>
        <v>0</v>
      </c>
      <c r="X229" s="163">
        <f t="shared" ca="1" si="43"/>
        <v>0</v>
      </c>
      <c r="Y229" s="163">
        <f t="shared" ca="1" si="44"/>
        <v>0</v>
      </c>
    </row>
    <row r="230" spans="12:25" ht="14.4">
      <c r="L230" s="464"/>
      <c r="M230" s="129" t="str">
        <f t="shared" si="45"/>
        <v>end</v>
      </c>
      <c r="N230" s="161">
        <f t="shared" si="40"/>
        <v>2</v>
      </c>
      <c r="O230" s="160">
        <f t="shared" ca="1" si="35"/>
        <v>0</v>
      </c>
      <c r="P230" s="160">
        <f t="shared" ca="1" si="38"/>
        <v>0</v>
      </c>
      <c r="Q230" s="160">
        <f t="shared" ca="1" si="39"/>
        <v>0</v>
      </c>
      <c r="R230" s="160">
        <f t="shared" ca="1" si="39"/>
        <v>0</v>
      </c>
      <c r="S230" s="160">
        <f t="shared" ca="1" si="39"/>
        <v>0</v>
      </c>
      <c r="T230" s="160">
        <f t="shared" ca="1" si="37"/>
        <v>0</v>
      </c>
      <c r="U230" s="160">
        <f t="shared" ca="1" si="36"/>
        <v>0</v>
      </c>
      <c r="V230" s="163">
        <f t="shared" ca="1" si="41"/>
        <v>0</v>
      </c>
      <c r="W230" s="163">
        <f t="shared" ca="1" si="42"/>
        <v>0</v>
      </c>
      <c r="X230" s="163">
        <f t="shared" ca="1" si="43"/>
        <v>0</v>
      </c>
      <c r="Y230" s="163">
        <f t="shared" ca="1" si="44"/>
        <v>0</v>
      </c>
    </row>
    <row r="231" spans="12:25" ht="14.4">
      <c r="L231" s="464"/>
      <c r="M231" s="129" t="str">
        <f t="shared" si="45"/>
        <v>end</v>
      </c>
      <c r="N231" s="161">
        <f t="shared" si="40"/>
        <v>2</v>
      </c>
      <c r="O231" s="160">
        <f t="shared" ca="1" si="35"/>
        <v>0</v>
      </c>
      <c r="P231" s="160">
        <f t="shared" ca="1" si="38"/>
        <v>0</v>
      </c>
      <c r="Q231" s="160">
        <f t="shared" ca="1" si="39"/>
        <v>0</v>
      </c>
      <c r="R231" s="160">
        <f t="shared" ca="1" si="39"/>
        <v>0</v>
      </c>
      <c r="S231" s="160">
        <f t="shared" ca="1" si="39"/>
        <v>0</v>
      </c>
      <c r="T231" s="160">
        <f t="shared" ca="1" si="37"/>
        <v>0</v>
      </c>
      <c r="U231" s="160">
        <f t="shared" ca="1" si="36"/>
        <v>0</v>
      </c>
      <c r="V231" s="163">
        <f t="shared" ca="1" si="41"/>
        <v>0</v>
      </c>
      <c r="W231" s="163">
        <f t="shared" ca="1" si="42"/>
        <v>0</v>
      </c>
      <c r="X231" s="163">
        <f t="shared" ca="1" si="43"/>
        <v>0</v>
      </c>
      <c r="Y231" s="163">
        <f t="shared" ca="1" si="44"/>
        <v>0</v>
      </c>
    </row>
    <row r="232" spans="12:25" ht="14.4">
      <c r="L232" s="464"/>
      <c r="M232" s="129" t="str">
        <f t="shared" si="45"/>
        <v>end</v>
      </c>
      <c r="N232" s="161">
        <f t="shared" si="40"/>
        <v>2</v>
      </c>
      <c r="O232" s="160">
        <f t="shared" ca="1" si="35"/>
        <v>0</v>
      </c>
      <c r="P232" s="160">
        <f t="shared" ca="1" si="38"/>
        <v>0</v>
      </c>
      <c r="Q232" s="160">
        <f t="shared" ca="1" si="39"/>
        <v>0</v>
      </c>
      <c r="R232" s="160">
        <f t="shared" ca="1" si="39"/>
        <v>0</v>
      </c>
      <c r="S232" s="160">
        <f t="shared" ca="1" si="39"/>
        <v>0</v>
      </c>
      <c r="T232" s="160">
        <f t="shared" ca="1" si="37"/>
        <v>0</v>
      </c>
      <c r="U232" s="160">
        <f t="shared" ca="1" si="36"/>
        <v>0</v>
      </c>
      <c r="V232" s="163">
        <f t="shared" ca="1" si="41"/>
        <v>0</v>
      </c>
      <c r="W232" s="163">
        <f t="shared" ca="1" si="42"/>
        <v>0</v>
      </c>
      <c r="X232" s="163">
        <f t="shared" ca="1" si="43"/>
        <v>0</v>
      </c>
      <c r="Y232" s="163">
        <f t="shared" ca="1" si="44"/>
        <v>0</v>
      </c>
    </row>
    <row r="233" spans="12:25" ht="14.4">
      <c r="L233" s="464"/>
      <c r="M233" s="129" t="str">
        <f t="shared" si="45"/>
        <v>end</v>
      </c>
      <c r="N233" s="161">
        <f t="shared" si="40"/>
        <v>2</v>
      </c>
      <c r="O233" s="160">
        <f t="shared" ref="O233:O296" ca="1" si="46">IF($M233="end",0,OFFSET($A$1,$M233-1,O$29,1,1))</f>
        <v>0</v>
      </c>
      <c r="P233" s="160">
        <f t="shared" ca="1" si="38"/>
        <v>0</v>
      </c>
      <c r="Q233" s="160">
        <f t="shared" ca="1" si="39"/>
        <v>0</v>
      </c>
      <c r="R233" s="160">
        <f t="shared" ca="1" si="39"/>
        <v>0</v>
      </c>
      <c r="S233" s="160">
        <f t="shared" ca="1" si="39"/>
        <v>0</v>
      </c>
      <c r="T233" s="160">
        <f t="shared" ca="1" si="37"/>
        <v>0</v>
      </c>
      <c r="U233" s="160">
        <f t="shared" ca="1" si="36"/>
        <v>0</v>
      </c>
      <c r="V233" s="163">
        <f t="shared" ca="1" si="41"/>
        <v>0</v>
      </c>
      <c r="W233" s="163">
        <f t="shared" ca="1" si="42"/>
        <v>0</v>
      </c>
      <c r="X233" s="163">
        <f t="shared" ca="1" si="43"/>
        <v>0</v>
      </c>
      <c r="Y233" s="163">
        <f t="shared" ca="1" si="44"/>
        <v>0</v>
      </c>
    </row>
    <row r="234" spans="12:25" ht="14.4">
      <c r="L234" s="464"/>
      <c r="M234" s="129" t="str">
        <f t="shared" si="45"/>
        <v>end</v>
      </c>
      <c r="N234" s="161">
        <f t="shared" si="40"/>
        <v>2</v>
      </c>
      <c r="O234" s="160">
        <f t="shared" ca="1" si="46"/>
        <v>0</v>
      </c>
      <c r="P234" s="160">
        <f t="shared" ca="1" si="38"/>
        <v>0</v>
      </c>
      <c r="Q234" s="160">
        <f t="shared" ca="1" si="39"/>
        <v>0</v>
      </c>
      <c r="R234" s="160">
        <f t="shared" ca="1" si="39"/>
        <v>0</v>
      </c>
      <c r="S234" s="160">
        <f t="shared" ca="1" si="39"/>
        <v>0</v>
      </c>
      <c r="T234" s="160">
        <f t="shared" ca="1" si="37"/>
        <v>0</v>
      </c>
      <c r="U234" s="160">
        <f t="shared" ca="1" si="36"/>
        <v>0</v>
      </c>
      <c r="V234" s="163">
        <f t="shared" ca="1" si="41"/>
        <v>0</v>
      </c>
      <c r="W234" s="163">
        <f t="shared" ca="1" si="42"/>
        <v>0</v>
      </c>
      <c r="X234" s="163">
        <f t="shared" ca="1" si="43"/>
        <v>0</v>
      </c>
      <c r="Y234" s="163">
        <f t="shared" ca="1" si="44"/>
        <v>0</v>
      </c>
    </row>
    <row r="235" spans="12:25" ht="14.4">
      <c r="L235" s="464"/>
      <c r="M235" s="129" t="str">
        <f t="shared" si="45"/>
        <v>end</v>
      </c>
      <c r="N235" s="161">
        <f t="shared" si="40"/>
        <v>2</v>
      </c>
      <c r="O235" s="160">
        <f t="shared" ca="1" si="46"/>
        <v>0</v>
      </c>
      <c r="P235" s="160">
        <f t="shared" ca="1" si="38"/>
        <v>0</v>
      </c>
      <c r="Q235" s="160">
        <f t="shared" ca="1" si="39"/>
        <v>0</v>
      </c>
      <c r="R235" s="160">
        <f t="shared" ca="1" si="39"/>
        <v>0</v>
      </c>
      <c r="S235" s="160">
        <f t="shared" ca="1" si="39"/>
        <v>0</v>
      </c>
      <c r="T235" s="160">
        <f t="shared" ca="1" si="37"/>
        <v>0</v>
      </c>
      <c r="U235" s="160">
        <f t="shared" ca="1" si="36"/>
        <v>0</v>
      </c>
      <c r="V235" s="163">
        <f t="shared" ca="1" si="41"/>
        <v>0</v>
      </c>
      <c r="W235" s="163">
        <f t="shared" ca="1" si="42"/>
        <v>0</v>
      </c>
      <c r="X235" s="163">
        <f t="shared" ca="1" si="43"/>
        <v>0</v>
      </c>
      <c r="Y235" s="163">
        <f t="shared" ca="1" si="44"/>
        <v>0</v>
      </c>
    </row>
    <row r="236" spans="12:25" ht="14.4">
      <c r="L236" s="464"/>
      <c r="M236" s="129" t="str">
        <f t="shared" si="45"/>
        <v>end</v>
      </c>
      <c r="N236" s="161">
        <f t="shared" si="40"/>
        <v>2</v>
      </c>
      <c r="O236" s="160">
        <f t="shared" ca="1" si="46"/>
        <v>0</v>
      </c>
      <c r="P236" s="160">
        <f t="shared" ca="1" si="38"/>
        <v>0</v>
      </c>
      <c r="Q236" s="160">
        <f t="shared" ca="1" si="39"/>
        <v>0</v>
      </c>
      <c r="R236" s="160">
        <f t="shared" ca="1" si="39"/>
        <v>0</v>
      </c>
      <c r="S236" s="160">
        <f t="shared" ca="1" si="39"/>
        <v>0</v>
      </c>
      <c r="T236" s="160">
        <f t="shared" ca="1" si="37"/>
        <v>0</v>
      </c>
      <c r="U236" s="160">
        <f t="shared" ca="1" si="36"/>
        <v>0</v>
      </c>
      <c r="V236" s="163">
        <f t="shared" ca="1" si="41"/>
        <v>0</v>
      </c>
      <c r="W236" s="163">
        <f t="shared" ca="1" si="42"/>
        <v>0</v>
      </c>
      <c r="X236" s="163">
        <f t="shared" ca="1" si="43"/>
        <v>0</v>
      </c>
      <c r="Y236" s="163">
        <f t="shared" ca="1" si="44"/>
        <v>0</v>
      </c>
    </row>
    <row r="237" spans="12:25" ht="14.4">
      <c r="L237" s="464"/>
      <c r="M237" s="129" t="str">
        <f t="shared" si="45"/>
        <v>end</v>
      </c>
      <c r="N237" s="161">
        <f t="shared" si="40"/>
        <v>2</v>
      </c>
      <c r="O237" s="160">
        <f t="shared" ca="1" si="46"/>
        <v>0</v>
      </c>
      <c r="P237" s="160">
        <f t="shared" ca="1" si="38"/>
        <v>0</v>
      </c>
      <c r="Q237" s="160">
        <f t="shared" ca="1" si="39"/>
        <v>0</v>
      </c>
      <c r="R237" s="160">
        <f t="shared" ca="1" si="39"/>
        <v>0</v>
      </c>
      <c r="S237" s="160">
        <f t="shared" ca="1" si="39"/>
        <v>0</v>
      </c>
      <c r="T237" s="160">
        <f t="shared" ca="1" si="37"/>
        <v>0</v>
      </c>
      <c r="U237" s="160">
        <f t="shared" ca="1" si="37"/>
        <v>0</v>
      </c>
      <c r="V237" s="163">
        <f t="shared" ca="1" si="41"/>
        <v>0</v>
      </c>
      <c r="W237" s="163">
        <f t="shared" ca="1" si="42"/>
        <v>0</v>
      </c>
      <c r="X237" s="163">
        <f t="shared" ca="1" si="43"/>
        <v>0</v>
      </c>
      <c r="Y237" s="163">
        <f t="shared" ca="1" si="44"/>
        <v>0</v>
      </c>
    </row>
    <row r="238" spans="12:25" ht="14.4">
      <c r="L238" s="464"/>
      <c r="M238" s="129" t="str">
        <f t="shared" si="45"/>
        <v>end</v>
      </c>
      <c r="N238" s="161">
        <f t="shared" si="40"/>
        <v>2</v>
      </c>
      <c r="O238" s="160">
        <f t="shared" ca="1" si="46"/>
        <v>0</v>
      </c>
      <c r="P238" s="160">
        <f t="shared" ca="1" si="38"/>
        <v>0</v>
      </c>
      <c r="Q238" s="160">
        <f t="shared" ca="1" si="39"/>
        <v>0</v>
      </c>
      <c r="R238" s="160">
        <f t="shared" ca="1" si="39"/>
        <v>0</v>
      </c>
      <c r="S238" s="160">
        <f t="shared" ca="1" si="39"/>
        <v>0</v>
      </c>
      <c r="T238" s="160">
        <f t="shared" ca="1" si="37"/>
        <v>0</v>
      </c>
      <c r="U238" s="160">
        <f t="shared" ca="1" si="37"/>
        <v>0</v>
      </c>
      <c r="V238" s="163">
        <f t="shared" ca="1" si="41"/>
        <v>0</v>
      </c>
      <c r="W238" s="163">
        <f t="shared" ca="1" si="42"/>
        <v>0</v>
      </c>
      <c r="X238" s="163">
        <f t="shared" ca="1" si="43"/>
        <v>0</v>
      </c>
      <c r="Y238" s="163">
        <f t="shared" ca="1" si="44"/>
        <v>0</v>
      </c>
    </row>
    <row r="239" spans="12:25" ht="14.4">
      <c r="L239" s="464"/>
      <c r="M239" s="129" t="str">
        <f t="shared" si="45"/>
        <v>end</v>
      </c>
      <c r="N239" s="161">
        <f t="shared" si="40"/>
        <v>2</v>
      </c>
      <c r="O239" s="160">
        <f t="shared" ca="1" si="46"/>
        <v>0</v>
      </c>
      <c r="P239" s="160">
        <f t="shared" ca="1" si="38"/>
        <v>0</v>
      </c>
      <c r="Q239" s="160">
        <f t="shared" ca="1" si="39"/>
        <v>0</v>
      </c>
      <c r="R239" s="160">
        <f t="shared" ca="1" si="39"/>
        <v>0</v>
      </c>
      <c r="S239" s="160">
        <f t="shared" ca="1" si="39"/>
        <v>0</v>
      </c>
      <c r="T239" s="160">
        <f t="shared" ca="1" si="37"/>
        <v>0</v>
      </c>
      <c r="U239" s="160">
        <f t="shared" ca="1" si="37"/>
        <v>0</v>
      </c>
      <c r="V239" s="163">
        <f t="shared" ca="1" si="41"/>
        <v>0</v>
      </c>
      <c r="W239" s="163">
        <f t="shared" ca="1" si="42"/>
        <v>0</v>
      </c>
      <c r="X239" s="163">
        <f t="shared" ca="1" si="43"/>
        <v>0</v>
      </c>
      <c r="Y239" s="163">
        <f t="shared" ca="1" si="44"/>
        <v>0</v>
      </c>
    </row>
    <row r="240" spans="12:25" ht="14.4">
      <c r="L240" s="464"/>
      <c r="M240" s="129" t="str">
        <f t="shared" si="45"/>
        <v>end</v>
      </c>
      <c r="N240" s="161">
        <f t="shared" si="40"/>
        <v>2</v>
      </c>
      <c r="O240" s="160">
        <f t="shared" ca="1" si="46"/>
        <v>0</v>
      </c>
      <c r="P240" s="160">
        <f t="shared" ca="1" si="38"/>
        <v>0</v>
      </c>
      <c r="Q240" s="160">
        <f t="shared" ca="1" si="39"/>
        <v>0</v>
      </c>
      <c r="R240" s="160">
        <f t="shared" ca="1" si="39"/>
        <v>0</v>
      </c>
      <c r="S240" s="160">
        <f t="shared" ca="1" si="39"/>
        <v>0</v>
      </c>
      <c r="T240" s="160">
        <f t="shared" ca="1" si="37"/>
        <v>0</v>
      </c>
      <c r="U240" s="160">
        <f t="shared" ca="1" si="37"/>
        <v>0</v>
      </c>
      <c r="V240" s="163">
        <f t="shared" ca="1" si="41"/>
        <v>0</v>
      </c>
      <c r="W240" s="163">
        <f t="shared" ca="1" si="42"/>
        <v>0</v>
      </c>
      <c r="X240" s="163">
        <f t="shared" ca="1" si="43"/>
        <v>0</v>
      </c>
      <c r="Y240" s="163">
        <f t="shared" ca="1" si="44"/>
        <v>0</v>
      </c>
    </row>
    <row r="241" spans="12:25" ht="14.4">
      <c r="L241" s="464"/>
      <c r="M241" s="129" t="str">
        <f t="shared" si="45"/>
        <v>end</v>
      </c>
      <c r="N241" s="161">
        <f t="shared" si="40"/>
        <v>2</v>
      </c>
      <c r="O241" s="160">
        <f t="shared" ca="1" si="46"/>
        <v>0</v>
      </c>
      <c r="P241" s="160">
        <f t="shared" ca="1" si="38"/>
        <v>0</v>
      </c>
      <c r="Q241" s="160">
        <f t="shared" ca="1" si="39"/>
        <v>0</v>
      </c>
      <c r="R241" s="160">
        <f t="shared" ca="1" si="39"/>
        <v>0</v>
      </c>
      <c r="S241" s="160">
        <f t="shared" ca="1" si="39"/>
        <v>0</v>
      </c>
      <c r="T241" s="160">
        <f t="shared" ca="1" si="39"/>
        <v>0</v>
      </c>
      <c r="U241" s="160">
        <f t="shared" ca="1" si="39"/>
        <v>0</v>
      </c>
      <c r="V241" s="163">
        <f t="shared" ca="1" si="41"/>
        <v>0</v>
      </c>
      <c r="W241" s="163">
        <f t="shared" ca="1" si="42"/>
        <v>0</v>
      </c>
      <c r="X241" s="163">
        <f t="shared" ca="1" si="43"/>
        <v>0</v>
      </c>
      <c r="Y241" s="163">
        <f t="shared" ca="1" si="44"/>
        <v>0</v>
      </c>
    </row>
    <row r="242" spans="12:25" ht="14.4">
      <c r="L242" s="464"/>
      <c r="M242" s="129" t="str">
        <f t="shared" si="45"/>
        <v>end</v>
      </c>
      <c r="N242" s="161">
        <f t="shared" si="40"/>
        <v>2</v>
      </c>
      <c r="O242" s="160">
        <f t="shared" ca="1" si="46"/>
        <v>0</v>
      </c>
      <c r="P242" s="160">
        <f t="shared" ref="P242:P305" ca="1" si="47">IF($M242="end",0,OFFSET($A$1,$M242-1,P$29,1,1))</f>
        <v>0</v>
      </c>
      <c r="Q242" s="160">
        <f t="shared" ref="Q242:T305" ca="1" si="48">IF($M242="end",0,OFFSET($A$1,$M242-1,Q$29,1,1))</f>
        <v>0</v>
      </c>
      <c r="R242" s="160">
        <f t="shared" ca="1" si="48"/>
        <v>0</v>
      </c>
      <c r="S242" s="160">
        <f t="shared" ca="1" si="48"/>
        <v>0</v>
      </c>
      <c r="T242" s="160">
        <f t="shared" ca="1" si="48"/>
        <v>0</v>
      </c>
      <c r="U242" s="160">
        <f t="shared" ref="U242:U305" ca="1" si="49">IF($M242="end",0,OFFSET($A$1,$M242-1,U$29,1,1))</f>
        <v>0</v>
      </c>
      <c r="V242" s="163">
        <f t="shared" ca="1" si="41"/>
        <v>0</v>
      </c>
      <c r="W242" s="163">
        <f t="shared" ca="1" si="42"/>
        <v>0</v>
      </c>
      <c r="X242" s="163">
        <f t="shared" ca="1" si="43"/>
        <v>0</v>
      </c>
      <c r="Y242" s="163">
        <f t="shared" ca="1" si="44"/>
        <v>0</v>
      </c>
    </row>
    <row r="243" spans="12:25" ht="14.4">
      <c r="L243" s="464"/>
      <c r="M243" s="129" t="str">
        <f t="shared" si="45"/>
        <v>end</v>
      </c>
      <c r="N243" s="161">
        <f t="shared" si="40"/>
        <v>2</v>
      </c>
      <c r="O243" s="160">
        <f t="shared" ca="1" si="46"/>
        <v>0</v>
      </c>
      <c r="P243" s="160">
        <f t="shared" ca="1" si="47"/>
        <v>0</v>
      </c>
      <c r="Q243" s="160">
        <f t="shared" ca="1" si="48"/>
        <v>0</v>
      </c>
      <c r="R243" s="160">
        <f t="shared" ca="1" si="48"/>
        <v>0</v>
      </c>
      <c r="S243" s="160">
        <f t="shared" ca="1" si="48"/>
        <v>0</v>
      </c>
      <c r="T243" s="160">
        <f t="shared" ca="1" si="48"/>
        <v>0</v>
      </c>
      <c r="U243" s="160">
        <f t="shared" ca="1" si="49"/>
        <v>0</v>
      </c>
      <c r="V243" s="163">
        <f t="shared" ca="1" si="41"/>
        <v>0</v>
      </c>
      <c r="W243" s="163">
        <f t="shared" ca="1" si="42"/>
        <v>0</v>
      </c>
      <c r="X243" s="163">
        <f t="shared" ca="1" si="43"/>
        <v>0</v>
      </c>
      <c r="Y243" s="163">
        <f t="shared" ca="1" si="44"/>
        <v>0</v>
      </c>
    </row>
    <row r="244" spans="12:25" ht="14.4">
      <c r="L244" s="464"/>
      <c r="M244" s="129" t="str">
        <f t="shared" si="45"/>
        <v>end</v>
      </c>
      <c r="N244" s="161">
        <f t="shared" si="40"/>
        <v>2</v>
      </c>
      <c r="O244" s="160">
        <f t="shared" ca="1" si="46"/>
        <v>0</v>
      </c>
      <c r="P244" s="160">
        <f t="shared" ca="1" si="47"/>
        <v>0</v>
      </c>
      <c r="Q244" s="160">
        <f t="shared" ca="1" si="48"/>
        <v>0</v>
      </c>
      <c r="R244" s="160">
        <f t="shared" ca="1" si="48"/>
        <v>0</v>
      </c>
      <c r="S244" s="160">
        <f t="shared" ca="1" si="48"/>
        <v>0</v>
      </c>
      <c r="T244" s="160">
        <f t="shared" ca="1" si="48"/>
        <v>0</v>
      </c>
      <c r="U244" s="160">
        <f t="shared" ca="1" si="49"/>
        <v>0</v>
      </c>
      <c r="V244" s="163">
        <f t="shared" ca="1" si="41"/>
        <v>0</v>
      </c>
      <c r="W244" s="163">
        <f t="shared" ca="1" si="42"/>
        <v>0</v>
      </c>
      <c r="X244" s="163">
        <f t="shared" ca="1" si="43"/>
        <v>0</v>
      </c>
      <c r="Y244" s="163">
        <f t="shared" ca="1" si="44"/>
        <v>0</v>
      </c>
    </row>
    <row r="245" spans="12:25" ht="14.4">
      <c r="L245" s="464"/>
      <c r="M245" s="129" t="str">
        <f t="shared" si="45"/>
        <v>end</v>
      </c>
      <c r="N245" s="161">
        <f t="shared" si="40"/>
        <v>2</v>
      </c>
      <c r="O245" s="160">
        <f t="shared" ca="1" si="46"/>
        <v>0</v>
      </c>
      <c r="P245" s="160">
        <f t="shared" ca="1" si="47"/>
        <v>0</v>
      </c>
      <c r="Q245" s="160">
        <f t="shared" ca="1" si="48"/>
        <v>0</v>
      </c>
      <c r="R245" s="160">
        <f t="shared" ca="1" si="48"/>
        <v>0</v>
      </c>
      <c r="S245" s="160">
        <f t="shared" ca="1" si="48"/>
        <v>0</v>
      </c>
      <c r="T245" s="160">
        <f t="shared" ca="1" si="48"/>
        <v>0</v>
      </c>
      <c r="U245" s="160">
        <f t="shared" ca="1" si="49"/>
        <v>0</v>
      </c>
      <c r="V245" s="163">
        <f t="shared" ca="1" si="41"/>
        <v>0</v>
      </c>
      <c r="W245" s="163">
        <f t="shared" ca="1" si="42"/>
        <v>0</v>
      </c>
      <c r="X245" s="163">
        <f t="shared" ca="1" si="43"/>
        <v>0</v>
      </c>
      <c r="Y245" s="163">
        <f t="shared" ca="1" si="44"/>
        <v>0</v>
      </c>
    </row>
    <row r="246" spans="12:25" ht="14.4">
      <c r="L246" s="464"/>
      <c r="M246" s="129" t="str">
        <f t="shared" si="45"/>
        <v>end</v>
      </c>
      <c r="N246" s="161">
        <f t="shared" si="40"/>
        <v>2</v>
      </c>
      <c r="O246" s="160">
        <f t="shared" ca="1" si="46"/>
        <v>0</v>
      </c>
      <c r="P246" s="160">
        <f t="shared" ca="1" si="47"/>
        <v>0</v>
      </c>
      <c r="Q246" s="160">
        <f t="shared" ca="1" si="48"/>
        <v>0</v>
      </c>
      <c r="R246" s="160">
        <f t="shared" ca="1" si="48"/>
        <v>0</v>
      </c>
      <c r="S246" s="160">
        <f t="shared" ca="1" si="48"/>
        <v>0</v>
      </c>
      <c r="T246" s="160">
        <f t="shared" ca="1" si="48"/>
        <v>0</v>
      </c>
      <c r="U246" s="160">
        <f t="shared" ca="1" si="49"/>
        <v>0</v>
      </c>
      <c r="V246" s="163">
        <f t="shared" ca="1" si="41"/>
        <v>0</v>
      </c>
      <c r="W246" s="163">
        <f t="shared" ca="1" si="42"/>
        <v>0</v>
      </c>
      <c r="X246" s="163">
        <f t="shared" ca="1" si="43"/>
        <v>0</v>
      </c>
      <c r="Y246" s="163">
        <f t="shared" ca="1" si="44"/>
        <v>0</v>
      </c>
    </row>
    <row r="247" spans="12:25" ht="14.4">
      <c r="L247" s="464"/>
      <c r="M247" s="129" t="str">
        <f t="shared" si="45"/>
        <v>end</v>
      </c>
      <c r="N247" s="161">
        <f t="shared" si="40"/>
        <v>2</v>
      </c>
      <c r="O247" s="160">
        <f t="shared" ca="1" si="46"/>
        <v>0</v>
      </c>
      <c r="P247" s="160">
        <f t="shared" ca="1" si="47"/>
        <v>0</v>
      </c>
      <c r="Q247" s="160">
        <f t="shared" ca="1" si="48"/>
        <v>0</v>
      </c>
      <c r="R247" s="160">
        <f t="shared" ca="1" si="48"/>
        <v>0</v>
      </c>
      <c r="S247" s="160">
        <f t="shared" ca="1" si="48"/>
        <v>0</v>
      </c>
      <c r="T247" s="160">
        <f t="shared" ca="1" si="48"/>
        <v>0</v>
      </c>
      <c r="U247" s="160">
        <f t="shared" ca="1" si="49"/>
        <v>0</v>
      </c>
      <c r="V247" s="163">
        <f t="shared" ca="1" si="41"/>
        <v>0</v>
      </c>
      <c r="W247" s="163">
        <f t="shared" ca="1" si="42"/>
        <v>0</v>
      </c>
      <c r="X247" s="163">
        <f t="shared" ca="1" si="43"/>
        <v>0</v>
      </c>
      <c r="Y247" s="163">
        <f t="shared" ca="1" si="44"/>
        <v>0</v>
      </c>
    </row>
    <row r="248" spans="12:25" ht="14.4">
      <c r="L248" s="464"/>
      <c r="M248" s="129" t="str">
        <f t="shared" si="45"/>
        <v>end</v>
      </c>
      <c r="N248" s="161">
        <f t="shared" si="40"/>
        <v>2</v>
      </c>
      <c r="O248" s="160">
        <f t="shared" ca="1" si="46"/>
        <v>0</v>
      </c>
      <c r="P248" s="160">
        <f t="shared" ca="1" si="47"/>
        <v>0</v>
      </c>
      <c r="Q248" s="160">
        <f t="shared" ca="1" si="48"/>
        <v>0</v>
      </c>
      <c r="R248" s="160">
        <f t="shared" ca="1" si="48"/>
        <v>0</v>
      </c>
      <c r="S248" s="160">
        <f t="shared" ca="1" si="48"/>
        <v>0</v>
      </c>
      <c r="T248" s="160">
        <f t="shared" ca="1" si="48"/>
        <v>0</v>
      </c>
      <c r="U248" s="160">
        <f t="shared" ca="1" si="49"/>
        <v>0</v>
      </c>
      <c r="V248" s="163">
        <f t="shared" ca="1" si="41"/>
        <v>0</v>
      </c>
      <c r="W248" s="163">
        <f t="shared" ca="1" si="42"/>
        <v>0</v>
      </c>
      <c r="X248" s="163">
        <f t="shared" ca="1" si="43"/>
        <v>0</v>
      </c>
      <c r="Y248" s="163">
        <f t="shared" ca="1" si="44"/>
        <v>0</v>
      </c>
    </row>
    <row r="249" spans="12:25" ht="14.4">
      <c r="L249" s="464"/>
      <c r="M249" s="129" t="str">
        <f t="shared" si="45"/>
        <v>end</v>
      </c>
      <c r="N249" s="161">
        <f t="shared" si="40"/>
        <v>2</v>
      </c>
      <c r="O249" s="160">
        <f t="shared" ca="1" si="46"/>
        <v>0</v>
      </c>
      <c r="P249" s="160">
        <f t="shared" ca="1" si="47"/>
        <v>0</v>
      </c>
      <c r="Q249" s="160">
        <f t="shared" ca="1" si="48"/>
        <v>0</v>
      </c>
      <c r="R249" s="160">
        <f t="shared" ca="1" si="48"/>
        <v>0</v>
      </c>
      <c r="S249" s="160">
        <f t="shared" ca="1" si="48"/>
        <v>0</v>
      </c>
      <c r="T249" s="160">
        <f t="shared" ca="1" si="48"/>
        <v>0</v>
      </c>
      <c r="U249" s="160">
        <f t="shared" ca="1" si="49"/>
        <v>0</v>
      </c>
      <c r="V249" s="163">
        <f t="shared" ca="1" si="41"/>
        <v>0</v>
      </c>
      <c r="W249" s="163">
        <f t="shared" ca="1" si="42"/>
        <v>0</v>
      </c>
      <c r="X249" s="163">
        <f t="shared" ca="1" si="43"/>
        <v>0</v>
      </c>
      <c r="Y249" s="163">
        <f t="shared" ca="1" si="44"/>
        <v>0</v>
      </c>
    </row>
    <row r="250" spans="12:25" ht="14.4">
      <c r="L250" s="464"/>
      <c r="M250" s="129" t="str">
        <f t="shared" si="45"/>
        <v>end</v>
      </c>
      <c r="N250" s="161">
        <f t="shared" si="40"/>
        <v>2</v>
      </c>
      <c r="O250" s="160">
        <f t="shared" ca="1" si="46"/>
        <v>0</v>
      </c>
      <c r="P250" s="160">
        <f t="shared" ca="1" si="47"/>
        <v>0</v>
      </c>
      <c r="Q250" s="160">
        <f t="shared" ca="1" si="48"/>
        <v>0</v>
      </c>
      <c r="R250" s="160">
        <f t="shared" ca="1" si="48"/>
        <v>0</v>
      </c>
      <c r="S250" s="160">
        <f t="shared" ca="1" si="48"/>
        <v>0</v>
      </c>
      <c r="T250" s="160">
        <f t="shared" ca="1" si="48"/>
        <v>0</v>
      </c>
      <c r="U250" s="160">
        <f t="shared" ca="1" si="49"/>
        <v>0</v>
      </c>
      <c r="V250" s="163">
        <f t="shared" ca="1" si="41"/>
        <v>0</v>
      </c>
      <c r="W250" s="163">
        <f t="shared" ca="1" si="42"/>
        <v>0</v>
      </c>
      <c r="X250" s="163">
        <f t="shared" ca="1" si="43"/>
        <v>0</v>
      </c>
      <c r="Y250" s="163">
        <f t="shared" ca="1" si="44"/>
        <v>0</v>
      </c>
    </row>
    <row r="251" spans="12:25" ht="14.4">
      <c r="L251" s="464"/>
      <c r="M251" s="129" t="str">
        <f t="shared" si="45"/>
        <v>end</v>
      </c>
      <c r="N251" s="161">
        <f t="shared" si="40"/>
        <v>2</v>
      </c>
      <c r="O251" s="160">
        <f t="shared" ca="1" si="46"/>
        <v>0</v>
      </c>
      <c r="P251" s="160">
        <f t="shared" ca="1" si="47"/>
        <v>0</v>
      </c>
      <c r="Q251" s="160">
        <f t="shared" ca="1" si="48"/>
        <v>0</v>
      </c>
      <c r="R251" s="160">
        <f t="shared" ca="1" si="48"/>
        <v>0</v>
      </c>
      <c r="S251" s="160">
        <f t="shared" ca="1" si="48"/>
        <v>0</v>
      </c>
      <c r="T251" s="160">
        <f t="shared" ca="1" si="48"/>
        <v>0</v>
      </c>
      <c r="U251" s="160">
        <f t="shared" ca="1" si="49"/>
        <v>0</v>
      </c>
      <c r="V251" s="163">
        <f t="shared" ca="1" si="41"/>
        <v>0</v>
      </c>
      <c r="W251" s="163">
        <f t="shared" ca="1" si="42"/>
        <v>0</v>
      </c>
      <c r="X251" s="163">
        <f t="shared" ca="1" si="43"/>
        <v>0</v>
      </c>
      <c r="Y251" s="163">
        <f t="shared" ca="1" si="44"/>
        <v>0</v>
      </c>
    </row>
    <row r="252" spans="12:25" ht="14.4">
      <c r="L252" s="464"/>
      <c r="M252" s="129" t="str">
        <f t="shared" si="45"/>
        <v>end</v>
      </c>
      <c r="N252" s="161">
        <f t="shared" si="40"/>
        <v>2</v>
      </c>
      <c r="O252" s="160">
        <f t="shared" ca="1" si="46"/>
        <v>0</v>
      </c>
      <c r="P252" s="160">
        <f t="shared" ca="1" si="47"/>
        <v>0</v>
      </c>
      <c r="Q252" s="160">
        <f t="shared" ca="1" si="48"/>
        <v>0</v>
      </c>
      <c r="R252" s="160">
        <f t="shared" ca="1" si="48"/>
        <v>0</v>
      </c>
      <c r="S252" s="160">
        <f t="shared" ca="1" si="48"/>
        <v>0</v>
      </c>
      <c r="T252" s="160">
        <f t="shared" ca="1" si="48"/>
        <v>0</v>
      </c>
      <c r="U252" s="160">
        <f t="shared" ca="1" si="49"/>
        <v>0</v>
      </c>
      <c r="V252" s="163">
        <f t="shared" ca="1" si="41"/>
        <v>0</v>
      </c>
      <c r="W252" s="163">
        <f t="shared" ca="1" si="42"/>
        <v>0</v>
      </c>
      <c r="X252" s="163">
        <f t="shared" ca="1" si="43"/>
        <v>0</v>
      </c>
      <c r="Y252" s="163">
        <f t="shared" ca="1" si="44"/>
        <v>0</v>
      </c>
    </row>
    <row r="253" spans="12:25" ht="14.4">
      <c r="L253" s="464"/>
      <c r="M253" s="129" t="str">
        <f t="shared" si="45"/>
        <v>end</v>
      </c>
      <c r="N253" s="161">
        <f t="shared" si="40"/>
        <v>2</v>
      </c>
      <c r="O253" s="160">
        <f t="shared" ca="1" si="46"/>
        <v>0</v>
      </c>
      <c r="P253" s="160">
        <f t="shared" ca="1" si="47"/>
        <v>0</v>
      </c>
      <c r="Q253" s="160">
        <f t="shared" ca="1" si="48"/>
        <v>0</v>
      </c>
      <c r="R253" s="160">
        <f t="shared" ca="1" si="48"/>
        <v>0</v>
      </c>
      <c r="S253" s="160">
        <f t="shared" ca="1" si="48"/>
        <v>0</v>
      </c>
      <c r="T253" s="160">
        <f t="shared" ca="1" si="48"/>
        <v>0</v>
      </c>
      <c r="U253" s="160">
        <f t="shared" ca="1" si="49"/>
        <v>0</v>
      </c>
      <c r="V253" s="163">
        <f t="shared" ca="1" si="41"/>
        <v>0</v>
      </c>
      <c r="W253" s="163">
        <f t="shared" ca="1" si="42"/>
        <v>0</v>
      </c>
      <c r="X253" s="163">
        <f t="shared" ca="1" si="43"/>
        <v>0</v>
      </c>
      <c r="Y253" s="163">
        <f t="shared" ca="1" si="44"/>
        <v>0</v>
      </c>
    </row>
    <row r="254" spans="12:25" ht="14.4">
      <c r="L254" s="464"/>
      <c r="M254" s="129" t="str">
        <f t="shared" si="45"/>
        <v>end</v>
      </c>
      <c r="N254" s="161">
        <f t="shared" si="40"/>
        <v>2</v>
      </c>
      <c r="O254" s="160">
        <f t="shared" ca="1" si="46"/>
        <v>0</v>
      </c>
      <c r="P254" s="160">
        <f t="shared" ca="1" si="47"/>
        <v>0</v>
      </c>
      <c r="Q254" s="160">
        <f t="shared" ca="1" si="48"/>
        <v>0</v>
      </c>
      <c r="R254" s="160">
        <f t="shared" ca="1" si="48"/>
        <v>0</v>
      </c>
      <c r="S254" s="160">
        <f t="shared" ca="1" si="48"/>
        <v>0</v>
      </c>
      <c r="T254" s="160">
        <f t="shared" ca="1" si="48"/>
        <v>0</v>
      </c>
      <c r="U254" s="160">
        <f t="shared" ca="1" si="49"/>
        <v>0</v>
      </c>
      <c r="V254" s="163">
        <f t="shared" ca="1" si="41"/>
        <v>0</v>
      </c>
      <c r="W254" s="163">
        <f t="shared" ca="1" si="42"/>
        <v>0</v>
      </c>
      <c r="X254" s="163">
        <f t="shared" ca="1" si="43"/>
        <v>0</v>
      </c>
      <c r="Y254" s="163">
        <f t="shared" ca="1" si="44"/>
        <v>0</v>
      </c>
    </row>
    <row r="255" spans="12:25" ht="14.4">
      <c r="L255" s="464"/>
      <c r="M255" s="129" t="str">
        <f t="shared" si="45"/>
        <v>end</v>
      </c>
      <c r="N255" s="161">
        <f t="shared" si="40"/>
        <v>2</v>
      </c>
      <c r="O255" s="160">
        <f t="shared" ca="1" si="46"/>
        <v>0</v>
      </c>
      <c r="P255" s="160">
        <f t="shared" ca="1" si="47"/>
        <v>0</v>
      </c>
      <c r="Q255" s="160">
        <f t="shared" ca="1" si="48"/>
        <v>0</v>
      </c>
      <c r="R255" s="160">
        <f t="shared" ca="1" si="48"/>
        <v>0</v>
      </c>
      <c r="S255" s="160">
        <f t="shared" ca="1" si="48"/>
        <v>0</v>
      </c>
      <c r="T255" s="160">
        <f t="shared" ca="1" si="48"/>
        <v>0</v>
      </c>
      <c r="U255" s="160">
        <f t="shared" ca="1" si="49"/>
        <v>0</v>
      </c>
      <c r="V255" s="163">
        <f t="shared" ca="1" si="41"/>
        <v>0</v>
      </c>
      <c r="W255" s="163">
        <f t="shared" ca="1" si="42"/>
        <v>0</v>
      </c>
      <c r="X255" s="163">
        <f t="shared" ca="1" si="43"/>
        <v>0</v>
      </c>
      <c r="Y255" s="163">
        <f t="shared" ca="1" si="44"/>
        <v>0</v>
      </c>
    </row>
    <row r="256" spans="12:25" ht="14.4">
      <c r="L256" s="464"/>
      <c r="M256" s="129" t="str">
        <f t="shared" si="45"/>
        <v>end</v>
      </c>
      <c r="N256" s="161">
        <f t="shared" si="40"/>
        <v>2</v>
      </c>
      <c r="O256" s="160">
        <f t="shared" ca="1" si="46"/>
        <v>0</v>
      </c>
      <c r="P256" s="160">
        <f t="shared" ca="1" si="47"/>
        <v>0</v>
      </c>
      <c r="Q256" s="160">
        <f t="shared" ca="1" si="48"/>
        <v>0</v>
      </c>
      <c r="R256" s="160">
        <f t="shared" ca="1" si="48"/>
        <v>0</v>
      </c>
      <c r="S256" s="160">
        <f t="shared" ca="1" si="48"/>
        <v>0</v>
      </c>
      <c r="T256" s="160">
        <f t="shared" ca="1" si="48"/>
        <v>0</v>
      </c>
      <c r="U256" s="160">
        <f t="shared" ca="1" si="49"/>
        <v>0</v>
      </c>
      <c r="V256" s="163">
        <f t="shared" ca="1" si="41"/>
        <v>0</v>
      </c>
      <c r="W256" s="163">
        <f t="shared" ca="1" si="42"/>
        <v>0</v>
      </c>
      <c r="X256" s="163">
        <f t="shared" ca="1" si="43"/>
        <v>0</v>
      </c>
      <c r="Y256" s="163">
        <f t="shared" ca="1" si="44"/>
        <v>0</v>
      </c>
    </row>
    <row r="257" spans="12:25" ht="14.4">
      <c r="L257" s="464"/>
      <c r="M257" s="129" t="str">
        <f t="shared" si="45"/>
        <v>end</v>
      </c>
      <c r="N257" s="161">
        <f t="shared" si="40"/>
        <v>2</v>
      </c>
      <c r="O257" s="160">
        <f t="shared" ca="1" si="46"/>
        <v>0</v>
      </c>
      <c r="P257" s="160">
        <f t="shared" ca="1" si="47"/>
        <v>0</v>
      </c>
      <c r="Q257" s="160">
        <f t="shared" ca="1" si="48"/>
        <v>0</v>
      </c>
      <c r="R257" s="160">
        <f t="shared" ca="1" si="48"/>
        <v>0</v>
      </c>
      <c r="S257" s="160">
        <f t="shared" ca="1" si="48"/>
        <v>0</v>
      </c>
      <c r="T257" s="160">
        <f t="shared" ca="1" si="48"/>
        <v>0</v>
      </c>
      <c r="U257" s="160">
        <f t="shared" ca="1" si="49"/>
        <v>0</v>
      </c>
      <c r="V257" s="163">
        <f t="shared" ca="1" si="41"/>
        <v>0</v>
      </c>
      <c r="W257" s="163">
        <f t="shared" ca="1" si="42"/>
        <v>0</v>
      </c>
      <c r="X257" s="163">
        <f t="shared" ca="1" si="43"/>
        <v>0</v>
      </c>
      <c r="Y257" s="163">
        <f t="shared" ca="1" si="44"/>
        <v>0</v>
      </c>
    </row>
    <row r="258" spans="12:25" ht="14.4">
      <c r="L258" s="464"/>
      <c r="M258" s="129" t="str">
        <f t="shared" si="45"/>
        <v>end</v>
      </c>
      <c r="N258" s="161">
        <f t="shared" si="40"/>
        <v>2</v>
      </c>
      <c r="O258" s="160">
        <f t="shared" ca="1" si="46"/>
        <v>0</v>
      </c>
      <c r="P258" s="160">
        <f t="shared" ca="1" si="47"/>
        <v>0</v>
      </c>
      <c r="Q258" s="160">
        <f t="shared" ca="1" si="48"/>
        <v>0</v>
      </c>
      <c r="R258" s="160">
        <f t="shared" ca="1" si="48"/>
        <v>0</v>
      </c>
      <c r="S258" s="160">
        <f t="shared" ca="1" si="48"/>
        <v>0</v>
      </c>
      <c r="T258" s="160">
        <f t="shared" ca="1" si="48"/>
        <v>0</v>
      </c>
      <c r="U258" s="160">
        <f t="shared" ca="1" si="49"/>
        <v>0</v>
      </c>
      <c r="V258" s="163">
        <f t="shared" ca="1" si="41"/>
        <v>0</v>
      </c>
      <c r="W258" s="163">
        <f t="shared" ca="1" si="42"/>
        <v>0</v>
      </c>
      <c r="X258" s="163">
        <f t="shared" ca="1" si="43"/>
        <v>0</v>
      </c>
      <c r="Y258" s="163">
        <f t="shared" ca="1" si="44"/>
        <v>0</v>
      </c>
    </row>
    <row r="259" spans="12:25" ht="14.4">
      <c r="L259" s="464"/>
      <c r="M259" s="129" t="str">
        <f t="shared" si="45"/>
        <v>end</v>
      </c>
      <c r="N259" s="161">
        <f t="shared" si="40"/>
        <v>2</v>
      </c>
      <c r="O259" s="160">
        <f t="shared" ca="1" si="46"/>
        <v>0</v>
      </c>
      <c r="P259" s="160">
        <f t="shared" ca="1" si="47"/>
        <v>0</v>
      </c>
      <c r="Q259" s="160">
        <f t="shared" ca="1" si="48"/>
        <v>0</v>
      </c>
      <c r="R259" s="160">
        <f t="shared" ca="1" si="48"/>
        <v>0</v>
      </c>
      <c r="S259" s="160">
        <f t="shared" ca="1" si="48"/>
        <v>0</v>
      </c>
      <c r="T259" s="160">
        <f t="shared" ca="1" si="48"/>
        <v>0</v>
      </c>
      <c r="U259" s="160">
        <f t="shared" ca="1" si="49"/>
        <v>0</v>
      </c>
      <c r="V259" s="163">
        <f t="shared" ca="1" si="41"/>
        <v>0</v>
      </c>
      <c r="W259" s="163">
        <f t="shared" ca="1" si="42"/>
        <v>0</v>
      </c>
      <c r="X259" s="163">
        <f t="shared" ca="1" si="43"/>
        <v>0</v>
      </c>
      <c r="Y259" s="163">
        <f t="shared" ca="1" si="44"/>
        <v>0</v>
      </c>
    </row>
    <row r="260" spans="12:25" ht="14.4">
      <c r="L260" s="464"/>
      <c r="M260" s="129" t="str">
        <f t="shared" si="45"/>
        <v>end</v>
      </c>
      <c r="N260" s="161">
        <f t="shared" si="40"/>
        <v>2</v>
      </c>
      <c r="O260" s="160">
        <f t="shared" ca="1" si="46"/>
        <v>0</v>
      </c>
      <c r="P260" s="160">
        <f t="shared" ca="1" si="47"/>
        <v>0</v>
      </c>
      <c r="Q260" s="160">
        <f t="shared" ca="1" si="48"/>
        <v>0</v>
      </c>
      <c r="R260" s="160">
        <f t="shared" ca="1" si="48"/>
        <v>0</v>
      </c>
      <c r="S260" s="160">
        <f t="shared" ca="1" si="48"/>
        <v>0</v>
      </c>
      <c r="T260" s="160">
        <f t="shared" ca="1" si="48"/>
        <v>0</v>
      </c>
      <c r="U260" s="160">
        <f t="shared" ca="1" si="49"/>
        <v>0</v>
      </c>
      <c r="V260" s="163">
        <f t="shared" ca="1" si="41"/>
        <v>0</v>
      </c>
      <c r="W260" s="163">
        <f t="shared" ca="1" si="42"/>
        <v>0</v>
      </c>
      <c r="X260" s="163">
        <f t="shared" ca="1" si="43"/>
        <v>0</v>
      </c>
      <c r="Y260" s="163">
        <f t="shared" ca="1" si="44"/>
        <v>0</v>
      </c>
    </row>
    <row r="261" spans="12:25" ht="14.4">
      <c r="L261" s="464"/>
      <c r="M261" s="129" t="str">
        <f t="shared" si="45"/>
        <v>end</v>
      </c>
      <c r="N261" s="161">
        <f t="shared" si="40"/>
        <v>2</v>
      </c>
      <c r="O261" s="160">
        <f t="shared" ca="1" si="46"/>
        <v>0</v>
      </c>
      <c r="P261" s="160">
        <f t="shared" ca="1" si="47"/>
        <v>0</v>
      </c>
      <c r="Q261" s="160">
        <f t="shared" ca="1" si="48"/>
        <v>0</v>
      </c>
      <c r="R261" s="160">
        <f t="shared" ca="1" si="48"/>
        <v>0</v>
      </c>
      <c r="S261" s="160">
        <f t="shared" ca="1" si="48"/>
        <v>0</v>
      </c>
      <c r="T261" s="160">
        <f t="shared" ca="1" si="48"/>
        <v>0</v>
      </c>
      <c r="U261" s="160">
        <f t="shared" ca="1" si="49"/>
        <v>0</v>
      </c>
      <c r="V261" s="163">
        <f t="shared" ca="1" si="41"/>
        <v>0</v>
      </c>
      <c r="W261" s="163">
        <f t="shared" ca="1" si="42"/>
        <v>0</v>
      </c>
      <c r="X261" s="163">
        <f t="shared" ca="1" si="43"/>
        <v>0</v>
      </c>
      <c r="Y261" s="163">
        <f t="shared" ca="1" si="44"/>
        <v>0</v>
      </c>
    </row>
    <row r="262" spans="12:25" ht="14.4">
      <c r="L262" s="464"/>
      <c r="M262" s="129" t="str">
        <f t="shared" si="45"/>
        <v>end</v>
      </c>
      <c r="N262" s="161">
        <f t="shared" si="40"/>
        <v>2</v>
      </c>
      <c r="O262" s="160">
        <f t="shared" ca="1" si="46"/>
        <v>0</v>
      </c>
      <c r="P262" s="160">
        <f t="shared" ca="1" si="47"/>
        <v>0</v>
      </c>
      <c r="Q262" s="160">
        <f t="shared" ca="1" si="48"/>
        <v>0</v>
      </c>
      <c r="R262" s="160">
        <f t="shared" ca="1" si="48"/>
        <v>0</v>
      </c>
      <c r="S262" s="160">
        <f t="shared" ca="1" si="48"/>
        <v>0</v>
      </c>
      <c r="T262" s="160">
        <f t="shared" ca="1" si="48"/>
        <v>0</v>
      </c>
      <c r="U262" s="160">
        <f t="shared" ca="1" si="49"/>
        <v>0</v>
      </c>
      <c r="V262" s="163">
        <f t="shared" ca="1" si="41"/>
        <v>0</v>
      </c>
      <c r="W262" s="163">
        <f t="shared" ca="1" si="42"/>
        <v>0</v>
      </c>
      <c r="X262" s="163">
        <f t="shared" ca="1" si="43"/>
        <v>0</v>
      </c>
      <c r="Y262" s="163">
        <f t="shared" ca="1" si="44"/>
        <v>0</v>
      </c>
    </row>
    <row r="263" spans="12:25" ht="14.4">
      <c r="L263" s="464"/>
      <c r="M263" s="129" t="str">
        <f t="shared" si="45"/>
        <v>end</v>
      </c>
      <c r="N263" s="161">
        <f t="shared" si="40"/>
        <v>2</v>
      </c>
      <c r="O263" s="160">
        <f t="shared" ca="1" si="46"/>
        <v>0</v>
      </c>
      <c r="P263" s="160">
        <f t="shared" ca="1" si="47"/>
        <v>0</v>
      </c>
      <c r="Q263" s="160">
        <f t="shared" ca="1" si="48"/>
        <v>0</v>
      </c>
      <c r="R263" s="160">
        <f t="shared" ca="1" si="48"/>
        <v>0</v>
      </c>
      <c r="S263" s="160">
        <f t="shared" ca="1" si="48"/>
        <v>0</v>
      </c>
      <c r="T263" s="160">
        <f t="shared" ca="1" si="48"/>
        <v>0</v>
      </c>
      <c r="U263" s="160">
        <f t="shared" ca="1" si="49"/>
        <v>0</v>
      </c>
      <c r="V263" s="163">
        <f t="shared" ca="1" si="41"/>
        <v>0</v>
      </c>
      <c r="W263" s="163">
        <f t="shared" ca="1" si="42"/>
        <v>0</v>
      </c>
      <c r="X263" s="163">
        <f t="shared" ca="1" si="43"/>
        <v>0</v>
      </c>
      <c r="Y263" s="163">
        <f t="shared" ca="1" si="44"/>
        <v>0</v>
      </c>
    </row>
    <row r="264" spans="12:25" ht="14.4">
      <c r="L264" s="464"/>
      <c r="M264" s="129" t="str">
        <f t="shared" si="45"/>
        <v>end</v>
      </c>
      <c r="N264" s="161">
        <f t="shared" si="40"/>
        <v>2</v>
      </c>
      <c r="O264" s="160">
        <f t="shared" ca="1" si="46"/>
        <v>0</v>
      </c>
      <c r="P264" s="160">
        <f t="shared" ca="1" si="47"/>
        <v>0</v>
      </c>
      <c r="Q264" s="160">
        <f t="shared" ca="1" si="48"/>
        <v>0</v>
      </c>
      <c r="R264" s="160">
        <f t="shared" ca="1" si="48"/>
        <v>0</v>
      </c>
      <c r="S264" s="160">
        <f t="shared" ca="1" si="48"/>
        <v>0</v>
      </c>
      <c r="T264" s="160">
        <f t="shared" ca="1" si="48"/>
        <v>0</v>
      </c>
      <c r="U264" s="160">
        <f t="shared" ca="1" si="49"/>
        <v>0</v>
      </c>
      <c r="V264" s="163">
        <f t="shared" ca="1" si="41"/>
        <v>0</v>
      </c>
      <c r="W264" s="163">
        <f t="shared" ca="1" si="42"/>
        <v>0</v>
      </c>
      <c r="X264" s="163">
        <f t="shared" ca="1" si="43"/>
        <v>0</v>
      </c>
      <c r="Y264" s="163">
        <f t="shared" ca="1" si="44"/>
        <v>0</v>
      </c>
    </row>
    <row r="265" spans="12:25" ht="14.4">
      <c r="L265" s="464"/>
      <c r="M265" s="129" t="str">
        <f t="shared" si="45"/>
        <v>end</v>
      </c>
      <c r="N265" s="161">
        <f t="shared" si="40"/>
        <v>2</v>
      </c>
      <c r="O265" s="160">
        <f t="shared" ca="1" si="46"/>
        <v>0</v>
      </c>
      <c r="P265" s="160">
        <f t="shared" ca="1" si="47"/>
        <v>0</v>
      </c>
      <c r="Q265" s="160">
        <f t="shared" ca="1" si="48"/>
        <v>0</v>
      </c>
      <c r="R265" s="160">
        <f t="shared" ca="1" si="48"/>
        <v>0</v>
      </c>
      <c r="S265" s="160">
        <f t="shared" ca="1" si="48"/>
        <v>0</v>
      </c>
      <c r="T265" s="160">
        <f t="shared" ca="1" si="48"/>
        <v>0</v>
      </c>
      <c r="U265" s="160">
        <f t="shared" ca="1" si="49"/>
        <v>0</v>
      </c>
      <c r="V265" s="163">
        <f t="shared" ca="1" si="41"/>
        <v>0</v>
      </c>
      <c r="W265" s="163">
        <f t="shared" ca="1" si="42"/>
        <v>0</v>
      </c>
      <c r="X265" s="163">
        <f t="shared" ca="1" si="43"/>
        <v>0</v>
      </c>
      <c r="Y265" s="163">
        <f t="shared" ca="1" si="44"/>
        <v>0</v>
      </c>
    </row>
    <row r="266" spans="12:25" ht="14.4">
      <c r="L266" s="464"/>
      <c r="M266" s="129" t="str">
        <f t="shared" si="45"/>
        <v>end</v>
      </c>
      <c r="N266" s="161">
        <f t="shared" si="40"/>
        <v>2</v>
      </c>
      <c r="O266" s="160">
        <f t="shared" ca="1" si="46"/>
        <v>0</v>
      </c>
      <c r="P266" s="160">
        <f t="shared" ca="1" si="47"/>
        <v>0</v>
      </c>
      <c r="Q266" s="160">
        <f t="shared" ca="1" si="48"/>
        <v>0</v>
      </c>
      <c r="R266" s="160">
        <f t="shared" ca="1" si="48"/>
        <v>0</v>
      </c>
      <c r="S266" s="160">
        <f t="shared" ca="1" si="48"/>
        <v>0</v>
      </c>
      <c r="T266" s="160">
        <f t="shared" ca="1" si="48"/>
        <v>0</v>
      </c>
      <c r="U266" s="160">
        <f t="shared" ca="1" si="49"/>
        <v>0</v>
      </c>
      <c r="V266" s="163">
        <f t="shared" ca="1" si="41"/>
        <v>0</v>
      </c>
      <c r="W266" s="163">
        <f t="shared" ca="1" si="42"/>
        <v>0</v>
      </c>
      <c r="X266" s="163">
        <f t="shared" ca="1" si="43"/>
        <v>0</v>
      </c>
      <c r="Y266" s="163">
        <f t="shared" ca="1" si="44"/>
        <v>0</v>
      </c>
    </row>
    <row r="267" spans="12:25" ht="14.4">
      <c r="L267" s="464"/>
      <c r="M267" s="129" t="str">
        <f t="shared" si="45"/>
        <v>end</v>
      </c>
      <c r="N267" s="161">
        <f t="shared" si="40"/>
        <v>2</v>
      </c>
      <c r="O267" s="160">
        <f t="shared" ca="1" si="46"/>
        <v>0</v>
      </c>
      <c r="P267" s="160">
        <f t="shared" ca="1" si="47"/>
        <v>0</v>
      </c>
      <c r="Q267" s="160">
        <f t="shared" ca="1" si="48"/>
        <v>0</v>
      </c>
      <c r="R267" s="160">
        <f t="shared" ca="1" si="48"/>
        <v>0</v>
      </c>
      <c r="S267" s="160">
        <f t="shared" ca="1" si="48"/>
        <v>0</v>
      </c>
      <c r="T267" s="160">
        <f t="shared" ca="1" si="48"/>
        <v>0</v>
      </c>
      <c r="U267" s="160">
        <f t="shared" ca="1" si="49"/>
        <v>0</v>
      </c>
      <c r="V267" s="163">
        <f t="shared" ca="1" si="41"/>
        <v>0</v>
      </c>
      <c r="W267" s="163">
        <f t="shared" ca="1" si="42"/>
        <v>0</v>
      </c>
      <c r="X267" s="163">
        <f t="shared" ca="1" si="43"/>
        <v>0</v>
      </c>
      <c r="Y267" s="163">
        <f t="shared" ca="1" si="44"/>
        <v>0</v>
      </c>
    </row>
    <row r="268" spans="12:25" ht="14.4">
      <c r="L268" s="464"/>
      <c r="M268" s="129" t="str">
        <f t="shared" si="45"/>
        <v>end</v>
      </c>
      <c r="N268" s="161">
        <f t="shared" si="40"/>
        <v>2</v>
      </c>
      <c r="O268" s="160">
        <f t="shared" ca="1" si="46"/>
        <v>0</v>
      </c>
      <c r="P268" s="160">
        <f t="shared" ca="1" si="47"/>
        <v>0</v>
      </c>
      <c r="Q268" s="160">
        <f t="shared" ca="1" si="48"/>
        <v>0</v>
      </c>
      <c r="R268" s="160">
        <f t="shared" ca="1" si="48"/>
        <v>0</v>
      </c>
      <c r="S268" s="160">
        <f t="shared" ca="1" si="48"/>
        <v>0</v>
      </c>
      <c r="T268" s="160">
        <f t="shared" ca="1" si="48"/>
        <v>0</v>
      </c>
      <c r="U268" s="160">
        <f t="shared" ca="1" si="49"/>
        <v>0</v>
      </c>
      <c r="V268" s="163">
        <f t="shared" ca="1" si="41"/>
        <v>0</v>
      </c>
      <c r="W268" s="163">
        <f t="shared" ca="1" si="42"/>
        <v>0</v>
      </c>
      <c r="X268" s="163">
        <f t="shared" ca="1" si="43"/>
        <v>0</v>
      </c>
      <c r="Y268" s="163">
        <f t="shared" ca="1" si="44"/>
        <v>0</v>
      </c>
    </row>
    <row r="269" spans="12:25" ht="14.4">
      <c r="L269" s="464"/>
      <c r="M269" s="129" t="str">
        <f t="shared" si="45"/>
        <v>end</v>
      </c>
      <c r="N269" s="161">
        <f t="shared" si="40"/>
        <v>2</v>
      </c>
      <c r="O269" s="160">
        <f t="shared" ca="1" si="46"/>
        <v>0</v>
      </c>
      <c r="P269" s="160">
        <f t="shared" ca="1" si="47"/>
        <v>0</v>
      </c>
      <c r="Q269" s="160">
        <f t="shared" ca="1" si="48"/>
        <v>0</v>
      </c>
      <c r="R269" s="160">
        <f t="shared" ca="1" si="48"/>
        <v>0</v>
      </c>
      <c r="S269" s="160">
        <f t="shared" ca="1" si="48"/>
        <v>0</v>
      </c>
      <c r="T269" s="160">
        <f t="shared" ca="1" si="48"/>
        <v>0</v>
      </c>
      <c r="U269" s="160">
        <f t="shared" ca="1" si="49"/>
        <v>0</v>
      </c>
      <c r="V269" s="163">
        <f t="shared" ca="1" si="41"/>
        <v>0</v>
      </c>
      <c r="W269" s="163">
        <f t="shared" ca="1" si="42"/>
        <v>0</v>
      </c>
      <c r="X269" s="163">
        <f t="shared" ca="1" si="43"/>
        <v>0</v>
      </c>
      <c r="Y269" s="163">
        <f t="shared" ca="1" si="44"/>
        <v>0</v>
      </c>
    </row>
    <row r="270" spans="12:25" ht="14.4">
      <c r="L270" s="464"/>
      <c r="M270" s="129" t="str">
        <f t="shared" si="45"/>
        <v>end</v>
      </c>
      <c r="N270" s="161">
        <f t="shared" si="40"/>
        <v>2</v>
      </c>
      <c r="O270" s="160">
        <f t="shared" ca="1" si="46"/>
        <v>0</v>
      </c>
      <c r="P270" s="160">
        <f t="shared" ca="1" si="47"/>
        <v>0</v>
      </c>
      <c r="Q270" s="160">
        <f t="shared" ca="1" si="48"/>
        <v>0</v>
      </c>
      <c r="R270" s="160">
        <f t="shared" ca="1" si="48"/>
        <v>0</v>
      </c>
      <c r="S270" s="160">
        <f t="shared" ca="1" si="48"/>
        <v>0</v>
      </c>
      <c r="T270" s="160">
        <f t="shared" ca="1" si="48"/>
        <v>0</v>
      </c>
      <c r="U270" s="160">
        <f t="shared" ca="1" si="49"/>
        <v>0</v>
      </c>
      <c r="V270" s="163">
        <f t="shared" ca="1" si="41"/>
        <v>0</v>
      </c>
      <c r="W270" s="163">
        <f t="shared" ca="1" si="42"/>
        <v>0</v>
      </c>
      <c r="X270" s="163">
        <f t="shared" ca="1" si="43"/>
        <v>0</v>
      </c>
      <c r="Y270" s="163">
        <f t="shared" ca="1" si="44"/>
        <v>0</v>
      </c>
    </row>
    <row r="271" spans="12:25" ht="14.4">
      <c r="L271" s="464"/>
      <c r="M271" s="129" t="str">
        <f t="shared" si="45"/>
        <v>end</v>
      </c>
      <c r="N271" s="161">
        <f t="shared" si="40"/>
        <v>2</v>
      </c>
      <c r="O271" s="160">
        <f t="shared" ca="1" si="46"/>
        <v>0</v>
      </c>
      <c r="P271" s="160">
        <f t="shared" ca="1" si="47"/>
        <v>0</v>
      </c>
      <c r="Q271" s="160">
        <f t="shared" ca="1" si="48"/>
        <v>0</v>
      </c>
      <c r="R271" s="160">
        <f t="shared" ca="1" si="48"/>
        <v>0</v>
      </c>
      <c r="S271" s="160">
        <f t="shared" ca="1" si="48"/>
        <v>0</v>
      </c>
      <c r="T271" s="160">
        <f t="shared" ca="1" si="48"/>
        <v>0</v>
      </c>
      <c r="U271" s="160">
        <f t="shared" ca="1" si="49"/>
        <v>0</v>
      </c>
      <c r="V271" s="163">
        <f t="shared" ca="1" si="41"/>
        <v>0</v>
      </c>
      <c r="W271" s="163">
        <f t="shared" ca="1" si="42"/>
        <v>0</v>
      </c>
      <c r="X271" s="163">
        <f t="shared" ca="1" si="43"/>
        <v>0</v>
      </c>
      <c r="Y271" s="163">
        <f t="shared" ca="1" si="44"/>
        <v>0</v>
      </c>
    </row>
    <row r="272" spans="12:25" ht="14.4">
      <c r="L272" s="464"/>
      <c r="M272" s="129" t="str">
        <f t="shared" si="45"/>
        <v>end</v>
      </c>
      <c r="N272" s="161">
        <f t="shared" si="40"/>
        <v>2</v>
      </c>
      <c r="O272" s="160">
        <f t="shared" ca="1" si="46"/>
        <v>0</v>
      </c>
      <c r="P272" s="160">
        <f t="shared" ca="1" si="47"/>
        <v>0</v>
      </c>
      <c r="Q272" s="160">
        <f t="shared" ca="1" si="48"/>
        <v>0</v>
      </c>
      <c r="R272" s="160">
        <f t="shared" ca="1" si="48"/>
        <v>0</v>
      </c>
      <c r="S272" s="160">
        <f t="shared" ca="1" si="48"/>
        <v>0</v>
      </c>
      <c r="T272" s="160">
        <f t="shared" ca="1" si="48"/>
        <v>0</v>
      </c>
      <c r="U272" s="160">
        <f t="shared" ca="1" si="49"/>
        <v>0</v>
      </c>
      <c r="V272" s="163">
        <f t="shared" ca="1" si="41"/>
        <v>0</v>
      </c>
      <c r="W272" s="163">
        <f t="shared" ca="1" si="42"/>
        <v>0</v>
      </c>
      <c r="X272" s="163">
        <f t="shared" ca="1" si="43"/>
        <v>0</v>
      </c>
      <c r="Y272" s="163">
        <f t="shared" ca="1" si="44"/>
        <v>0</v>
      </c>
    </row>
    <row r="273" spans="12:25" ht="14.4">
      <c r="L273" s="464"/>
      <c r="M273" s="129" t="str">
        <f t="shared" si="45"/>
        <v>end</v>
      </c>
      <c r="N273" s="161">
        <f t="shared" si="40"/>
        <v>2</v>
      </c>
      <c r="O273" s="160">
        <f t="shared" ca="1" si="46"/>
        <v>0</v>
      </c>
      <c r="P273" s="160">
        <f t="shared" ca="1" si="47"/>
        <v>0</v>
      </c>
      <c r="Q273" s="160">
        <f t="shared" ca="1" si="48"/>
        <v>0</v>
      </c>
      <c r="R273" s="160">
        <f t="shared" ca="1" si="48"/>
        <v>0</v>
      </c>
      <c r="S273" s="160">
        <f t="shared" ca="1" si="48"/>
        <v>0</v>
      </c>
      <c r="T273" s="160">
        <f t="shared" ca="1" si="48"/>
        <v>0</v>
      </c>
      <c r="U273" s="160">
        <f t="shared" ca="1" si="49"/>
        <v>0</v>
      </c>
      <c r="V273" s="163">
        <f t="shared" ca="1" si="41"/>
        <v>0</v>
      </c>
      <c r="W273" s="163">
        <f t="shared" ca="1" si="42"/>
        <v>0</v>
      </c>
      <c r="X273" s="163">
        <f t="shared" ca="1" si="43"/>
        <v>0</v>
      </c>
      <c r="Y273" s="163">
        <f t="shared" ca="1" si="44"/>
        <v>0</v>
      </c>
    </row>
    <row r="274" spans="12:25" ht="14.4">
      <c r="L274" s="464"/>
      <c r="M274" s="129" t="str">
        <f t="shared" si="45"/>
        <v>end</v>
      </c>
      <c r="N274" s="161">
        <f t="shared" ref="N274:N337" si="50">N273</f>
        <v>2</v>
      </c>
      <c r="O274" s="160">
        <f t="shared" ca="1" si="46"/>
        <v>0</v>
      </c>
      <c r="P274" s="160">
        <f t="shared" ca="1" si="47"/>
        <v>0</v>
      </c>
      <c r="Q274" s="160">
        <f t="shared" ca="1" si="48"/>
        <v>0</v>
      </c>
      <c r="R274" s="160">
        <f t="shared" ca="1" si="48"/>
        <v>0</v>
      </c>
      <c r="S274" s="160">
        <f t="shared" ca="1" si="48"/>
        <v>0</v>
      </c>
      <c r="T274" s="160">
        <f t="shared" ca="1" si="48"/>
        <v>0</v>
      </c>
      <c r="U274" s="160">
        <f t="shared" ca="1" si="49"/>
        <v>0</v>
      </c>
      <c r="V274" s="163">
        <f t="shared" ca="1" si="41"/>
        <v>0</v>
      </c>
      <c r="W274" s="163">
        <f t="shared" ca="1" si="42"/>
        <v>0</v>
      </c>
      <c r="X274" s="163">
        <f t="shared" ca="1" si="43"/>
        <v>0</v>
      </c>
      <c r="Y274" s="163">
        <f t="shared" ca="1" si="44"/>
        <v>0</v>
      </c>
    </row>
    <row r="275" spans="12:25" ht="14.4">
      <c r="L275" s="464"/>
      <c r="M275" s="129" t="str">
        <f t="shared" si="45"/>
        <v>end</v>
      </c>
      <c r="N275" s="161">
        <f t="shared" si="50"/>
        <v>2</v>
      </c>
      <c r="O275" s="160">
        <f t="shared" ca="1" si="46"/>
        <v>0</v>
      </c>
      <c r="P275" s="160">
        <f t="shared" ca="1" si="47"/>
        <v>0</v>
      </c>
      <c r="Q275" s="160">
        <f t="shared" ca="1" si="48"/>
        <v>0</v>
      </c>
      <c r="R275" s="160">
        <f t="shared" ca="1" si="48"/>
        <v>0</v>
      </c>
      <c r="S275" s="160">
        <f t="shared" ca="1" si="48"/>
        <v>0</v>
      </c>
      <c r="T275" s="160">
        <f t="shared" ca="1" si="48"/>
        <v>0</v>
      </c>
      <c r="U275" s="160">
        <f t="shared" ca="1" si="49"/>
        <v>0</v>
      </c>
      <c r="V275" s="163">
        <f t="shared" ca="1" si="41"/>
        <v>0</v>
      </c>
      <c r="W275" s="163">
        <f t="shared" ca="1" si="42"/>
        <v>0</v>
      </c>
      <c r="X275" s="163">
        <f t="shared" ca="1" si="43"/>
        <v>0</v>
      </c>
      <c r="Y275" s="163">
        <f t="shared" ca="1" si="44"/>
        <v>0</v>
      </c>
    </row>
    <row r="276" spans="12:25" ht="14.4">
      <c r="L276" s="464"/>
      <c r="M276" s="129" t="str">
        <f t="shared" si="45"/>
        <v>end</v>
      </c>
      <c r="N276" s="161">
        <f t="shared" si="50"/>
        <v>2</v>
      </c>
      <c r="O276" s="160">
        <f t="shared" ca="1" si="46"/>
        <v>0</v>
      </c>
      <c r="P276" s="160">
        <f t="shared" ca="1" si="47"/>
        <v>0</v>
      </c>
      <c r="Q276" s="160">
        <f t="shared" ca="1" si="48"/>
        <v>0</v>
      </c>
      <c r="R276" s="160">
        <f t="shared" ca="1" si="48"/>
        <v>0</v>
      </c>
      <c r="S276" s="160">
        <f t="shared" ca="1" si="48"/>
        <v>0</v>
      </c>
      <c r="T276" s="160">
        <f t="shared" ca="1" si="48"/>
        <v>0</v>
      </c>
      <c r="U276" s="160">
        <f t="shared" ca="1" si="49"/>
        <v>0</v>
      </c>
      <c r="V276" s="163">
        <f t="shared" ca="1" si="41"/>
        <v>0</v>
      </c>
      <c r="W276" s="163">
        <f t="shared" ca="1" si="42"/>
        <v>0</v>
      </c>
      <c r="X276" s="163">
        <f t="shared" ca="1" si="43"/>
        <v>0</v>
      </c>
      <c r="Y276" s="163">
        <f t="shared" ca="1" si="44"/>
        <v>0</v>
      </c>
    </row>
    <row r="277" spans="12:25" ht="14.4">
      <c r="L277" s="464"/>
      <c r="M277" s="129" t="str">
        <f t="shared" si="45"/>
        <v>end</v>
      </c>
      <c r="N277" s="161">
        <f t="shared" si="50"/>
        <v>2</v>
      </c>
      <c r="O277" s="160">
        <f t="shared" ca="1" si="46"/>
        <v>0</v>
      </c>
      <c r="P277" s="160">
        <f t="shared" ca="1" si="47"/>
        <v>0</v>
      </c>
      <c r="Q277" s="160">
        <f t="shared" ca="1" si="48"/>
        <v>0</v>
      </c>
      <c r="R277" s="160">
        <f t="shared" ca="1" si="48"/>
        <v>0</v>
      </c>
      <c r="S277" s="160">
        <f t="shared" ca="1" si="48"/>
        <v>0</v>
      </c>
      <c r="T277" s="160">
        <f t="shared" ca="1" si="48"/>
        <v>0</v>
      </c>
      <c r="U277" s="160">
        <f t="shared" ca="1" si="49"/>
        <v>0</v>
      </c>
      <c r="V277" s="163">
        <f t="shared" ca="1" si="41"/>
        <v>0</v>
      </c>
      <c r="W277" s="163">
        <f t="shared" ca="1" si="42"/>
        <v>0</v>
      </c>
      <c r="X277" s="163">
        <f t="shared" ca="1" si="43"/>
        <v>0</v>
      </c>
      <c r="Y277" s="163">
        <f t="shared" ca="1" si="44"/>
        <v>0</v>
      </c>
    </row>
    <row r="278" spans="12:25" ht="14.4">
      <c r="L278" s="464"/>
      <c r="M278" s="129" t="str">
        <f t="shared" si="45"/>
        <v>end</v>
      </c>
      <c r="N278" s="161">
        <f t="shared" si="50"/>
        <v>2</v>
      </c>
      <c r="O278" s="160">
        <f t="shared" ca="1" si="46"/>
        <v>0</v>
      </c>
      <c r="P278" s="160">
        <f t="shared" ca="1" si="47"/>
        <v>0</v>
      </c>
      <c r="Q278" s="160">
        <f t="shared" ca="1" si="48"/>
        <v>0</v>
      </c>
      <c r="R278" s="160">
        <f t="shared" ca="1" si="48"/>
        <v>0</v>
      </c>
      <c r="S278" s="160">
        <f t="shared" ca="1" si="48"/>
        <v>0</v>
      </c>
      <c r="T278" s="160">
        <f t="shared" ca="1" si="48"/>
        <v>0</v>
      </c>
      <c r="U278" s="160">
        <f t="shared" ca="1" si="49"/>
        <v>0</v>
      </c>
      <c r="V278" s="163">
        <f t="shared" ca="1" si="41"/>
        <v>0</v>
      </c>
      <c r="W278" s="163">
        <f t="shared" ca="1" si="42"/>
        <v>0</v>
      </c>
      <c r="X278" s="163">
        <f t="shared" ca="1" si="43"/>
        <v>0</v>
      </c>
      <c r="Y278" s="163">
        <f t="shared" ca="1" si="44"/>
        <v>0</v>
      </c>
    </row>
    <row r="279" spans="12:25" ht="14.4">
      <c r="L279" s="464"/>
      <c r="M279" s="129" t="str">
        <f t="shared" si="45"/>
        <v>end</v>
      </c>
      <c r="N279" s="161">
        <f t="shared" si="50"/>
        <v>2</v>
      </c>
      <c r="O279" s="160">
        <f t="shared" ca="1" si="46"/>
        <v>0</v>
      </c>
      <c r="P279" s="160">
        <f t="shared" ca="1" si="47"/>
        <v>0</v>
      </c>
      <c r="Q279" s="160">
        <f t="shared" ca="1" si="48"/>
        <v>0</v>
      </c>
      <c r="R279" s="160">
        <f t="shared" ca="1" si="48"/>
        <v>0</v>
      </c>
      <c r="S279" s="160">
        <f t="shared" ca="1" si="48"/>
        <v>0</v>
      </c>
      <c r="T279" s="160">
        <f t="shared" ca="1" si="48"/>
        <v>0</v>
      </c>
      <c r="U279" s="160">
        <f t="shared" ca="1" si="49"/>
        <v>0</v>
      </c>
      <c r="V279" s="163">
        <f t="shared" ca="1" si="41"/>
        <v>0</v>
      </c>
      <c r="W279" s="163">
        <f t="shared" ca="1" si="42"/>
        <v>0</v>
      </c>
      <c r="X279" s="163">
        <f t="shared" ca="1" si="43"/>
        <v>0</v>
      </c>
      <c r="Y279" s="163">
        <f t="shared" ca="1" si="44"/>
        <v>0</v>
      </c>
    </row>
    <row r="280" spans="12:25" ht="14.4">
      <c r="L280" s="464"/>
      <c r="M280" s="129" t="str">
        <f t="shared" si="45"/>
        <v>end</v>
      </c>
      <c r="N280" s="161">
        <f t="shared" si="50"/>
        <v>2</v>
      </c>
      <c r="O280" s="160">
        <f t="shared" ca="1" si="46"/>
        <v>0</v>
      </c>
      <c r="P280" s="160">
        <f t="shared" ca="1" si="47"/>
        <v>0</v>
      </c>
      <c r="Q280" s="160">
        <f t="shared" ca="1" si="48"/>
        <v>0</v>
      </c>
      <c r="R280" s="160">
        <f t="shared" ca="1" si="48"/>
        <v>0</v>
      </c>
      <c r="S280" s="160">
        <f t="shared" ca="1" si="48"/>
        <v>0</v>
      </c>
      <c r="T280" s="160">
        <f t="shared" ca="1" si="48"/>
        <v>0</v>
      </c>
      <c r="U280" s="160">
        <f t="shared" ca="1" si="49"/>
        <v>0</v>
      </c>
      <c r="V280" s="163">
        <f t="shared" ca="1" si="41"/>
        <v>0</v>
      </c>
      <c r="W280" s="163">
        <f t="shared" ca="1" si="42"/>
        <v>0</v>
      </c>
      <c r="X280" s="163">
        <f t="shared" ca="1" si="43"/>
        <v>0</v>
      </c>
      <c r="Y280" s="163">
        <f t="shared" ca="1" si="44"/>
        <v>0</v>
      </c>
    </row>
    <row r="281" spans="12:25" ht="14.4">
      <c r="L281" s="464"/>
      <c r="M281" s="129" t="str">
        <f t="shared" si="45"/>
        <v>end</v>
      </c>
      <c r="N281" s="161">
        <f t="shared" si="50"/>
        <v>2</v>
      </c>
      <c r="O281" s="160">
        <f t="shared" ca="1" si="46"/>
        <v>0</v>
      </c>
      <c r="P281" s="160">
        <f t="shared" ca="1" si="47"/>
        <v>0</v>
      </c>
      <c r="Q281" s="160">
        <f t="shared" ca="1" si="48"/>
        <v>0</v>
      </c>
      <c r="R281" s="160">
        <f t="shared" ca="1" si="48"/>
        <v>0</v>
      </c>
      <c r="S281" s="160">
        <f t="shared" ca="1" si="48"/>
        <v>0</v>
      </c>
      <c r="T281" s="160">
        <f t="shared" ca="1" si="48"/>
        <v>0</v>
      </c>
      <c r="U281" s="160">
        <f t="shared" ca="1" si="49"/>
        <v>0</v>
      </c>
      <c r="V281" s="163">
        <f t="shared" ca="1" si="41"/>
        <v>0</v>
      </c>
      <c r="W281" s="163">
        <f t="shared" ca="1" si="42"/>
        <v>0</v>
      </c>
      <c r="X281" s="163">
        <f t="shared" ca="1" si="43"/>
        <v>0</v>
      </c>
      <c r="Y281" s="163">
        <f t="shared" ca="1" si="44"/>
        <v>0</v>
      </c>
    </row>
    <row r="282" spans="12:25" ht="14.4">
      <c r="L282" s="464"/>
      <c r="M282" s="129" t="str">
        <f t="shared" si="45"/>
        <v>end</v>
      </c>
      <c r="N282" s="161">
        <f t="shared" si="50"/>
        <v>2</v>
      </c>
      <c r="O282" s="160">
        <f t="shared" ca="1" si="46"/>
        <v>0</v>
      </c>
      <c r="P282" s="160">
        <f t="shared" ca="1" si="47"/>
        <v>0</v>
      </c>
      <c r="Q282" s="160">
        <f t="shared" ca="1" si="48"/>
        <v>0</v>
      </c>
      <c r="R282" s="160">
        <f t="shared" ca="1" si="48"/>
        <v>0</v>
      </c>
      <c r="S282" s="160">
        <f t="shared" ca="1" si="48"/>
        <v>0</v>
      </c>
      <c r="T282" s="160">
        <f t="shared" ca="1" si="48"/>
        <v>0</v>
      </c>
      <c r="U282" s="160">
        <f t="shared" ca="1" si="49"/>
        <v>0</v>
      </c>
      <c r="V282" s="163">
        <f t="shared" ca="1" si="41"/>
        <v>0</v>
      </c>
      <c r="W282" s="163">
        <f t="shared" ca="1" si="42"/>
        <v>0</v>
      </c>
      <c r="X282" s="163">
        <f t="shared" ca="1" si="43"/>
        <v>0</v>
      </c>
      <c r="Y282" s="163">
        <f t="shared" ca="1" si="44"/>
        <v>0</v>
      </c>
    </row>
    <row r="283" spans="12:25" ht="14.4">
      <c r="L283" s="464"/>
      <c r="M283" s="129" t="str">
        <f t="shared" si="45"/>
        <v>end</v>
      </c>
      <c r="N283" s="161">
        <f t="shared" si="50"/>
        <v>2</v>
      </c>
      <c r="O283" s="160">
        <f t="shared" ca="1" si="46"/>
        <v>0</v>
      </c>
      <c r="P283" s="160">
        <f t="shared" ca="1" si="47"/>
        <v>0</v>
      </c>
      <c r="Q283" s="160">
        <f t="shared" ca="1" si="48"/>
        <v>0</v>
      </c>
      <c r="R283" s="160">
        <f t="shared" ca="1" si="48"/>
        <v>0</v>
      </c>
      <c r="S283" s="160">
        <f t="shared" ca="1" si="48"/>
        <v>0</v>
      </c>
      <c r="T283" s="160">
        <f t="shared" ca="1" si="48"/>
        <v>0</v>
      </c>
      <c r="U283" s="160">
        <f t="shared" ca="1" si="49"/>
        <v>0</v>
      </c>
      <c r="V283" s="163">
        <f t="shared" ca="1" si="41"/>
        <v>0</v>
      </c>
      <c r="W283" s="163">
        <f t="shared" ca="1" si="42"/>
        <v>0</v>
      </c>
      <c r="X283" s="163">
        <f t="shared" ca="1" si="43"/>
        <v>0</v>
      </c>
      <c r="Y283" s="163">
        <f t="shared" ca="1" si="44"/>
        <v>0</v>
      </c>
    </row>
    <row r="284" spans="12:25" ht="14.4">
      <c r="L284" s="464"/>
      <c r="M284" s="129" t="str">
        <f t="shared" si="45"/>
        <v>end</v>
      </c>
      <c r="N284" s="161">
        <f t="shared" si="50"/>
        <v>2</v>
      </c>
      <c r="O284" s="160">
        <f t="shared" ca="1" si="46"/>
        <v>0</v>
      </c>
      <c r="P284" s="160">
        <f t="shared" ca="1" si="47"/>
        <v>0</v>
      </c>
      <c r="Q284" s="160">
        <f t="shared" ca="1" si="48"/>
        <v>0</v>
      </c>
      <c r="R284" s="160">
        <f t="shared" ca="1" si="48"/>
        <v>0</v>
      </c>
      <c r="S284" s="160">
        <f t="shared" ca="1" si="48"/>
        <v>0</v>
      </c>
      <c r="T284" s="160">
        <f t="shared" ca="1" si="48"/>
        <v>0</v>
      </c>
      <c r="U284" s="160">
        <f t="shared" ca="1" si="49"/>
        <v>0</v>
      </c>
      <c r="V284" s="163">
        <f t="shared" ca="1" si="41"/>
        <v>0</v>
      </c>
      <c r="W284" s="163">
        <f t="shared" ca="1" si="42"/>
        <v>0</v>
      </c>
      <c r="X284" s="163">
        <f t="shared" ca="1" si="43"/>
        <v>0</v>
      </c>
      <c r="Y284" s="163">
        <f t="shared" ca="1" si="44"/>
        <v>0</v>
      </c>
    </row>
    <row r="285" spans="12:25" ht="14.4">
      <c r="L285" s="464"/>
      <c r="M285" s="129" t="str">
        <f t="shared" si="45"/>
        <v>end</v>
      </c>
      <c r="N285" s="161">
        <f t="shared" si="50"/>
        <v>2</v>
      </c>
      <c r="O285" s="160">
        <f t="shared" ca="1" si="46"/>
        <v>0</v>
      </c>
      <c r="P285" s="160">
        <f t="shared" ca="1" si="47"/>
        <v>0</v>
      </c>
      <c r="Q285" s="160">
        <f t="shared" ca="1" si="48"/>
        <v>0</v>
      </c>
      <c r="R285" s="160">
        <f t="shared" ca="1" si="48"/>
        <v>0</v>
      </c>
      <c r="S285" s="160">
        <f t="shared" ca="1" si="48"/>
        <v>0</v>
      </c>
      <c r="T285" s="160">
        <f t="shared" ca="1" si="48"/>
        <v>0</v>
      </c>
      <c r="U285" s="160">
        <f t="shared" ca="1" si="49"/>
        <v>0</v>
      </c>
      <c r="V285" s="163">
        <f t="shared" ca="1" si="41"/>
        <v>0</v>
      </c>
      <c r="W285" s="163">
        <f t="shared" ca="1" si="42"/>
        <v>0</v>
      </c>
      <c r="X285" s="163">
        <f t="shared" ca="1" si="43"/>
        <v>0</v>
      </c>
      <c r="Y285" s="163">
        <f t="shared" ca="1" si="44"/>
        <v>0</v>
      </c>
    </row>
    <row r="286" spans="12:25" ht="14.4">
      <c r="L286" s="464"/>
      <c r="M286" s="129" t="str">
        <f t="shared" si="45"/>
        <v>end</v>
      </c>
      <c r="N286" s="161">
        <f t="shared" si="50"/>
        <v>2</v>
      </c>
      <c r="O286" s="160">
        <f t="shared" ca="1" si="46"/>
        <v>0</v>
      </c>
      <c r="P286" s="160">
        <f t="shared" ca="1" si="47"/>
        <v>0</v>
      </c>
      <c r="Q286" s="160">
        <f t="shared" ca="1" si="48"/>
        <v>0</v>
      </c>
      <c r="R286" s="160">
        <f t="shared" ca="1" si="48"/>
        <v>0</v>
      </c>
      <c r="S286" s="160">
        <f t="shared" ca="1" si="48"/>
        <v>0</v>
      </c>
      <c r="T286" s="160">
        <f t="shared" ca="1" si="48"/>
        <v>0</v>
      </c>
      <c r="U286" s="160">
        <f t="shared" ca="1" si="49"/>
        <v>0</v>
      </c>
      <c r="V286" s="163">
        <f t="shared" ca="1" si="41"/>
        <v>0</v>
      </c>
      <c r="W286" s="163">
        <f t="shared" ca="1" si="42"/>
        <v>0</v>
      </c>
      <c r="X286" s="163">
        <f t="shared" ca="1" si="43"/>
        <v>0</v>
      </c>
      <c r="Y286" s="163">
        <f t="shared" ca="1" si="44"/>
        <v>0</v>
      </c>
    </row>
    <row r="287" spans="12:25" ht="14.4">
      <c r="L287" s="464"/>
      <c r="M287" s="129" t="str">
        <f t="shared" si="45"/>
        <v>end</v>
      </c>
      <c r="N287" s="161">
        <f t="shared" si="50"/>
        <v>2</v>
      </c>
      <c r="O287" s="160">
        <f t="shared" ca="1" si="46"/>
        <v>0</v>
      </c>
      <c r="P287" s="160">
        <f t="shared" ca="1" si="47"/>
        <v>0</v>
      </c>
      <c r="Q287" s="160">
        <f t="shared" ca="1" si="48"/>
        <v>0</v>
      </c>
      <c r="R287" s="160">
        <f t="shared" ca="1" si="48"/>
        <v>0</v>
      </c>
      <c r="S287" s="160">
        <f t="shared" ca="1" si="48"/>
        <v>0</v>
      </c>
      <c r="T287" s="160">
        <f t="shared" ca="1" si="48"/>
        <v>0</v>
      </c>
      <c r="U287" s="160">
        <f t="shared" ca="1" si="49"/>
        <v>0</v>
      </c>
      <c r="V287" s="163">
        <f t="shared" ref="V287:V350" ca="1" si="51">IF(Q287=0,0,IF(S287=180,IF(R287=0,"Slab on Grade",IF(R287=1,"Exposed Floor",IF(R287=3,"Internal Floor",U287))),IF(S287&lt;45,IF(R287=3,"Internal Ceiling",IF(R287=1,"Roof",U287)))))</f>
        <v>0</v>
      </c>
      <c r="W287" s="163">
        <f t="shared" ref="W287:W350" ca="1" si="52">IF(ISNUMBER(SEARCH($W$29,U287))=TRUE,IF(ISNUMBER(SEARCH($W$27,U287))=TRUE,IF(R287=1,"eFrame",IF(R287=3,"iFrame")),IF(R287=1,"eWindow",IF(R287=3,"iWindow"))),U287)</f>
        <v>0</v>
      </c>
      <c r="X287" s="163">
        <f t="shared" ref="X287:X350" ca="1" si="53">IF(ISNUMBER(SEARCH($X$29,U287))=TRUE,IF(ISNUMBER(SEARCH($X$27,U287))=TRUE,IF(R287=1,"eFrameDoor",IF(R287=3,"iFrameDoor")),IF(R287=1,"eDoor",IF(R287=3,"iDoor"))),U287)</f>
        <v>0</v>
      </c>
      <c r="Y287" s="163">
        <f t="shared" ref="Y287:Y350" ca="1" si="54">IF(ISNUMBER(SEARCH($W$29,U287))=TRUE,"Substract",IF(ISNUMBER(SEARCH($X$29,U287))=TRUE, "Sunstract",IF(S287=90,IF(R287=1,"External Wall",IF(R287=3,"Internal Wall",IF(R287=0,"Below Grade Wall",U287))),V287)))</f>
        <v>0</v>
      </c>
    </row>
    <row r="288" spans="12:25" ht="14.4">
      <c r="L288" s="464"/>
      <c r="M288" s="129" t="str">
        <f t="shared" ref="M288:M351" si="55">IF(M287="end","end",IF(M287=$K$1,"end",M287+1))</f>
        <v>end</v>
      </c>
      <c r="N288" s="161">
        <f t="shared" si="50"/>
        <v>2</v>
      </c>
      <c r="O288" s="160">
        <f t="shared" ca="1" si="46"/>
        <v>0</v>
      </c>
      <c r="P288" s="160">
        <f t="shared" ca="1" si="47"/>
        <v>0</v>
      </c>
      <c r="Q288" s="160">
        <f t="shared" ca="1" si="48"/>
        <v>0</v>
      </c>
      <c r="R288" s="160">
        <f t="shared" ca="1" si="48"/>
        <v>0</v>
      </c>
      <c r="S288" s="160">
        <f t="shared" ca="1" si="48"/>
        <v>0</v>
      </c>
      <c r="T288" s="160">
        <f t="shared" ca="1" si="48"/>
        <v>0</v>
      </c>
      <c r="U288" s="160">
        <f t="shared" ca="1" si="49"/>
        <v>0</v>
      </c>
      <c r="V288" s="163">
        <f t="shared" ca="1" si="51"/>
        <v>0</v>
      </c>
      <c r="W288" s="163">
        <f t="shared" ca="1" si="52"/>
        <v>0</v>
      </c>
      <c r="X288" s="163">
        <f t="shared" ca="1" si="53"/>
        <v>0</v>
      </c>
      <c r="Y288" s="163">
        <f t="shared" ca="1" si="54"/>
        <v>0</v>
      </c>
    </row>
    <row r="289" spans="12:25" ht="14.4">
      <c r="L289" s="464"/>
      <c r="M289" s="129" t="str">
        <f t="shared" si="55"/>
        <v>end</v>
      </c>
      <c r="N289" s="161">
        <f t="shared" si="50"/>
        <v>2</v>
      </c>
      <c r="O289" s="160">
        <f t="shared" ca="1" si="46"/>
        <v>0</v>
      </c>
      <c r="P289" s="160">
        <f t="shared" ca="1" si="47"/>
        <v>0</v>
      </c>
      <c r="Q289" s="160">
        <f t="shared" ca="1" si="48"/>
        <v>0</v>
      </c>
      <c r="R289" s="160">
        <f t="shared" ca="1" si="48"/>
        <v>0</v>
      </c>
      <c r="S289" s="160">
        <f t="shared" ca="1" si="48"/>
        <v>0</v>
      </c>
      <c r="T289" s="160">
        <f t="shared" ca="1" si="48"/>
        <v>0</v>
      </c>
      <c r="U289" s="160">
        <f t="shared" ca="1" si="49"/>
        <v>0</v>
      </c>
      <c r="V289" s="163">
        <f t="shared" ca="1" si="51"/>
        <v>0</v>
      </c>
      <c r="W289" s="163">
        <f t="shared" ca="1" si="52"/>
        <v>0</v>
      </c>
      <c r="X289" s="163">
        <f t="shared" ca="1" si="53"/>
        <v>0</v>
      </c>
      <c r="Y289" s="163">
        <f t="shared" ca="1" si="54"/>
        <v>0</v>
      </c>
    </row>
    <row r="290" spans="12:25" ht="14.4">
      <c r="L290" s="464"/>
      <c r="M290" s="129" t="str">
        <f t="shared" si="55"/>
        <v>end</v>
      </c>
      <c r="N290" s="161">
        <f t="shared" si="50"/>
        <v>2</v>
      </c>
      <c r="O290" s="160">
        <f t="shared" ca="1" si="46"/>
        <v>0</v>
      </c>
      <c r="P290" s="160">
        <f t="shared" ca="1" si="47"/>
        <v>0</v>
      </c>
      <c r="Q290" s="160">
        <f t="shared" ca="1" si="48"/>
        <v>0</v>
      </c>
      <c r="R290" s="160">
        <f t="shared" ca="1" si="48"/>
        <v>0</v>
      </c>
      <c r="S290" s="160">
        <f t="shared" ca="1" si="48"/>
        <v>0</v>
      </c>
      <c r="T290" s="160">
        <f t="shared" ca="1" si="48"/>
        <v>0</v>
      </c>
      <c r="U290" s="160">
        <f t="shared" ca="1" si="49"/>
        <v>0</v>
      </c>
      <c r="V290" s="163">
        <f t="shared" ca="1" si="51"/>
        <v>0</v>
      </c>
      <c r="W290" s="163">
        <f t="shared" ca="1" si="52"/>
        <v>0</v>
      </c>
      <c r="X290" s="163">
        <f t="shared" ca="1" si="53"/>
        <v>0</v>
      </c>
      <c r="Y290" s="163">
        <f t="shared" ca="1" si="54"/>
        <v>0</v>
      </c>
    </row>
    <row r="291" spans="12:25" ht="14.4">
      <c r="L291" s="464"/>
      <c r="M291" s="129" t="str">
        <f t="shared" si="55"/>
        <v>end</v>
      </c>
      <c r="N291" s="161">
        <f t="shared" si="50"/>
        <v>2</v>
      </c>
      <c r="O291" s="160">
        <f t="shared" ca="1" si="46"/>
        <v>0</v>
      </c>
      <c r="P291" s="160">
        <f t="shared" ca="1" si="47"/>
        <v>0</v>
      </c>
      <c r="Q291" s="160">
        <f t="shared" ca="1" si="48"/>
        <v>0</v>
      </c>
      <c r="R291" s="160">
        <f t="shared" ca="1" si="48"/>
        <v>0</v>
      </c>
      <c r="S291" s="160">
        <f t="shared" ca="1" si="48"/>
        <v>0</v>
      </c>
      <c r="T291" s="160">
        <f t="shared" ca="1" si="48"/>
        <v>0</v>
      </c>
      <c r="U291" s="160">
        <f t="shared" ca="1" si="49"/>
        <v>0</v>
      </c>
      <c r="V291" s="163">
        <f t="shared" ca="1" si="51"/>
        <v>0</v>
      </c>
      <c r="W291" s="163">
        <f t="shared" ca="1" si="52"/>
        <v>0</v>
      </c>
      <c r="X291" s="163">
        <f t="shared" ca="1" si="53"/>
        <v>0</v>
      </c>
      <c r="Y291" s="163">
        <f t="shared" ca="1" si="54"/>
        <v>0</v>
      </c>
    </row>
    <row r="292" spans="12:25" ht="14.4">
      <c r="L292" s="464"/>
      <c r="M292" s="129" t="str">
        <f t="shared" si="55"/>
        <v>end</v>
      </c>
      <c r="N292" s="161">
        <f t="shared" si="50"/>
        <v>2</v>
      </c>
      <c r="O292" s="160">
        <f t="shared" ca="1" si="46"/>
        <v>0</v>
      </c>
      <c r="P292" s="160">
        <f t="shared" ca="1" si="47"/>
        <v>0</v>
      </c>
      <c r="Q292" s="160">
        <f t="shared" ca="1" si="48"/>
        <v>0</v>
      </c>
      <c r="R292" s="160">
        <f t="shared" ca="1" si="48"/>
        <v>0</v>
      </c>
      <c r="S292" s="160">
        <f t="shared" ca="1" si="48"/>
        <v>0</v>
      </c>
      <c r="T292" s="160">
        <f t="shared" ca="1" si="48"/>
        <v>0</v>
      </c>
      <c r="U292" s="160">
        <f t="shared" ca="1" si="49"/>
        <v>0</v>
      </c>
      <c r="V292" s="163">
        <f t="shared" ca="1" si="51"/>
        <v>0</v>
      </c>
      <c r="W292" s="163">
        <f t="shared" ca="1" si="52"/>
        <v>0</v>
      </c>
      <c r="X292" s="163">
        <f t="shared" ca="1" si="53"/>
        <v>0</v>
      </c>
      <c r="Y292" s="163">
        <f t="shared" ca="1" si="54"/>
        <v>0</v>
      </c>
    </row>
    <row r="293" spans="12:25" ht="14.4">
      <c r="L293" s="464"/>
      <c r="M293" s="129" t="str">
        <f t="shared" si="55"/>
        <v>end</v>
      </c>
      <c r="N293" s="161">
        <f t="shared" si="50"/>
        <v>2</v>
      </c>
      <c r="O293" s="160">
        <f t="shared" ca="1" si="46"/>
        <v>0</v>
      </c>
      <c r="P293" s="160">
        <f t="shared" ca="1" si="47"/>
        <v>0</v>
      </c>
      <c r="Q293" s="160">
        <f t="shared" ca="1" si="48"/>
        <v>0</v>
      </c>
      <c r="R293" s="160">
        <f t="shared" ca="1" si="48"/>
        <v>0</v>
      </c>
      <c r="S293" s="160">
        <f t="shared" ca="1" si="48"/>
        <v>0</v>
      </c>
      <c r="T293" s="160">
        <f t="shared" ca="1" si="48"/>
        <v>0</v>
      </c>
      <c r="U293" s="160">
        <f t="shared" ca="1" si="49"/>
        <v>0</v>
      </c>
      <c r="V293" s="163">
        <f t="shared" ca="1" si="51"/>
        <v>0</v>
      </c>
      <c r="W293" s="163">
        <f t="shared" ca="1" si="52"/>
        <v>0</v>
      </c>
      <c r="X293" s="163">
        <f t="shared" ca="1" si="53"/>
        <v>0</v>
      </c>
      <c r="Y293" s="163">
        <f t="shared" ca="1" si="54"/>
        <v>0</v>
      </c>
    </row>
    <row r="294" spans="12:25" ht="14.4">
      <c r="L294" s="464"/>
      <c r="M294" s="129" t="str">
        <f t="shared" si="55"/>
        <v>end</v>
      </c>
      <c r="N294" s="161">
        <f t="shared" si="50"/>
        <v>2</v>
      </c>
      <c r="O294" s="160">
        <f t="shared" ca="1" si="46"/>
        <v>0</v>
      </c>
      <c r="P294" s="160">
        <f t="shared" ca="1" si="47"/>
        <v>0</v>
      </c>
      <c r="Q294" s="160">
        <f t="shared" ca="1" si="48"/>
        <v>0</v>
      </c>
      <c r="R294" s="160">
        <f t="shared" ca="1" si="48"/>
        <v>0</v>
      </c>
      <c r="S294" s="160">
        <f t="shared" ca="1" si="48"/>
        <v>0</v>
      </c>
      <c r="T294" s="160">
        <f t="shared" ca="1" si="48"/>
        <v>0</v>
      </c>
      <c r="U294" s="160">
        <f t="shared" ca="1" si="49"/>
        <v>0</v>
      </c>
      <c r="V294" s="163">
        <f t="shared" ca="1" si="51"/>
        <v>0</v>
      </c>
      <c r="W294" s="163">
        <f t="shared" ca="1" si="52"/>
        <v>0</v>
      </c>
      <c r="X294" s="163">
        <f t="shared" ca="1" si="53"/>
        <v>0</v>
      </c>
      <c r="Y294" s="163">
        <f t="shared" ca="1" si="54"/>
        <v>0</v>
      </c>
    </row>
    <row r="295" spans="12:25" ht="14.4">
      <c r="L295" s="464"/>
      <c r="M295" s="129" t="str">
        <f t="shared" si="55"/>
        <v>end</v>
      </c>
      <c r="N295" s="161">
        <f t="shared" si="50"/>
        <v>2</v>
      </c>
      <c r="O295" s="160">
        <f t="shared" ca="1" si="46"/>
        <v>0</v>
      </c>
      <c r="P295" s="160">
        <f t="shared" ca="1" si="47"/>
        <v>0</v>
      </c>
      <c r="Q295" s="160">
        <f t="shared" ca="1" si="48"/>
        <v>0</v>
      </c>
      <c r="R295" s="160">
        <f t="shared" ca="1" si="48"/>
        <v>0</v>
      </c>
      <c r="S295" s="160">
        <f t="shared" ca="1" si="48"/>
        <v>0</v>
      </c>
      <c r="T295" s="160">
        <f t="shared" ca="1" si="48"/>
        <v>0</v>
      </c>
      <c r="U295" s="160">
        <f t="shared" ca="1" si="49"/>
        <v>0</v>
      </c>
      <c r="V295" s="163">
        <f t="shared" ca="1" si="51"/>
        <v>0</v>
      </c>
      <c r="W295" s="163">
        <f t="shared" ca="1" si="52"/>
        <v>0</v>
      </c>
      <c r="X295" s="163">
        <f t="shared" ca="1" si="53"/>
        <v>0</v>
      </c>
      <c r="Y295" s="163">
        <f t="shared" ca="1" si="54"/>
        <v>0</v>
      </c>
    </row>
    <row r="296" spans="12:25" ht="14.4">
      <c r="L296" s="464"/>
      <c r="M296" s="129" t="str">
        <f t="shared" si="55"/>
        <v>end</v>
      </c>
      <c r="N296" s="161">
        <f t="shared" si="50"/>
        <v>2</v>
      </c>
      <c r="O296" s="160">
        <f t="shared" ca="1" si="46"/>
        <v>0</v>
      </c>
      <c r="P296" s="160">
        <f t="shared" ca="1" si="47"/>
        <v>0</v>
      </c>
      <c r="Q296" s="160">
        <f t="shared" ca="1" si="48"/>
        <v>0</v>
      </c>
      <c r="R296" s="160">
        <f t="shared" ca="1" si="48"/>
        <v>0</v>
      </c>
      <c r="S296" s="160">
        <f t="shared" ca="1" si="48"/>
        <v>0</v>
      </c>
      <c r="T296" s="160">
        <f t="shared" ca="1" si="48"/>
        <v>0</v>
      </c>
      <c r="U296" s="160">
        <f t="shared" ca="1" si="49"/>
        <v>0</v>
      </c>
      <c r="V296" s="163">
        <f t="shared" ca="1" si="51"/>
        <v>0</v>
      </c>
      <c r="W296" s="163">
        <f t="shared" ca="1" si="52"/>
        <v>0</v>
      </c>
      <c r="X296" s="163">
        <f t="shared" ca="1" si="53"/>
        <v>0</v>
      </c>
      <c r="Y296" s="163">
        <f t="shared" ca="1" si="54"/>
        <v>0</v>
      </c>
    </row>
    <row r="297" spans="12:25" ht="14.4">
      <c r="L297" s="464"/>
      <c r="M297" s="129" t="str">
        <f t="shared" si="55"/>
        <v>end</v>
      </c>
      <c r="N297" s="161">
        <f t="shared" si="50"/>
        <v>2</v>
      </c>
      <c r="O297" s="160">
        <f t="shared" ref="O297:O360" ca="1" si="56">IF($M297="end",0,OFFSET($A$1,$M297-1,O$29,1,1))</f>
        <v>0</v>
      </c>
      <c r="P297" s="160">
        <f t="shared" ca="1" si="47"/>
        <v>0</v>
      </c>
      <c r="Q297" s="160">
        <f t="shared" ca="1" si="48"/>
        <v>0</v>
      </c>
      <c r="R297" s="160">
        <f t="shared" ca="1" si="48"/>
        <v>0</v>
      </c>
      <c r="S297" s="160">
        <f t="shared" ca="1" si="48"/>
        <v>0</v>
      </c>
      <c r="T297" s="160">
        <f t="shared" ca="1" si="48"/>
        <v>0</v>
      </c>
      <c r="U297" s="160">
        <f t="shared" ca="1" si="49"/>
        <v>0</v>
      </c>
      <c r="V297" s="163">
        <f t="shared" ca="1" si="51"/>
        <v>0</v>
      </c>
      <c r="W297" s="163">
        <f t="shared" ca="1" si="52"/>
        <v>0</v>
      </c>
      <c r="X297" s="163">
        <f t="shared" ca="1" si="53"/>
        <v>0</v>
      </c>
      <c r="Y297" s="163">
        <f t="shared" ca="1" si="54"/>
        <v>0</v>
      </c>
    </row>
    <row r="298" spans="12:25" ht="14.4">
      <c r="L298" s="464"/>
      <c r="M298" s="129" t="str">
        <f t="shared" si="55"/>
        <v>end</v>
      </c>
      <c r="N298" s="161">
        <f t="shared" si="50"/>
        <v>2</v>
      </c>
      <c r="O298" s="160">
        <f t="shared" ca="1" si="56"/>
        <v>0</v>
      </c>
      <c r="P298" s="160">
        <f t="shared" ca="1" si="47"/>
        <v>0</v>
      </c>
      <c r="Q298" s="160">
        <f t="shared" ca="1" si="48"/>
        <v>0</v>
      </c>
      <c r="R298" s="160">
        <f t="shared" ca="1" si="48"/>
        <v>0</v>
      </c>
      <c r="S298" s="160">
        <f t="shared" ca="1" si="48"/>
        <v>0</v>
      </c>
      <c r="T298" s="160">
        <f t="shared" ca="1" si="48"/>
        <v>0</v>
      </c>
      <c r="U298" s="160">
        <f t="shared" ca="1" si="49"/>
        <v>0</v>
      </c>
      <c r="V298" s="163">
        <f t="shared" ca="1" si="51"/>
        <v>0</v>
      </c>
      <c r="W298" s="163">
        <f t="shared" ca="1" si="52"/>
        <v>0</v>
      </c>
      <c r="X298" s="163">
        <f t="shared" ca="1" si="53"/>
        <v>0</v>
      </c>
      <c r="Y298" s="163">
        <f t="shared" ca="1" si="54"/>
        <v>0</v>
      </c>
    </row>
    <row r="299" spans="12:25" ht="14.4">
      <c r="L299" s="464"/>
      <c r="M299" s="129" t="str">
        <f t="shared" si="55"/>
        <v>end</v>
      </c>
      <c r="N299" s="161">
        <f t="shared" si="50"/>
        <v>2</v>
      </c>
      <c r="O299" s="160">
        <f t="shared" ca="1" si="56"/>
        <v>0</v>
      </c>
      <c r="P299" s="160">
        <f t="shared" ca="1" si="47"/>
        <v>0</v>
      </c>
      <c r="Q299" s="160">
        <f t="shared" ca="1" si="48"/>
        <v>0</v>
      </c>
      <c r="R299" s="160">
        <f t="shared" ca="1" si="48"/>
        <v>0</v>
      </c>
      <c r="S299" s="160">
        <f t="shared" ca="1" si="48"/>
        <v>0</v>
      </c>
      <c r="T299" s="160">
        <f t="shared" ca="1" si="48"/>
        <v>0</v>
      </c>
      <c r="U299" s="160">
        <f t="shared" ca="1" si="49"/>
        <v>0</v>
      </c>
      <c r="V299" s="163">
        <f t="shared" ca="1" si="51"/>
        <v>0</v>
      </c>
      <c r="W299" s="163">
        <f t="shared" ca="1" si="52"/>
        <v>0</v>
      </c>
      <c r="X299" s="163">
        <f t="shared" ca="1" si="53"/>
        <v>0</v>
      </c>
      <c r="Y299" s="163">
        <f t="shared" ca="1" si="54"/>
        <v>0</v>
      </c>
    </row>
    <row r="300" spans="12:25" ht="14.4">
      <c r="L300" s="464"/>
      <c r="M300" s="129" t="str">
        <f t="shared" si="55"/>
        <v>end</v>
      </c>
      <c r="N300" s="161">
        <f t="shared" si="50"/>
        <v>2</v>
      </c>
      <c r="O300" s="160">
        <f t="shared" ca="1" si="56"/>
        <v>0</v>
      </c>
      <c r="P300" s="160">
        <f t="shared" ca="1" si="47"/>
        <v>0</v>
      </c>
      <c r="Q300" s="160">
        <f t="shared" ca="1" si="48"/>
        <v>0</v>
      </c>
      <c r="R300" s="160">
        <f t="shared" ca="1" si="48"/>
        <v>0</v>
      </c>
      <c r="S300" s="160">
        <f t="shared" ca="1" si="48"/>
        <v>0</v>
      </c>
      <c r="T300" s="160">
        <f t="shared" ca="1" si="48"/>
        <v>0</v>
      </c>
      <c r="U300" s="160">
        <f t="shared" ca="1" si="49"/>
        <v>0</v>
      </c>
      <c r="V300" s="163">
        <f t="shared" ca="1" si="51"/>
        <v>0</v>
      </c>
      <c r="W300" s="163">
        <f t="shared" ca="1" si="52"/>
        <v>0</v>
      </c>
      <c r="X300" s="163">
        <f t="shared" ca="1" si="53"/>
        <v>0</v>
      </c>
      <c r="Y300" s="163">
        <f t="shared" ca="1" si="54"/>
        <v>0</v>
      </c>
    </row>
    <row r="301" spans="12:25" ht="14.4">
      <c r="L301" s="464"/>
      <c r="M301" s="129" t="str">
        <f t="shared" si="55"/>
        <v>end</v>
      </c>
      <c r="N301" s="161">
        <f t="shared" si="50"/>
        <v>2</v>
      </c>
      <c r="O301" s="160">
        <f t="shared" ca="1" si="56"/>
        <v>0</v>
      </c>
      <c r="P301" s="160">
        <f t="shared" ca="1" si="47"/>
        <v>0</v>
      </c>
      <c r="Q301" s="160">
        <f t="shared" ca="1" si="48"/>
        <v>0</v>
      </c>
      <c r="R301" s="160">
        <f t="shared" ca="1" si="48"/>
        <v>0</v>
      </c>
      <c r="S301" s="160">
        <f t="shared" ca="1" si="48"/>
        <v>0</v>
      </c>
      <c r="T301" s="160">
        <f t="shared" ca="1" si="48"/>
        <v>0</v>
      </c>
      <c r="U301" s="160">
        <f t="shared" ca="1" si="49"/>
        <v>0</v>
      </c>
      <c r="V301" s="163">
        <f t="shared" ca="1" si="51"/>
        <v>0</v>
      </c>
      <c r="W301" s="163">
        <f t="shared" ca="1" si="52"/>
        <v>0</v>
      </c>
      <c r="X301" s="163">
        <f t="shared" ca="1" si="53"/>
        <v>0</v>
      </c>
      <c r="Y301" s="163">
        <f t="shared" ca="1" si="54"/>
        <v>0</v>
      </c>
    </row>
    <row r="302" spans="12:25" ht="14.4">
      <c r="L302" s="464"/>
      <c r="M302" s="129" t="str">
        <f t="shared" si="55"/>
        <v>end</v>
      </c>
      <c r="N302" s="161">
        <f t="shared" si="50"/>
        <v>2</v>
      </c>
      <c r="O302" s="160">
        <f t="shared" ca="1" si="56"/>
        <v>0</v>
      </c>
      <c r="P302" s="160">
        <f t="shared" ca="1" si="47"/>
        <v>0</v>
      </c>
      <c r="Q302" s="160">
        <f t="shared" ca="1" si="48"/>
        <v>0</v>
      </c>
      <c r="R302" s="160">
        <f t="shared" ca="1" si="48"/>
        <v>0</v>
      </c>
      <c r="S302" s="160">
        <f t="shared" ca="1" si="48"/>
        <v>0</v>
      </c>
      <c r="T302" s="160">
        <f t="shared" ca="1" si="48"/>
        <v>0</v>
      </c>
      <c r="U302" s="160">
        <f t="shared" ca="1" si="49"/>
        <v>0</v>
      </c>
      <c r="V302" s="163">
        <f t="shared" ca="1" si="51"/>
        <v>0</v>
      </c>
      <c r="W302" s="163">
        <f t="shared" ca="1" si="52"/>
        <v>0</v>
      </c>
      <c r="X302" s="163">
        <f t="shared" ca="1" si="53"/>
        <v>0</v>
      </c>
      <c r="Y302" s="163">
        <f t="shared" ca="1" si="54"/>
        <v>0</v>
      </c>
    </row>
    <row r="303" spans="12:25" ht="14.4">
      <c r="L303" s="464"/>
      <c r="M303" s="129" t="str">
        <f t="shared" si="55"/>
        <v>end</v>
      </c>
      <c r="N303" s="161">
        <f t="shared" si="50"/>
        <v>2</v>
      </c>
      <c r="O303" s="160">
        <f t="shared" ca="1" si="56"/>
        <v>0</v>
      </c>
      <c r="P303" s="160">
        <f t="shared" ca="1" si="47"/>
        <v>0</v>
      </c>
      <c r="Q303" s="160">
        <f t="shared" ca="1" si="48"/>
        <v>0</v>
      </c>
      <c r="R303" s="160">
        <f t="shared" ca="1" si="48"/>
        <v>0</v>
      </c>
      <c r="S303" s="160">
        <f t="shared" ca="1" si="48"/>
        <v>0</v>
      </c>
      <c r="T303" s="160">
        <f t="shared" ca="1" si="48"/>
        <v>0</v>
      </c>
      <c r="U303" s="160">
        <f t="shared" ca="1" si="49"/>
        <v>0</v>
      </c>
      <c r="V303" s="163">
        <f t="shared" ca="1" si="51"/>
        <v>0</v>
      </c>
      <c r="W303" s="163">
        <f t="shared" ca="1" si="52"/>
        <v>0</v>
      </c>
      <c r="X303" s="163">
        <f t="shared" ca="1" si="53"/>
        <v>0</v>
      </c>
      <c r="Y303" s="163">
        <f t="shared" ca="1" si="54"/>
        <v>0</v>
      </c>
    </row>
    <row r="304" spans="12:25" ht="14.4">
      <c r="L304" s="464"/>
      <c r="M304" s="129" t="str">
        <f t="shared" si="55"/>
        <v>end</v>
      </c>
      <c r="N304" s="161">
        <f t="shared" si="50"/>
        <v>2</v>
      </c>
      <c r="O304" s="160">
        <f t="shared" ca="1" si="56"/>
        <v>0</v>
      </c>
      <c r="P304" s="160">
        <f t="shared" ca="1" si="47"/>
        <v>0</v>
      </c>
      <c r="Q304" s="160">
        <f t="shared" ca="1" si="48"/>
        <v>0</v>
      </c>
      <c r="R304" s="160">
        <f t="shared" ca="1" si="48"/>
        <v>0</v>
      </c>
      <c r="S304" s="160">
        <f t="shared" ca="1" si="48"/>
        <v>0</v>
      </c>
      <c r="T304" s="160">
        <f t="shared" ca="1" si="48"/>
        <v>0</v>
      </c>
      <c r="U304" s="160">
        <f t="shared" ca="1" si="49"/>
        <v>0</v>
      </c>
      <c r="V304" s="163">
        <f t="shared" ca="1" si="51"/>
        <v>0</v>
      </c>
      <c r="W304" s="163">
        <f t="shared" ca="1" si="52"/>
        <v>0</v>
      </c>
      <c r="X304" s="163">
        <f t="shared" ca="1" si="53"/>
        <v>0</v>
      </c>
      <c r="Y304" s="163">
        <f t="shared" ca="1" si="54"/>
        <v>0</v>
      </c>
    </row>
    <row r="305" spans="12:25" ht="14.4">
      <c r="L305" s="464"/>
      <c r="M305" s="129" t="str">
        <f t="shared" si="55"/>
        <v>end</v>
      </c>
      <c r="N305" s="161">
        <f t="shared" si="50"/>
        <v>2</v>
      </c>
      <c r="O305" s="160">
        <f t="shared" ca="1" si="56"/>
        <v>0</v>
      </c>
      <c r="P305" s="160">
        <f t="shared" ca="1" si="47"/>
        <v>0</v>
      </c>
      <c r="Q305" s="160">
        <f t="shared" ca="1" si="48"/>
        <v>0</v>
      </c>
      <c r="R305" s="160">
        <f t="shared" ca="1" si="48"/>
        <v>0</v>
      </c>
      <c r="S305" s="160">
        <f t="shared" ca="1" si="48"/>
        <v>0</v>
      </c>
      <c r="T305" s="160">
        <f t="shared" ref="T305:U368" ca="1" si="57">IF($M305="end",0,OFFSET($A$1,$M305-1,T$29,1,1))</f>
        <v>0</v>
      </c>
      <c r="U305" s="160">
        <f t="shared" ca="1" si="49"/>
        <v>0</v>
      </c>
      <c r="V305" s="163">
        <f t="shared" ca="1" si="51"/>
        <v>0</v>
      </c>
      <c r="W305" s="163">
        <f t="shared" ca="1" si="52"/>
        <v>0</v>
      </c>
      <c r="X305" s="163">
        <f t="shared" ca="1" si="53"/>
        <v>0</v>
      </c>
      <c r="Y305" s="163">
        <f t="shared" ca="1" si="54"/>
        <v>0</v>
      </c>
    </row>
    <row r="306" spans="12:25" ht="14.4">
      <c r="L306" s="464"/>
      <c r="M306" s="129" t="str">
        <f t="shared" si="55"/>
        <v>end</v>
      </c>
      <c r="N306" s="161">
        <f t="shared" si="50"/>
        <v>2</v>
      </c>
      <c r="O306" s="160">
        <f t="shared" ca="1" si="56"/>
        <v>0</v>
      </c>
      <c r="P306" s="160">
        <f t="shared" ref="P306:P369" ca="1" si="58">IF($M306="end",0,OFFSET($A$1,$M306-1,P$29,1,1))</f>
        <v>0</v>
      </c>
      <c r="Q306" s="160">
        <f t="shared" ref="Q306:U369" ca="1" si="59">IF($M306="end",0,OFFSET($A$1,$M306-1,Q$29,1,1))</f>
        <v>0</v>
      </c>
      <c r="R306" s="160">
        <f t="shared" ca="1" si="59"/>
        <v>0</v>
      </c>
      <c r="S306" s="160">
        <f t="shared" ca="1" si="59"/>
        <v>0</v>
      </c>
      <c r="T306" s="160">
        <f t="shared" ca="1" si="57"/>
        <v>0</v>
      </c>
      <c r="U306" s="160">
        <f t="shared" ca="1" si="57"/>
        <v>0</v>
      </c>
      <c r="V306" s="163">
        <f t="shared" ca="1" si="51"/>
        <v>0</v>
      </c>
      <c r="W306" s="163">
        <f t="shared" ca="1" si="52"/>
        <v>0</v>
      </c>
      <c r="X306" s="163">
        <f t="shared" ca="1" si="53"/>
        <v>0</v>
      </c>
      <c r="Y306" s="163">
        <f t="shared" ca="1" si="54"/>
        <v>0</v>
      </c>
    </row>
    <row r="307" spans="12:25" ht="14.4">
      <c r="L307" s="464"/>
      <c r="M307" s="129" t="str">
        <f t="shared" si="55"/>
        <v>end</v>
      </c>
      <c r="N307" s="161">
        <f t="shared" si="50"/>
        <v>2</v>
      </c>
      <c r="O307" s="160">
        <f t="shared" ca="1" si="56"/>
        <v>0</v>
      </c>
      <c r="P307" s="160">
        <f t="shared" ca="1" si="58"/>
        <v>0</v>
      </c>
      <c r="Q307" s="160">
        <f t="shared" ca="1" si="59"/>
        <v>0</v>
      </c>
      <c r="R307" s="160">
        <f t="shared" ca="1" si="59"/>
        <v>0</v>
      </c>
      <c r="S307" s="160">
        <f t="shared" ca="1" si="59"/>
        <v>0</v>
      </c>
      <c r="T307" s="160">
        <f t="shared" ca="1" si="57"/>
        <v>0</v>
      </c>
      <c r="U307" s="160">
        <f t="shared" ca="1" si="57"/>
        <v>0</v>
      </c>
      <c r="V307" s="163">
        <f t="shared" ca="1" si="51"/>
        <v>0</v>
      </c>
      <c r="W307" s="163">
        <f t="shared" ca="1" si="52"/>
        <v>0</v>
      </c>
      <c r="X307" s="163">
        <f t="shared" ca="1" si="53"/>
        <v>0</v>
      </c>
      <c r="Y307" s="163">
        <f t="shared" ca="1" si="54"/>
        <v>0</v>
      </c>
    </row>
    <row r="308" spans="12:25" ht="14.4">
      <c r="L308" s="464"/>
      <c r="M308" s="129" t="str">
        <f t="shared" si="55"/>
        <v>end</v>
      </c>
      <c r="N308" s="161">
        <f t="shared" si="50"/>
        <v>2</v>
      </c>
      <c r="O308" s="160">
        <f t="shared" ca="1" si="56"/>
        <v>0</v>
      </c>
      <c r="P308" s="160">
        <f t="shared" ca="1" si="58"/>
        <v>0</v>
      </c>
      <c r="Q308" s="160">
        <f t="shared" ca="1" si="59"/>
        <v>0</v>
      </c>
      <c r="R308" s="160">
        <f t="shared" ca="1" si="59"/>
        <v>0</v>
      </c>
      <c r="S308" s="160">
        <f t="shared" ca="1" si="59"/>
        <v>0</v>
      </c>
      <c r="T308" s="160">
        <f t="shared" ca="1" si="57"/>
        <v>0</v>
      </c>
      <c r="U308" s="160">
        <f t="shared" ca="1" si="57"/>
        <v>0</v>
      </c>
      <c r="V308" s="163">
        <f t="shared" ca="1" si="51"/>
        <v>0</v>
      </c>
      <c r="W308" s="163">
        <f t="shared" ca="1" si="52"/>
        <v>0</v>
      </c>
      <c r="X308" s="163">
        <f t="shared" ca="1" si="53"/>
        <v>0</v>
      </c>
      <c r="Y308" s="163">
        <f t="shared" ca="1" si="54"/>
        <v>0</v>
      </c>
    </row>
    <row r="309" spans="12:25" ht="14.4">
      <c r="L309" s="464"/>
      <c r="M309" s="129" t="str">
        <f t="shared" si="55"/>
        <v>end</v>
      </c>
      <c r="N309" s="161">
        <f t="shared" si="50"/>
        <v>2</v>
      </c>
      <c r="O309" s="160">
        <f t="shared" ca="1" si="56"/>
        <v>0</v>
      </c>
      <c r="P309" s="160">
        <f t="shared" ca="1" si="58"/>
        <v>0</v>
      </c>
      <c r="Q309" s="160">
        <f t="shared" ca="1" si="59"/>
        <v>0</v>
      </c>
      <c r="R309" s="160">
        <f t="shared" ca="1" si="59"/>
        <v>0</v>
      </c>
      <c r="S309" s="160">
        <f t="shared" ca="1" si="59"/>
        <v>0</v>
      </c>
      <c r="T309" s="160">
        <f t="shared" ca="1" si="57"/>
        <v>0</v>
      </c>
      <c r="U309" s="160">
        <f t="shared" ca="1" si="57"/>
        <v>0</v>
      </c>
      <c r="V309" s="163">
        <f t="shared" ca="1" si="51"/>
        <v>0</v>
      </c>
      <c r="W309" s="163">
        <f t="shared" ca="1" si="52"/>
        <v>0</v>
      </c>
      <c r="X309" s="163">
        <f t="shared" ca="1" si="53"/>
        <v>0</v>
      </c>
      <c r="Y309" s="163">
        <f t="shared" ca="1" si="54"/>
        <v>0</v>
      </c>
    </row>
    <row r="310" spans="12:25" ht="14.4">
      <c r="L310" s="464"/>
      <c r="M310" s="129" t="str">
        <f t="shared" si="55"/>
        <v>end</v>
      </c>
      <c r="N310" s="161">
        <f t="shared" si="50"/>
        <v>2</v>
      </c>
      <c r="O310" s="160">
        <f t="shared" ca="1" si="56"/>
        <v>0</v>
      </c>
      <c r="P310" s="160">
        <f t="shared" ca="1" si="58"/>
        <v>0</v>
      </c>
      <c r="Q310" s="160">
        <f t="shared" ca="1" si="59"/>
        <v>0</v>
      </c>
      <c r="R310" s="160">
        <f t="shared" ca="1" si="59"/>
        <v>0</v>
      </c>
      <c r="S310" s="160">
        <f t="shared" ca="1" si="59"/>
        <v>0</v>
      </c>
      <c r="T310" s="160">
        <f t="shared" ca="1" si="57"/>
        <v>0</v>
      </c>
      <c r="U310" s="160">
        <f t="shared" ca="1" si="57"/>
        <v>0</v>
      </c>
      <c r="V310" s="163">
        <f t="shared" ca="1" si="51"/>
        <v>0</v>
      </c>
      <c r="W310" s="163">
        <f t="shared" ca="1" si="52"/>
        <v>0</v>
      </c>
      <c r="X310" s="163">
        <f t="shared" ca="1" si="53"/>
        <v>0</v>
      </c>
      <c r="Y310" s="163">
        <f t="shared" ca="1" si="54"/>
        <v>0</v>
      </c>
    </row>
    <row r="311" spans="12:25" ht="14.4">
      <c r="L311" s="464"/>
      <c r="M311" s="129" t="str">
        <f t="shared" si="55"/>
        <v>end</v>
      </c>
      <c r="N311" s="161">
        <f t="shared" si="50"/>
        <v>2</v>
      </c>
      <c r="O311" s="160">
        <f t="shared" ca="1" si="56"/>
        <v>0</v>
      </c>
      <c r="P311" s="160">
        <f t="shared" ca="1" si="58"/>
        <v>0</v>
      </c>
      <c r="Q311" s="160">
        <f t="shared" ca="1" si="59"/>
        <v>0</v>
      </c>
      <c r="R311" s="160">
        <f t="shared" ca="1" si="59"/>
        <v>0</v>
      </c>
      <c r="S311" s="160">
        <f t="shared" ca="1" si="59"/>
        <v>0</v>
      </c>
      <c r="T311" s="160">
        <f t="shared" ca="1" si="57"/>
        <v>0</v>
      </c>
      <c r="U311" s="160">
        <f t="shared" ca="1" si="57"/>
        <v>0</v>
      </c>
      <c r="V311" s="163">
        <f t="shared" ca="1" si="51"/>
        <v>0</v>
      </c>
      <c r="W311" s="163">
        <f t="shared" ca="1" si="52"/>
        <v>0</v>
      </c>
      <c r="X311" s="163">
        <f t="shared" ca="1" si="53"/>
        <v>0</v>
      </c>
      <c r="Y311" s="163">
        <f t="shared" ca="1" si="54"/>
        <v>0</v>
      </c>
    </row>
    <row r="312" spans="12:25" ht="14.4">
      <c r="L312" s="464"/>
      <c r="M312" s="129" t="str">
        <f t="shared" si="55"/>
        <v>end</v>
      </c>
      <c r="N312" s="161">
        <f t="shared" si="50"/>
        <v>2</v>
      </c>
      <c r="O312" s="160">
        <f t="shared" ca="1" si="56"/>
        <v>0</v>
      </c>
      <c r="P312" s="160">
        <f t="shared" ca="1" si="58"/>
        <v>0</v>
      </c>
      <c r="Q312" s="160">
        <f t="shared" ca="1" si="59"/>
        <v>0</v>
      </c>
      <c r="R312" s="160">
        <f t="shared" ca="1" si="59"/>
        <v>0</v>
      </c>
      <c r="S312" s="160">
        <f t="shared" ca="1" si="59"/>
        <v>0</v>
      </c>
      <c r="T312" s="160">
        <f t="shared" ca="1" si="57"/>
        <v>0</v>
      </c>
      <c r="U312" s="160">
        <f t="shared" ca="1" si="57"/>
        <v>0</v>
      </c>
      <c r="V312" s="163">
        <f t="shared" ca="1" si="51"/>
        <v>0</v>
      </c>
      <c r="W312" s="163">
        <f t="shared" ca="1" si="52"/>
        <v>0</v>
      </c>
      <c r="X312" s="163">
        <f t="shared" ca="1" si="53"/>
        <v>0</v>
      </c>
      <c r="Y312" s="163">
        <f t="shared" ca="1" si="54"/>
        <v>0</v>
      </c>
    </row>
    <row r="313" spans="12:25" ht="14.4">
      <c r="L313" s="464"/>
      <c r="M313" s="129" t="str">
        <f t="shared" si="55"/>
        <v>end</v>
      </c>
      <c r="N313" s="161">
        <f t="shared" si="50"/>
        <v>2</v>
      </c>
      <c r="O313" s="160">
        <f t="shared" ca="1" si="56"/>
        <v>0</v>
      </c>
      <c r="P313" s="160">
        <f t="shared" ca="1" si="58"/>
        <v>0</v>
      </c>
      <c r="Q313" s="160">
        <f t="shared" ca="1" si="59"/>
        <v>0</v>
      </c>
      <c r="R313" s="160">
        <f t="shared" ca="1" si="59"/>
        <v>0</v>
      </c>
      <c r="S313" s="160">
        <f t="shared" ca="1" si="59"/>
        <v>0</v>
      </c>
      <c r="T313" s="160">
        <f t="shared" ca="1" si="57"/>
        <v>0</v>
      </c>
      <c r="U313" s="160">
        <f t="shared" ca="1" si="57"/>
        <v>0</v>
      </c>
      <c r="V313" s="163">
        <f t="shared" ca="1" si="51"/>
        <v>0</v>
      </c>
      <c r="W313" s="163">
        <f t="shared" ca="1" si="52"/>
        <v>0</v>
      </c>
      <c r="X313" s="163">
        <f t="shared" ca="1" si="53"/>
        <v>0</v>
      </c>
      <c r="Y313" s="163">
        <f t="shared" ca="1" si="54"/>
        <v>0</v>
      </c>
    </row>
    <row r="314" spans="12:25" ht="14.4">
      <c r="L314" s="464"/>
      <c r="M314" s="129" t="str">
        <f t="shared" si="55"/>
        <v>end</v>
      </c>
      <c r="N314" s="161">
        <f t="shared" si="50"/>
        <v>2</v>
      </c>
      <c r="O314" s="160">
        <f t="shared" ca="1" si="56"/>
        <v>0</v>
      </c>
      <c r="P314" s="160">
        <f t="shared" ca="1" si="58"/>
        <v>0</v>
      </c>
      <c r="Q314" s="160">
        <f t="shared" ca="1" si="59"/>
        <v>0</v>
      </c>
      <c r="R314" s="160">
        <f t="shared" ca="1" si="59"/>
        <v>0</v>
      </c>
      <c r="S314" s="160">
        <f t="shared" ca="1" si="59"/>
        <v>0</v>
      </c>
      <c r="T314" s="160">
        <f t="shared" ca="1" si="57"/>
        <v>0</v>
      </c>
      <c r="U314" s="160">
        <f t="shared" ca="1" si="57"/>
        <v>0</v>
      </c>
      <c r="V314" s="163">
        <f t="shared" ca="1" si="51"/>
        <v>0</v>
      </c>
      <c r="W314" s="163">
        <f t="shared" ca="1" si="52"/>
        <v>0</v>
      </c>
      <c r="X314" s="163">
        <f t="shared" ca="1" si="53"/>
        <v>0</v>
      </c>
      <c r="Y314" s="163">
        <f t="shared" ca="1" si="54"/>
        <v>0</v>
      </c>
    </row>
    <row r="315" spans="12:25" ht="14.4">
      <c r="L315" s="464"/>
      <c r="M315" s="129" t="str">
        <f t="shared" si="55"/>
        <v>end</v>
      </c>
      <c r="N315" s="161">
        <f t="shared" si="50"/>
        <v>2</v>
      </c>
      <c r="O315" s="160">
        <f t="shared" ca="1" si="56"/>
        <v>0</v>
      </c>
      <c r="P315" s="160">
        <f t="shared" ca="1" si="58"/>
        <v>0</v>
      </c>
      <c r="Q315" s="160">
        <f t="shared" ca="1" si="59"/>
        <v>0</v>
      </c>
      <c r="R315" s="160">
        <f t="shared" ca="1" si="59"/>
        <v>0</v>
      </c>
      <c r="S315" s="160">
        <f t="shared" ca="1" si="59"/>
        <v>0</v>
      </c>
      <c r="T315" s="160">
        <f t="shared" ca="1" si="57"/>
        <v>0</v>
      </c>
      <c r="U315" s="160">
        <f t="shared" ca="1" si="57"/>
        <v>0</v>
      </c>
      <c r="V315" s="163">
        <f t="shared" ca="1" si="51"/>
        <v>0</v>
      </c>
      <c r="W315" s="163">
        <f t="shared" ca="1" si="52"/>
        <v>0</v>
      </c>
      <c r="X315" s="163">
        <f t="shared" ca="1" si="53"/>
        <v>0</v>
      </c>
      <c r="Y315" s="163">
        <f t="shared" ca="1" si="54"/>
        <v>0</v>
      </c>
    </row>
    <row r="316" spans="12:25" ht="14.4">
      <c r="L316" s="464"/>
      <c r="M316" s="129" t="str">
        <f t="shared" si="55"/>
        <v>end</v>
      </c>
      <c r="N316" s="161">
        <f t="shared" si="50"/>
        <v>2</v>
      </c>
      <c r="O316" s="160">
        <f t="shared" ca="1" si="56"/>
        <v>0</v>
      </c>
      <c r="P316" s="160">
        <f t="shared" ca="1" si="58"/>
        <v>0</v>
      </c>
      <c r="Q316" s="160">
        <f t="shared" ca="1" si="59"/>
        <v>0</v>
      </c>
      <c r="R316" s="160">
        <f t="shared" ca="1" si="59"/>
        <v>0</v>
      </c>
      <c r="S316" s="160">
        <f t="shared" ca="1" si="59"/>
        <v>0</v>
      </c>
      <c r="T316" s="160">
        <f t="shared" ca="1" si="57"/>
        <v>0</v>
      </c>
      <c r="U316" s="160">
        <f t="shared" ca="1" si="57"/>
        <v>0</v>
      </c>
      <c r="V316" s="163">
        <f t="shared" ca="1" si="51"/>
        <v>0</v>
      </c>
      <c r="W316" s="163">
        <f t="shared" ca="1" si="52"/>
        <v>0</v>
      </c>
      <c r="X316" s="163">
        <f t="shared" ca="1" si="53"/>
        <v>0</v>
      </c>
      <c r="Y316" s="163">
        <f t="shared" ca="1" si="54"/>
        <v>0</v>
      </c>
    </row>
    <row r="317" spans="12:25" ht="14.4">
      <c r="L317" s="464"/>
      <c r="M317" s="129" t="str">
        <f t="shared" si="55"/>
        <v>end</v>
      </c>
      <c r="N317" s="161">
        <f t="shared" si="50"/>
        <v>2</v>
      </c>
      <c r="O317" s="160">
        <f t="shared" ca="1" si="56"/>
        <v>0</v>
      </c>
      <c r="P317" s="160">
        <f t="shared" ca="1" si="58"/>
        <v>0</v>
      </c>
      <c r="Q317" s="160">
        <f t="shared" ca="1" si="59"/>
        <v>0</v>
      </c>
      <c r="R317" s="160">
        <f t="shared" ca="1" si="59"/>
        <v>0</v>
      </c>
      <c r="S317" s="160">
        <f t="shared" ca="1" si="59"/>
        <v>0</v>
      </c>
      <c r="T317" s="160">
        <f t="shared" ca="1" si="57"/>
        <v>0</v>
      </c>
      <c r="U317" s="160">
        <f t="shared" ca="1" si="57"/>
        <v>0</v>
      </c>
      <c r="V317" s="163">
        <f t="shared" ca="1" si="51"/>
        <v>0</v>
      </c>
      <c r="W317" s="163">
        <f t="shared" ca="1" si="52"/>
        <v>0</v>
      </c>
      <c r="X317" s="163">
        <f t="shared" ca="1" si="53"/>
        <v>0</v>
      </c>
      <c r="Y317" s="163">
        <f t="shared" ca="1" si="54"/>
        <v>0</v>
      </c>
    </row>
    <row r="318" spans="12:25" ht="14.4">
      <c r="L318" s="464"/>
      <c r="M318" s="129" t="str">
        <f t="shared" si="55"/>
        <v>end</v>
      </c>
      <c r="N318" s="161">
        <f t="shared" si="50"/>
        <v>2</v>
      </c>
      <c r="O318" s="160">
        <f t="shared" ca="1" si="56"/>
        <v>0</v>
      </c>
      <c r="P318" s="160">
        <f t="shared" ca="1" si="58"/>
        <v>0</v>
      </c>
      <c r="Q318" s="160">
        <f t="shared" ca="1" si="59"/>
        <v>0</v>
      </c>
      <c r="R318" s="160">
        <f t="shared" ca="1" si="59"/>
        <v>0</v>
      </c>
      <c r="S318" s="160">
        <f t="shared" ca="1" si="59"/>
        <v>0</v>
      </c>
      <c r="T318" s="160">
        <f t="shared" ca="1" si="57"/>
        <v>0</v>
      </c>
      <c r="U318" s="160">
        <f t="shared" ca="1" si="57"/>
        <v>0</v>
      </c>
      <c r="V318" s="163">
        <f t="shared" ca="1" si="51"/>
        <v>0</v>
      </c>
      <c r="W318" s="163">
        <f t="shared" ca="1" si="52"/>
        <v>0</v>
      </c>
      <c r="X318" s="163">
        <f t="shared" ca="1" si="53"/>
        <v>0</v>
      </c>
      <c r="Y318" s="163">
        <f t="shared" ca="1" si="54"/>
        <v>0</v>
      </c>
    </row>
    <row r="319" spans="12:25" ht="14.4">
      <c r="L319" s="464"/>
      <c r="M319" s="129" t="str">
        <f t="shared" si="55"/>
        <v>end</v>
      </c>
      <c r="N319" s="161">
        <f t="shared" si="50"/>
        <v>2</v>
      </c>
      <c r="O319" s="160">
        <f t="shared" ca="1" si="56"/>
        <v>0</v>
      </c>
      <c r="P319" s="160">
        <f t="shared" ca="1" si="58"/>
        <v>0</v>
      </c>
      <c r="Q319" s="160">
        <f t="shared" ca="1" si="59"/>
        <v>0</v>
      </c>
      <c r="R319" s="160">
        <f t="shared" ca="1" si="59"/>
        <v>0</v>
      </c>
      <c r="S319" s="160">
        <f t="shared" ca="1" si="59"/>
        <v>0</v>
      </c>
      <c r="T319" s="160">
        <f t="shared" ca="1" si="57"/>
        <v>0</v>
      </c>
      <c r="U319" s="160">
        <f t="shared" ca="1" si="57"/>
        <v>0</v>
      </c>
      <c r="V319" s="163">
        <f t="shared" ca="1" si="51"/>
        <v>0</v>
      </c>
      <c r="W319" s="163">
        <f t="shared" ca="1" si="52"/>
        <v>0</v>
      </c>
      <c r="X319" s="163">
        <f t="shared" ca="1" si="53"/>
        <v>0</v>
      </c>
      <c r="Y319" s="163">
        <f t="shared" ca="1" si="54"/>
        <v>0</v>
      </c>
    </row>
    <row r="320" spans="12:25" ht="14.4">
      <c r="L320" s="464"/>
      <c r="M320" s="129" t="str">
        <f t="shared" si="55"/>
        <v>end</v>
      </c>
      <c r="N320" s="161">
        <f t="shared" si="50"/>
        <v>2</v>
      </c>
      <c r="O320" s="160">
        <f t="shared" ca="1" si="56"/>
        <v>0</v>
      </c>
      <c r="P320" s="160">
        <f t="shared" ca="1" si="58"/>
        <v>0</v>
      </c>
      <c r="Q320" s="160">
        <f t="shared" ca="1" si="59"/>
        <v>0</v>
      </c>
      <c r="R320" s="160">
        <f t="shared" ca="1" si="59"/>
        <v>0</v>
      </c>
      <c r="S320" s="160">
        <f t="shared" ca="1" si="59"/>
        <v>0</v>
      </c>
      <c r="T320" s="160">
        <f t="shared" ca="1" si="57"/>
        <v>0</v>
      </c>
      <c r="U320" s="160">
        <f t="shared" ca="1" si="57"/>
        <v>0</v>
      </c>
      <c r="V320" s="163">
        <f t="shared" ca="1" si="51"/>
        <v>0</v>
      </c>
      <c r="W320" s="163">
        <f t="shared" ca="1" si="52"/>
        <v>0</v>
      </c>
      <c r="X320" s="163">
        <f t="shared" ca="1" si="53"/>
        <v>0</v>
      </c>
      <c r="Y320" s="163">
        <f t="shared" ca="1" si="54"/>
        <v>0</v>
      </c>
    </row>
    <row r="321" spans="12:25" ht="14.4">
      <c r="L321" s="464"/>
      <c r="M321" s="129" t="str">
        <f t="shared" si="55"/>
        <v>end</v>
      </c>
      <c r="N321" s="161">
        <f t="shared" si="50"/>
        <v>2</v>
      </c>
      <c r="O321" s="160">
        <f t="shared" ca="1" si="56"/>
        <v>0</v>
      </c>
      <c r="P321" s="160">
        <f t="shared" ca="1" si="58"/>
        <v>0</v>
      </c>
      <c r="Q321" s="160">
        <f t="shared" ca="1" si="59"/>
        <v>0</v>
      </c>
      <c r="R321" s="160">
        <f t="shared" ca="1" si="59"/>
        <v>0</v>
      </c>
      <c r="S321" s="160">
        <f t="shared" ca="1" si="59"/>
        <v>0</v>
      </c>
      <c r="T321" s="160">
        <f t="shared" ca="1" si="57"/>
        <v>0</v>
      </c>
      <c r="U321" s="160">
        <f t="shared" ca="1" si="57"/>
        <v>0</v>
      </c>
      <c r="V321" s="163">
        <f t="shared" ca="1" si="51"/>
        <v>0</v>
      </c>
      <c r="W321" s="163">
        <f t="shared" ca="1" si="52"/>
        <v>0</v>
      </c>
      <c r="X321" s="163">
        <f t="shared" ca="1" si="53"/>
        <v>0</v>
      </c>
      <c r="Y321" s="163">
        <f t="shared" ca="1" si="54"/>
        <v>0</v>
      </c>
    </row>
    <row r="322" spans="12:25" ht="14.4">
      <c r="L322" s="464"/>
      <c r="M322" s="129" t="str">
        <f t="shared" si="55"/>
        <v>end</v>
      </c>
      <c r="N322" s="161">
        <f t="shared" si="50"/>
        <v>2</v>
      </c>
      <c r="O322" s="160">
        <f t="shared" ca="1" si="56"/>
        <v>0</v>
      </c>
      <c r="P322" s="160">
        <f t="shared" ca="1" si="58"/>
        <v>0</v>
      </c>
      <c r="Q322" s="160">
        <f t="shared" ca="1" si="59"/>
        <v>0</v>
      </c>
      <c r="R322" s="160">
        <f t="shared" ca="1" si="59"/>
        <v>0</v>
      </c>
      <c r="S322" s="160">
        <f t="shared" ca="1" si="59"/>
        <v>0</v>
      </c>
      <c r="T322" s="160">
        <f t="shared" ca="1" si="57"/>
        <v>0</v>
      </c>
      <c r="U322" s="160">
        <f t="shared" ca="1" si="57"/>
        <v>0</v>
      </c>
      <c r="V322" s="163">
        <f t="shared" ca="1" si="51"/>
        <v>0</v>
      </c>
      <c r="W322" s="163">
        <f t="shared" ca="1" si="52"/>
        <v>0</v>
      </c>
      <c r="X322" s="163">
        <f t="shared" ca="1" si="53"/>
        <v>0</v>
      </c>
      <c r="Y322" s="163">
        <f t="shared" ca="1" si="54"/>
        <v>0</v>
      </c>
    </row>
    <row r="323" spans="12:25" ht="14.4">
      <c r="L323" s="464"/>
      <c r="M323" s="129" t="str">
        <f t="shared" si="55"/>
        <v>end</v>
      </c>
      <c r="N323" s="161">
        <f t="shared" si="50"/>
        <v>2</v>
      </c>
      <c r="O323" s="160">
        <f t="shared" ca="1" si="56"/>
        <v>0</v>
      </c>
      <c r="P323" s="160">
        <f t="shared" ca="1" si="58"/>
        <v>0</v>
      </c>
      <c r="Q323" s="160">
        <f t="shared" ca="1" si="59"/>
        <v>0</v>
      </c>
      <c r="R323" s="160">
        <f t="shared" ca="1" si="59"/>
        <v>0</v>
      </c>
      <c r="S323" s="160">
        <f t="shared" ca="1" si="59"/>
        <v>0</v>
      </c>
      <c r="T323" s="160">
        <f t="shared" ca="1" si="57"/>
        <v>0</v>
      </c>
      <c r="U323" s="160">
        <f t="shared" ca="1" si="57"/>
        <v>0</v>
      </c>
      <c r="V323" s="163">
        <f t="shared" ca="1" si="51"/>
        <v>0</v>
      </c>
      <c r="W323" s="163">
        <f t="shared" ca="1" si="52"/>
        <v>0</v>
      </c>
      <c r="X323" s="163">
        <f t="shared" ca="1" si="53"/>
        <v>0</v>
      </c>
      <c r="Y323" s="163">
        <f t="shared" ca="1" si="54"/>
        <v>0</v>
      </c>
    </row>
    <row r="324" spans="12:25" ht="14.4">
      <c r="L324" s="464"/>
      <c r="M324" s="129" t="str">
        <f t="shared" si="55"/>
        <v>end</v>
      </c>
      <c r="N324" s="161">
        <f t="shared" si="50"/>
        <v>2</v>
      </c>
      <c r="O324" s="160">
        <f t="shared" ca="1" si="56"/>
        <v>0</v>
      </c>
      <c r="P324" s="160">
        <f t="shared" ca="1" si="58"/>
        <v>0</v>
      </c>
      <c r="Q324" s="160">
        <f t="shared" ca="1" si="59"/>
        <v>0</v>
      </c>
      <c r="R324" s="160">
        <f t="shared" ca="1" si="59"/>
        <v>0</v>
      </c>
      <c r="S324" s="160">
        <f t="shared" ca="1" si="59"/>
        <v>0</v>
      </c>
      <c r="T324" s="160">
        <f t="shared" ca="1" si="57"/>
        <v>0</v>
      </c>
      <c r="U324" s="160">
        <f t="shared" ca="1" si="57"/>
        <v>0</v>
      </c>
      <c r="V324" s="163">
        <f t="shared" ca="1" si="51"/>
        <v>0</v>
      </c>
      <c r="W324" s="163">
        <f t="shared" ca="1" si="52"/>
        <v>0</v>
      </c>
      <c r="X324" s="163">
        <f t="shared" ca="1" si="53"/>
        <v>0</v>
      </c>
      <c r="Y324" s="163">
        <f t="shared" ca="1" si="54"/>
        <v>0</v>
      </c>
    </row>
    <row r="325" spans="12:25" ht="14.4">
      <c r="L325" s="464"/>
      <c r="M325" s="129" t="str">
        <f t="shared" si="55"/>
        <v>end</v>
      </c>
      <c r="N325" s="161">
        <f t="shared" si="50"/>
        <v>2</v>
      </c>
      <c r="O325" s="160">
        <f t="shared" ca="1" si="56"/>
        <v>0</v>
      </c>
      <c r="P325" s="160">
        <f t="shared" ca="1" si="58"/>
        <v>0</v>
      </c>
      <c r="Q325" s="160">
        <f t="shared" ca="1" si="59"/>
        <v>0</v>
      </c>
      <c r="R325" s="160">
        <f t="shared" ca="1" si="59"/>
        <v>0</v>
      </c>
      <c r="S325" s="160">
        <f t="shared" ca="1" si="59"/>
        <v>0</v>
      </c>
      <c r="T325" s="160">
        <f t="shared" ca="1" si="57"/>
        <v>0</v>
      </c>
      <c r="U325" s="160">
        <f t="shared" ca="1" si="57"/>
        <v>0</v>
      </c>
      <c r="V325" s="163">
        <f t="shared" ca="1" si="51"/>
        <v>0</v>
      </c>
      <c r="W325" s="163">
        <f t="shared" ca="1" si="52"/>
        <v>0</v>
      </c>
      <c r="X325" s="163">
        <f t="shared" ca="1" si="53"/>
        <v>0</v>
      </c>
      <c r="Y325" s="163">
        <f t="shared" ca="1" si="54"/>
        <v>0</v>
      </c>
    </row>
    <row r="326" spans="12:25" ht="14.4">
      <c r="L326" s="464"/>
      <c r="M326" s="129" t="str">
        <f t="shared" si="55"/>
        <v>end</v>
      </c>
      <c r="N326" s="161">
        <f t="shared" si="50"/>
        <v>2</v>
      </c>
      <c r="O326" s="160">
        <f t="shared" ca="1" si="56"/>
        <v>0</v>
      </c>
      <c r="P326" s="160">
        <f t="shared" ca="1" si="58"/>
        <v>0</v>
      </c>
      <c r="Q326" s="160">
        <f t="shared" ca="1" si="59"/>
        <v>0</v>
      </c>
      <c r="R326" s="160">
        <f t="shared" ca="1" si="59"/>
        <v>0</v>
      </c>
      <c r="S326" s="160">
        <f t="shared" ca="1" si="59"/>
        <v>0</v>
      </c>
      <c r="T326" s="160">
        <f t="shared" ca="1" si="57"/>
        <v>0</v>
      </c>
      <c r="U326" s="160">
        <f t="shared" ca="1" si="57"/>
        <v>0</v>
      </c>
      <c r="V326" s="163">
        <f t="shared" ca="1" si="51"/>
        <v>0</v>
      </c>
      <c r="W326" s="163">
        <f t="shared" ca="1" si="52"/>
        <v>0</v>
      </c>
      <c r="X326" s="163">
        <f t="shared" ca="1" si="53"/>
        <v>0</v>
      </c>
      <c r="Y326" s="163">
        <f t="shared" ca="1" si="54"/>
        <v>0</v>
      </c>
    </row>
    <row r="327" spans="12:25" ht="14.4">
      <c r="L327" s="464"/>
      <c r="M327" s="129" t="str">
        <f t="shared" si="55"/>
        <v>end</v>
      </c>
      <c r="N327" s="161">
        <f t="shared" si="50"/>
        <v>2</v>
      </c>
      <c r="O327" s="160">
        <f t="shared" ca="1" si="56"/>
        <v>0</v>
      </c>
      <c r="P327" s="160">
        <f t="shared" ca="1" si="58"/>
        <v>0</v>
      </c>
      <c r="Q327" s="160">
        <f t="shared" ca="1" si="59"/>
        <v>0</v>
      </c>
      <c r="R327" s="160">
        <f t="shared" ca="1" si="59"/>
        <v>0</v>
      </c>
      <c r="S327" s="160">
        <f t="shared" ca="1" si="59"/>
        <v>0</v>
      </c>
      <c r="T327" s="160">
        <f t="shared" ca="1" si="57"/>
        <v>0</v>
      </c>
      <c r="U327" s="160">
        <f t="shared" ca="1" si="57"/>
        <v>0</v>
      </c>
      <c r="V327" s="163">
        <f t="shared" ca="1" si="51"/>
        <v>0</v>
      </c>
      <c r="W327" s="163">
        <f t="shared" ca="1" si="52"/>
        <v>0</v>
      </c>
      <c r="X327" s="163">
        <f t="shared" ca="1" si="53"/>
        <v>0</v>
      </c>
      <c r="Y327" s="163">
        <f t="shared" ca="1" si="54"/>
        <v>0</v>
      </c>
    </row>
    <row r="328" spans="12:25" ht="14.4">
      <c r="L328" s="464"/>
      <c r="M328" s="129" t="str">
        <f t="shared" si="55"/>
        <v>end</v>
      </c>
      <c r="N328" s="161">
        <f t="shared" si="50"/>
        <v>2</v>
      </c>
      <c r="O328" s="160">
        <f t="shared" ca="1" si="56"/>
        <v>0</v>
      </c>
      <c r="P328" s="160">
        <f t="shared" ca="1" si="58"/>
        <v>0</v>
      </c>
      <c r="Q328" s="160">
        <f t="shared" ca="1" si="59"/>
        <v>0</v>
      </c>
      <c r="R328" s="160">
        <f t="shared" ca="1" si="59"/>
        <v>0</v>
      </c>
      <c r="S328" s="160">
        <f t="shared" ca="1" si="59"/>
        <v>0</v>
      </c>
      <c r="T328" s="160">
        <f t="shared" ca="1" si="57"/>
        <v>0</v>
      </c>
      <c r="U328" s="160">
        <f t="shared" ca="1" si="57"/>
        <v>0</v>
      </c>
      <c r="V328" s="163">
        <f t="shared" ca="1" si="51"/>
        <v>0</v>
      </c>
      <c r="W328" s="163">
        <f t="shared" ca="1" si="52"/>
        <v>0</v>
      </c>
      <c r="X328" s="163">
        <f t="shared" ca="1" si="53"/>
        <v>0</v>
      </c>
      <c r="Y328" s="163">
        <f t="shared" ca="1" si="54"/>
        <v>0</v>
      </c>
    </row>
    <row r="329" spans="12:25" ht="14.4">
      <c r="L329" s="464"/>
      <c r="M329" s="129" t="str">
        <f t="shared" si="55"/>
        <v>end</v>
      </c>
      <c r="N329" s="161">
        <f t="shared" si="50"/>
        <v>2</v>
      </c>
      <c r="O329" s="160">
        <f t="shared" ca="1" si="56"/>
        <v>0</v>
      </c>
      <c r="P329" s="160">
        <f t="shared" ca="1" si="58"/>
        <v>0</v>
      </c>
      <c r="Q329" s="160">
        <f t="shared" ca="1" si="59"/>
        <v>0</v>
      </c>
      <c r="R329" s="160">
        <f t="shared" ca="1" si="59"/>
        <v>0</v>
      </c>
      <c r="S329" s="160">
        <f t="shared" ca="1" si="59"/>
        <v>0</v>
      </c>
      <c r="T329" s="160">
        <f t="shared" ca="1" si="57"/>
        <v>0</v>
      </c>
      <c r="U329" s="160">
        <f t="shared" ca="1" si="57"/>
        <v>0</v>
      </c>
      <c r="V329" s="163">
        <f t="shared" ca="1" si="51"/>
        <v>0</v>
      </c>
      <c r="W329" s="163">
        <f t="shared" ca="1" si="52"/>
        <v>0</v>
      </c>
      <c r="X329" s="163">
        <f t="shared" ca="1" si="53"/>
        <v>0</v>
      </c>
      <c r="Y329" s="163">
        <f t="shared" ca="1" si="54"/>
        <v>0</v>
      </c>
    </row>
    <row r="330" spans="12:25" ht="14.4">
      <c r="L330" s="464"/>
      <c r="M330" s="129" t="str">
        <f t="shared" si="55"/>
        <v>end</v>
      </c>
      <c r="N330" s="161">
        <f t="shared" si="50"/>
        <v>2</v>
      </c>
      <c r="O330" s="160">
        <f t="shared" ca="1" si="56"/>
        <v>0</v>
      </c>
      <c r="P330" s="160">
        <f t="shared" ca="1" si="58"/>
        <v>0</v>
      </c>
      <c r="Q330" s="160">
        <f t="shared" ca="1" si="59"/>
        <v>0</v>
      </c>
      <c r="R330" s="160">
        <f t="shared" ca="1" si="59"/>
        <v>0</v>
      </c>
      <c r="S330" s="160">
        <f t="shared" ca="1" si="59"/>
        <v>0</v>
      </c>
      <c r="T330" s="160">
        <f t="shared" ca="1" si="57"/>
        <v>0</v>
      </c>
      <c r="U330" s="160">
        <f t="shared" ca="1" si="57"/>
        <v>0</v>
      </c>
      <c r="V330" s="163">
        <f t="shared" ca="1" si="51"/>
        <v>0</v>
      </c>
      <c r="W330" s="163">
        <f t="shared" ca="1" si="52"/>
        <v>0</v>
      </c>
      <c r="X330" s="163">
        <f t="shared" ca="1" si="53"/>
        <v>0</v>
      </c>
      <c r="Y330" s="163">
        <f t="shared" ca="1" si="54"/>
        <v>0</v>
      </c>
    </row>
    <row r="331" spans="12:25" ht="14.4">
      <c r="L331" s="464"/>
      <c r="M331" s="129" t="str">
        <f t="shared" si="55"/>
        <v>end</v>
      </c>
      <c r="N331" s="161">
        <f t="shared" si="50"/>
        <v>2</v>
      </c>
      <c r="O331" s="160">
        <f t="shared" ca="1" si="56"/>
        <v>0</v>
      </c>
      <c r="P331" s="160">
        <f t="shared" ca="1" si="58"/>
        <v>0</v>
      </c>
      <c r="Q331" s="160">
        <f t="shared" ca="1" si="59"/>
        <v>0</v>
      </c>
      <c r="R331" s="160">
        <f t="shared" ca="1" si="59"/>
        <v>0</v>
      </c>
      <c r="S331" s="160">
        <f t="shared" ca="1" si="59"/>
        <v>0</v>
      </c>
      <c r="T331" s="160">
        <f t="shared" ca="1" si="57"/>
        <v>0</v>
      </c>
      <c r="U331" s="160">
        <f t="shared" ca="1" si="57"/>
        <v>0</v>
      </c>
      <c r="V331" s="163">
        <f t="shared" ca="1" si="51"/>
        <v>0</v>
      </c>
      <c r="W331" s="163">
        <f t="shared" ca="1" si="52"/>
        <v>0</v>
      </c>
      <c r="X331" s="163">
        <f t="shared" ca="1" si="53"/>
        <v>0</v>
      </c>
      <c r="Y331" s="163">
        <f t="shared" ca="1" si="54"/>
        <v>0</v>
      </c>
    </row>
    <row r="332" spans="12:25" ht="14.4">
      <c r="L332" s="464"/>
      <c r="M332" s="129" t="str">
        <f t="shared" si="55"/>
        <v>end</v>
      </c>
      <c r="N332" s="161">
        <f t="shared" si="50"/>
        <v>2</v>
      </c>
      <c r="O332" s="160">
        <f t="shared" ca="1" si="56"/>
        <v>0</v>
      </c>
      <c r="P332" s="160">
        <f t="shared" ca="1" si="58"/>
        <v>0</v>
      </c>
      <c r="Q332" s="160">
        <f t="shared" ca="1" si="59"/>
        <v>0</v>
      </c>
      <c r="R332" s="160">
        <f t="shared" ca="1" si="59"/>
        <v>0</v>
      </c>
      <c r="S332" s="160">
        <f t="shared" ca="1" si="59"/>
        <v>0</v>
      </c>
      <c r="T332" s="160">
        <f t="shared" ca="1" si="57"/>
        <v>0</v>
      </c>
      <c r="U332" s="160">
        <f t="shared" ca="1" si="57"/>
        <v>0</v>
      </c>
      <c r="V332" s="163">
        <f t="shared" ca="1" si="51"/>
        <v>0</v>
      </c>
      <c r="W332" s="163">
        <f t="shared" ca="1" si="52"/>
        <v>0</v>
      </c>
      <c r="X332" s="163">
        <f t="shared" ca="1" si="53"/>
        <v>0</v>
      </c>
      <c r="Y332" s="163">
        <f t="shared" ca="1" si="54"/>
        <v>0</v>
      </c>
    </row>
    <row r="333" spans="12:25" ht="14.4">
      <c r="L333" s="464"/>
      <c r="M333" s="129" t="str">
        <f t="shared" si="55"/>
        <v>end</v>
      </c>
      <c r="N333" s="161">
        <f t="shared" si="50"/>
        <v>2</v>
      </c>
      <c r="O333" s="160">
        <f t="shared" ca="1" si="56"/>
        <v>0</v>
      </c>
      <c r="P333" s="160">
        <f t="shared" ca="1" si="58"/>
        <v>0</v>
      </c>
      <c r="Q333" s="160">
        <f t="shared" ca="1" si="59"/>
        <v>0</v>
      </c>
      <c r="R333" s="160">
        <f t="shared" ca="1" si="59"/>
        <v>0</v>
      </c>
      <c r="S333" s="160">
        <f t="shared" ca="1" si="59"/>
        <v>0</v>
      </c>
      <c r="T333" s="160">
        <f t="shared" ca="1" si="57"/>
        <v>0</v>
      </c>
      <c r="U333" s="160">
        <f t="shared" ca="1" si="57"/>
        <v>0</v>
      </c>
      <c r="V333" s="163">
        <f t="shared" ca="1" si="51"/>
        <v>0</v>
      </c>
      <c r="W333" s="163">
        <f t="shared" ca="1" si="52"/>
        <v>0</v>
      </c>
      <c r="X333" s="163">
        <f t="shared" ca="1" si="53"/>
        <v>0</v>
      </c>
      <c r="Y333" s="163">
        <f t="shared" ca="1" si="54"/>
        <v>0</v>
      </c>
    </row>
    <row r="334" spans="12:25" ht="14.4">
      <c r="L334" s="464"/>
      <c r="M334" s="129" t="str">
        <f t="shared" si="55"/>
        <v>end</v>
      </c>
      <c r="N334" s="161">
        <f t="shared" si="50"/>
        <v>2</v>
      </c>
      <c r="O334" s="160">
        <f t="shared" ca="1" si="56"/>
        <v>0</v>
      </c>
      <c r="P334" s="160">
        <f t="shared" ca="1" si="58"/>
        <v>0</v>
      </c>
      <c r="Q334" s="160">
        <f t="shared" ca="1" si="59"/>
        <v>0</v>
      </c>
      <c r="R334" s="160">
        <f t="shared" ca="1" si="59"/>
        <v>0</v>
      </c>
      <c r="S334" s="160">
        <f t="shared" ca="1" si="59"/>
        <v>0</v>
      </c>
      <c r="T334" s="160">
        <f t="shared" ca="1" si="57"/>
        <v>0</v>
      </c>
      <c r="U334" s="160">
        <f t="shared" ca="1" si="57"/>
        <v>0</v>
      </c>
      <c r="V334" s="163">
        <f t="shared" ca="1" si="51"/>
        <v>0</v>
      </c>
      <c r="W334" s="163">
        <f t="shared" ca="1" si="52"/>
        <v>0</v>
      </c>
      <c r="X334" s="163">
        <f t="shared" ca="1" si="53"/>
        <v>0</v>
      </c>
      <c r="Y334" s="163">
        <f t="shared" ca="1" si="54"/>
        <v>0</v>
      </c>
    </row>
    <row r="335" spans="12:25" ht="14.4">
      <c r="L335" s="464"/>
      <c r="M335" s="129" t="str">
        <f t="shared" si="55"/>
        <v>end</v>
      </c>
      <c r="N335" s="161">
        <f t="shared" si="50"/>
        <v>2</v>
      </c>
      <c r="O335" s="160">
        <f t="shared" ca="1" si="56"/>
        <v>0</v>
      </c>
      <c r="P335" s="160">
        <f t="shared" ca="1" si="58"/>
        <v>0</v>
      </c>
      <c r="Q335" s="160">
        <f t="shared" ca="1" si="59"/>
        <v>0</v>
      </c>
      <c r="R335" s="160">
        <f t="shared" ca="1" si="59"/>
        <v>0</v>
      </c>
      <c r="S335" s="160">
        <f t="shared" ca="1" si="59"/>
        <v>0</v>
      </c>
      <c r="T335" s="160">
        <f t="shared" ca="1" si="57"/>
        <v>0</v>
      </c>
      <c r="U335" s="160">
        <f t="shared" ca="1" si="57"/>
        <v>0</v>
      </c>
      <c r="V335" s="163">
        <f t="shared" ca="1" si="51"/>
        <v>0</v>
      </c>
      <c r="W335" s="163">
        <f t="shared" ca="1" si="52"/>
        <v>0</v>
      </c>
      <c r="X335" s="163">
        <f t="shared" ca="1" si="53"/>
        <v>0</v>
      </c>
      <c r="Y335" s="163">
        <f t="shared" ca="1" si="54"/>
        <v>0</v>
      </c>
    </row>
    <row r="336" spans="12:25" ht="14.4">
      <c r="L336" s="464"/>
      <c r="M336" s="129" t="str">
        <f t="shared" si="55"/>
        <v>end</v>
      </c>
      <c r="N336" s="161">
        <f t="shared" si="50"/>
        <v>2</v>
      </c>
      <c r="O336" s="160">
        <f t="shared" ca="1" si="56"/>
        <v>0</v>
      </c>
      <c r="P336" s="160">
        <f t="shared" ca="1" si="58"/>
        <v>0</v>
      </c>
      <c r="Q336" s="160">
        <f t="shared" ca="1" si="59"/>
        <v>0</v>
      </c>
      <c r="R336" s="160">
        <f t="shared" ca="1" si="59"/>
        <v>0</v>
      </c>
      <c r="S336" s="160">
        <f t="shared" ca="1" si="59"/>
        <v>0</v>
      </c>
      <c r="T336" s="160">
        <f t="shared" ca="1" si="57"/>
        <v>0</v>
      </c>
      <c r="U336" s="160">
        <f t="shared" ca="1" si="57"/>
        <v>0</v>
      </c>
      <c r="V336" s="163">
        <f t="shared" ca="1" si="51"/>
        <v>0</v>
      </c>
      <c r="W336" s="163">
        <f t="shared" ca="1" si="52"/>
        <v>0</v>
      </c>
      <c r="X336" s="163">
        <f t="shared" ca="1" si="53"/>
        <v>0</v>
      </c>
      <c r="Y336" s="163">
        <f t="shared" ca="1" si="54"/>
        <v>0</v>
      </c>
    </row>
    <row r="337" spans="12:25" ht="14.4">
      <c r="L337" s="464"/>
      <c r="M337" s="129" t="str">
        <f t="shared" si="55"/>
        <v>end</v>
      </c>
      <c r="N337" s="161">
        <f t="shared" si="50"/>
        <v>2</v>
      </c>
      <c r="O337" s="160">
        <f t="shared" ca="1" si="56"/>
        <v>0</v>
      </c>
      <c r="P337" s="160">
        <f t="shared" ca="1" si="58"/>
        <v>0</v>
      </c>
      <c r="Q337" s="160">
        <f t="shared" ca="1" si="59"/>
        <v>0</v>
      </c>
      <c r="R337" s="160">
        <f t="shared" ca="1" si="59"/>
        <v>0</v>
      </c>
      <c r="S337" s="160">
        <f t="shared" ca="1" si="59"/>
        <v>0</v>
      </c>
      <c r="T337" s="160">
        <f t="shared" ca="1" si="57"/>
        <v>0</v>
      </c>
      <c r="U337" s="160">
        <f t="shared" ca="1" si="57"/>
        <v>0</v>
      </c>
      <c r="V337" s="163">
        <f t="shared" ca="1" si="51"/>
        <v>0</v>
      </c>
      <c r="W337" s="163">
        <f t="shared" ca="1" si="52"/>
        <v>0</v>
      </c>
      <c r="X337" s="163">
        <f t="shared" ca="1" si="53"/>
        <v>0</v>
      </c>
      <c r="Y337" s="163">
        <f t="shared" ca="1" si="54"/>
        <v>0</v>
      </c>
    </row>
    <row r="338" spans="12:25" ht="14.4">
      <c r="L338" s="464"/>
      <c r="M338" s="129" t="str">
        <f t="shared" si="55"/>
        <v>end</v>
      </c>
      <c r="N338" s="161">
        <f t="shared" ref="N338:N401" si="60">N337</f>
        <v>2</v>
      </c>
      <c r="O338" s="160">
        <f t="shared" ca="1" si="56"/>
        <v>0</v>
      </c>
      <c r="P338" s="160">
        <f t="shared" ca="1" si="58"/>
        <v>0</v>
      </c>
      <c r="Q338" s="160">
        <f t="shared" ca="1" si="59"/>
        <v>0</v>
      </c>
      <c r="R338" s="160">
        <f t="shared" ca="1" si="59"/>
        <v>0</v>
      </c>
      <c r="S338" s="160">
        <f t="shared" ca="1" si="59"/>
        <v>0</v>
      </c>
      <c r="T338" s="160">
        <f t="shared" ca="1" si="57"/>
        <v>0</v>
      </c>
      <c r="U338" s="160">
        <f t="shared" ca="1" si="57"/>
        <v>0</v>
      </c>
      <c r="V338" s="163">
        <f t="shared" ca="1" si="51"/>
        <v>0</v>
      </c>
      <c r="W338" s="163">
        <f t="shared" ca="1" si="52"/>
        <v>0</v>
      </c>
      <c r="X338" s="163">
        <f t="shared" ca="1" si="53"/>
        <v>0</v>
      </c>
      <c r="Y338" s="163">
        <f t="shared" ca="1" si="54"/>
        <v>0</v>
      </c>
    </row>
    <row r="339" spans="12:25" ht="14.4">
      <c r="L339" s="464"/>
      <c r="M339" s="129" t="str">
        <f t="shared" si="55"/>
        <v>end</v>
      </c>
      <c r="N339" s="161">
        <f t="shared" si="60"/>
        <v>2</v>
      </c>
      <c r="O339" s="160">
        <f t="shared" ca="1" si="56"/>
        <v>0</v>
      </c>
      <c r="P339" s="160">
        <f t="shared" ca="1" si="58"/>
        <v>0</v>
      </c>
      <c r="Q339" s="160">
        <f t="shared" ca="1" si="59"/>
        <v>0</v>
      </c>
      <c r="R339" s="160">
        <f t="shared" ca="1" si="59"/>
        <v>0</v>
      </c>
      <c r="S339" s="160">
        <f t="shared" ca="1" si="59"/>
        <v>0</v>
      </c>
      <c r="T339" s="160">
        <f t="shared" ca="1" si="57"/>
        <v>0</v>
      </c>
      <c r="U339" s="160">
        <f t="shared" ca="1" si="57"/>
        <v>0</v>
      </c>
      <c r="V339" s="163">
        <f t="shared" ca="1" si="51"/>
        <v>0</v>
      </c>
      <c r="W339" s="163">
        <f t="shared" ca="1" si="52"/>
        <v>0</v>
      </c>
      <c r="X339" s="163">
        <f t="shared" ca="1" si="53"/>
        <v>0</v>
      </c>
      <c r="Y339" s="163">
        <f t="shared" ca="1" si="54"/>
        <v>0</v>
      </c>
    </row>
    <row r="340" spans="12:25" ht="14.4">
      <c r="L340" s="464"/>
      <c r="M340" s="129" t="str">
        <f t="shared" si="55"/>
        <v>end</v>
      </c>
      <c r="N340" s="161">
        <f t="shared" si="60"/>
        <v>2</v>
      </c>
      <c r="O340" s="160">
        <f t="shared" ca="1" si="56"/>
        <v>0</v>
      </c>
      <c r="P340" s="160">
        <f t="shared" ca="1" si="58"/>
        <v>0</v>
      </c>
      <c r="Q340" s="160">
        <f t="shared" ca="1" si="59"/>
        <v>0</v>
      </c>
      <c r="R340" s="160">
        <f t="shared" ca="1" si="59"/>
        <v>0</v>
      </c>
      <c r="S340" s="160">
        <f t="shared" ca="1" si="59"/>
        <v>0</v>
      </c>
      <c r="T340" s="160">
        <f t="shared" ca="1" si="57"/>
        <v>0</v>
      </c>
      <c r="U340" s="160">
        <f t="shared" ca="1" si="57"/>
        <v>0</v>
      </c>
      <c r="V340" s="163">
        <f t="shared" ca="1" si="51"/>
        <v>0</v>
      </c>
      <c r="W340" s="163">
        <f t="shared" ca="1" si="52"/>
        <v>0</v>
      </c>
      <c r="X340" s="163">
        <f t="shared" ca="1" si="53"/>
        <v>0</v>
      </c>
      <c r="Y340" s="163">
        <f t="shared" ca="1" si="54"/>
        <v>0</v>
      </c>
    </row>
    <row r="341" spans="12:25" ht="14.4">
      <c r="L341" s="464"/>
      <c r="M341" s="129" t="str">
        <f t="shared" si="55"/>
        <v>end</v>
      </c>
      <c r="N341" s="161">
        <f t="shared" si="60"/>
        <v>2</v>
      </c>
      <c r="O341" s="160">
        <f t="shared" ca="1" si="56"/>
        <v>0</v>
      </c>
      <c r="P341" s="160">
        <f t="shared" ca="1" si="58"/>
        <v>0</v>
      </c>
      <c r="Q341" s="160">
        <f t="shared" ca="1" si="59"/>
        <v>0</v>
      </c>
      <c r="R341" s="160">
        <f t="shared" ca="1" si="59"/>
        <v>0</v>
      </c>
      <c r="S341" s="160">
        <f t="shared" ca="1" si="59"/>
        <v>0</v>
      </c>
      <c r="T341" s="160">
        <f t="shared" ca="1" si="57"/>
        <v>0</v>
      </c>
      <c r="U341" s="160">
        <f t="shared" ca="1" si="57"/>
        <v>0</v>
      </c>
      <c r="V341" s="163">
        <f t="shared" ca="1" si="51"/>
        <v>0</v>
      </c>
      <c r="W341" s="163">
        <f t="shared" ca="1" si="52"/>
        <v>0</v>
      </c>
      <c r="X341" s="163">
        <f t="shared" ca="1" si="53"/>
        <v>0</v>
      </c>
      <c r="Y341" s="163">
        <f t="shared" ca="1" si="54"/>
        <v>0</v>
      </c>
    </row>
    <row r="342" spans="12:25" ht="14.4">
      <c r="L342" s="464"/>
      <c r="M342" s="129" t="str">
        <f t="shared" si="55"/>
        <v>end</v>
      </c>
      <c r="N342" s="161">
        <f t="shared" si="60"/>
        <v>2</v>
      </c>
      <c r="O342" s="160">
        <f t="shared" ca="1" si="56"/>
        <v>0</v>
      </c>
      <c r="P342" s="160">
        <f t="shared" ca="1" si="58"/>
        <v>0</v>
      </c>
      <c r="Q342" s="160">
        <f t="shared" ca="1" si="59"/>
        <v>0</v>
      </c>
      <c r="R342" s="160">
        <f t="shared" ca="1" si="59"/>
        <v>0</v>
      </c>
      <c r="S342" s="160">
        <f t="shared" ca="1" si="59"/>
        <v>0</v>
      </c>
      <c r="T342" s="160">
        <f t="shared" ca="1" si="57"/>
        <v>0</v>
      </c>
      <c r="U342" s="160">
        <f t="shared" ca="1" si="57"/>
        <v>0</v>
      </c>
      <c r="V342" s="163">
        <f t="shared" ca="1" si="51"/>
        <v>0</v>
      </c>
      <c r="W342" s="163">
        <f t="shared" ca="1" si="52"/>
        <v>0</v>
      </c>
      <c r="X342" s="163">
        <f t="shared" ca="1" si="53"/>
        <v>0</v>
      </c>
      <c r="Y342" s="163">
        <f t="shared" ca="1" si="54"/>
        <v>0</v>
      </c>
    </row>
    <row r="343" spans="12:25" ht="14.4">
      <c r="L343" s="464"/>
      <c r="M343" s="129" t="str">
        <f t="shared" si="55"/>
        <v>end</v>
      </c>
      <c r="N343" s="161">
        <f t="shared" si="60"/>
        <v>2</v>
      </c>
      <c r="O343" s="160">
        <f t="shared" ca="1" si="56"/>
        <v>0</v>
      </c>
      <c r="P343" s="160">
        <f t="shared" ca="1" si="58"/>
        <v>0</v>
      </c>
      <c r="Q343" s="160">
        <f t="shared" ca="1" si="59"/>
        <v>0</v>
      </c>
      <c r="R343" s="160">
        <f t="shared" ca="1" si="59"/>
        <v>0</v>
      </c>
      <c r="S343" s="160">
        <f t="shared" ca="1" si="59"/>
        <v>0</v>
      </c>
      <c r="T343" s="160">
        <f t="shared" ca="1" si="57"/>
        <v>0</v>
      </c>
      <c r="U343" s="160">
        <f t="shared" ca="1" si="57"/>
        <v>0</v>
      </c>
      <c r="V343" s="163">
        <f t="shared" ca="1" si="51"/>
        <v>0</v>
      </c>
      <c r="W343" s="163">
        <f t="shared" ca="1" si="52"/>
        <v>0</v>
      </c>
      <c r="X343" s="163">
        <f t="shared" ca="1" si="53"/>
        <v>0</v>
      </c>
      <c r="Y343" s="163">
        <f t="shared" ca="1" si="54"/>
        <v>0</v>
      </c>
    </row>
    <row r="344" spans="12:25" ht="14.4">
      <c r="L344" s="464"/>
      <c r="M344" s="129" t="str">
        <f t="shared" si="55"/>
        <v>end</v>
      </c>
      <c r="N344" s="161">
        <f t="shared" si="60"/>
        <v>2</v>
      </c>
      <c r="O344" s="160">
        <f t="shared" ca="1" si="56"/>
        <v>0</v>
      </c>
      <c r="P344" s="160">
        <f t="shared" ca="1" si="58"/>
        <v>0</v>
      </c>
      <c r="Q344" s="160">
        <f t="shared" ca="1" si="59"/>
        <v>0</v>
      </c>
      <c r="R344" s="160">
        <f t="shared" ca="1" si="59"/>
        <v>0</v>
      </c>
      <c r="S344" s="160">
        <f t="shared" ca="1" si="59"/>
        <v>0</v>
      </c>
      <c r="T344" s="160">
        <f t="shared" ca="1" si="57"/>
        <v>0</v>
      </c>
      <c r="U344" s="160">
        <f t="shared" ca="1" si="57"/>
        <v>0</v>
      </c>
      <c r="V344" s="163">
        <f t="shared" ca="1" si="51"/>
        <v>0</v>
      </c>
      <c r="W344" s="163">
        <f t="shared" ca="1" si="52"/>
        <v>0</v>
      </c>
      <c r="X344" s="163">
        <f t="shared" ca="1" si="53"/>
        <v>0</v>
      </c>
      <c r="Y344" s="163">
        <f t="shared" ca="1" si="54"/>
        <v>0</v>
      </c>
    </row>
    <row r="345" spans="12:25" ht="14.4">
      <c r="L345" s="464"/>
      <c r="M345" s="129" t="str">
        <f t="shared" si="55"/>
        <v>end</v>
      </c>
      <c r="N345" s="161">
        <f t="shared" si="60"/>
        <v>2</v>
      </c>
      <c r="O345" s="160">
        <f t="shared" ca="1" si="56"/>
        <v>0</v>
      </c>
      <c r="P345" s="160">
        <f t="shared" ca="1" si="58"/>
        <v>0</v>
      </c>
      <c r="Q345" s="160">
        <f t="shared" ca="1" si="59"/>
        <v>0</v>
      </c>
      <c r="R345" s="160">
        <f t="shared" ca="1" si="59"/>
        <v>0</v>
      </c>
      <c r="S345" s="160">
        <f t="shared" ca="1" si="59"/>
        <v>0</v>
      </c>
      <c r="T345" s="160">
        <f t="shared" ca="1" si="57"/>
        <v>0</v>
      </c>
      <c r="U345" s="160">
        <f t="shared" ca="1" si="57"/>
        <v>0</v>
      </c>
      <c r="V345" s="163">
        <f t="shared" ca="1" si="51"/>
        <v>0</v>
      </c>
      <c r="W345" s="163">
        <f t="shared" ca="1" si="52"/>
        <v>0</v>
      </c>
      <c r="X345" s="163">
        <f t="shared" ca="1" si="53"/>
        <v>0</v>
      </c>
      <c r="Y345" s="163">
        <f t="shared" ca="1" si="54"/>
        <v>0</v>
      </c>
    </row>
    <row r="346" spans="12:25" ht="14.4">
      <c r="L346" s="464"/>
      <c r="M346" s="129" t="str">
        <f t="shared" si="55"/>
        <v>end</v>
      </c>
      <c r="N346" s="161">
        <f t="shared" si="60"/>
        <v>2</v>
      </c>
      <c r="O346" s="160">
        <f t="shared" ca="1" si="56"/>
        <v>0</v>
      </c>
      <c r="P346" s="160">
        <f t="shared" ca="1" si="58"/>
        <v>0</v>
      </c>
      <c r="Q346" s="160">
        <f t="shared" ca="1" si="59"/>
        <v>0</v>
      </c>
      <c r="R346" s="160">
        <f t="shared" ca="1" si="59"/>
        <v>0</v>
      </c>
      <c r="S346" s="160">
        <f t="shared" ca="1" si="59"/>
        <v>0</v>
      </c>
      <c r="T346" s="160">
        <f t="shared" ca="1" si="57"/>
        <v>0</v>
      </c>
      <c r="U346" s="160">
        <f t="shared" ca="1" si="57"/>
        <v>0</v>
      </c>
      <c r="V346" s="163">
        <f t="shared" ca="1" si="51"/>
        <v>0</v>
      </c>
      <c r="W346" s="163">
        <f t="shared" ca="1" si="52"/>
        <v>0</v>
      </c>
      <c r="X346" s="163">
        <f t="shared" ca="1" si="53"/>
        <v>0</v>
      </c>
      <c r="Y346" s="163">
        <f t="shared" ca="1" si="54"/>
        <v>0</v>
      </c>
    </row>
    <row r="347" spans="12:25" ht="14.4">
      <c r="L347" s="464"/>
      <c r="M347" s="129" t="str">
        <f t="shared" si="55"/>
        <v>end</v>
      </c>
      <c r="N347" s="161">
        <f t="shared" si="60"/>
        <v>2</v>
      </c>
      <c r="O347" s="160">
        <f t="shared" ca="1" si="56"/>
        <v>0</v>
      </c>
      <c r="P347" s="160">
        <f t="shared" ca="1" si="58"/>
        <v>0</v>
      </c>
      <c r="Q347" s="160">
        <f t="shared" ca="1" si="59"/>
        <v>0</v>
      </c>
      <c r="R347" s="160">
        <f t="shared" ca="1" si="59"/>
        <v>0</v>
      </c>
      <c r="S347" s="160">
        <f t="shared" ca="1" si="59"/>
        <v>0</v>
      </c>
      <c r="T347" s="160">
        <f t="shared" ca="1" si="57"/>
        <v>0</v>
      </c>
      <c r="U347" s="160">
        <f t="shared" ca="1" si="57"/>
        <v>0</v>
      </c>
      <c r="V347" s="163">
        <f t="shared" ca="1" si="51"/>
        <v>0</v>
      </c>
      <c r="W347" s="163">
        <f t="shared" ca="1" si="52"/>
        <v>0</v>
      </c>
      <c r="X347" s="163">
        <f t="shared" ca="1" si="53"/>
        <v>0</v>
      </c>
      <c r="Y347" s="163">
        <f t="shared" ca="1" si="54"/>
        <v>0</v>
      </c>
    </row>
    <row r="348" spans="12:25" ht="14.4">
      <c r="L348" s="464"/>
      <c r="M348" s="129" t="str">
        <f t="shared" si="55"/>
        <v>end</v>
      </c>
      <c r="N348" s="161">
        <f t="shared" si="60"/>
        <v>2</v>
      </c>
      <c r="O348" s="160">
        <f t="shared" ca="1" si="56"/>
        <v>0</v>
      </c>
      <c r="P348" s="160">
        <f t="shared" ca="1" si="58"/>
        <v>0</v>
      </c>
      <c r="Q348" s="160">
        <f t="shared" ca="1" si="59"/>
        <v>0</v>
      </c>
      <c r="R348" s="160">
        <f t="shared" ca="1" si="59"/>
        <v>0</v>
      </c>
      <c r="S348" s="160">
        <f t="shared" ca="1" si="59"/>
        <v>0</v>
      </c>
      <c r="T348" s="160">
        <f t="shared" ca="1" si="57"/>
        <v>0</v>
      </c>
      <c r="U348" s="160">
        <f t="shared" ca="1" si="57"/>
        <v>0</v>
      </c>
      <c r="V348" s="163">
        <f t="shared" ca="1" si="51"/>
        <v>0</v>
      </c>
      <c r="W348" s="163">
        <f t="shared" ca="1" si="52"/>
        <v>0</v>
      </c>
      <c r="X348" s="163">
        <f t="shared" ca="1" si="53"/>
        <v>0</v>
      </c>
      <c r="Y348" s="163">
        <f t="shared" ca="1" si="54"/>
        <v>0</v>
      </c>
    </row>
    <row r="349" spans="12:25" ht="14.4">
      <c r="L349" s="464"/>
      <c r="M349" s="129" t="str">
        <f t="shared" si="55"/>
        <v>end</v>
      </c>
      <c r="N349" s="161">
        <f t="shared" si="60"/>
        <v>2</v>
      </c>
      <c r="O349" s="160">
        <f t="shared" ca="1" si="56"/>
        <v>0</v>
      </c>
      <c r="P349" s="160">
        <f t="shared" ca="1" si="58"/>
        <v>0</v>
      </c>
      <c r="Q349" s="160">
        <f t="shared" ca="1" si="59"/>
        <v>0</v>
      </c>
      <c r="R349" s="160">
        <f t="shared" ca="1" si="59"/>
        <v>0</v>
      </c>
      <c r="S349" s="160">
        <f t="shared" ca="1" si="59"/>
        <v>0</v>
      </c>
      <c r="T349" s="160">
        <f t="shared" ca="1" si="57"/>
        <v>0</v>
      </c>
      <c r="U349" s="160">
        <f t="shared" ca="1" si="57"/>
        <v>0</v>
      </c>
      <c r="V349" s="163">
        <f t="shared" ca="1" si="51"/>
        <v>0</v>
      </c>
      <c r="W349" s="163">
        <f t="shared" ca="1" si="52"/>
        <v>0</v>
      </c>
      <c r="X349" s="163">
        <f t="shared" ca="1" si="53"/>
        <v>0</v>
      </c>
      <c r="Y349" s="163">
        <f t="shared" ca="1" si="54"/>
        <v>0</v>
      </c>
    </row>
    <row r="350" spans="12:25" ht="14.4">
      <c r="L350" s="464"/>
      <c r="M350" s="129" t="str">
        <f t="shared" si="55"/>
        <v>end</v>
      </c>
      <c r="N350" s="161">
        <f t="shared" si="60"/>
        <v>2</v>
      </c>
      <c r="O350" s="160">
        <f t="shared" ca="1" si="56"/>
        <v>0</v>
      </c>
      <c r="P350" s="160">
        <f t="shared" ca="1" si="58"/>
        <v>0</v>
      </c>
      <c r="Q350" s="160">
        <f t="shared" ca="1" si="59"/>
        <v>0</v>
      </c>
      <c r="R350" s="160">
        <f t="shared" ca="1" si="59"/>
        <v>0</v>
      </c>
      <c r="S350" s="160">
        <f t="shared" ca="1" si="59"/>
        <v>0</v>
      </c>
      <c r="T350" s="160">
        <f t="shared" ca="1" si="57"/>
        <v>0</v>
      </c>
      <c r="U350" s="160">
        <f t="shared" ca="1" si="57"/>
        <v>0</v>
      </c>
      <c r="V350" s="163">
        <f t="shared" ca="1" si="51"/>
        <v>0</v>
      </c>
      <c r="W350" s="163">
        <f t="shared" ca="1" si="52"/>
        <v>0</v>
      </c>
      <c r="X350" s="163">
        <f t="shared" ca="1" si="53"/>
        <v>0</v>
      </c>
      <c r="Y350" s="163">
        <f t="shared" ca="1" si="54"/>
        <v>0</v>
      </c>
    </row>
    <row r="351" spans="12:25" ht="14.4">
      <c r="L351" s="464"/>
      <c r="M351" s="129" t="str">
        <f t="shared" si="55"/>
        <v>end</v>
      </c>
      <c r="N351" s="161">
        <f t="shared" si="60"/>
        <v>2</v>
      </c>
      <c r="O351" s="160">
        <f t="shared" ca="1" si="56"/>
        <v>0</v>
      </c>
      <c r="P351" s="160">
        <f t="shared" ca="1" si="58"/>
        <v>0</v>
      </c>
      <c r="Q351" s="160">
        <f t="shared" ca="1" si="59"/>
        <v>0</v>
      </c>
      <c r="R351" s="160">
        <f t="shared" ca="1" si="59"/>
        <v>0</v>
      </c>
      <c r="S351" s="160">
        <f t="shared" ca="1" si="59"/>
        <v>0</v>
      </c>
      <c r="T351" s="160">
        <f t="shared" ca="1" si="57"/>
        <v>0</v>
      </c>
      <c r="U351" s="160">
        <f t="shared" ca="1" si="57"/>
        <v>0</v>
      </c>
      <c r="V351" s="163">
        <f t="shared" ref="V351:V414" ca="1" si="61">IF(Q351=0,0,IF(S351=180,IF(R351=0,"Slab on Grade",IF(R351=1,"Exposed Floor",IF(R351=3,"Internal Floor",U351))),IF(S351&lt;45,IF(R351=3,"Internal Ceiling",IF(R351=1,"Roof",U351)))))</f>
        <v>0</v>
      </c>
      <c r="W351" s="163">
        <f t="shared" ref="W351:W414" ca="1" si="62">IF(ISNUMBER(SEARCH($W$29,U351))=TRUE,IF(ISNUMBER(SEARCH($W$27,U351))=TRUE,IF(R351=1,"eFrame",IF(R351=3,"iFrame")),IF(R351=1,"eWindow",IF(R351=3,"iWindow"))),U351)</f>
        <v>0</v>
      </c>
      <c r="X351" s="163">
        <f t="shared" ref="X351:X414" ca="1" si="63">IF(ISNUMBER(SEARCH($X$29,U351))=TRUE,IF(ISNUMBER(SEARCH($X$27,U351))=TRUE,IF(R351=1,"eFrameDoor",IF(R351=3,"iFrameDoor")),IF(R351=1,"eDoor",IF(R351=3,"iDoor"))),U351)</f>
        <v>0</v>
      </c>
      <c r="Y351" s="163">
        <f t="shared" ref="Y351:Y414" ca="1" si="64">IF(ISNUMBER(SEARCH($W$29,U351))=TRUE,"Substract",IF(ISNUMBER(SEARCH($X$29,U351))=TRUE, "Sunstract",IF(S351=90,IF(R351=1,"External Wall",IF(R351=3,"Internal Wall",IF(R351=0,"Below Grade Wall",U351))),V351)))</f>
        <v>0</v>
      </c>
    </row>
    <row r="352" spans="12:25" ht="14.4">
      <c r="L352" s="464"/>
      <c r="M352" s="129" t="str">
        <f t="shared" ref="M352:M415" si="65">IF(M351="end","end",IF(M351=$K$1,"end",M351+1))</f>
        <v>end</v>
      </c>
      <c r="N352" s="161">
        <f t="shared" si="60"/>
        <v>2</v>
      </c>
      <c r="O352" s="160">
        <f t="shared" ca="1" si="56"/>
        <v>0</v>
      </c>
      <c r="P352" s="160">
        <f t="shared" ca="1" si="58"/>
        <v>0</v>
      </c>
      <c r="Q352" s="160">
        <f t="shared" ca="1" si="59"/>
        <v>0</v>
      </c>
      <c r="R352" s="160">
        <f t="shared" ca="1" si="59"/>
        <v>0</v>
      </c>
      <c r="S352" s="160">
        <f t="shared" ca="1" si="59"/>
        <v>0</v>
      </c>
      <c r="T352" s="160">
        <f t="shared" ca="1" si="57"/>
        <v>0</v>
      </c>
      <c r="U352" s="160">
        <f t="shared" ca="1" si="57"/>
        <v>0</v>
      </c>
      <c r="V352" s="163">
        <f t="shared" ca="1" si="61"/>
        <v>0</v>
      </c>
      <c r="W352" s="163">
        <f t="shared" ca="1" si="62"/>
        <v>0</v>
      </c>
      <c r="X352" s="163">
        <f t="shared" ca="1" si="63"/>
        <v>0</v>
      </c>
      <c r="Y352" s="163">
        <f t="shared" ca="1" si="64"/>
        <v>0</v>
      </c>
    </row>
    <row r="353" spans="12:25" ht="14.4">
      <c r="L353" s="464"/>
      <c r="M353" s="129" t="str">
        <f t="shared" si="65"/>
        <v>end</v>
      </c>
      <c r="N353" s="161">
        <f t="shared" si="60"/>
        <v>2</v>
      </c>
      <c r="O353" s="160">
        <f t="shared" ca="1" si="56"/>
        <v>0</v>
      </c>
      <c r="P353" s="160">
        <f t="shared" ca="1" si="58"/>
        <v>0</v>
      </c>
      <c r="Q353" s="160">
        <f t="shared" ca="1" si="59"/>
        <v>0</v>
      </c>
      <c r="R353" s="160">
        <f t="shared" ca="1" si="59"/>
        <v>0</v>
      </c>
      <c r="S353" s="160">
        <f t="shared" ca="1" si="59"/>
        <v>0</v>
      </c>
      <c r="T353" s="160">
        <f t="shared" ca="1" si="57"/>
        <v>0</v>
      </c>
      <c r="U353" s="160">
        <f t="shared" ca="1" si="57"/>
        <v>0</v>
      </c>
      <c r="V353" s="163">
        <f t="shared" ca="1" si="61"/>
        <v>0</v>
      </c>
      <c r="W353" s="163">
        <f t="shared" ca="1" si="62"/>
        <v>0</v>
      </c>
      <c r="X353" s="163">
        <f t="shared" ca="1" si="63"/>
        <v>0</v>
      </c>
      <c r="Y353" s="163">
        <f t="shared" ca="1" si="64"/>
        <v>0</v>
      </c>
    </row>
    <row r="354" spans="12:25" ht="14.4">
      <c r="L354" s="464"/>
      <c r="M354" s="129" t="str">
        <f t="shared" si="65"/>
        <v>end</v>
      </c>
      <c r="N354" s="161">
        <f t="shared" si="60"/>
        <v>2</v>
      </c>
      <c r="O354" s="160">
        <f t="shared" ca="1" si="56"/>
        <v>0</v>
      </c>
      <c r="P354" s="160">
        <f t="shared" ca="1" si="58"/>
        <v>0</v>
      </c>
      <c r="Q354" s="160">
        <f t="shared" ca="1" si="59"/>
        <v>0</v>
      </c>
      <c r="R354" s="160">
        <f t="shared" ca="1" si="59"/>
        <v>0</v>
      </c>
      <c r="S354" s="160">
        <f t="shared" ca="1" si="59"/>
        <v>0</v>
      </c>
      <c r="T354" s="160">
        <f t="shared" ca="1" si="57"/>
        <v>0</v>
      </c>
      <c r="U354" s="160">
        <f t="shared" ca="1" si="57"/>
        <v>0</v>
      </c>
      <c r="V354" s="163">
        <f t="shared" ca="1" si="61"/>
        <v>0</v>
      </c>
      <c r="W354" s="163">
        <f t="shared" ca="1" si="62"/>
        <v>0</v>
      </c>
      <c r="X354" s="163">
        <f t="shared" ca="1" si="63"/>
        <v>0</v>
      </c>
      <c r="Y354" s="163">
        <f t="shared" ca="1" si="64"/>
        <v>0</v>
      </c>
    </row>
    <row r="355" spans="12:25" ht="14.4">
      <c r="L355" s="464"/>
      <c r="M355" s="129" t="str">
        <f t="shared" si="65"/>
        <v>end</v>
      </c>
      <c r="N355" s="161">
        <f t="shared" si="60"/>
        <v>2</v>
      </c>
      <c r="O355" s="160">
        <f t="shared" ca="1" si="56"/>
        <v>0</v>
      </c>
      <c r="P355" s="160">
        <f t="shared" ca="1" si="58"/>
        <v>0</v>
      </c>
      <c r="Q355" s="160">
        <f t="shared" ca="1" si="59"/>
        <v>0</v>
      </c>
      <c r="R355" s="160">
        <f t="shared" ca="1" si="59"/>
        <v>0</v>
      </c>
      <c r="S355" s="160">
        <f t="shared" ca="1" si="59"/>
        <v>0</v>
      </c>
      <c r="T355" s="160">
        <f t="shared" ca="1" si="57"/>
        <v>0</v>
      </c>
      <c r="U355" s="160">
        <f t="shared" ca="1" si="57"/>
        <v>0</v>
      </c>
      <c r="V355" s="163">
        <f t="shared" ca="1" si="61"/>
        <v>0</v>
      </c>
      <c r="W355" s="163">
        <f t="shared" ca="1" si="62"/>
        <v>0</v>
      </c>
      <c r="X355" s="163">
        <f t="shared" ca="1" si="63"/>
        <v>0</v>
      </c>
      <c r="Y355" s="163">
        <f t="shared" ca="1" si="64"/>
        <v>0</v>
      </c>
    </row>
    <row r="356" spans="12:25" ht="14.4">
      <c r="L356" s="464"/>
      <c r="M356" s="129" t="str">
        <f t="shared" si="65"/>
        <v>end</v>
      </c>
      <c r="N356" s="161">
        <f t="shared" si="60"/>
        <v>2</v>
      </c>
      <c r="O356" s="160">
        <f t="shared" ca="1" si="56"/>
        <v>0</v>
      </c>
      <c r="P356" s="160">
        <f t="shared" ca="1" si="58"/>
        <v>0</v>
      </c>
      <c r="Q356" s="160">
        <f t="shared" ca="1" si="59"/>
        <v>0</v>
      </c>
      <c r="R356" s="160">
        <f t="shared" ca="1" si="59"/>
        <v>0</v>
      </c>
      <c r="S356" s="160">
        <f t="shared" ca="1" si="59"/>
        <v>0</v>
      </c>
      <c r="T356" s="160">
        <f t="shared" ca="1" si="57"/>
        <v>0</v>
      </c>
      <c r="U356" s="160">
        <f t="shared" ca="1" si="57"/>
        <v>0</v>
      </c>
      <c r="V356" s="163">
        <f t="shared" ca="1" si="61"/>
        <v>0</v>
      </c>
      <c r="W356" s="163">
        <f t="shared" ca="1" si="62"/>
        <v>0</v>
      </c>
      <c r="X356" s="163">
        <f t="shared" ca="1" si="63"/>
        <v>0</v>
      </c>
      <c r="Y356" s="163">
        <f t="shared" ca="1" si="64"/>
        <v>0</v>
      </c>
    </row>
    <row r="357" spans="12:25" ht="14.4">
      <c r="L357" s="464"/>
      <c r="M357" s="129" t="str">
        <f t="shared" si="65"/>
        <v>end</v>
      </c>
      <c r="N357" s="161">
        <f t="shared" si="60"/>
        <v>2</v>
      </c>
      <c r="O357" s="160">
        <f t="shared" ca="1" si="56"/>
        <v>0</v>
      </c>
      <c r="P357" s="160">
        <f t="shared" ca="1" si="58"/>
        <v>0</v>
      </c>
      <c r="Q357" s="160">
        <f t="shared" ca="1" si="59"/>
        <v>0</v>
      </c>
      <c r="R357" s="160">
        <f t="shared" ca="1" si="59"/>
        <v>0</v>
      </c>
      <c r="S357" s="160">
        <f t="shared" ca="1" si="59"/>
        <v>0</v>
      </c>
      <c r="T357" s="160">
        <f t="shared" ca="1" si="57"/>
        <v>0</v>
      </c>
      <c r="U357" s="160">
        <f t="shared" ca="1" si="57"/>
        <v>0</v>
      </c>
      <c r="V357" s="163">
        <f t="shared" ca="1" si="61"/>
        <v>0</v>
      </c>
      <c r="W357" s="163">
        <f t="shared" ca="1" si="62"/>
        <v>0</v>
      </c>
      <c r="X357" s="163">
        <f t="shared" ca="1" si="63"/>
        <v>0</v>
      </c>
      <c r="Y357" s="163">
        <f t="shared" ca="1" si="64"/>
        <v>0</v>
      </c>
    </row>
    <row r="358" spans="12:25" ht="14.4">
      <c r="L358" s="464"/>
      <c r="M358" s="129" t="str">
        <f t="shared" si="65"/>
        <v>end</v>
      </c>
      <c r="N358" s="161">
        <f t="shared" si="60"/>
        <v>2</v>
      </c>
      <c r="O358" s="160">
        <f t="shared" ca="1" si="56"/>
        <v>0</v>
      </c>
      <c r="P358" s="160">
        <f t="shared" ca="1" si="58"/>
        <v>0</v>
      </c>
      <c r="Q358" s="160">
        <f t="shared" ca="1" si="59"/>
        <v>0</v>
      </c>
      <c r="R358" s="160">
        <f t="shared" ca="1" si="59"/>
        <v>0</v>
      </c>
      <c r="S358" s="160">
        <f t="shared" ca="1" si="59"/>
        <v>0</v>
      </c>
      <c r="T358" s="160">
        <f t="shared" ca="1" si="57"/>
        <v>0</v>
      </c>
      <c r="U358" s="160">
        <f t="shared" ca="1" si="57"/>
        <v>0</v>
      </c>
      <c r="V358" s="163">
        <f t="shared" ca="1" si="61"/>
        <v>0</v>
      </c>
      <c r="W358" s="163">
        <f t="shared" ca="1" si="62"/>
        <v>0</v>
      </c>
      <c r="X358" s="163">
        <f t="shared" ca="1" si="63"/>
        <v>0</v>
      </c>
      <c r="Y358" s="163">
        <f t="shared" ca="1" si="64"/>
        <v>0</v>
      </c>
    </row>
    <row r="359" spans="12:25" ht="14.4">
      <c r="L359" s="464"/>
      <c r="M359" s="129" t="str">
        <f t="shared" si="65"/>
        <v>end</v>
      </c>
      <c r="N359" s="161">
        <f t="shared" si="60"/>
        <v>2</v>
      </c>
      <c r="O359" s="160">
        <f t="shared" ca="1" si="56"/>
        <v>0</v>
      </c>
      <c r="P359" s="160">
        <f t="shared" ca="1" si="58"/>
        <v>0</v>
      </c>
      <c r="Q359" s="160">
        <f t="shared" ca="1" si="59"/>
        <v>0</v>
      </c>
      <c r="R359" s="160">
        <f t="shared" ca="1" si="59"/>
        <v>0</v>
      </c>
      <c r="S359" s="160">
        <f t="shared" ca="1" si="59"/>
        <v>0</v>
      </c>
      <c r="T359" s="160">
        <f t="shared" ca="1" si="57"/>
        <v>0</v>
      </c>
      <c r="U359" s="160">
        <f t="shared" ca="1" si="57"/>
        <v>0</v>
      </c>
      <c r="V359" s="163">
        <f t="shared" ca="1" si="61"/>
        <v>0</v>
      </c>
      <c r="W359" s="163">
        <f t="shared" ca="1" si="62"/>
        <v>0</v>
      </c>
      <c r="X359" s="163">
        <f t="shared" ca="1" si="63"/>
        <v>0</v>
      </c>
      <c r="Y359" s="163">
        <f t="shared" ca="1" si="64"/>
        <v>0</v>
      </c>
    </row>
    <row r="360" spans="12:25" ht="14.4">
      <c r="L360" s="464"/>
      <c r="M360" s="129" t="str">
        <f t="shared" si="65"/>
        <v>end</v>
      </c>
      <c r="N360" s="161">
        <f t="shared" si="60"/>
        <v>2</v>
      </c>
      <c r="O360" s="160">
        <f t="shared" ca="1" si="56"/>
        <v>0</v>
      </c>
      <c r="P360" s="160">
        <f t="shared" ca="1" si="58"/>
        <v>0</v>
      </c>
      <c r="Q360" s="160">
        <f t="shared" ca="1" si="59"/>
        <v>0</v>
      </c>
      <c r="R360" s="160">
        <f t="shared" ca="1" si="59"/>
        <v>0</v>
      </c>
      <c r="S360" s="160">
        <f t="shared" ca="1" si="59"/>
        <v>0</v>
      </c>
      <c r="T360" s="160">
        <f t="shared" ca="1" si="57"/>
        <v>0</v>
      </c>
      <c r="U360" s="160">
        <f t="shared" ca="1" si="57"/>
        <v>0</v>
      </c>
      <c r="V360" s="163">
        <f t="shared" ca="1" si="61"/>
        <v>0</v>
      </c>
      <c r="W360" s="163">
        <f t="shared" ca="1" si="62"/>
        <v>0</v>
      </c>
      <c r="X360" s="163">
        <f t="shared" ca="1" si="63"/>
        <v>0</v>
      </c>
      <c r="Y360" s="163">
        <f t="shared" ca="1" si="64"/>
        <v>0</v>
      </c>
    </row>
    <row r="361" spans="12:25" ht="14.4">
      <c r="L361" s="464"/>
      <c r="M361" s="129" t="str">
        <f t="shared" si="65"/>
        <v>end</v>
      </c>
      <c r="N361" s="161">
        <f t="shared" si="60"/>
        <v>2</v>
      </c>
      <c r="O361" s="160">
        <f t="shared" ref="O361:O424" ca="1" si="66">IF($M361="end",0,OFFSET($A$1,$M361-1,O$29,1,1))</f>
        <v>0</v>
      </c>
      <c r="P361" s="160">
        <f t="shared" ca="1" si="58"/>
        <v>0</v>
      </c>
      <c r="Q361" s="160">
        <f t="shared" ca="1" si="59"/>
        <v>0</v>
      </c>
      <c r="R361" s="160">
        <f t="shared" ca="1" si="59"/>
        <v>0</v>
      </c>
      <c r="S361" s="160">
        <f t="shared" ca="1" si="59"/>
        <v>0</v>
      </c>
      <c r="T361" s="160">
        <f t="shared" ca="1" si="57"/>
        <v>0</v>
      </c>
      <c r="U361" s="160">
        <f t="shared" ca="1" si="57"/>
        <v>0</v>
      </c>
      <c r="V361" s="163">
        <f t="shared" ca="1" si="61"/>
        <v>0</v>
      </c>
      <c r="W361" s="163">
        <f t="shared" ca="1" si="62"/>
        <v>0</v>
      </c>
      <c r="X361" s="163">
        <f t="shared" ca="1" si="63"/>
        <v>0</v>
      </c>
      <c r="Y361" s="163">
        <f t="shared" ca="1" si="64"/>
        <v>0</v>
      </c>
    </row>
    <row r="362" spans="12:25" ht="14.4">
      <c r="L362" s="464"/>
      <c r="M362" s="129" t="str">
        <f t="shared" si="65"/>
        <v>end</v>
      </c>
      <c r="N362" s="161">
        <f t="shared" si="60"/>
        <v>2</v>
      </c>
      <c r="O362" s="160">
        <f t="shared" ca="1" si="66"/>
        <v>0</v>
      </c>
      <c r="P362" s="160">
        <f t="shared" ca="1" si="58"/>
        <v>0</v>
      </c>
      <c r="Q362" s="160">
        <f t="shared" ca="1" si="59"/>
        <v>0</v>
      </c>
      <c r="R362" s="160">
        <f t="shared" ca="1" si="59"/>
        <v>0</v>
      </c>
      <c r="S362" s="160">
        <f t="shared" ca="1" si="59"/>
        <v>0</v>
      </c>
      <c r="T362" s="160">
        <f t="shared" ca="1" si="57"/>
        <v>0</v>
      </c>
      <c r="U362" s="160">
        <f t="shared" ca="1" si="57"/>
        <v>0</v>
      </c>
      <c r="V362" s="163">
        <f t="shared" ca="1" si="61"/>
        <v>0</v>
      </c>
      <c r="W362" s="163">
        <f t="shared" ca="1" si="62"/>
        <v>0</v>
      </c>
      <c r="X362" s="163">
        <f t="shared" ca="1" si="63"/>
        <v>0</v>
      </c>
      <c r="Y362" s="163">
        <f t="shared" ca="1" si="64"/>
        <v>0</v>
      </c>
    </row>
    <row r="363" spans="12:25" ht="14.4">
      <c r="L363" s="464"/>
      <c r="M363" s="129" t="str">
        <f t="shared" si="65"/>
        <v>end</v>
      </c>
      <c r="N363" s="161">
        <f t="shared" si="60"/>
        <v>2</v>
      </c>
      <c r="O363" s="160">
        <f t="shared" ca="1" si="66"/>
        <v>0</v>
      </c>
      <c r="P363" s="160">
        <f t="shared" ca="1" si="58"/>
        <v>0</v>
      </c>
      <c r="Q363" s="160">
        <f t="shared" ca="1" si="59"/>
        <v>0</v>
      </c>
      <c r="R363" s="160">
        <f t="shared" ca="1" si="59"/>
        <v>0</v>
      </c>
      <c r="S363" s="160">
        <f t="shared" ca="1" si="59"/>
        <v>0</v>
      </c>
      <c r="T363" s="160">
        <f t="shared" ca="1" si="57"/>
        <v>0</v>
      </c>
      <c r="U363" s="160">
        <f t="shared" ca="1" si="57"/>
        <v>0</v>
      </c>
      <c r="V363" s="163">
        <f t="shared" ca="1" si="61"/>
        <v>0</v>
      </c>
      <c r="W363" s="163">
        <f t="shared" ca="1" si="62"/>
        <v>0</v>
      </c>
      <c r="X363" s="163">
        <f t="shared" ca="1" si="63"/>
        <v>0</v>
      </c>
      <c r="Y363" s="163">
        <f t="shared" ca="1" si="64"/>
        <v>0</v>
      </c>
    </row>
    <row r="364" spans="12:25" ht="14.4">
      <c r="L364" s="464"/>
      <c r="M364" s="129" t="str">
        <f t="shared" si="65"/>
        <v>end</v>
      </c>
      <c r="N364" s="161">
        <f t="shared" si="60"/>
        <v>2</v>
      </c>
      <c r="O364" s="160">
        <f t="shared" ca="1" si="66"/>
        <v>0</v>
      </c>
      <c r="P364" s="160">
        <f t="shared" ca="1" si="58"/>
        <v>0</v>
      </c>
      <c r="Q364" s="160">
        <f t="shared" ca="1" si="59"/>
        <v>0</v>
      </c>
      <c r="R364" s="160">
        <f t="shared" ca="1" si="59"/>
        <v>0</v>
      </c>
      <c r="S364" s="160">
        <f t="shared" ca="1" si="59"/>
        <v>0</v>
      </c>
      <c r="T364" s="160">
        <f t="shared" ca="1" si="57"/>
        <v>0</v>
      </c>
      <c r="U364" s="160">
        <f t="shared" ca="1" si="57"/>
        <v>0</v>
      </c>
      <c r="V364" s="163">
        <f t="shared" ca="1" si="61"/>
        <v>0</v>
      </c>
      <c r="W364" s="163">
        <f t="shared" ca="1" si="62"/>
        <v>0</v>
      </c>
      <c r="X364" s="163">
        <f t="shared" ca="1" si="63"/>
        <v>0</v>
      </c>
      <c r="Y364" s="163">
        <f t="shared" ca="1" si="64"/>
        <v>0</v>
      </c>
    </row>
    <row r="365" spans="12:25" ht="14.4">
      <c r="L365" s="464"/>
      <c r="M365" s="129" t="str">
        <f t="shared" si="65"/>
        <v>end</v>
      </c>
      <c r="N365" s="161">
        <f t="shared" si="60"/>
        <v>2</v>
      </c>
      <c r="O365" s="160">
        <f t="shared" ca="1" si="66"/>
        <v>0</v>
      </c>
      <c r="P365" s="160">
        <f t="shared" ca="1" si="58"/>
        <v>0</v>
      </c>
      <c r="Q365" s="160">
        <f t="shared" ca="1" si="59"/>
        <v>0</v>
      </c>
      <c r="R365" s="160">
        <f t="shared" ca="1" si="59"/>
        <v>0</v>
      </c>
      <c r="S365" s="160">
        <f t="shared" ca="1" si="59"/>
        <v>0</v>
      </c>
      <c r="T365" s="160">
        <f t="shared" ca="1" si="57"/>
        <v>0</v>
      </c>
      <c r="U365" s="160">
        <f t="shared" ca="1" si="57"/>
        <v>0</v>
      </c>
      <c r="V365" s="163">
        <f t="shared" ca="1" si="61"/>
        <v>0</v>
      </c>
      <c r="W365" s="163">
        <f t="shared" ca="1" si="62"/>
        <v>0</v>
      </c>
      <c r="X365" s="163">
        <f t="shared" ca="1" si="63"/>
        <v>0</v>
      </c>
      <c r="Y365" s="163">
        <f t="shared" ca="1" si="64"/>
        <v>0</v>
      </c>
    </row>
    <row r="366" spans="12:25" ht="14.4">
      <c r="L366" s="464"/>
      <c r="M366" s="129" t="str">
        <f t="shared" si="65"/>
        <v>end</v>
      </c>
      <c r="N366" s="161">
        <f t="shared" si="60"/>
        <v>2</v>
      </c>
      <c r="O366" s="160">
        <f t="shared" ca="1" si="66"/>
        <v>0</v>
      </c>
      <c r="P366" s="160">
        <f t="shared" ca="1" si="58"/>
        <v>0</v>
      </c>
      <c r="Q366" s="160">
        <f t="shared" ca="1" si="59"/>
        <v>0</v>
      </c>
      <c r="R366" s="160">
        <f t="shared" ca="1" si="59"/>
        <v>0</v>
      </c>
      <c r="S366" s="160">
        <f t="shared" ca="1" si="59"/>
        <v>0</v>
      </c>
      <c r="T366" s="160">
        <f t="shared" ca="1" si="57"/>
        <v>0</v>
      </c>
      <c r="U366" s="160">
        <f t="shared" ca="1" si="57"/>
        <v>0</v>
      </c>
      <c r="V366" s="163">
        <f t="shared" ca="1" si="61"/>
        <v>0</v>
      </c>
      <c r="W366" s="163">
        <f t="shared" ca="1" si="62"/>
        <v>0</v>
      </c>
      <c r="X366" s="163">
        <f t="shared" ca="1" si="63"/>
        <v>0</v>
      </c>
      <c r="Y366" s="163">
        <f t="shared" ca="1" si="64"/>
        <v>0</v>
      </c>
    </row>
    <row r="367" spans="12:25" ht="14.4">
      <c r="L367" s="464"/>
      <c r="M367" s="129" t="str">
        <f t="shared" si="65"/>
        <v>end</v>
      </c>
      <c r="N367" s="161">
        <f t="shared" si="60"/>
        <v>2</v>
      </c>
      <c r="O367" s="160">
        <f t="shared" ca="1" si="66"/>
        <v>0</v>
      </c>
      <c r="P367" s="160">
        <f t="shared" ca="1" si="58"/>
        <v>0</v>
      </c>
      <c r="Q367" s="160">
        <f t="shared" ca="1" si="59"/>
        <v>0</v>
      </c>
      <c r="R367" s="160">
        <f t="shared" ca="1" si="59"/>
        <v>0</v>
      </c>
      <c r="S367" s="160">
        <f t="shared" ca="1" si="59"/>
        <v>0</v>
      </c>
      <c r="T367" s="160">
        <f t="shared" ca="1" si="57"/>
        <v>0</v>
      </c>
      <c r="U367" s="160">
        <f t="shared" ca="1" si="57"/>
        <v>0</v>
      </c>
      <c r="V367" s="163">
        <f t="shared" ca="1" si="61"/>
        <v>0</v>
      </c>
      <c r="W367" s="163">
        <f t="shared" ca="1" si="62"/>
        <v>0</v>
      </c>
      <c r="X367" s="163">
        <f t="shared" ca="1" si="63"/>
        <v>0</v>
      </c>
      <c r="Y367" s="163">
        <f t="shared" ca="1" si="64"/>
        <v>0</v>
      </c>
    </row>
    <row r="368" spans="12:25" ht="14.4">
      <c r="L368" s="464"/>
      <c r="M368" s="129" t="str">
        <f t="shared" si="65"/>
        <v>end</v>
      </c>
      <c r="N368" s="161">
        <f t="shared" si="60"/>
        <v>2</v>
      </c>
      <c r="O368" s="160">
        <f t="shared" ca="1" si="66"/>
        <v>0</v>
      </c>
      <c r="P368" s="160">
        <f t="shared" ca="1" si="58"/>
        <v>0</v>
      </c>
      <c r="Q368" s="160">
        <f t="shared" ca="1" si="59"/>
        <v>0</v>
      </c>
      <c r="R368" s="160">
        <f t="shared" ca="1" si="59"/>
        <v>0</v>
      </c>
      <c r="S368" s="160">
        <f t="shared" ca="1" si="59"/>
        <v>0</v>
      </c>
      <c r="T368" s="160">
        <f t="shared" ca="1" si="57"/>
        <v>0</v>
      </c>
      <c r="U368" s="160">
        <f t="shared" ca="1" si="57"/>
        <v>0</v>
      </c>
      <c r="V368" s="163">
        <f t="shared" ca="1" si="61"/>
        <v>0</v>
      </c>
      <c r="W368" s="163">
        <f t="shared" ca="1" si="62"/>
        <v>0</v>
      </c>
      <c r="X368" s="163">
        <f t="shared" ca="1" si="63"/>
        <v>0</v>
      </c>
      <c r="Y368" s="163">
        <f t="shared" ca="1" si="64"/>
        <v>0</v>
      </c>
    </row>
    <row r="369" spans="12:25" ht="14.4">
      <c r="L369" s="464"/>
      <c r="M369" s="129" t="str">
        <f t="shared" si="65"/>
        <v>end</v>
      </c>
      <c r="N369" s="161">
        <f t="shared" si="60"/>
        <v>2</v>
      </c>
      <c r="O369" s="160">
        <f t="shared" ca="1" si="66"/>
        <v>0</v>
      </c>
      <c r="P369" s="160">
        <f t="shared" ca="1" si="58"/>
        <v>0</v>
      </c>
      <c r="Q369" s="160">
        <f t="shared" ca="1" si="59"/>
        <v>0</v>
      </c>
      <c r="R369" s="160">
        <f t="shared" ca="1" si="59"/>
        <v>0</v>
      </c>
      <c r="S369" s="160">
        <f t="shared" ca="1" si="59"/>
        <v>0</v>
      </c>
      <c r="T369" s="160">
        <f t="shared" ca="1" si="59"/>
        <v>0</v>
      </c>
      <c r="U369" s="160">
        <f t="shared" ca="1" si="59"/>
        <v>0</v>
      </c>
      <c r="V369" s="163">
        <f t="shared" ca="1" si="61"/>
        <v>0</v>
      </c>
      <c r="W369" s="163">
        <f t="shared" ca="1" si="62"/>
        <v>0</v>
      </c>
      <c r="X369" s="163">
        <f t="shared" ca="1" si="63"/>
        <v>0</v>
      </c>
      <c r="Y369" s="163">
        <f t="shared" ca="1" si="64"/>
        <v>0</v>
      </c>
    </row>
    <row r="370" spans="12:25" ht="14.4">
      <c r="L370" s="464"/>
      <c r="M370" s="129" t="str">
        <f t="shared" si="65"/>
        <v>end</v>
      </c>
      <c r="N370" s="161">
        <f t="shared" si="60"/>
        <v>2</v>
      </c>
      <c r="O370" s="160">
        <f t="shared" ca="1" si="66"/>
        <v>0</v>
      </c>
      <c r="P370" s="160">
        <f t="shared" ref="P370:P433" ca="1" si="67">IF($M370="end",0,OFFSET($A$1,$M370-1,P$29,1,1))</f>
        <v>0</v>
      </c>
      <c r="Q370" s="160">
        <f t="shared" ref="Q370:T433" ca="1" si="68">IF($M370="end",0,OFFSET($A$1,$M370-1,Q$29,1,1))</f>
        <v>0</v>
      </c>
      <c r="R370" s="160">
        <f t="shared" ca="1" si="68"/>
        <v>0</v>
      </c>
      <c r="S370" s="160">
        <f t="shared" ca="1" si="68"/>
        <v>0</v>
      </c>
      <c r="T370" s="160">
        <f t="shared" ca="1" si="68"/>
        <v>0</v>
      </c>
      <c r="U370" s="160">
        <f t="shared" ref="U370:U433" ca="1" si="69">IF($M370="end",0,OFFSET($A$1,$M370-1,U$29,1,1))</f>
        <v>0</v>
      </c>
      <c r="V370" s="163">
        <f t="shared" ca="1" si="61"/>
        <v>0</v>
      </c>
      <c r="W370" s="163">
        <f t="shared" ca="1" si="62"/>
        <v>0</v>
      </c>
      <c r="X370" s="163">
        <f t="shared" ca="1" si="63"/>
        <v>0</v>
      </c>
      <c r="Y370" s="163">
        <f t="shared" ca="1" si="64"/>
        <v>0</v>
      </c>
    </row>
    <row r="371" spans="12:25" ht="14.4">
      <c r="L371" s="464"/>
      <c r="M371" s="129" t="str">
        <f t="shared" si="65"/>
        <v>end</v>
      </c>
      <c r="N371" s="161">
        <f t="shared" si="60"/>
        <v>2</v>
      </c>
      <c r="O371" s="160">
        <f t="shared" ca="1" si="66"/>
        <v>0</v>
      </c>
      <c r="P371" s="160">
        <f t="shared" ca="1" si="67"/>
        <v>0</v>
      </c>
      <c r="Q371" s="160">
        <f t="shared" ca="1" si="68"/>
        <v>0</v>
      </c>
      <c r="R371" s="160">
        <f t="shared" ca="1" si="68"/>
        <v>0</v>
      </c>
      <c r="S371" s="160">
        <f t="shared" ca="1" si="68"/>
        <v>0</v>
      </c>
      <c r="T371" s="160">
        <f t="shared" ca="1" si="68"/>
        <v>0</v>
      </c>
      <c r="U371" s="160">
        <f t="shared" ca="1" si="69"/>
        <v>0</v>
      </c>
      <c r="V371" s="163">
        <f t="shared" ca="1" si="61"/>
        <v>0</v>
      </c>
      <c r="W371" s="163">
        <f t="shared" ca="1" si="62"/>
        <v>0</v>
      </c>
      <c r="X371" s="163">
        <f t="shared" ca="1" si="63"/>
        <v>0</v>
      </c>
      <c r="Y371" s="163">
        <f t="shared" ca="1" si="64"/>
        <v>0</v>
      </c>
    </row>
    <row r="372" spans="12:25" ht="14.4">
      <c r="L372" s="464"/>
      <c r="M372" s="129" t="str">
        <f t="shared" si="65"/>
        <v>end</v>
      </c>
      <c r="N372" s="161">
        <f t="shared" si="60"/>
        <v>2</v>
      </c>
      <c r="O372" s="160">
        <f t="shared" ca="1" si="66"/>
        <v>0</v>
      </c>
      <c r="P372" s="160">
        <f t="shared" ca="1" si="67"/>
        <v>0</v>
      </c>
      <c r="Q372" s="160">
        <f t="shared" ca="1" si="68"/>
        <v>0</v>
      </c>
      <c r="R372" s="160">
        <f t="shared" ca="1" si="68"/>
        <v>0</v>
      </c>
      <c r="S372" s="160">
        <f t="shared" ca="1" si="68"/>
        <v>0</v>
      </c>
      <c r="T372" s="160">
        <f t="shared" ca="1" si="68"/>
        <v>0</v>
      </c>
      <c r="U372" s="160">
        <f t="shared" ca="1" si="69"/>
        <v>0</v>
      </c>
      <c r="V372" s="163">
        <f t="shared" ca="1" si="61"/>
        <v>0</v>
      </c>
      <c r="W372" s="163">
        <f t="shared" ca="1" si="62"/>
        <v>0</v>
      </c>
      <c r="X372" s="163">
        <f t="shared" ca="1" si="63"/>
        <v>0</v>
      </c>
      <c r="Y372" s="163">
        <f t="shared" ca="1" si="64"/>
        <v>0</v>
      </c>
    </row>
    <row r="373" spans="12:25" ht="14.4">
      <c r="L373" s="464"/>
      <c r="M373" s="129" t="str">
        <f t="shared" si="65"/>
        <v>end</v>
      </c>
      <c r="N373" s="161">
        <f t="shared" si="60"/>
        <v>2</v>
      </c>
      <c r="O373" s="160">
        <f t="shared" ca="1" si="66"/>
        <v>0</v>
      </c>
      <c r="P373" s="160">
        <f t="shared" ca="1" si="67"/>
        <v>0</v>
      </c>
      <c r="Q373" s="160">
        <f t="shared" ca="1" si="68"/>
        <v>0</v>
      </c>
      <c r="R373" s="160">
        <f t="shared" ca="1" si="68"/>
        <v>0</v>
      </c>
      <c r="S373" s="160">
        <f t="shared" ca="1" si="68"/>
        <v>0</v>
      </c>
      <c r="T373" s="160">
        <f t="shared" ca="1" si="68"/>
        <v>0</v>
      </c>
      <c r="U373" s="160">
        <f t="shared" ca="1" si="69"/>
        <v>0</v>
      </c>
      <c r="V373" s="163">
        <f t="shared" ca="1" si="61"/>
        <v>0</v>
      </c>
      <c r="W373" s="163">
        <f t="shared" ca="1" si="62"/>
        <v>0</v>
      </c>
      <c r="X373" s="163">
        <f t="shared" ca="1" si="63"/>
        <v>0</v>
      </c>
      <c r="Y373" s="163">
        <f t="shared" ca="1" si="64"/>
        <v>0</v>
      </c>
    </row>
    <row r="374" spans="12:25" ht="14.4">
      <c r="L374" s="464"/>
      <c r="M374" s="129" t="str">
        <f t="shared" si="65"/>
        <v>end</v>
      </c>
      <c r="N374" s="161">
        <f t="shared" si="60"/>
        <v>2</v>
      </c>
      <c r="O374" s="160">
        <f t="shared" ca="1" si="66"/>
        <v>0</v>
      </c>
      <c r="P374" s="160">
        <f t="shared" ca="1" si="67"/>
        <v>0</v>
      </c>
      <c r="Q374" s="160">
        <f t="shared" ca="1" si="68"/>
        <v>0</v>
      </c>
      <c r="R374" s="160">
        <f t="shared" ca="1" si="68"/>
        <v>0</v>
      </c>
      <c r="S374" s="160">
        <f t="shared" ca="1" si="68"/>
        <v>0</v>
      </c>
      <c r="T374" s="160">
        <f t="shared" ca="1" si="68"/>
        <v>0</v>
      </c>
      <c r="U374" s="160">
        <f t="shared" ca="1" si="69"/>
        <v>0</v>
      </c>
      <c r="V374" s="163">
        <f t="shared" ca="1" si="61"/>
        <v>0</v>
      </c>
      <c r="W374" s="163">
        <f t="shared" ca="1" si="62"/>
        <v>0</v>
      </c>
      <c r="X374" s="163">
        <f t="shared" ca="1" si="63"/>
        <v>0</v>
      </c>
      <c r="Y374" s="163">
        <f t="shared" ca="1" si="64"/>
        <v>0</v>
      </c>
    </row>
    <row r="375" spans="12:25" ht="14.4">
      <c r="L375" s="464"/>
      <c r="M375" s="129" t="str">
        <f t="shared" si="65"/>
        <v>end</v>
      </c>
      <c r="N375" s="161">
        <f t="shared" si="60"/>
        <v>2</v>
      </c>
      <c r="O375" s="160">
        <f t="shared" ca="1" si="66"/>
        <v>0</v>
      </c>
      <c r="P375" s="160">
        <f t="shared" ca="1" si="67"/>
        <v>0</v>
      </c>
      <c r="Q375" s="160">
        <f t="shared" ca="1" si="68"/>
        <v>0</v>
      </c>
      <c r="R375" s="160">
        <f t="shared" ca="1" si="68"/>
        <v>0</v>
      </c>
      <c r="S375" s="160">
        <f t="shared" ca="1" si="68"/>
        <v>0</v>
      </c>
      <c r="T375" s="160">
        <f t="shared" ca="1" si="68"/>
        <v>0</v>
      </c>
      <c r="U375" s="160">
        <f t="shared" ca="1" si="69"/>
        <v>0</v>
      </c>
      <c r="V375" s="163">
        <f t="shared" ca="1" si="61"/>
        <v>0</v>
      </c>
      <c r="W375" s="163">
        <f t="shared" ca="1" si="62"/>
        <v>0</v>
      </c>
      <c r="X375" s="163">
        <f t="shared" ca="1" si="63"/>
        <v>0</v>
      </c>
      <c r="Y375" s="163">
        <f t="shared" ca="1" si="64"/>
        <v>0</v>
      </c>
    </row>
    <row r="376" spans="12:25" ht="14.4">
      <c r="L376" s="464"/>
      <c r="M376" s="129" t="str">
        <f t="shared" si="65"/>
        <v>end</v>
      </c>
      <c r="N376" s="161">
        <f t="shared" si="60"/>
        <v>2</v>
      </c>
      <c r="O376" s="160">
        <f t="shared" ca="1" si="66"/>
        <v>0</v>
      </c>
      <c r="P376" s="160">
        <f t="shared" ca="1" si="67"/>
        <v>0</v>
      </c>
      <c r="Q376" s="160">
        <f t="shared" ca="1" si="68"/>
        <v>0</v>
      </c>
      <c r="R376" s="160">
        <f t="shared" ca="1" si="68"/>
        <v>0</v>
      </c>
      <c r="S376" s="160">
        <f t="shared" ca="1" si="68"/>
        <v>0</v>
      </c>
      <c r="T376" s="160">
        <f t="shared" ca="1" si="68"/>
        <v>0</v>
      </c>
      <c r="U376" s="160">
        <f t="shared" ca="1" si="69"/>
        <v>0</v>
      </c>
      <c r="V376" s="163">
        <f t="shared" ca="1" si="61"/>
        <v>0</v>
      </c>
      <c r="W376" s="163">
        <f t="shared" ca="1" si="62"/>
        <v>0</v>
      </c>
      <c r="X376" s="163">
        <f t="shared" ca="1" si="63"/>
        <v>0</v>
      </c>
      <c r="Y376" s="163">
        <f t="shared" ca="1" si="64"/>
        <v>0</v>
      </c>
    </row>
    <row r="377" spans="12:25" ht="14.4">
      <c r="L377" s="464"/>
      <c r="M377" s="129" t="str">
        <f t="shared" si="65"/>
        <v>end</v>
      </c>
      <c r="N377" s="161">
        <f t="shared" si="60"/>
        <v>2</v>
      </c>
      <c r="O377" s="160">
        <f t="shared" ca="1" si="66"/>
        <v>0</v>
      </c>
      <c r="P377" s="160">
        <f t="shared" ca="1" si="67"/>
        <v>0</v>
      </c>
      <c r="Q377" s="160">
        <f t="shared" ca="1" si="68"/>
        <v>0</v>
      </c>
      <c r="R377" s="160">
        <f t="shared" ca="1" si="68"/>
        <v>0</v>
      </c>
      <c r="S377" s="160">
        <f t="shared" ca="1" si="68"/>
        <v>0</v>
      </c>
      <c r="T377" s="160">
        <f t="shared" ca="1" si="68"/>
        <v>0</v>
      </c>
      <c r="U377" s="160">
        <f t="shared" ca="1" si="69"/>
        <v>0</v>
      </c>
      <c r="V377" s="163">
        <f t="shared" ca="1" si="61"/>
        <v>0</v>
      </c>
      <c r="W377" s="163">
        <f t="shared" ca="1" si="62"/>
        <v>0</v>
      </c>
      <c r="X377" s="163">
        <f t="shared" ca="1" si="63"/>
        <v>0</v>
      </c>
      <c r="Y377" s="163">
        <f t="shared" ca="1" si="64"/>
        <v>0</v>
      </c>
    </row>
    <row r="378" spans="12:25" ht="14.4">
      <c r="L378" s="464"/>
      <c r="M378" s="129" t="str">
        <f t="shared" si="65"/>
        <v>end</v>
      </c>
      <c r="N378" s="161">
        <f t="shared" si="60"/>
        <v>2</v>
      </c>
      <c r="O378" s="160">
        <f t="shared" ca="1" si="66"/>
        <v>0</v>
      </c>
      <c r="P378" s="160">
        <f t="shared" ca="1" si="67"/>
        <v>0</v>
      </c>
      <c r="Q378" s="160">
        <f t="shared" ca="1" si="68"/>
        <v>0</v>
      </c>
      <c r="R378" s="160">
        <f t="shared" ca="1" si="68"/>
        <v>0</v>
      </c>
      <c r="S378" s="160">
        <f t="shared" ca="1" si="68"/>
        <v>0</v>
      </c>
      <c r="T378" s="160">
        <f t="shared" ca="1" si="68"/>
        <v>0</v>
      </c>
      <c r="U378" s="160">
        <f t="shared" ca="1" si="69"/>
        <v>0</v>
      </c>
      <c r="V378" s="163">
        <f t="shared" ca="1" si="61"/>
        <v>0</v>
      </c>
      <c r="W378" s="163">
        <f t="shared" ca="1" si="62"/>
        <v>0</v>
      </c>
      <c r="X378" s="163">
        <f t="shared" ca="1" si="63"/>
        <v>0</v>
      </c>
      <c r="Y378" s="163">
        <f t="shared" ca="1" si="64"/>
        <v>0</v>
      </c>
    </row>
    <row r="379" spans="12:25" ht="14.4">
      <c r="L379" s="464"/>
      <c r="M379" s="129" t="str">
        <f t="shared" si="65"/>
        <v>end</v>
      </c>
      <c r="N379" s="161">
        <f t="shared" si="60"/>
        <v>2</v>
      </c>
      <c r="O379" s="160">
        <f t="shared" ca="1" si="66"/>
        <v>0</v>
      </c>
      <c r="P379" s="160">
        <f t="shared" ca="1" si="67"/>
        <v>0</v>
      </c>
      <c r="Q379" s="160">
        <f t="shared" ca="1" si="68"/>
        <v>0</v>
      </c>
      <c r="R379" s="160">
        <f t="shared" ca="1" si="68"/>
        <v>0</v>
      </c>
      <c r="S379" s="160">
        <f t="shared" ca="1" si="68"/>
        <v>0</v>
      </c>
      <c r="T379" s="160">
        <f t="shared" ca="1" si="68"/>
        <v>0</v>
      </c>
      <c r="U379" s="160">
        <f t="shared" ca="1" si="69"/>
        <v>0</v>
      </c>
      <c r="V379" s="163">
        <f t="shared" ca="1" si="61"/>
        <v>0</v>
      </c>
      <c r="W379" s="163">
        <f t="shared" ca="1" si="62"/>
        <v>0</v>
      </c>
      <c r="X379" s="163">
        <f t="shared" ca="1" si="63"/>
        <v>0</v>
      </c>
      <c r="Y379" s="163">
        <f t="shared" ca="1" si="64"/>
        <v>0</v>
      </c>
    </row>
    <row r="380" spans="12:25" ht="14.4">
      <c r="L380" s="464"/>
      <c r="M380" s="129" t="str">
        <f t="shared" si="65"/>
        <v>end</v>
      </c>
      <c r="N380" s="161">
        <f t="shared" si="60"/>
        <v>2</v>
      </c>
      <c r="O380" s="160">
        <f t="shared" ca="1" si="66"/>
        <v>0</v>
      </c>
      <c r="P380" s="160">
        <f t="shared" ca="1" si="67"/>
        <v>0</v>
      </c>
      <c r="Q380" s="160">
        <f t="shared" ca="1" si="68"/>
        <v>0</v>
      </c>
      <c r="R380" s="160">
        <f t="shared" ca="1" si="68"/>
        <v>0</v>
      </c>
      <c r="S380" s="160">
        <f t="shared" ca="1" si="68"/>
        <v>0</v>
      </c>
      <c r="T380" s="160">
        <f t="shared" ca="1" si="68"/>
        <v>0</v>
      </c>
      <c r="U380" s="160">
        <f t="shared" ca="1" si="69"/>
        <v>0</v>
      </c>
      <c r="V380" s="163">
        <f t="shared" ca="1" si="61"/>
        <v>0</v>
      </c>
      <c r="W380" s="163">
        <f t="shared" ca="1" si="62"/>
        <v>0</v>
      </c>
      <c r="X380" s="163">
        <f t="shared" ca="1" si="63"/>
        <v>0</v>
      </c>
      <c r="Y380" s="163">
        <f t="shared" ca="1" si="64"/>
        <v>0</v>
      </c>
    </row>
    <row r="381" spans="12:25" ht="14.4">
      <c r="L381" s="464"/>
      <c r="M381" s="129" t="str">
        <f t="shared" si="65"/>
        <v>end</v>
      </c>
      <c r="N381" s="161">
        <f t="shared" si="60"/>
        <v>2</v>
      </c>
      <c r="O381" s="160">
        <f t="shared" ca="1" si="66"/>
        <v>0</v>
      </c>
      <c r="P381" s="160">
        <f t="shared" ca="1" si="67"/>
        <v>0</v>
      </c>
      <c r="Q381" s="160">
        <f t="shared" ca="1" si="68"/>
        <v>0</v>
      </c>
      <c r="R381" s="160">
        <f t="shared" ca="1" si="68"/>
        <v>0</v>
      </c>
      <c r="S381" s="160">
        <f t="shared" ca="1" si="68"/>
        <v>0</v>
      </c>
      <c r="T381" s="160">
        <f t="shared" ca="1" si="68"/>
        <v>0</v>
      </c>
      <c r="U381" s="160">
        <f t="shared" ca="1" si="69"/>
        <v>0</v>
      </c>
      <c r="V381" s="163">
        <f t="shared" ca="1" si="61"/>
        <v>0</v>
      </c>
      <c r="W381" s="163">
        <f t="shared" ca="1" si="62"/>
        <v>0</v>
      </c>
      <c r="X381" s="163">
        <f t="shared" ca="1" si="63"/>
        <v>0</v>
      </c>
      <c r="Y381" s="163">
        <f t="shared" ca="1" si="64"/>
        <v>0</v>
      </c>
    </row>
    <row r="382" spans="12:25" ht="14.4">
      <c r="L382" s="464"/>
      <c r="M382" s="129" t="str">
        <f t="shared" si="65"/>
        <v>end</v>
      </c>
      <c r="N382" s="161">
        <f t="shared" si="60"/>
        <v>2</v>
      </c>
      <c r="O382" s="160">
        <f t="shared" ca="1" si="66"/>
        <v>0</v>
      </c>
      <c r="P382" s="160">
        <f t="shared" ca="1" si="67"/>
        <v>0</v>
      </c>
      <c r="Q382" s="160">
        <f t="shared" ca="1" si="68"/>
        <v>0</v>
      </c>
      <c r="R382" s="160">
        <f t="shared" ca="1" si="68"/>
        <v>0</v>
      </c>
      <c r="S382" s="160">
        <f t="shared" ca="1" si="68"/>
        <v>0</v>
      </c>
      <c r="T382" s="160">
        <f t="shared" ca="1" si="68"/>
        <v>0</v>
      </c>
      <c r="U382" s="160">
        <f t="shared" ca="1" si="69"/>
        <v>0</v>
      </c>
      <c r="V382" s="163">
        <f t="shared" ca="1" si="61"/>
        <v>0</v>
      </c>
      <c r="W382" s="163">
        <f t="shared" ca="1" si="62"/>
        <v>0</v>
      </c>
      <c r="X382" s="163">
        <f t="shared" ca="1" si="63"/>
        <v>0</v>
      </c>
      <c r="Y382" s="163">
        <f t="shared" ca="1" si="64"/>
        <v>0</v>
      </c>
    </row>
    <row r="383" spans="12:25" ht="14.4">
      <c r="L383" s="464"/>
      <c r="M383" s="129" t="str">
        <f t="shared" si="65"/>
        <v>end</v>
      </c>
      <c r="N383" s="161">
        <f t="shared" si="60"/>
        <v>2</v>
      </c>
      <c r="O383" s="160">
        <f t="shared" ca="1" si="66"/>
        <v>0</v>
      </c>
      <c r="P383" s="160">
        <f t="shared" ca="1" si="67"/>
        <v>0</v>
      </c>
      <c r="Q383" s="160">
        <f t="shared" ca="1" si="68"/>
        <v>0</v>
      </c>
      <c r="R383" s="160">
        <f t="shared" ca="1" si="68"/>
        <v>0</v>
      </c>
      <c r="S383" s="160">
        <f t="shared" ca="1" si="68"/>
        <v>0</v>
      </c>
      <c r="T383" s="160">
        <f t="shared" ca="1" si="68"/>
        <v>0</v>
      </c>
      <c r="U383" s="160">
        <f t="shared" ca="1" si="69"/>
        <v>0</v>
      </c>
      <c r="V383" s="163">
        <f t="shared" ca="1" si="61"/>
        <v>0</v>
      </c>
      <c r="W383" s="163">
        <f t="shared" ca="1" si="62"/>
        <v>0</v>
      </c>
      <c r="X383" s="163">
        <f t="shared" ca="1" si="63"/>
        <v>0</v>
      </c>
      <c r="Y383" s="163">
        <f t="shared" ca="1" si="64"/>
        <v>0</v>
      </c>
    </row>
    <row r="384" spans="12:25" ht="14.4">
      <c r="L384" s="464"/>
      <c r="M384" s="129" t="str">
        <f t="shared" si="65"/>
        <v>end</v>
      </c>
      <c r="N384" s="161">
        <f t="shared" si="60"/>
        <v>2</v>
      </c>
      <c r="O384" s="160">
        <f t="shared" ca="1" si="66"/>
        <v>0</v>
      </c>
      <c r="P384" s="160">
        <f t="shared" ca="1" si="67"/>
        <v>0</v>
      </c>
      <c r="Q384" s="160">
        <f t="shared" ca="1" si="68"/>
        <v>0</v>
      </c>
      <c r="R384" s="160">
        <f t="shared" ca="1" si="68"/>
        <v>0</v>
      </c>
      <c r="S384" s="160">
        <f t="shared" ca="1" si="68"/>
        <v>0</v>
      </c>
      <c r="T384" s="160">
        <f t="shared" ca="1" si="68"/>
        <v>0</v>
      </c>
      <c r="U384" s="160">
        <f t="shared" ca="1" si="69"/>
        <v>0</v>
      </c>
      <c r="V384" s="163">
        <f t="shared" ca="1" si="61"/>
        <v>0</v>
      </c>
      <c r="W384" s="163">
        <f t="shared" ca="1" si="62"/>
        <v>0</v>
      </c>
      <c r="X384" s="163">
        <f t="shared" ca="1" si="63"/>
        <v>0</v>
      </c>
      <c r="Y384" s="163">
        <f t="shared" ca="1" si="64"/>
        <v>0</v>
      </c>
    </row>
    <row r="385" spans="12:25" ht="14.4">
      <c r="L385" s="464"/>
      <c r="M385" s="129" t="str">
        <f t="shared" si="65"/>
        <v>end</v>
      </c>
      <c r="N385" s="161">
        <f t="shared" si="60"/>
        <v>2</v>
      </c>
      <c r="O385" s="160">
        <f t="shared" ca="1" si="66"/>
        <v>0</v>
      </c>
      <c r="P385" s="160">
        <f t="shared" ca="1" si="67"/>
        <v>0</v>
      </c>
      <c r="Q385" s="160">
        <f t="shared" ca="1" si="68"/>
        <v>0</v>
      </c>
      <c r="R385" s="160">
        <f t="shared" ca="1" si="68"/>
        <v>0</v>
      </c>
      <c r="S385" s="160">
        <f t="shared" ca="1" si="68"/>
        <v>0</v>
      </c>
      <c r="T385" s="160">
        <f t="shared" ca="1" si="68"/>
        <v>0</v>
      </c>
      <c r="U385" s="160">
        <f t="shared" ca="1" si="69"/>
        <v>0</v>
      </c>
      <c r="V385" s="163">
        <f t="shared" ca="1" si="61"/>
        <v>0</v>
      </c>
      <c r="W385" s="163">
        <f t="shared" ca="1" si="62"/>
        <v>0</v>
      </c>
      <c r="X385" s="163">
        <f t="shared" ca="1" si="63"/>
        <v>0</v>
      </c>
      <c r="Y385" s="163">
        <f t="shared" ca="1" si="64"/>
        <v>0</v>
      </c>
    </row>
    <row r="386" spans="12:25" ht="14.4">
      <c r="L386" s="464"/>
      <c r="M386" s="129" t="str">
        <f t="shared" si="65"/>
        <v>end</v>
      </c>
      <c r="N386" s="161">
        <f t="shared" si="60"/>
        <v>2</v>
      </c>
      <c r="O386" s="160">
        <f t="shared" ca="1" si="66"/>
        <v>0</v>
      </c>
      <c r="P386" s="160">
        <f t="shared" ca="1" si="67"/>
        <v>0</v>
      </c>
      <c r="Q386" s="160">
        <f t="shared" ca="1" si="68"/>
        <v>0</v>
      </c>
      <c r="R386" s="160">
        <f t="shared" ca="1" si="68"/>
        <v>0</v>
      </c>
      <c r="S386" s="160">
        <f t="shared" ca="1" si="68"/>
        <v>0</v>
      </c>
      <c r="T386" s="160">
        <f t="shared" ca="1" si="68"/>
        <v>0</v>
      </c>
      <c r="U386" s="160">
        <f t="shared" ca="1" si="69"/>
        <v>0</v>
      </c>
      <c r="V386" s="163">
        <f t="shared" ca="1" si="61"/>
        <v>0</v>
      </c>
      <c r="W386" s="163">
        <f t="shared" ca="1" si="62"/>
        <v>0</v>
      </c>
      <c r="X386" s="163">
        <f t="shared" ca="1" si="63"/>
        <v>0</v>
      </c>
      <c r="Y386" s="163">
        <f t="shared" ca="1" si="64"/>
        <v>0</v>
      </c>
    </row>
    <row r="387" spans="12:25" ht="14.4">
      <c r="L387" s="464"/>
      <c r="M387" s="129" t="str">
        <f t="shared" si="65"/>
        <v>end</v>
      </c>
      <c r="N387" s="161">
        <f t="shared" si="60"/>
        <v>2</v>
      </c>
      <c r="O387" s="160">
        <f t="shared" ca="1" si="66"/>
        <v>0</v>
      </c>
      <c r="P387" s="160">
        <f t="shared" ca="1" si="67"/>
        <v>0</v>
      </c>
      <c r="Q387" s="160">
        <f t="shared" ca="1" si="68"/>
        <v>0</v>
      </c>
      <c r="R387" s="160">
        <f t="shared" ca="1" si="68"/>
        <v>0</v>
      </c>
      <c r="S387" s="160">
        <f t="shared" ca="1" si="68"/>
        <v>0</v>
      </c>
      <c r="T387" s="160">
        <f t="shared" ca="1" si="68"/>
        <v>0</v>
      </c>
      <c r="U387" s="160">
        <f t="shared" ca="1" si="69"/>
        <v>0</v>
      </c>
      <c r="V387" s="163">
        <f t="shared" ca="1" si="61"/>
        <v>0</v>
      </c>
      <c r="W387" s="163">
        <f t="shared" ca="1" si="62"/>
        <v>0</v>
      </c>
      <c r="X387" s="163">
        <f t="shared" ca="1" si="63"/>
        <v>0</v>
      </c>
      <c r="Y387" s="163">
        <f t="shared" ca="1" si="64"/>
        <v>0</v>
      </c>
    </row>
    <row r="388" spans="12:25" ht="14.4">
      <c r="L388" s="464"/>
      <c r="M388" s="129" t="str">
        <f t="shared" si="65"/>
        <v>end</v>
      </c>
      <c r="N388" s="161">
        <f t="shared" si="60"/>
        <v>2</v>
      </c>
      <c r="O388" s="160">
        <f t="shared" ca="1" si="66"/>
        <v>0</v>
      </c>
      <c r="P388" s="160">
        <f t="shared" ca="1" si="67"/>
        <v>0</v>
      </c>
      <c r="Q388" s="160">
        <f t="shared" ca="1" si="68"/>
        <v>0</v>
      </c>
      <c r="R388" s="160">
        <f t="shared" ca="1" si="68"/>
        <v>0</v>
      </c>
      <c r="S388" s="160">
        <f t="shared" ca="1" si="68"/>
        <v>0</v>
      </c>
      <c r="T388" s="160">
        <f t="shared" ca="1" si="68"/>
        <v>0</v>
      </c>
      <c r="U388" s="160">
        <f t="shared" ca="1" si="69"/>
        <v>0</v>
      </c>
      <c r="V388" s="163">
        <f t="shared" ca="1" si="61"/>
        <v>0</v>
      </c>
      <c r="W388" s="163">
        <f t="shared" ca="1" si="62"/>
        <v>0</v>
      </c>
      <c r="X388" s="163">
        <f t="shared" ca="1" si="63"/>
        <v>0</v>
      </c>
      <c r="Y388" s="163">
        <f t="shared" ca="1" si="64"/>
        <v>0</v>
      </c>
    </row>
    <row r="389" spans="12:25" ht="14.4">
      <c r="L389" s="464"/>
      <c r="M389" s="129" t="str">
        <f t="shared" si="65"/>
        <v>end</v>
      </c>
      <c r="N389" s="161">
        <f t="shared" si="60"/>
        <v>2</v>
      </c>
      <c r="O389" s="160">
        <f t="shared" ca="1" si="66"/>
        <v>0</v>
      </c>
      <c r="P389" s="160">
        <f t="shared" ca="1" si="67"/>
        <v>0</v>
      </c>
      <c r="Q389" s="160">
        <f t="shared" ca="1" si="68"/>
        <v>0</v>
      </c>
      <c r="R389" s="160">
        <f t="shared" ca="1" si="68"/>
        <v>0</v>
      </c>
      <c r="S389" s="160">
        <f t="shared" ca="1" si="68"/>
        <v>0</v>
      </c>
      <c r="T389" s="160">
        <f t="shared" ca="1" si="68"/>
        <v>0</v>
      </c>
      <c r="U389" s="160">
        <f t="shared" ca="1" si="69"/>
        <v>0</v>
      </c>
      <c r="V389" s="163">
        <f t="shared" ca="1" si="61"/>
        <v>0</v>
      </c>
      <c r="W389" s="163">
        <f t="shared" ca="1" si="62"/>
        <v>0</v>
      </c>
      <c r="X389" s="163">
        <f t="shared" ca="1" si="63"/>
        <v>0</v>
      </c>
      <c r="Y389" s="163">
        <f t="shared" ca="1" si="64"/>
        <v>0</v>
      </c>
    </row>
    <row r="390" spans="12:25" ht="14.4">
      <c r="L390" s="464"/>
      <c r="M390" s="129" t="str">
        <f t="shared" si="65"/>
        <v>end</v>
      </c>
      <c r="N390" s="161">
        <f t="shared" si="60"/>
        <v>2</v>
      </c>
      <c r="O390" s="160">
        <f t="shared" ca="1" si="66"/>
        <v>0</v>
      </c>
      <c r="P390" s="160">
        <f t="shared" ca="1" si="67"/>
        <v>0</v>
      </c>
      <c r="Q390" s="160">
        <f t="shared" ca="1" si="68"/>
        <v>0</v>
      </c>
      <c r="R390" s="160">
        <f t="shared" ca="1" si="68"/>
        <v>0</v>
      </c>
      <c r="S390" s="160">
        <f t="shared" ca="1" si="68"/>
        <v>0</v>
      </c>
      <c r="T390" s="160">
        <f t="shared" ca="1" si="68"/>
        <v>0</v>
      </c>
      <c r="U390" s="160">
        <f t="shared" ca="1" si="69"/>
        <v>0</v>
      </c>
      <c r="V390" s="163">
        <f t="shared" ca="1" si="61"/>
        <v>0</v>
      </c>
      <c r="W390" s="163">
        <f t="shared" ca="1" si="62"/>
        <v>0</v>
      </c>
      <c r="X390" s="163">
        <f t="shared" ca="1" si="63"/>
        <v>0</v>
      </c>
      <c r="Y390" s="163">
        <f t="shared" ca="1" si="64"/>
        <v>0</v>
      </c>
    </row>
    <row r="391" spans="12:25" ht="14.4">
      <c r="L391" s="464"/>
      <c r="M391" s="129" t="str">
        <f t="shared" si="65"/>
        <v>end</v>
      </c>
      <c r="N391" s="161">
        <f t="shared" si="60"/>
        <v>2</v>
      </c>
      <c r="O391" s="160">
        <f t="shared" ca="1" si="66"/>
        <v>0</v>
      </c>
      <c r="P391" s="160">
        <f t="shared" ca="1" si="67"/>
        <v>0</v>
      </c>
      <c r="Q391" s="160">
        <f t="shared" ca="1" si="68"/>
        <v>0</v>
      </c>
      <c r="R391" s="160">
        <f t="shared" ca="1" si="68"/>
        <v>0</v>
      </c>
      <c r="S391" s="160">
        <f t="shared" ca="1" si="68"/>
        <v>0</v>
      </c>
      <c r="T391" s="160">
        <f t="shared" ca="1" si="68"/>
        <v>0</v>
      </c>
      <c r="U391" s="160">
        <f t="shared" ca="1" si="69"/>
        <v>0</v>
      </c>
      <c r="V391" s="163">
        <f t="shared" ca="1" si="61"/>
        <v>0</v>
      </c>
      <c r="W391" s="163">
        <f t="shared" ca="1" si="62"/>
        <v>0</v>
      </c>
      <c r="X391" s="163">
        <f t="shared" ca="1" si="63"/>
        <v>0</v>
      </c>
      <c r="Y391" s="163">
        <f t="shared" ca="1" si="64"/>
        <v>0</v>
      </c>
    </row>
    <row r="392" spans="12:25" ht="14.4">
      <c r="L392" s="464"/>
      <c r="M392" s="129" t="str">
        <f t="shared" si="65"/>
        <v>end</v>
      </c>
      <c r="N392" s="161">
        <f t="shared" si="60"/>
        <v>2</v>
      </c>
      <c r="O392" s="160">
        <f t="shared" ca="1" si="66"/>
        <v>0</v>
      </c>
      <c r="P392" s="160">
        <f t="shared" ca="1" si="67"/>
        <v>0</v>
      </c>
      <c r="Q392" s="160">
        <f t="shared" ca="1" si="68"/>
        <v>0</v>
      </c>
      <c r="R392" s="160">
        <f t="shared" ca="1" si="68"/>
        <v>0</v>
      </c>
      <c r="S392" s="160">
        <f t="shared" ca="1" si="68"/>
        <v>0</v>
      </c>
      <c r="T392" s="160">
        <f t="shared" ca="1" si="68"/>
        <v>0</v>
      </c>
      <c r="U392" s="160">
        <f t="shared" ca="1" si="69"/>
        <v>0</v>
      </c>
      <c r="V392" s="163">
        <f t="shared" ca="1" si="61"/>
        <v>0</v>
      </c>
      <c r="W392" s="163">
        <f t="shared" ca="1" si="62"/>
        <v>0</v>
      </c>
      <c r="X392" s="163">
        <f t="shared" ca="1" si="63"/>
        <v>0</v>
      </c>
      <c r="Y392" s="163">
        <f t="shared" ca="1" si="64"/>
        <v>0</v>
      </c>
    </row>
    <row r="393" spans="12:25" ht="14.4">
      <c r="L393" s="464"/>
      <c r="M393" s="129" t="str">
        <f t="shared" si="65"/>
        <v>end</v>
      </c>
      <c r="N393" s="161">
        <f t="shared" si="60"/>
        <v>2</v>
      </c>
      <c r="O393" s="160">
        <f t="shared" ca="1" si="66"/>
        <v>0</v>
      </c>
      <c r="P393" s="160">
        <f t="shared" ca="1" si="67"/>
        <v>0</v>
      </c>
      <c r="Q393" s="160">
        <f t="shared" ca="1" si="68"/>
        <v>0</v>
      </c>
      <c r="R393" s="160">
        <f t="shared" ca="1" si="68"/>
        <v>0</v>
      </c>
      <c r="S393" s="160">
        <f t="shared" ca="1" si="68"/>
        <v>0</v>
      </c>
      <c r="T393" s="160">
        <f t="shared" ca="1" si="68"/>
        <v>0</v>
      </c>
      <c r="U393" s="160">
        <f t="shared" ca="1" si="69"/>
        <v>0</v>
      </c>
      <c r="V393" s="163">
        <f t="shared" ca="1" si="61"/>
        <v>0</v>
      </c>
      <c r="W393" s="163">
        <f t="shared" ca="1" si="62"/>
        <v>0</v>
      </c>
      <c r="X393" s="163">
        <f t="shared" ca="1" si="63"/>
        <v>0</v>
      </c>
      <c r="Y393" s="163">
        <f t="shared" ca="1" si="64"/>
        <v>0</v>
      </c>
    </row>
    <row r="394" spans="12:25" ht="14.4">
      <c r="L394" s="464"/>
      <c r="M394" s="129" t="str">
        <f t="shared" si="65"/>
        <v>end</v>
      </c>
      <c r="N394" s="161">
        <f t="shared" si="60"/>
        <v>2</v>
      </c>
      <c r="O394" s="160">
        <f t="shared" ca="1" si="66"/>
        <v>0</v>
      </c>
      <c r="P394" s="160">
        <f t="shared" ca="1" si="67"/>
        <v>0</v>
      </c>
      <c r="Q394" s="160">
        <f t="shared" ca="1" si="68"/>
        <v>0</v>
      </c>
      <c r="R394" s="160">
        <f t="shared" ca="1" si="68"/>
        <v>0</v>
      </c>
      <c r="S394" s="160">
        <f t="shared" ca="1" si="68"/>
        <v>0</v>
      </c>
      <c r="T394" s="160">
        <f t="shared" ca="1" si="68"/>
        <v>0</v>
      </c>
      <c r="U394" s="160">
        <f t="shared" ca="1" si="69"/>
        <v>0</v>
      </c>
      <c r="V394" s="163">
        <f t="shared" ca="1" si="61"/>
        <v>0</v>
      </c>
      <c r="W394" s="163">
        <f t="shared" ca="1" si="62"/>
        <v>0</v>
      </c>
      <c r="X394" s="163">
        <f t="shared" ca="1" si="63"/>
        <v>0</v>
      </c>
      <c r="Y394" s="163">
        <f t="shared" ca="1" si="64"/>
        <v>0</v>
      </c>
    </row>
    <row r="395" spans="12:25" ht="14.4">
      <c r="L395" s="464"/>
      <c r="M395" s="129" t="str">
        <f t="shared" si="65"/>
        <v>end</v>
      </c>
      <c r="N395" s="161">
        <f t="shared" si="60"/>
        <v>2</v>
      </c>
      <c r="O395" s="160">
        <f t="shared" ca="1" si="66"/>
        <v>0</v>
      </c>
      <c r="P395" s="160">
        <f t="shared" ca="1" si="67"/>
        <v>0</v>
      </c>
      <c r="Q395" s="160">
        <f t="shared" ca="1" si="68"/>
        <v>0</v>
      </c>
      <c r="R395" s="160">
        <f t="shared" ca="1" si="68"/>
        <v>0</v>
      </c>
      <c r="S395" s="160">
        <f t="shared" ca="1" si="68"/>
        <v>0</v>
      </c>
      <c r="T395" s="160">
        <f t="shared" ca="1" si="68"/>
        <v>0</v>
      </c>
      <c r="U395" s="160">
        <f t="shared" ca="1" si="69"/>
        <v>0</v>
      </c>
      <c r="V395" s="163">
        <f t="shared" ca="1" si="61"/>
        <v>0</v>
      </c>
      <c r="W395" s="163">
        <f t="shared" ca="1" si="62"/>
        <v>0</v>
      </c>
      <c r="X395" s="163">
        <f t="shared" ca="1" si="63"/>
        <v>0</v>
      </c>
      <c r="Y395" s="163">
        <f t="shared" ca="1" si="64"/>
        <v>0</v>
      </c>
    </row>
    <row r="396" spans="12:25" ht="14.4">
      <c r="L396" s="464"/>
      <c r="M396" s="129" t="str">
        <f t="shared" si="65"/>
        <v>end</v>
      </c>
      <c r="N396" s="161">
        <f t="shared" si="60"/>
        <v>2</v>
      </c>
      <c r="O396" s="160">
        <f t="shared" ca="1" si="66"/>
        <v>0</v>
      </c>
      <c r="P396" s="160">
        <f t="shared" ca="1" si="67"/>
        <v>0</v>
      </c>
      <c r="Q396" s="160">
        <f t="shared" ca="1" si="68"/>
        <v>0</v>
      </c>
      <c r="R396" s="160">
        <f t="shared" ca="1" si="68"/>
        <v>0</v>
      </c>
      <c r="S396" s="160">
        <f t="shared" ca="1" si="68"/>
        <v>0</v>
      </c>
      <c r="T396" s="160">
        <f t="shared" ca="1" si="68"/>
        <v>0</v>
      </c>
      <c r="U396" s="160">
        <f t="shared" ca="1" si="69"/>
        <v>0</v>
      </c>
      <c r="V396" s="163">
        <f t="shared" ca="1" si="61"/>
        <v>0</v>
      </c>
      <c r="W396" s="163">
        <f t="shared" ca="1" si="62"/>
        <v>0</v>
      </c>
      <c r="X396" s="163">
        <f t="shared" ca="1" si="63"/>
        <v>0</v>
      </c>
      <c r="Y396" s="163">
        <f t="shared" ca="1" si="64"/>
        <v>0</v>
      </c>
    </row>
    <row r="397" spans="12:25" ht="14.4">
      <c r="L397" s="464"/>
      <c r="M397" s="129" t="str">
        <f t="shared" si="65"/>
        <v>end</v>
      </c>
      <c r="N397" s="161">
        <f t="shared" si="60"/>
        <v>2</v>
      </c>
      <c r="O397" s="160">
        <f t="shared" ca="1" si="66"/>
        <v>0</v>
      </c>
      <c r="P397" s="160">
        <f t="shared" ca="1" si="67"/>
        <v>0</v>
      </c>
      <c r="Q397" s="160">
        <f t="shared" ca="1" si="68"/>
        <v>0</v>
      </c>
      <c r="R397" s="160">
        <f t="shared" ca="1" si="68"/>
        <v>0</v>
      </c>
      <c r="S397" s="160">
        <f t="shared" ca="1" si="68"/>
        <v>0</v>
      </c>
      <c r="T397" s="160">
        <f t="shared" ca="1" si="68"/>
        <v>0</v>
      </c>
      <c r="U397" s="160">
        <f t="shared" ca="1" si="69"/>
        <v>0</v>
      </c>
      <c r="V397" s="163">
        <f t="shared" ca="1" si="61"/>
        <v>0</v>
      </c>
      <c r="W397" s="163">
        <f t="shared" ca="1" si="62"/>
        <v>0</v>
      </c>
      <c r="X397" s="163">
        <f t="shared" ca="1" si="63"/>
        <v>0</v>
      </c>
      <c r="Y397" s="163">
        <f t="shared" ca="1" si="64"/>
        <v>0</v>
      </c>
    </row>
    <row r="398" spans="12:25" ht="14.4">
      <c r="L398" s="464"/>
      <c r="M398" s="129" t="str">
        <f t="shared" si="65"/>
        <v>end</v>
      </c>
      <c r="N398" s="161">
        <f t="shared" si="60"/>
        <v>2</v>
      </c>
      <c r="O398" s="160">
        <f t="shared" ca="1" si="66"/>
        <v>0</v>
      </c>
      <c r="P398" s="160">
        <f t="shared" ca="1" si="67"/>
        <v>0</v>
      </c>
      <c r="Q398" s="160">
        <f t="shared" ca="1" si="68"/>
        <v>0</v>
      </c>
      <c r="R398" s="160">
        <f t="shared" ca="1" si="68"/>
        <v>0</v>
      </c>
      <c r="S398" s="160">
        <f t="shared" ca="1" si="68"/>
        <v>0</v>
      </c>
      <c r="T398" s="160">
        <f t="shared" ca="1" si="68"/>
        <v>0</v>
      </c>
      <c r="U398" s="160">
        <f t="shared" ca="1" si="69"/>
        <v>0</v>
      </c>
      <c r="V398" s="163">
        <f t="shared" ca="1" si="61"/>
        <v>0</v>
      </c>
      <c r="W398" s="163">
        <f t="shared" ca="1" si="62"/>
        <v>0</v>
      </c>
      <c r="X398" s="163">
        <f t="shared" ca="1" si="63"/>
        <v>0</v>
      </c>
      <c r="Y398" s="163">
        <f t="shared" ca="1" si="64"/>
        <v>0</v>
      </c>
    </row>
    <row r="399" spans="12:25" ht="14.4">
      <c r="L399" s="464"/>
      <c r="M399" s="129" t="str">
        <f t="shared" si="65"/>
        <v>end</v>
      </c>
      <c r="N399" s="161">
        <f t="shared" si="60"/>
        <v>2</v>
      </c>
      <c r="O399" s="160">
        <f t="shared" ca="1" si="66"/>
        <v>0</v>
      </c>
      <c r="P399" s="160">
        <f t="shared" ca="1" si="67"/>
        <v>0</v>
      </c>
      <c r="Q399" s="160">
        <f t="shared" ca="1" si="68"/>
        <v>0</v>
      </c>
      <c r="R399" s="160">
        <f t="shared" ca="1" si="68"/>
        <v>0</v>
      </c>
      <c r="S399" s="160">
        <f t="shared" ca="1" si="68"/>
        <v>0</v>
      </c>
      <c r="T399" s="160">
        <f t="shared" ca="1" si="68"/>
        <v>0</v>
      </c>
      <c r="U399" s="160">
        <f t="shared" ca="1" si="69"/>
        <v>0</v>
      </c>
      <c r="V399" s="163">
        <f t="shared" ca="1" si="61"/>
        <v>0</v>
      </c>
      <c r="W399" s="163">
        <f t="shared" ca="1" si="62"/>
        <v>0</v>
      </c>
      <c r="X399" s="163">
        <f t="shared" ca="1" si="63"/>
        <v>0</v>
      </c>
      <c r="Y399" s="163">
        <f t="shared" ca="1" si="64"/>
        <v>0</v>
      </c>
    </row>
    <row r="400" spans="12:25" ht="14.4">
      <c r="L400" s="464"/>
      <c r="M400" s="129" t="str">
        <f t="shared" si="65"/>
        <v>end</v>
      </c>
      <c r="N400" s="161">
        <f t="shared" si="60"/>
        <v>2</v>
      </c>
      <c r="O400" s="160">
        <f t="shared" ca="1" si="66"/>
        <v>0</v>
      </c>
      <c r="P400" s="160">
        <f t="shared" ca="1" si="67"/>
        <v>0</v>
      </c>
      <c r="Q400" s="160">
        <f t="shared" ca="1" si="68"/>
        <v>0</v>
      </c>
      <c r="R400" s="160">
        <f t="shared" ca="1" si="68"/>
        <v>0</v>
      </c>
      <c r="S400" s="160">
        <f t="shared" ca="1" si="68"/>
        <v>0</v>
      </c>
      <c r="T400" s="160">
        <f t="shared" ca="1" si="68"/>
        <v>0</v>
      </c>
      <c r="U400" s="160">
        <f t="shared" ca="1" si="69"/>
        <v>0</v>
      </c>
      <c r="V400" s="163">
        <f t="shared" ca="1" si="61"/>
        <v>0</v>
      </c>
      <c r="W400" s="163">
        <f t="shared" ca="1" si="62"/>
        <v>0</v>
      </c>
      <c r="X400" s="163">
        <f t="shared" ca="1" si="63"/>
        <v>0</v>
      </c>
      <c r="Y400" s="163">
        <f t="shared" ca="1" si="64"/>
        <v>0</v>
      </c>
    </row>
    <row r="401" spans="12:25" ht="14.4">
      <c r="L401" s="464"/>
      <c r="M401" s="129" t="str">
        <f t="shared" si="65"/>
        <v>end</v>
      </c>
      <c r="N401" s="161">
        <f t="shared" si="60"/>
        <v>2</v>
      </c>
      <c r="O401" s="160">
        <f t="shared" ca="1" si="66"/>
        <v>0</v>
      </c>
      <c r="P401" s="160">
        <f t="shared" ca="1" si="67"/>
        <v>0</v>
      </c>
      <c r="Q401" s="160">
        <f t="shared" ca="1" si="68"/>
        <v>0</v>
      </c>
      <c r="R401" s="160">
        <f t="shared" ca="1" si="68"/>
        <v>0</v>
      </c>
      <c r="S401" s="160">
        <f t="shared" ca="1" si="68"/>
        <v>0</v>
      </c>
      <c r="T401" s="160">
        <f t="shared" ca="1" si="68"/>
        <v>0</v>
      </c>
      <c r="U401" s="160">
        <f t="shared" ca="1" si="69"/>
        <v>0</v>
      </c>
      <c r="V401" s="163">
        <f t="shared" ca="1" si="61"/>
        <v>0</v>
      </c>
      <c r="W401" s="163">
        <f t="shared" ca="1" si="62"/>
        <v>0</v>
      </c>
      <c r="X401" s="163">
        <f t="shared" ca="1" si="63"/>
        <v>0</v>
      </c>
      <c r="Y401" s="163">
        <f t="shared" ca="1" si="64"/>
        <v>0</v>
      </c>
    </row>
    <row r="402" spans="12:25" ht="14.4">
      <c r="L402" s="464"/>
      <c r="M402" s="129" t="str">
        <f t="shared" si="65"/>
        <v>end</v>
      </c>
      <c r="N402" s="161">
        <f t="shared" ref="N402:N465" si="70">N401</f>
        <v>2</v>
      </c>
      <c r="O402" s="160">
        <f t="shared" ca="1" si="66"/>
        <v>0</v>
      </c>
      <c r="P402" s="160">
        <f t="shared" ca="1" si="67"/>
        <v>0</v>
      </c>
      <c r="Q402" s="160">
        <f t="shared" ca="1" si="68"/>
        <v>0</v>
      </c>
      <c r="R402" s="160">
        <f t="shared" ca="1" si="68"/>
        <v>0</v>
      </c>
      <c r="S402" s="160">
        <f t="shared" ca="1" si="68"/>
        <v>0</v>
      </c>
      <c r="T402" s="160">
        <f t="shared" ca="1" si="68"/>
        <v>0</v>
      </c>
      <c r="U402" s="160">
        <f t="shared" ca="1" si="69"/>
        <v>0</v>
      </c>
      <c r="V402" s="163">
        <f t="shared" ca="1" si="61"/>
        <v>0</v>
      </c>
      <c r="W402" s="163">
        <f t="shared" ca="1" si="62"/>
        <v>0</v>
      </c>
      <c r="X402" s="163">
        <f t="shared" ca="1" si="63"/>
        <v>0</v>
      </c>
      <c r="Y402" s="163">
        <f t="shared" ca="1" si="64"/>
        <v>0</v>
      </c>
    </row>
    <row r="403" spans="12:25" ht="14.4">
      <c r="L403" s="464"/>
      <c r="M403" s="129" t="str">
        <f t="shared" si="65"/>
        <v>end</v>
      </c>
      <c r="N403" s="161">
        <f t="shared" si="70"/>
        <v>2</v>
      </c>
      <c r="O403" s="160">
        <f t="shared" ca="1" si="66"/>
        <v>0</v>
      </c>
      <c r="P403" s="160">
        <f t="shared" ca="1" si="67"/>
        <v>0</v>
      </c>
      <c r="Q403" s="160">
        <f t="shared" ca="1" si="68"/>
        <v>0</v>
      </c>
      <c r="R403" s="160">
        <f t="shared" ca="1" si="68"/>
        <v>0</v>
      </c>
      <c r="S403" s="160">
        <f t="shared" ca="1" si="68"/>
        <v>0</v>
      </c>
      <c r="T403" s="160">
        <f t="shared" ca="1" si="68"/>
        <v>0</v>
      </c>
      <c r="U403" s="160">
        <f t="shared" ca="1" si="69"/>
        <v>0</v>
      </c>
      <c r="V403" s="163">
        <f t="shared" ca="1" si="61"/>
        <v>0</v>
      </c>
      <c r="W403" s="163">
        <f t="shared" ca="1" si="62"/>
        <v>0</v>
      </c>
      <c r="X403" s="163">
        <f t="shared" ca="1" si="63"/>
        <v>0</v>
      </c>
      <c r="Y403" s="163">
        <f t="shared" ca="1" si="64"/>
        <v>0</v>
      </c>
    </row>
    <row r="404" spans="12:25" ht="14.4">
      <c r="L404" s="464"/>
      <c r="M404" s="129" t="str">
        <f t="shared" si="65"/>
        <v>end</v>
      </c>
      <c r="N404" s="161">
        <f t="shared" si="70"/>
        <v>2</v>
      </c>
      <c r="O404" s="160">
        <f t="shared" ca="1" si="66"/>
        <v>0</v>
      </c>
      <c r="P404" s="160">
        <f t="shared" ca="1" si="67"/>
        <v>0</v>
      </c>
      <c r="Q404" s="160">
        <f t="shared" ca="1" si="68"/>
        <v>0</v>
      </c>
      <c r="R404" s="160">
        <f t="shared" ca="1" si="68"/>
        <v>0</v>
      </c>
      <c r="S404" s="160">
        <f t="shared" ca="1" si="68"/>
        <v>0</v>
      </c>
      <c r="T404" s="160">
        <f t="shared" ca="1" si="68"/>
        <v>0</v>
      </c>
      <c r="U404" s="160">
        <f t="shared" ca="1" si="69"/>
        <v>0</v>
      </c>
      <c r="V404" s="163">
        <f t="shared" ca="1" si="61"/>
        <v>0</v>
      </c>
      <c r="W404" s="163">
        <f t="shared" ca="1" si="62"/>
        <v>0</v>
      </c>
      <c r="X404" s="163">
        <f t="shared" ca="1" si="63"/>
        <v>0</v>
      </c>
      <c r="Y404" s="163">
        <f t="shared" ca="1" si="64"/>
        <v>0</v>
      </c>
    </row>
    <row r="405" spans="12:25" ht="14.4">
      <c r="L405" s="464"/>
      <c r="M405" s="129" t="str">
        <f t="shared" si="65"/>
        <v>end</v>
      </c>
      <c r="N405" s="161">
        <f t="shared" si="70"/>
        <v>2</v>
      </c>
      <c r="O405" s="160">
        <f t="shared" ca="1" si="66"/>
        <v>0</v>
      </c>
      <c r="P405" s="160">
        <f t="shared" ca="1" si="67"/>
        <v>0</v>
      </c>
      <c r="Q405" s="160">
        <f t="shared" ca="1" si="68"/>
        <v>0</v>
      </c>
      <c r="R405" s="160">
        <f t="shared" ca="1" si="68"/>
        <v>0</v>
      </c>
      <c r="S405" s="160">
        <f t="shared" ca="1" si="68"/>
        <v>0</v>
      </c>
      <c r="T405" s="160">
        <f t="shared" ca="1" si="68"/>
        <v>0</v>
      </c>
      <c r="U405" s="160">
        <f t="shared" ca="1" si="69"/>
        <v>0</v>
      </c>
      <c r="V405" s="163">
        <f t="shared" ca="1" si="61"/>
        <v>0</v>
      </c>
      <c r="W405" s="163">
        <f t="shared" ca="1" si="62"/>
        <v>0</v>
      </c>
      <c r="X405" s="163">
        <f t="shared" ca="1" si="63"/>
        <v>0</v>
      </c>
      <c r="Y405" s="163">
        <f t="shared" ca="1" si="64"/>
        <v>0</v>
      </c>
    </row>
    <row r="406" spans="12:25" ht="14.4">
      <c r="L406" s="464"/>
      <c r="M406" s="129" t="str">
        <f t="shared" si="65"/>
        <v>end</v>
      </c>
      <c r="N406" s="161">
        <f t="shared" si="70"/>
        <v>2</v>
      </c>
      <c r="O406" s="160">
        <f t="shared" ca="1" si="66"/>
        <v>0</v>
      </c>
      <c r="P406" s="160">
        <f t="shared" ca="1" si="67"/>
        <v>0</v>
      </c>
      <c r="Q406" s="160">
        <f t="shared" ca="1" si="68"/>
        <v>0</v>
      </c>
      <c r="R406" s="160">
        <f t="shared" ca="1" si="68"/>
        <v>0</v>
      </c>
      <c r="S406" s="160">
        <f t="shared" ca="1" si="68"/>
        <v>0</v>
      </c>
      <c r="T406" s="160">
        <f t="shared" ca="1" si="68"/>
        <v>0</v>
      </c>
      <c r="U406" s="160">
        <f t="shared" ca="1" si="69"/>
        <v>0</v>
      </c>
      <c r="V406" s="163">
        <f t="shared" ca="1" si="61"/>
        <v>0</v>
      </c>
      <c r="W406" s="163">
        <f t="shared" ca="1" si="62"/>
        <v>0</v>
      </c>
      <c r="X406" s="163">
        <f t="shared" ca="1" si="63"/>
        <v>0</v>
      </c>
      <c r="Y406" s="163">
        <f t="shared" ca="1" si="64"/>
        <v>0</v>
      </c>
    </row>
    <row r="407" spans="12:25" ht="14.4">
      <c r="L407" s="464"/>
      <c r="M407" s="129" t="str">
        <f t="shared" si="65"/>
        <v>end</v>
      </c>
      <c r="N407" s="161">
        <f t="shared" si="70"/>
        <v>2</v>
      </c>
      <c r="O407" s="160">
        <f t="shared" ca="1" si="66"/>
        <v>0</v>
      </c>
      <c r="P407" s="160">
        <f t="shared" ca="1" si="67"/>
        <v>0</v>
      </c>
      <c r="Q407" s="160">
        <f t="shared" ca="1" si="68"/>
        <v>0</v>
      </c>
      <c r="R407" s="160">
        <f t="shared" ca="1" si="68"/>
        <v>0</v>
      </c>
      <c r="S407" s="160">
        <f t="shared" ca="1" si="68"/>
        <v>0</v>
      </c>
      <c r="T407" s="160">
        <f t="shared" ca="1" si="68"/>
        <v>0</v>
      </c>
      <c r="U407" s="160">
        <f t="shared" ca="1" si="69"/>
        <v>0</v>
      </c>
      <c r="V407" s="163">
        <f t="shared" ca="1" si="61"/>
        <v>0</v>
      </c>
      <c r="W407" s="163">
        <f t="shared" ca="1" si="62"/>
        <v>0</v>
      </c>
      <c r="X407" s="163">
        <f t="shared" ca="1" si="63"/>
        <v>0</v>
      </c>
      <c r="Y407" s="163">
        <f t="shared" ca="1" si="64"/>
        <v>0</v>
      </c>
    </row>
    <row r="408" spans="12:25" ht="14.4">
      <c r="L408" s="464"/>
      <c r="M408" s="129" t="str">
        <f t="shared" si="65"/>
        <v>end</v>
      </c>
      <c r="N408" s="161">
        <f t="shared" si="70"/>
        <v>2</v>
      </c>
      <c r="O408" s="160">
        <f t="shared" ca="1" si="66"/>
        <v>0</v>
      </c>
      <c r="P408" s="160">
        <f t="shared" ca="1" si="67"/>
        <v>0</v>
      </c>
      <c r="Q408" s="160">
        <f t="shared" ca="1" si="68"/>
        <v>0</v>
      </c>
      <c r="R408" s="160">
        <f t="shared" ca="1" si="68"/>
        <v>0</v>
      </c>
      <c r="S408" s="160">
        <f t="shared" ca="1" si="68"/>
        <v>0</v>
      </c>
      <c r="T408" s="160">
        <f t="shared" ca="1" si="68"/>
        <v>0</v>
      </c>
      <c r="U408" s="160">
        <f t="shared" ca="1" si="69"/>
        <v>0</v>
      </c>
      <c r="V408" s="163">
        <f t="shared" ca="1" si="61"/>
        <v>0</v>
      </c>
      <c r="W408" s="163">
        <f t="shared" ca="1" si="62"/>
        <v>0</v>
      </c>
      <c r="X408" s="163">
        <f t="shared" ca="1" si="63"/>
        <v>0</v>
      </c>
      <c r="Y408" s="163">
        <f t="shared" ca="1" si="64"/>
        <v>0</v>
      </c>
    </row>
    <row r="409" spans="12:25" ht="14.4">
      <c r="L409" s="464"/>
      <c r="M409" s="129" t="str">
        <f t="shared" si="65"/>
        <v>end</v>
      </c>
      <c r="N409" s="161">
        <f t="shared" si="70"/>
        <v>2</v>
      </c>
      <c r="O409" s="160">
        <f t="shared" ca="1" si="66"/>
        <v>0</v>
      </c>
      <c r="P409" s="160">
        <f t="shared" ca="1" si="67"/>
        <v>0</v>
      </c>
      <c r="Q409" s="160">
        <f t="shared" ca="1" si="68"/>
        <v>0</v>
      </c>
      <c r="R409" s="160">
        <f t="shared" ca="1" si="68"/>
        <v>0</v>
      </c>
      <c r="S409" s="160">
        <f t="shared" ca="1" si="68"/>
        <v>0</v>
      </c>
      <c r="T409" s="160">
        <f t="shared" ca="1" si="68"/>
        <v>0</v>
      </c>
      <c r="U409" s="160">
        <f t="shared" ca="1" si="69"/>
        <v>0</v>
      </c>
      <c r="V409" s="163">
        <f t="shared" ca="1" si="61"/>
        <v>0</v>
      </c>
      <c r="W409" s="163">
        <f t="shared" ca="1" si="62"/>
        <v>0</v>
      </c>
      <c r="X409" s="163">
        <f t="shared" ca="1" si="63"/>
        <v>0</v>
      </c>
      <c r="Y409" s="163">
        <f t="shared" ca="1" si="64"/>
        <v>0</v>
      </c>
    </row>
    <row r="410" spans="12:25" ht="14.4">
      <c r="L410" s="464"/>
      <c r="M410" s="129" t="str">
        <f t="shared" si="65"/>
        <v>end</v>
      </c>
      <c r="N410" s="161">
        <f t="shared" si="70"/>
        <v>2</v>
      </c>
      <c r="O410" s="160">
        <f t="shared" ca="1" si="66"/>
        <v>0</v>
      </c>
      <c r="P410" s="160">
        <f t="shared" ca="1" si="67"/>
        <v>0</v>
      </c>
      <c r="Q410" s="160">
        <f t="shared" ca="1" si="68"/>
        <v>0</v>
      </c>
      <c r="R410" s="160">
        <f t="shared" ca="1" si="68"/>
        <v>0</v>
      </c>
      <c r="S410" s="160">
        <f t="shared" ca="1" si="68"/>
        <v>0</v>
      </c>
      <c r="T410" s="160">
        <f t="shared" ca="1" si="68"/>
        <v>0</v>
      </c>
      <c r="U410" s="160">
        <f t="shared" ca="1" si="69"/>
        <v>0</v>
      </c>
      <c r="V410" s="163">
        <f t="shared" ca="1" si="61"/>
        <v>0</v>
      </c>
      <c r="W410" s="163">
        <f t="shared" ca="1" si="62"/>
        <v>0</v>
      </c>
      <c r="X410" s="163">
        <f t="shared" ca="1" si="63"/>
        <v>0</v>
      </c>
      <c r="Y410" s="163">
        <f t="shared" ca="1" si="64"/>
        <v>0</v>
      </c>
    </row>
    <row r="411" spans="12:25" ht="14.4">
      <c r="L411" s="464"/>
      <c r="M411" s="129" t="str">
        <f t="shared" si="65"/>
        <v>end</v>
      </c>
      <c r="N411" s="161">
        <f t="shared" si="70"/>
        <v>2</v>
      </c>
      <c r="O411" s="160">
        <f t="shared" ca="1" si="66"/>
        <v>0</v>
      </c>
      <c r="P411" s="160">
        <f t="shared" ca="1" si="67"/>
        <v>0</v>
      </c>
      <c r="Q411" s="160">
        <f t="shared" ca="1" si="68"/>
        <v>0</v>
      </c>
      <c r="R411" s="160">
        <f t="shared" ca="1" si="68"/>
        <v>0</v>
      </c>
      <c r="S411" s="160">
        <f t="shared" ca="1" si="68"/>
        <v>0</v>
      </c>
      <c r="T411" s="160">
        <f t="shared" ca="1" si="68"/>
        <v>0</v>
      </c>
      <c r="U411" s="160">
        <f t="shared" ca="1" si="69"/>
        <v>0</v>
      </c>
      <c r="V411" s="163">
        <f t="shared" ca="1" si="61"/>
        <v>0</v>
      </c>
      <c r="W411" s="163">
        <f t="shared" ca="1" si="62"/>
        <v>0</v>
      </c>
      <c r="X411" s="163">
        <f t="shared" ca="1" si="63"/>
        <v>0</v>
      </c>
      <c r="Y411" s="163">
        <f t="shared" ca="1" si="64"/>
        <v>0</v>
      </c>
    </row>
    <row r="412" spans="12:25" ht="14.4">
      <c r="L412" s="464"/>
      <c r="M412" s="129" t="str">
        <f t="shared" si="65"/>
        <v>end</v>
      </c>
      <c r="N412" s="161">
        <f t="shared" si="70"/>
        <v>2</v>
      </c>
      <c r="O412" s="160">
        <f t="shared" ca="1" si="66"/>
        <v>0</v>
      </c>
      <c r="P412" s="160">
        <f t="shared" ca="1" si="67"/>
        <v>0</v>
      </c>
      <c r="Q412" s="160">
        <f t="shared" ca="1" si="68"/>
        <v>0</v>
      </c>
      <c r="R412" s="160">
        <f t="shared" ca="1" si="68"/>
        <v>0</v>
      </c>
      <c r="S412" s="160">
        <f t="shared" ca="1" si="68"/>
        <v>0</v>
      </c>
      <c r="T412" s="160">
        <f t="shared" ca="1" si="68"/>
        <v>0</v>
      </c>
      <c r="U412" s="160">
        <f t="shared" ca="1" si="69"/>
        <v>0</v>
      </c>
      <c r="V412" s="163">
        <f t="shared" ca="1" si="61"/>
        <v>0</v>
      </c>
      <c r="W412" s="163">
        <f t="shared" ca="1" si="62"/>
        <v>0</v>
      </c>
      <c r="X412" s="163">
        <f t="shared" ca="1" si="63"/>
        <v>0</v>
      </c>
      <c r="Y412" s="163">
        <f t="shared" ca="1" si="64"/>
        <v>0</v>
      </c>
    </row>
    <row r="413" spans="12:25" ht="14.4">
      <c r="L413" s="464"/>
      <c r="M413" s="129" t="str">
        <f t="shared" si="65"/>
        <v>end</v>
      </c>
      <c r="N413" s="161">
        <f t="shared" si="70"/>
        <v>2</v>
      </c>
      <c r="O413" s="160">
        <f t="shared" ca="1" si="66"/>
        <v>0</v>
      </c>
      <c r="P413" s="160">
        <f t="shared" ca="1" si="67"/>
        <v>0</v>
      </c>
      <c r="Q413" s="160">
        <f t="shared" ca="1" si="68"/>
        <v>0</v>
      </c>
      <c r="R413" s="160">
        <f t="shared" ca="1" si="68"/>
        <v>0</v>
      </c>
      <c r="S413" s="160">
        <f t="shared" ca="1" si="68"/>
        <v>0</v>
      </c>
      <c r="T413" s="160">
        <f t="shared" ca="1" si="68"/>
        <v>0</v>
      </c>
      <c r="U413" s="160">
        <f t="shared" ca="1" si="69"/>
        <v>0</v>
      </c>
      <c r="V413" s="163">
        <f t="shared" ca="1" si="61"/>
        <v>0</v>
      </c>
      <c r="W413" s="163">
        <f t="shared" ca="1" si="62"/>
        <v>0</v>
      </c>
      <c r="X413" s="163">
        <f t="shared" ca="1" si="63"/>
        <v>0</v>
      </c>
      <c r="Y413" s="163">
        <f t="shared" ca="1" si="64"/>
        <v>0</v>
      </c>
    </row>
    <row r="414" spans="12:25" ht="14.4">
      <c r="L414" s="464"/>
      <c r="M414" s="129" t="str">
        <f t="shared" si="65"/>
        <v>end</v>
      </c>
      <c r="N414" s="161">
        <f t="shared" si="70"/>
        <v>2</v>
      </c>
      <c r="O414" s="160">
        <f t="shared" ca="1" si="66"/>
        <v>0</v>
      </c>
      <c r="P414" s="160">
        <f t="shared" ca="1" si="67"/>
        <v>0</v>
      </c>
      <c r="Q414" s="160">
        <f t="shared" ca="1" si="68"/>
        <v>0</v>
      </c>
      <c r="R414" s="160">
        <f t="shared" ca="1" si="68"/>
        <v>0</v>
      </c>
      <c r="S414" s="160">
        <f t="shared" ca="1" si="68"/>
        <v>0</v>
      </c>
      <c r="T414" s="160">
        <f t="shared" ca="1" si="68"/>
        <v>0</v>
      </c>
      <c r="U414" s="160">
        <f t="shared" ca="1" si="69"/>
        <v>0</v>
      </c>
      <c r="V414" s="163">
        <f t="shared" ca="1" si="61"/>
        <v>0</v>
      </c>
      <c r="W414" s="163">
        <f t="shared" ca="1" si="62"/>
        <v>0</v>
      </c>
      <c r="X414" s="163">
        <f t="shared" ca="1" si="63"/>
        <v>0</v>
      </c>
      <c r="Y414" s="163">
        <f t="shared" ca="1" si="64"/>
        <v>0</v>
      </c>
    </row>
    <row r="415" spans="12:25" ht="14.4">
      <c r="L415" s="464"/>
      <c r="M415" s="129" t="str">
        <f t="shared" si="65"/>
        <v>end</v>
      </c>
      <c r="N415" s="161">
        <f t="shared" si="70"/>
        <v>2</v>
      </c>
      <c r="O415" s="160">
        <f t="shared" ca="1" si="66"/>
        <v>0</v>
      </c>
      <c r="P415" s="160">
        <f t="shared" ca="1" si="67"/>
        <v>0</v>
      </c>
      <c r="Q415" s="160">
        <f t="shared" ca="1" si="68"/>
        <v>0</v>
      </c>
      <c r="R415" s="160">
        <f t="shared" ca="1" si="68"/>
        <v>0</v>
      </c>
      <c r="S415" s="160">
        <f t="shared" ca="1" si="68"/>
        <v>0</v>
      </c>
      <c r="T415" s="160">
        <f t="shared" ca="1" si="68"/>
        <v>0</v>
      </c>
      <c r="U415" s="160">
        <f t="shared" ca="1" si="69"/>
        <v>0</v>
      </c>
      <c r="V415" s="163">
        <f t="shared" ref="V415:V478" ca="1" si="71">IF(Q415=0,0,IF(S415=180,IF(R415=0,"Slab on Grade",IF(R415=1,"Exposed Floor",IF(R415=3,"Internal Floor",U415))),IF(S415&lt;45,IF(R415=3,"Internal Ceiling",IF(R415=1,"Roof",U415)))))</f>
        <v>0</v>
      </c>
      <c r="W415" s="163">
        <f t="shared" ref="W415:W478" ca="1" si="72">IF(ISNUMBER(SEARCH($W$29,U415))=TRUE,IF(ISNUMBER(SEARCH($W$27,U415))=TRUE,IF(R415=1,"eFrame",IF(R415=3,"iFrame")),IF(R415=1,"eWindow",IF(R415=3,"iWindow"))),U415)</f>
        <v>0</v>
      </c>
      <c r="X415" s="163">
        <f t="shared" ref="X415:X478" ca="1" si="73">IF(ISNUMBER(SEARCH($X$29,U415))=TRUE,IF(ISNUMBER(SEARCH($X$27,U415))=TRUE,IF(R415=1,"eFrameDoor",IF(R415=3,"iFrameDoor")),IF(R415=1,"eDoor",IF(R415=3,"iDoor"))),U415)</f>
        <v>0</v>
      </c>
      <c r="Y415" s="163">
        <f t="shared" ref="Y415:Y478" ca="1" si="74">IF(ISNUMBER(SEARCH($W$29,U415))=TRUE,"Substract",IF(ISNUMBER(SEARCH($X$29,U415))=TRUE, "Sunstract",IF(S415=90,IF(R415=1,"External Wall",IF(R415=3,"Internal Wall",IF(R415=0,"Below Grade Wall",U415))),V415)))</f>
        <v>0</v>
      </c>
    </row>
    <row r="416" spans="12:25" ht="14.4">
      <c r="L416" s="464"/>
      <c r="M416" s="129" t="str">
        <f t="shared" ref="M416:M479" si="75">IF(M415="end","end",IF(M415=$K$1,"end",M415+1))</f>
        <v>end</v>
      </c>
      <c r="N416" s="161">
        <f t="shared" si="70"/>
        <v>2</v>
      </c>
      <c r="O416" s="160">
        <f t="shared" ca="1" si="66"/>
        <v>0</v>
      </c>
      <c r="P416" s="160">
        <f t="shared" ca="1" si="67"/>
        <v>0</v>
      </c>
      <c r="Q416" s="160">
        <f t="shared" ca="1" si="68"/>
        <v>0</v>
      </c>
      <c r="R416" s="160">
        <f t="shared" ca="1" si="68"/>
        <v>0</v>
      </c>
      <c r="S416" s="160">
        <f t="shared" ca="1" si="68"/>
        <v>0</v>
      </c>
      <c r="T416" s="160">
        <f t="shared" ca="1" si="68"/>
        <v>0</v>
      </c>
      <c r="U416" s="160">
        <f t="shared" ca="1" si="69"/>
        <v>0</v>
      </c>
      <c r="V416" s="163">
        <f t="shared" ca="1" si="71"/>
        <v>0</v>
      </c>
      <c r="W416" s="163">
        <f t="shared" ca="1" si="72"/>
        <v>0</v>
      </c>
      <c r="X416" s="163">
        <f t="shared" ca="1" si="73"/>
        <v>0</v>
      </c>
      <c r="Y416" s="163">
        <f t="shared" ca="1" si="74"/>
        <v>0</v>
      </c>
    </row>
    <row r="417" spans="12:25" ht="14.4">
      <c r="L417" s="464"/>
      <c r="M417" s="129" t="str">
        <f t="shared" si="75"/>
        <v>end</v>
      </c>
      <c r="N417" s="161">
        <f t="shared" si="70"/>
        <v>2</v>
      </c>
      <c r="O417" s="160">
        <f t="shared" ca="1" si="66"/>
        <v>0</v>
      </c>
      <c r="P417" s="160">
        <f t="shared" ca="1" si="67"/>
        <v>0</v>
      </c>
      <c r="Q417" s="160">
        <f t="shared" ca="1" si="68"/>
        <v>0</v>
      </c>
      <c r="R417" s="160">
        <f t="shared" ca="1" si="68"/>
        <v>0</v>
      </c>
      <c r="S417" s="160">
        <f t="shared" ca="1" si="68"/>
        <v>0</v>
      </c>
      <c r="T417" s="160">
        <f t="shared" ca="1" si="68"/>
        <v>0</v>
      </c>
      <c r="U417" s="160">
        <f t="shared" ca="1" si="69"/>
        <v>0</v>
      </c>
      <c r="V417" s="163">
        <f t="shared" ca="1" si="71"/>
        <v>0</v>
      </c>
      <c r="W417" s="163">
        <f t="shared" ca="1" si="72"/>
        <v>0</v>
      </c>
      <c r="X417" s="163">
        <f t="shared" ca="1" si="73"/>
        <v>0</v>
      </c>
      <c r="Y417" s="163">
        <f t="shared" ca="1" si="74"/>
        <v>0</v>
      </c>
    </row>
    <row r="418" spans="12:25" ht="14.4">
      <c r="L418" s="464"/>
      <c r="M418" s="129" t="str">
        <f t="shared" si="75"/>
        <v>end</v>
      </c>
      <c r="N418" s="161">
        <f t="shared" si="70"/>
        <v>2</v>
      </c>
      <c r="O418" s="160">
        <f t="shared" ca="1" si="66"/>
        <v>0</v>
      </c>
      <c r="P418" s="160">
        <f t="shared" ca="1" si="67"/>
        <v>0</v>
      </c>
      <c r="Q418" s="160">
        <f t="shared" ca="1" si="68"/>
        <v>0</v>
      </c>
      <c r="R418" s="160">
        <f t="shared" ca="1" si="68"/>
        <v>0</v>
      </c>
      <c r="S418" s="160">
        <f t="shared" ca="1" si="68"/>
        <v>0</v>
      </c>
      <c r="T418" s="160">
        <f t="shared" ca="1" si="68"/>
        <v>0</v>
      </c>
      <c r="U418" s="160">
        <f t="shared" ca="1" si="69"/>
        <v>0</v>
      </c>
      <c r="V418" s="163">
        <f t="shared" ca="1" si="71"/>
        <v>0</v>
      </c>
      <c r="W418" s="163">
        <f t="shared" ca="1" si="72"/>
        <v>0</v>
      </c>
      <c r="X418" s="163">
        <f t="shared" ca="1" si="73"/>
        <v>0</v>
      </c>
      <c r="Y418" s="163">
        <f t="shared" ca="1" si="74"/>
        <v>0</v>
      </c>
    </row>
    <row r="419" spans="12:25" ht="14.4">
      <c r="L419" s="464"/>
      <c r="M419" s="129" t="str">
        <f t="shared" si="75"/>
        <v>end</v>
      </c>
      <c r="N419" s="161">
        <f t="shared" si="70"/>
        <v>2</v>
      </c>
      <c r="O419" s="160">
        <f t="shared" ca="1" si="66"/>
        <v>0</v>
      </c>
      <c r="P419" s="160">
        <f t="shared" ca="1" si="67"/>
        <v>0</v>
      </c>
      <c r="Q419" s="160">
        <f t="shared" ca="1" si="68"/>
        <v>0</v>
      </c>
      <c r="R419" s="160">
        <f t="shared" ca="1" si="68"/>
        <v>0</v>
      </c>
      <c r="S419" s="160">
        <f t="shared" ca="1" si="68"/>
        <v>0</v>
      </c>
      <c r="T419" s="160">
        <f t="shared" ca="1" si="68"/>
        <v>0</v>
      </c>
      <c r="U419" s="160">
        <f t="shared" ca="1" si="69"/>
        <v>0</v>
      </c>
      <c r="V419" s="163">
        <f t="shared" ca="1" si="71"/>
        <v>0</v>
      </c>
      <c r="W419" s="163">
        <f t="shared" ca="1" si="72"/>
        <v>0</v>
      </c>
      <c r="X419" s="163">
        <f t="shared" ca="1" si="73"/>
        <v>0</v>
      </c>
      <c r="Y419" s="163">
        <f t="shared" ca="1" si="74"/>
        <v>0</v>
      </c>
    </row>
    <row r="420" spans="12:25" ht="14.4">
      <c r="L420" s="464"/>
      <c r="M420" s="129" t="str">
        <f t="shared" si="75"/>
        <v>end</v>
      </c>
      <c r="N420" s="161">
        <f t="shared" si="70"/>
        <v>2</v>
      </c>
      <c r="O420" s="160">
        <f t="shared" ca="1" si="66"/>
        <v>0</v>
      </c>
      <c r="P420" s="160">
        <f t="shared" ca="1" si="67"/>
        <v>0</v>
      </c>
      <c r="Q420" s="160">
        <f t="shared" ca="1" si="68"/>
        <v>0</v>
      </c>
      <c r="R420" s="160">
        <f t="shared" ca="1" si="68"/>
        <v>0</v>
      </c>
      <c r="S420" s="160">
        <f t="shared" ca="1" si="68"/>
        <v>0</v>
      </c>
      <c r="T420" s="160">
        <f t="shared" ca="1" si="68"/>
        <v>0</v>
      </c>
      <c r="U420" s="160">
        <f t="shared" ca="1" si="69"/>
        <v>0</v>
      </c>
      <c r="V420" s="163">
        <f t="shared" ca="1" si="71"/>
        <v>0</v>
      </c>
      <c r="W420" s="163">
        <f t="shared" ca="1" si="72"/>
        <v>0</v>
      </c>
      <c r="X420" s="163">
        <f t="shared" ca="1" si="73"/>
        <v>0</v>
      </c>
      <c r="Y420" s="163">
        <f t="shared" ca="1" si="74"/>
        <v>0</v>
      </c>
    </row>
    <row r="421" spans="12:25" ht="14.4">
      <c r="L421" s="464"/>
      <c r="M421" s="129" t="str">
        <f t="shared" si="75"/>
        <v>end</v>
      </c>
      <c r="N421" s="161">
        <f t="shared" si="70"/>
        <v>2</v>
      </c>
      <c r="O421" s="160">
        <f t="shared" ca="1" si="66"/>
        <v>0</v>
      </c>
      <c r="P421" s="160">
        <f t="shared" ca="1" si="67"/>
        <v>0</v>
      </c>
      <c r="Q421" s="160">
        <f t="shared" ca="1" si="68"/>
        <v>0</v>
      </c>
      <c r="R421" s="160">
        <f t="shared" ca="1" si="68"/>
        <v>0</v>
      </c>
      <c r="S421" s="160">
        <f t="shared" ca="1" si="68"/>
        <v>0</v>
      </c>
      <c r="T421" s="160">
        <f t="shared" ca="1" si="68"/>
        <v>0</v>
      </c>
      <c r="U421" s="160">
        <f t="shared" ca="1" si="69"/>
        <v>0</v>
      </c>
      <c r="V421" s="163">
        <f t="shared" ca="1" si="71"/>
        <v>0</v>
      </c>
      <c r="W421" s="163">
        <f t="shared" ca="1" si="72"/>
        <v>0</v>
      </c>
      <c r="X421" s="163">
        <f t="shared" ca="1" si="73"/>
        <v>0</v>
      </c>
      <c r="Y421" s="163">
        <f t="shared" ca="1" si="74"/>
        <v>0</v>
      </c>
    </row>
    <row r="422" spans="12:25" ht="14.4">
      <c r="L422" s="464"/>
      <c r="M422" s="129" t="str">
        <f t="shared" si="75"/>
        <v>end</v>
      </c>
      <c r="N422" s="161">
        <f t="shared" si="70"/>
        <v>2</v>
      </c>
      <c r="O422" s="160">
        <f t="shared" ca="1" si="66"/>
        <v>0</v>
      </c>
      <c r="P422" s="160">
        <f t="shared" ca="1" si="67"/>
        <v>0</v>
      </c>
      <c r="Q422" s="160">
        <f t="shared" ca="1" si="68"/>
        <v>0</v>
      </c>
      <c r="R422" s="160">
        <f t="shared" ca="1" si="68"/>
        <v>0</v>
      </c>
      <c r="S422" s="160">
        <f t="shared" ca="1" si="68"/>
        <v>0</v>
      </c>
      <c r="T422" s="160">
        <f t="shared" ca="1" si="68"/>
        <v>0</v>
      </c>
      <c r="U422" s="160">
        <f t="shared" ca="1" si="69"/>
        <v>0</v>
      </c>
      <c r="V422" s="163">
        <f t="shared" ca="1" si="71"/>
        <v>0</v>
      </c>
      <c r="W422" s="163">
        <f t="shared" ca="1" si="72"/>
        <v>0</v>
      </c>
      <c r="X422" s="163">
        <f t="shared" ca="1" si="73"/>
        <v>0</v>
      </c>
      <c r="Y422" s="163">
        <f t="shared" ca="1" si="74"/>
        <v>0</v>
      </c>
    </row>
    <row r="423" spans="12:25" ht="14.4">
      <c r="L423" s="464"/>
      <c r="M423" s="129" t="str">
        <f t="shared" si="75"/>
        <v>end</v>
      </c>
      <c r="N423" s="161">
        <f t="shared" si="70"/>
        <v>2</v>
      </c>
      <c r="O423" s="160">
        <f t="shared" ca="1" si="66"/>
        <v>0</v>
      </c>
      <c r="P423" s="160">
        <f t="shared" ca="1" si="67"/>
        <v>0</v>
      </c>
      <c r="Q423" s="160">
        <f t="shared" ca="1" si="68"/>
        <v>0</v>
      </c>
      <c r="R423" s="160">
        <f t="shared" ca="1" si="68"/>
        <v>0</v>
      </c>
      <c r="S423" s="160">
        <f t="shared" ca="1" si="68"/>
        <v>0</v>
      </c>
      <c r="T423" s="160">
        <f t="shared" ca="1" si="68"/>
        <v>0</v>
      </c>
      <c r="U423" s="160">
        <f t="shared" ca="1" si="69"/>
        <v>0</v>
      </c>
      <c r="V423" s="163">
        <f t="shared" ca="1" si="71"/>
        <v>0</v>
      </c>
      <c r="W423" s="163">
        <f t="shared" ca="1" si="72"/>
        <v>0</v>
      </c>
      <c r="X423" s="163">
        <f t="shared" ca="1" si="73"/>
        <v>0</v>
      </c>
      <c r="Y423" s="163">
        <f t="shared" ca="1" si="74"/>
        <v>0</v>
      </c>
    </row>
    <row r="424" spans="12:25" ht="14.4">
      <c r="L424" s="464"/>
      <c r="M424" s="129" t="str">
        <f t="shared" si="75"/>
        <v>end</v>
      </c>
      <c r="N424" s="161">
        <f t="shared" si="70"/>
        <v>2</v>
      </c>
      <c r="O424" s="160">
        <f t="shared" ca="1" si="66"/>
        <v>0</v>
      </c>
      <c r="P424" s="160">
        <f t="shared" ca="1" si="67"/>
        <v>0</v>
      </c>
      <c r="Q424" s="160">
        <f t="shared" ca="1" si="68"/>
        <v>0</v>
      </c>
      <c r="R424" s="160">
        <f t="shared" ca="1" si="68"/>
        <v>0</v>
      </c>
      <c r="S424" s="160">
        <f t="shared" ca="1" si="68"/>
        <v>0</v>
      </c>
      <c r="T424" s="160">
        <f t="shared" ca="1" si="68"/>
        <v>0</v>
      </c>
      <c r="U424" s="160">
        <f t="shared" ca="1" si="69"/>
        <v>0</v>
      </c>
      <c r="V424" s="163">
        <f t="shared" ca="1" si="71"/>
        <v>0</v>
      </c>
      <c r="W424" s="163">
        <f t="shared" ca="1" si="72"/>
        <v>0</v>
      </c>
      <c r="X424" s="163">
        <f t="shared" ca="1" si="73"/>
        <v>0</v>
      </c>
      <c r="Y424" s="163">
        <f t="shared" ca="1" si="74"/>
        <v>0</v>
      </c>
    </row>
    <row r="425" spans="12:25" ht="14.4">
      <c r="L425" s="464"/>
      <c r="M425" s="129" t="str">
        <f t="shared" si="75"/>
        <v>end</v>
      </c>
      <c r="N425" s="161">
        <f t="shared" si="70"/>
        <v>2</v>
      </c>
      <c r="O425" s="160">
        <f t="shared" ref="O425:O488" ca="1" si="76">IF($M425="end",0,OFFSET($A$1,$M425-1,O$29,1,1))</f>
        <v>0</v>
      </c>
      <c r="P425" s="160">
        <f t="shared" ca="1" si="67"/>
        <v>0</v>
      </c>
      <c r="Q425" s="160">
        <f t="shared" ca="1" si="68"/>
        <v>0</v>
      </c>
      <c r="R425" s="160">
        <f t="shared" ca="1" si="68"/>
        <v>0</v>
      </c>
      <c r="S425" s="160">
        <f t="shared" ca="1" si="68"/>
        <v>0</v>
      </c>
      <c r="T425" s="160">
        <f t="shared" ca="1" si="68"/>
        <v>0</v>
      </c>
      <c r="U425" s="160">
        <f t="shared" ca="1" si="69"/>
        <v>0</v>
      </c>
      <c r="V425" s="163">
        <f t="shared" ca="1" si="71"/>
        <v>0</v>
      </c>
      <c r="W425" s="163">
        <f t="shared" ca="1" si="72"/>
        <v>0</v>
      </c>
      <c r="X425" s="163">
        <f t="shared" ca="1" si="73"/>
        <v>0</v>
      </c>
      <c r="Y425" s="163">
        <f t="shared" ca="1" si="74"/>
        <v>0</v>
      </c>
    </row>
    <row r="426" spans="12:25" ht="14.4">
      <c r="L426" s="464"/>
      <c r="M426" s="129" t="str">
        <f t="shared" si="75"/>
        <v>end</v>
      </c>
      <c r="N426" s="161">
        <f t="shared" si="70"/>
        <v>2</v>
      </c>
      <c r="O426" s="160">
        <f t="shared" ca="1" si="76"/>
        <v>0</v>
      </c>
      <c r="P426" s="160">
        <f t="shared" ca="1" si="67"/>
        <v>0</v>
      </c>
      <c r="Q426" s="160">
        <f t="shared" ca="1" si="68"/>
        <v>0</v>
      </c>
      <c r="R426" s="160">
        <f t="shared" ca="1" si="68"/>
        <v>0</v>
      </c>
      <c r="S426" s="160">
        <f t="shared" ca="1" si="68"/>
        <v>0</v>
      </c>
      <c r="T426" s="160">
        <f t="shared" ca="1" si="68"/>
        <v>0</v>
      </c>
      <c r="U426" s="160">
        <f t="shared" ca="1" si="69"/>
        <v>0</v>
      </c>
      <c r="V426" s="163">
        <f t="shared" ca="1" si="71"/>
        <v>0</v>
      </c>
      <c r="W426" s="163">
        <f t="shared" ca="1" si="72"/>
        <v>0</v>
      </c>
      <c r="X426" s="163">
        <f t="shared" ca="1" si="73"/>
        <v>0</v>
      </c>
      <c r="Y426" s="163">
        <f t="shared" ca="1" si="74"/>
        <v>0</v>
      </c>
    </row>
    <row r="427" spans="12:25" ht="14.4">
      <c r="L427" s="464"/>
      <c r="M427" s="129" t="str">
        <f t="shared" si="75"/>
        <v>end</v>
      </c>
      <c r="N427" s="161">
        <f t="shared" si="70"/>
        <v>2</v>
      </c>
      <c r="O427" s="160">
        <f t="shared" ca="1" si="76"/>
        <v>0</v>
      </c>
      <c r="P427" s="160">
        <f t="shared" ca="1" si="67"/>
        <v>0</v>
      </c>
      <c r="Q427" s="160">
        <f t="shared" ca="1" si="68"/>
        <v>0</v>
      </c>
      <c r="R427" s="160">
        <f t="shared" ca="1" si="68"/>
        <v>0</v>
      </c>
      <c r="S427" s="160">
        <f t="shared" ca="1" si="68"/>
        <v>0</v>
      </c>
      <c r="T427" s="160">
        <f t="shared" ca="1" si="68"/>
        <v>0</v>
      </c>
      <c r="U427" s="160">
        <f t="shared" ca="1" si="69"/>
        <v>0</v>
      </c>
      <c r="V427" s="163">
        <f t="shared" ca="1" si="71"/>
        <v>0</v>
      </c>
      <c r="W427" s="163">
        <f t="shared" ca="1" si="72"/>
        <v>0</v>
      </c>
      <c r="X427" s="163">
        <f t="shared" ca="1" si="73"/>
        <v>0</v>
      </c>
      <c r="Y427" s="163">
        <f t="shared" ca="1" si="74"/>
        <v>0</v>
      </c>
    </row>
    <row r="428" spans="12:25" ht="14.4">
      <c r="L428" s="464"/>
      <c r="M428" s="129" t="str">
        <f t="shared" si="75"/>
        <v>end</v>
      </c>
      <c r="N428" s="161">
        <f t="shared" si="70"/>
        <v>2</v>
      </c>
      <c r="O428" s="160">
        <f t="shared" ca="1" si="76"/>
        <v>0</v>
      </c>
      <c r="P428" s="160">
        <f t="shared" ca="1" si="67"/>
        <v>0</v>
      </c>
      <c r="Q428" s="160">
        <f t="shared" ca="1" si="68"/>
        <v>0</v>
      </c>
      <c r="R428" s="160">
        <f t="shared" ca="1" si="68"/>
        <v>0</v>
      </c>
      <c r="S428" s="160">
        <f t="shared" ca="1" si="68"/>
        <v>0</v>
      </c>
      <c r="T428" s="160">
        <f t="shared" ca="1" si="68"/>
        <v>0</v>
      </c>
      <c r="U428" s="160">
        <f t="shared" ca="1" si="69"/>
        <v>0</v>
      </c>
      <c r="V428" s="163">
        <f t="shared" ca="1" si="71"/>
        <v>0</v>
      </c>
      <c r="W428" s="163">
        <f t="shared" ca="1" si="72"/>
        <v>0</v>
      </c>
      <c r="X428" s="163">
        <f t="shared" ca="1" si="73"/>
        <v>0</v>
      </c>
      <c r="Y428" s="163">
        <f t="shared" ca="1" si="74"/>
        <v>0</v>
      </c>
    </row>
    <row r="429" spans="12:25" ht="14.4">
      <c r="L429" s="464"/>
      <c r="M429" s="129" t="str">
        <f t="shared" si="75"/>
        <v>end</v>
      </c>
      <c r="N429" s="161">
        <f t="shared" si="70"/>
        <v>2</v>
      </c>
      <c r="O429" s="160">
        <f t="shared" ca="1" si="76"/>
        <v>0</v>
      </c>
      <c r="P429" s="160">
        <f t="shared" ca="1" si="67"/>
        <v>0</v>
      </c>
      <c r="Q429" s="160">
        <f t="shared" ca="1" si="68"/>
        <v>0</v>
      </c>
      <c r="R429" s="160">
        <f t="shared" ca="1" si="68"/>
        <v>0</v>
      </c>
      <c r="S429" s="160">
        <f t="shared" ca="1" si="68"/>
        <v>0</v>
      </c>
      <c r="T429" s="160">
        <f t="shared" ca="1" si="68"/>
        <v>0</v>
      </c>
      <c r="U429" s="160">
        <f t="shared" ca="1" si="69"/>
        <v>0</v>
      </c>
      <c r="V429" s="163">
        <f t="shared" ca="1" si="71"/>
        <v>0</v>
      </c>
      <c r="W429" s="163">
        <f t="shared" ca="1" si="72"/>
        <v>0</v>
      </c>
      <c r="X429" s="163">
        <f t="shared" ca="1" si="73"/>
        <v>0</v>
      </c>
      <c r="Y429" s="163">
        <f t="shared" ca="1" si="74"/>
        <v>0</v>
      </c>
    </row>
    <row r="430" spans="12:25" ht="14.4">
      <c r="L430" s="464"/>
      <c r="M430" s="129" t="str">
        <f t="shared" si="75"/>
        <v>end</v>
      </c>
      <c r="N430" s="161">
        <f t="shared" si="70"/>
        <v>2</v>
      </c>
      <c r="O430" s="160">
        <f t="shared" ca="1" si="76"/>
        <v>0</v>
      </c>
      <c r="P430" s="160">
        <f t="shared" ca="1" si="67"/>
        <v>0</v>
      </c>
      <c r="Q430" s="160">
        <f t="shared" ca="1" si="68"/>
        <v>0</v>
      </c>
      <c r="R430" s="160">
        <f t="shared" ca="1" si="68"/>
        <v>0</v>
      </c>
      <c r="S430" s="160">
        <f t="shared" ca="1" si="68"/>
        <v>0</v>
      </c>
      <c r="T430" s="160">
        <f t="shared" ca="1" si="68"/>
        <v>0</v>
      </c>
      <c r="U430" s="160">
        <f t="shared" ca="1" si="69"/>
        <v>0</v>
      </c>
      <c r="V430" s="163">
        <f t="shared" ca="1" si="71"/>
        <v>0</v>
      </c>
      <c r="W430" s="163">
        <f t="shared" ca="1" si="72"/>
        <v>0</v>
      </c>
      <c r="X430" s="163">
        <f t="shared" ca="1" si="73"/>
        <v>0</v>
      </c>
      <c r="Y430" s="163">
        <f t="shared" ca="1" si="74"/>
        <v>0</v>
      </c>
    </row>
    <row r="431" spans="12:25" ht="14.4">
      <c r="L431" s="464"/>
      <c r="M431" s="129" t="str">
        <f t="shared" si="75"/>
        <v>end</v>
      </c>
      <c r="N431" s="161">
        <f t="shared" si="70"/>
        <v>2</v>
      </c>
      <c r="O431" s="160">
        <f t="shared" ca="1" si="76"/>
        <v>0</v>
      </c>
      <c r="P431" s="160">
        <f t="shared" ca="1" si="67"/>
        <v>0</v>
      </c>
      <c r="Q431" s="160">
        <f t="shared" ca="1" si="68"/>
        <v>0</v>
      </c>
      <c r="R431" s="160">
        <f t="shared" ca="1" si="68"/>
        <v>0</v>
      </c>
      <c r="S431" s="160">
        <f t="shared" ca="1" si="68"/>
        <v>0</v>
      </c>
      <c r="T431" s="160">
        <f t="shared" ca="1" si="68"/>
        <v>0</v>
      </c>
      <c r="U431" s="160">
        <f t="shared" ca="1" si="69"/>
        <v>0</v>
      </c>
      <c r="V431" s="163">
        <f t="shared" ca="1" si="71"/>
        <v>0</v>
      </c>
      <c r="W431" s="163">
        <f t="shared" ca="1" si="72"/>
        <v>0</v>
      </c>
      <c r="X431" s="163">
        <f t="shared" ca="1" si="73"/>
        <v>0</v>
      </c>
      <c r="Y431" s="163">
        <f t="shared" ca="1" si="74"/>
        <v>0</v>
      </c>
    </row>
    <row r="432" spans="12:25" ht="14.4">
      <c r="L432" s="464"/>
      <c r="M432" s="129" t="str">
        <f t="shared" si="75"/>
        <v>end</v>
      </c>
      <c r="N432" s="161">
        <f t="shared" si="70"/>
        <v>2</v>
      </c>
      <c r="O432" s="160">
        <f t="shared" ca="1" si="76"/>
        <v>0</v>
      </c>
      <c r="P432" s="160">
        <f t="shared" ca="1" si="67"/>
        <v>0</v>
      </c>
      <c r="Q432" s="160">
        <f t="shared" ca="1" si="68"/>
        <v>0</v>
      </c>
      <c r="R432" s="160">
        <f t="shared" ca="1" si="68"/>
        <v>0</v>
      </c>
      <c r="S432" s="160">
        <f t="shared" ca="1" si="68"/>
        <v>0</v>
      </c>
      <c r="T432" s="160">
        <f t="shared" ca="1" si="68"/>
        <v>0</v>
      </c>
      <c r="U432" s="160">
        <f t="shared" ca="1" si="69"/>
        <v>0</v>
      </c>
      <c r="V432" s="163">
        <f t="shared" ca="1" si="71"/>
        <v>0</v>
      </c>
      <c r="W432" s="163">
        <f t="shared" ca="1" si="72"/>
        <v>0</v>
      </c>
      <c r="X432" s="163">
        <f t="shared" ca="1" si="73"/>
        <v>0</v>
      </c>
      <c r="Y432" s="163">
        <f t="shared" ca="1" si="74"/>
        <v>0</v>
      </c>
    </row>
    <row r="433" spans="12:25" ht="14.4">
      <c r="L433" s="464"/>
      <c r="M433" s="129" t="str">
        <f t="shared" si="75"/>
        <v>end</v>
      </c>
      <c r="N433" s="161">
        <f t="shared" si="70"/>
        <v>2</v>
      </c>
      <c r="O433" s="160">
        <f t="shared" ca="1" si="76"/>
        <v>0</v>
      </c>
      <c r="P433" s="160">
        <f t="shared" ca="1" si="67"/>
        <v>0</v>
      </c>
      <c r="Q433" s="160">
        <f t="shared" ca="1" si="68"/>
        <v>0</v>
      </c>
      <c r="R433" s="160">
        <f t="shared" ca="1" si="68"/>
        <v>0</v>
      </c>
      <c r="S433" s="160">
        <f t="shared" ca="1" si="68"/>
        <v>0</v>
      </c>
      <c r="T433" s="160">
        <f t="shared" ref="T433:U496" ca="1" si="77">IF($M433="end",0,OFFSET($A$1,$M433-1,T$29,1,1))</f>
        <v>0</v>
      </c>
      <c r="U433" s="160">
        <f t="shared" ca="1" si="69"/>
        <v>0</v>
      </c>
      <c r="V433" s="163">
        <f t="shared" ca="1" si="71"/>
        <v>0</v>
      </c>
      <c r="W433" s="163">
        <f t="shared" ca="1" si="72"/>
        <v>0</v>
      </c>
      <c r="X433" s="163">
        <f t="shared" ca="1" si="73"/>
        <v>0</v>
      </c>
      <c r="Y433" s="163">
        <f t="shared" ca="1" si="74"/>
        <v>0</v>
      </c>
    </row>
    <row r="434" spans="12:25" ht="14.4">
      <c r="L434" s="464"/>
      <c r="M434" s="129" t="str">
        <f t="shared" si="75"/>
        <v>end</v>
      </c>
      <c r="N434" s="161">
        <f t="shared" si="70"/>
        <v>2</v>
      </c>
      <c r="O434" s="160">
        <f t="shared" ca="1" si="76"/>
        <v>0</v>
      </c>
      <c r="P434" s="160">
        <f t="shared" ref="P434:P497" ca="1" si="78">IF($M434="end",0,OFFSET($A$1,$M434-1,P$29,1,1))</f>
        <v>0</v>
      </c>
      <c r="Q434" s="160">
        <f t="shared" ref="Q434:U497" ca="1" si="79">IF($M434="end",0,OFFSET($A$1,$M434-1,Q$29,1,1))</f>
        <v>0</v>
      </c>
      <c r="R434" s="160">
        <f t="shared" ca="1" si="79"/>
        <v>0</v>
      </c>
      <c r="S434" s="160">
        <f t="shared" ca="1" si="79"/>
        <v>0</v>
      </c>
      <c r="T434" s="160">
        <f t="shared" ca="1" si="77"/>
        <v>0</v>
      </c>
      <c r="U434" s="160">
        <f t="shared" ca="1" si="77"/>
        <v>0</v>
      </c>
      <c r="V434" s="163">
        <f t="shared" ca="1" si="71"/>
        <v>0</v>
      </c>
      <c r="W434" s="163">
        <f t="shared" ca="1" si="72"/>
        <v>0</v>
      </c>
      <c r="X434" s="163">
        <f t="shared" ca="1" si="73"/>
        <v>0</v>
      </c>
      <c r="Y434" s="163">
        <f t="shared" ca="1" si="74"/>
        <v>0</v>
      </c>
    </row>
    <row r="435" spans="12:25" ht="14.4">
      <c r="L435" s="464"/>
      <c r="M435" s="129" t="str">
        <f t="shared" si="75"/>
        <v>end</v>
      </c>
      <c r="N435" s="161">
        <f t="shared" si="70"/>
        <v>2</v>
      </c>
      <c r="O435" s="160">
        <f t="shared" ca="1" si="76"/>
        <v>0</v>
      </c>
      <c r="P435" s="160">
        <f t="shared" ca="1" si="78"/>
        <v>0</v>
      </c>
      <c r="Q435" s="160">
        <f t="shared" ca="1" si="79"/>
        <v>0</v>
      </c>
      <c r="R435" s="160">
        <f t="shared" ca="1" si="79"/>
        <v>0</v>
      </c>
      <c r="S435" s="160">
        <f t="shared" ca="1" si="79"/>
        <v>0</v>
      </c>
      <c r="T435" s="160">
        <f t="shared" ca="1" si="77"/>
        <v>0</v>
      </c>
      <c r="U435" s="160">
        <f t="shared" ca="1" si="77"/>
        <v>0</v>
      </c>
      <c r="V435" s="163">
        <f t="shared" ca="1" si="71"/>
        <v>0</v>
      </c>
      <c r="W435" s="163">
        <f t="shared" ca="1" si="72"/>
        <v>0</v>
      </c>
      <c r="X435" s="163">
        <f t="shared" ca="1" si="73"/>
        <v>0</v>
      </c>
      <c r="Y435" s="163">
        <f t="shared" ca="1" si="74"/>
        <v>0</v>
      </c>
    </row>
    <row r="436" spans="12:25" ht="14.4">
      <c r="L436" s="464"/>
      <c r="M436" s="129" t="str">
        <f t="shared" si="75"/>
        <v>end</v>
      </c>
      <c r="N436" s="161">
        <f t="shared" si="70"/>
        <v>2</v>
      </c>
      <c r="O436" s="160">
        <f t="shared" ca="1" si="76"/>
        <v>0</v>
      </c>
      <c r="P436" s="160">
        <f t="shared" ca="1" si="78"/>
        <v>0</v>
      </c>
      <c r="Q436" s="160">
        <f t="shared" ca="1" si="79"/>
        <v>0</v>
      </c>
      <c r="R436" s="160">
        <f t="shared" ca="1" si="79"/>
        <v>0</v>
      </c>
      <c r="S436" s="160">
        <f t="shared" ca="1" si="79"/>
        <v>0</v>
      </c>
      <c r="T436" s="160">
        <f t="shared" ca="1" si="77"/>
        <v>0</v>
      </c>
      <c r="U436" s="160">
        <f t="shared" ca="1" si="77"/>
        <v>0</v>
      </c>
      <c r="V436" s="163">
        <f t="shared" ca="1" si="71"/>
        <v>0</v>
      </c>
      <c r="W436" s="163">
        <f t="shared" ca="1" si="72"/>
        <v>0</v>
      </c>
      <c r="X436" s="163">
        <f t="shared" ca="1" si="73"/>
        <v>0</v>
      </c>
      <c r="Y436" s="163">
        <f t="shared" ca="1" si="74"/>
        <v>0</v>
      </c>
    </row>
    <row r="437" spans="12:25" ht="14.4">
      <c r="L437" s="464"/>
      <c r="M437" s="129" t="str">
        <f t="shared" si="75"/>
        <v>end</v>
      </c>
      <c r="N437" s="161">
        <f t="shared" si="70"/>
        <v>2</v>
      </c>
      <c r="O437" s="160">
        <f t="shared" ca="1" si="76"/>
        <v>0</v>
      </c>
      <c r="P437" s="160">
        <f t="shared" ca="1" si="78"/>
        <v>0</v>
      </c>
      <c r="Q437" s="160">
        <f t="shared" ca="1" si="79"/>
        <v>0</v>
      </c>
      <c r="R437" s="160">
        <f t="shared" ca="1" si="79"/>
        <v>0</v>
      </c>
      <c r="S437" s="160">
        <f t="shared" ca="1" si="79"/>
        <v>0</v>
      </c>
      <c r="T437" s="160">
        <f t="shared" ca="1" si="77"/>
        <v>0</v>
      </c>
      <c r="U437" s="160">
        <f t="shared" ca="1" si="77"/>
        <v>0</v>
      </c>
      <c r="V437" s="163">
        <f t="shared" ca="1" si="71"/>
        <v>0</v>
      </c>
      <c r="W437" s="163">
        <f t="shared" ca="1" si="72"/>
        <v>0</v>
      </c>
      <c r="X437" s="163">
        <f t="shared" ca="1" si="73"/>
        <v>0</v>
      </c>
      <c r="Y437" s="163">
        <f t="shared" ca="1" si="74"/>
        <v>0</v>
      </c>
    </row>
    <row r="438" spans="12:25" ht="14.4">
      <c r="L438" s="464"/>
      <c r="M438" s="129" t="str">
        <f t="shared" si="75"/>
        <v>end</v>
      </c>
      <c r="N438" s="161">
        <f t="shared" si="70"/>
        <v>2</v>
      </c>
      <c r="O438" s="160">
        <f t="shared" ca="1" si="76"/>
        <v>0</v>
      </c>
      <c r="P438" s="160">
        <f t="shared" ca="1" si="78"/>
        <v>0</v>
      </c>
      <c r="Q438" s="160">
        <f t="shared" ca="1" si="79"/>
        <v>0</v>
      </c>
      <c r="R438" s="160">
        <f t="shared" ca="1" si="79"/>
        <v>0</v>
      </c>
      <c r="S438" s="160">
        <f t="shared" ca="1" si="79"/>
        <v>0</v>
      </c>
      <c r="T438" s="160">
        <f t="shared" ca="1" si="77"/>
        <v>0</v>
      </c>
      <c r="U438" s="160">
        <f t="shared" ca="1" si="77"/>
        <v>0</v>
      </c>
      <c r="V438" s="163">
        <f t="shared" ca="1" si="71"/>
        <v>0</v>
      </c>
      <c r="W438" s="163">
        <f t="shared" ca="1" si="72"/>
        <v>0</v>
      </c>
      <c r="X438" s="163">
        <f t="shared" ca="1" si="73"/>
        <v>0</v>
      </c>
      <c r="Y438" s="163">
        <f t="shared" ca="1" si="74"/>
        <v>0</v>
      </c>
    </row>
    <row r="439" spans="12:25" ht="14.4">
      <c r="L439" s="464"/>
      <c r="M439" s="129" t="str">
        <f t="shared" si="75"/>
        <v>end</v>
      </c>
      <c r="N439" s="161">
        <f t="shared" si="70"/>
        <v>2</v>
      </c>
      <c r="O439" s="160">
        <f t="shared" ca="1" si="76"/>
        <v>0</v>
      </c>
      <c r="P439" s="160">
        <f t="shared" ca="1" si="78"/>
        <v>0</v>
      </c>
      <c r="Q439" s="160">
        <f t="shared" ca="1" si="79"/>
        <v>0</v>
      </c>
      <c r="R439" s="160">
        <f t="shared" ca="1" si="79"/>
        <v>0</v>
      </c>
      <c r="S439" s="160">
        <f t="shared" ca="1" si="79"/>
        <v>0</v>
      </c>
      <c r="T439" s="160">
        <f t="shared" ca="1" si="77"/>
        <v>0</v>
      </c>
      <c r="U439" s="160">
        <f t="shared" ca="1" si="77"/>
        <v>0</v>
      </c>
      <c r="V439" s="163">
        <f t="shared" ca="1" si="71"/>
        <v>0</v>
      </c>
      <c r="W439" s="163">
        <f t="shared" ca="1" si="72"/>
        <v>0</v>
      </c>
      <c r="X439" s="163">
        <f t="shared" ca="1" si="73"/>
        <v>0</v>
      </c>
      <c r="Y439" s="163">
        <f t="shared" ca="1" si="74"/>
        <v>0</v>
      </c>
    </row>
    <row r="440" spans="12:25" ht="14.4">
      <c r="L440" s="464"/>
      <c r="M440" s="129" t="str">
        <f t="shared" si="75"/>
        <v>end</v>
      </c>
      <c r="N440" s="161">
        <f t="shared" si="70"/>
        <v>2</v>
      </c>
      <c r="O440" s="160">
        <f t="shared" ca="1" si="76"/>
        <v>0</v>
      </c>
      <c r="P440" s="160">
        <f t="shared" ca="1" si="78"/>
        <v>0</v>
      </c>
      <c r="Q440" s="160">
        <f t="shared" ca="1" si="79"/>
        <v>0</v>
      </c>
      <c r="R440" s="160">
        <f t="shared" ca="1" si="79"/>
        <v>0</v>
      </c>
      <c r="S440" s="160">
        <f t="shared" ca="1" si="79"/>
        <v>0</v>
      </c>
      <c r="T440" s="160">
        <f t="shared" ca="1" si="77"/>
        <v>0</v>
      </c>
      <c r="U440" s="160">
        <f t="shared" ca="1" si="77"/>
        <v>0</v>
      </c>
      <c r="V440" s="163">
        <f t="shared" ca="1" si="71"/>
        <v>0</v>
      </c>
      <c r="W440" s="163">
        <f t="shared" ca="1" si="72"/>
        <v>0</v>
      </c>
      <c r="X440" s="163">
        <f t="shared" ca="1" si="73"/>
        <v>0</v>
      </c>
      <c r="Y440" s="163">
        <f t="shared" ca="1" si="74"/>
        <v>0</v>
      </c>
    </row>
    <row r="441" spans="12:25" ht="14.4">
      <c r="L441" s="464"/>
      <c r="M441" s="129" t="str">
        <f t="shared" si="75"/>
        <v>end</v>
      </c>
      <c r="N441" s="161">
        <f t="shared" si="70"/>
        <v>2</v>
      </c>
      <c r="O441" s="160">
        <f t="shared" ca="1" si="76"/>
        <v>0</v>
      </c>
      <c r="P441" s="160">
        <f t="shared" ca="1" si="78"/>
        <v>0</v>
      </c>
      <c r="Q441" s="160">
        <f t="shared" ca="1" si="79"/>
        <v>0</v>
      </c>
      <c r="R441" s="160">
        <f t="shared" ca="1" si="79"/>
        <v>0</v>
      </c>
      <c r="S441" s="160">
        <f t="shared" ca="1" si="79"/>
        <v>0</v>
      </c>
      <c r="T441" s="160">
        <f t="shared" ca="1" si="77"/>
        <v>0</v>
      </c>
      <c r="U441" s="160">
        <f t="shared" ca="1" si="77"/>
        <v>0</v>
      </c>
      <c r="V441" s="163">
        <f t="shared" ca="1" si="71"/>
        <v>0</v>
      </c>
      <c r="W441" s="163">
        <f t="shared" ca="1" si="72"/>
        <v>0</v>
      </c>
      <c r="X441" s="163">
        <f t="shared" ca="1" si="73"/>
        <v>0</v>
      </c>
      <c r="Y441" s="163">
        <f t="shared" ca="1" si="74"/>
        <v>0</v>
      </c>
    </row>
    <row r="442" spans="12:25" ht="14.4">
      <c r="L442" s="464"/>
      <c r="M442" s="129" t="str">
        <f t="shared" si="75"/>
        <v>end</v>
      </c>
      <c r="N442" s="161">
        <f t="shared" si="70"/>
        <v>2</v>
      </c>
      <c r="O442" s="160">
        <f t="shared" ca="1" si="76"/>
        <v>0</v>
      </c>
      <c r="P442" s="160">
        <f t="shared" ca="1" si="78"/>
        <v>0</v>
      </c>
      <c r="Q442" s="160">
        <f t="shared" ca="1" si="79"/>
        <v>0</v>
      </c>
      <c r="R442" s="160">
        <f t="shared" ca="1" si="79"/>
        <v>0</v>
      </c>
      <c r="S442" s="160">
        <f t="shared" ca="1" si="79"/>
        <v>0</v>
      </c>
      <c r="T442" s="160">
        <f t="shared" ca="1" si="77"/>
        <v>0</v>
      </c>
      <c r="U442" s="160">
        <f t="shared" ca="1" si="77"/>
        <v>0</v>
      </c>
      <c r="V442" s="163">
        <f t="shared" ca="1" si="71"/>
        <v>0</v>
      </c>
      <c r="W442" s="163">
        <f t="shared" ca="1" si="72"/>
        <v>0</v>
      </c>
      <c r="X442" s="163">
        <f t="shared" ca="1" si="73"/>
        <v>0</v>
      </c>
      <c r="Y442" s="163">
        <f t="shared" ca="1" si="74"/>
        <v>0</v>
      </c>
    </row>
    <row r="443" spans="12:25" ht="14.4">
      <c r="L443" s="464"/>
      <c r="M443" s="129" t="str">
        <f t="shared" si="75"/>
        <v>end</v>
      </c>
      <c r="N443" s="161">
        <f t="shared" si="70"/>
        <v>2</v>
      </c>
      <c r="O443" s="160">
        <f t="shared" ca="1" si="76"/>
        <v>0</v>
      </c>
      <c r="P443" s="160">
        <f t="shared" ca="1" si="78"/>
        <v>0</v>
      </c>
      <c r="Q443" s="160">
        <f t="shared" ca="1" si="79"/>
        <v>0</v>
      </c>
      <c r="R443" s="160">
        <f t="shared" ca="1" si="79"/>
        <v>0</v>
      </c>
      <c r="S443" s="160">
        <f t="shared" ca="1" si="79"/>
        <v>0</v>
      </c>
      <c r="T443" s="160">
        <f t="shared" ca="1" si="77"/>
        <v>0</v>
      </c>
      <c r="U443" s="160">
        <f t="shared" ca="1" si="77"/>
        <v>0</v>
      </c>
      <c r="V443" s="163">
        <f t="shared" ca="1" si="71"/>
        <v>0</v>
      </c>
      <c r="W443" s="163">
        <f t="shared" ca="1" si="72"/>
        <v>0</v>
      </c>
      <c r="X443" s="163">
        <f t="shared" ca="1" si="73"/>
        <v>0</v>
      </c>
      <c r="Y443" s="163">
        <f t="shared" ca="1" si="74"/>
        <v>0</v>
      </c>
    </row>
    <row r="444" spans="12:25" ht="14.4">
      <c r="L444" s="464"/>
      <c r="M444" s="129" t="str">
        <f t="shared" si="75"/>
        <v>end</v>
      </c>
      <c r="N444" s="161">
        <f t="shared" si="70"/>
        <v>2</v>
      </c>
      <c r="O444" s="160">
        <f t="shared" ca="1" si="76"/>
        <v>0</v>
      </c>
      <c r="P444" s="160">
        <f t="shared" ca="1" si="78"/>
        <v>0</v>
      </c>
      <c r="Q444" s="160">
        <f t="shared" ca="1" si="79"/>
        <v>0</v>
      </c>
      <c r="R444" s="160">
        <f t="shared" ca="1" si="79"/>
        <v>0</v>
      </c>
      <c r="S444" s="160">
        <f t="shared" ca="1" si="79"/>
        <v>0</v>
      </c>
      <c r="T444" s="160">
        <f t="shared" ca="1" si="77"/>
        <v>0</v>
      </c>
      <c r="U444" s="160">
        <f t="shared" ca="1" si="77"/>
        <v>0</v>
      </c>
      <c r="V444" s="163">
        <f t="shared" ca="1" si="71"/>
        <v>0</v>
      </c>
      <c r="W444" s="163">
        <f t="shared" ca="1" si="72"/>
        <v>0</v>
      </c>
      <c r="X444" s="163">
        <f t="shared" ca="1" si="73"/>
        <v>0</v>
      </c>
      <c r="Y444" s="163">
        <f t="shared" ca="1" si="74"/>
        <v>0</v>
      </c>
    </row>
    <row r="445" spans="12:25" ht="14.4">
      <c r="L445" s="464"/>
      <c r="M445" s="129" t="str">
        <f t="shared" si="75"/>
        <v>end</v>
      </c>
      <c r="N445" s="161">
        <f t="shared" si="70"/>
        <v>2</v>
      </c>
      <c r="O445" s="160">
        <f t="shared" ca="1" si="76"/>
        <v>0</v>
      </c>
      <c r="P445" s="160">
        <f t="shared" ca="1" si="78"/>
        <v>0</v>
      </c>
      <c r="Q445" s="160">
        <f t="shared" ca="1" si="79"/>
        <v>0</v>
      </c>
      <c r="R445" s="160">
        <f t="shared" ca="1" si="79"/>
        <v>0</v>
      </c>
      <c r="S445" s="160">
        <f t="shared" ca="1" si="79"/>
        <v>0</v>
      </c>
      <c r="T445" s="160">
        <f t="shared" ca="1" si="77"/>
        <v>0</v>
      </c>
      <c r="U445" s="160">
        <f t="shared" ca="1" si="77"/>
        <v>0</v>
      </c>
      <c r="V445" s="163">
        <f t="shared" ca="1" si="71"/>
        <v>0</v>
      </c>
      <c r="W445" s="163">
        <f t="shared" ca="1" si="72"/>
        <v>0</v>
      </c>
      <c r="X445" s="163">
        <f t="shared" ca="1" si="73"/>
        <v>0</v>
      </c>
      <c r="Y445" s="163">
        <f t="shared" ca="1" si="74"/>
        <v>0</v>
      </c>
    </row>
    <row r="446" spans="12:25" ht="14.4">
      <c r="L446" s="464"/>
      <c r="M446" s="129" t="str">
        <f t="shared" si="75"/>
        <v>end</v>
      </c>
      <c r="N446" s="161">
        <f t="shared" si="70"/>
        <v>2</v>
      </c>
      <c r="O446" s="160">
        <f t="shared" ca="1" si="76"/>
        <v>0</v>
      </c>
      <c r="P446" s="160">
        <f t="shared" ca="1" si="78"/>
        <v>0</v>
      </c>
      <c r="Q446" s="160">
        <f t="shared" ca="1" si="79"/>
        <v>0</v>
      </c>
      <c r="R446" s="160">
        <f t="shared" ca="1" si="79"/>
        <v>0</v>
      </c>
      <c r="S446" s="160">
        <f t="shared" ca="1" si="79"/>
        <v>0</v>
      </c>
      <c r="T446" s="160">
        <f t="shared" ca="1" si="77"/>
        <v>0</v>
      </c>
      <c r="U446" s="160">
        <f t="shared" ca="1" si="77"/>
        <v>0</v>
      </c>
      <c r="V446" s="163">
        <f t="shared" ca="1" si="71"/>
        <v>0</v>
      </c>
      <c r="W446" s="163">
        <f t="shared" ca="1" si="72"/>
        <v>0</v>
      </c>
      <c r="X446" s="163">
        <f t="shared" ca="1" si="73"/>
        <v>0</v>
      </c>
      <c r="Y446" s="163">
        <f t="shared" ca="1" si="74"/>
        <v>0</v>
      </c>
    </row>
    <row r="447" spans="12:25" ht="14.4">
      <c r="L447" s="464"/>
      <c r="M447" s="129" t="str">
        <f t="shared" si="75"/>
        <v>end</v>
      </c>
      <c r="N447" s="161">
        <f t="shared" si="70"/>
        <v>2</v>
      </c>
      <c r="O447" s="160">
        <f t="shared" ca="1" si="76"/>
        <v>0</v>
      </c>
      <c r="P447" s="160">
        <f t="shared" ca="1" si="78"/>
        <v>0</v>
      </c>
      <c r="Q447" s="160">
        <f t="shared" ca="1" si="79"/>
        <v>0</v>
      </c>
      <c r="R447" s="160">
        <f t="shared" ca="1" si="79"/>
        <v>0</v>
      </c>
      <c r="S447" s="160">
        <f t="shared" ca="1" si="79"/>
        <v>0</v>
      </c>
      <c r="T447" s="160">
        <f t="shared" ca="1" si="77"/>
        <v>0</v>
      </c>
      <c r="U447" s="160">
        <f t="shared" ca="1" si="77"/>
        <v>0</v>
      </c>
      <c r="V447" s="163">
        <f t="shared" ca="1" si="71"/>
        <v>0</v>
      </c>
      <c r="W447" s="163">
        <f t="shared" ca="1" si="72"/>
        <v>0</v>
      </c>
      <c r="X447" s="163">
        <f t="shared" ca="1" si="73"/>
        <v>0</v>
      </c>
      <c r="Y447" s="163">
        <f t="shared" ca="1" si="74"/>
        <v>0</v>
      </c>
    </row>
    <row r="448" spans="12:25" ht="14.4">
      <c r="L448" s="464"/>
      <c r="M448" s="129" t="str">
        <f t="shared" si="75"/>
        <v>end</v>
      </c>
      <c r="N448" s="161">
        <f t="shared" si="70"/>
        <v>2</v>
      </c>
      <c r="O448" s="160">
        <f t="shared" ca="1" si="76"/>
        <v>0</v>
      </c>
      <c r="P448" s="160">
        <f t="shared" ca="1" si="78"/>
        <v>0</v>
      </c>
      <c r="Q448" s="160">
        <f t="shared" ca="1" si="79"/>
        <v>0</v>
      </c>
      <c r="R448" s="160">
        <f t="shared" ca="1" si="79"/>
        <v>0</v>
      </c>
      <c r="S448" s="160">
        <f t="shared" ca="1" si="79"/>
        <v>0</v>
      </c>
      <c r="T448" s="160">
        <f t="shared" ca="1" si="77"/>
        <v>0</v>
      </c>
      <c r="U448" s="160">
        <f t="shared" ca="1" si="77"/>
        <v>0</v>
      </c>
      <c r="V448" s="163">
        <f t="shared" ca="1" si="71"/>
        <v>0</v>
      </c>
      <c r="W448" s="163">
        <f t="shared" ca="1" si="72"/>
        <v>0</v>
      </c>
      <c r="X448" s="163">
        <f t="shared" ca="1" si="73"/>
        <v>0</v>
      </c>
      <c r="Y448" s="163">
        <f t="shared" ca="1" si="74"/>
        <v>0</v>
      </c>
    </row>
    <row r="449" spans="12:25" ht="14.4">
      <c r="L449" s="464"/>
      <c r="M449" s="129" t="str">
        <f t="shared" si="75"/>
        <v>end</v>
      </c>
      <c r="N449" s="161">
        <f t="shared" si="70"/>
        <v>2</v>
      </c>
      <c r="O449" s="160">
        <f t="shared" ca="1" si="76"/>
        <v>0</v>
      </c>
      <c r="P449" s="160">
        <f t="shared" ca="1" si="78"/>
        <v>0</v>
      </c>
      <c r="Q449" s="160">
        <f t="shared" ca="1" si="79"/>
        <v>0</v>
      </c>
      <c r="R449" s="160">
        <f t="shared" ca="1" si="79"/>
        <v>0</v>
      </c>
      <c r="S449" s="160">
        <f t="shared" ca="1" si="79"/>
        <v>0</v>
      </c>
      <c r="T449" s="160">
        <f t="shared" ca="1" si="77"/>
        <v>0</v>
      </c>
      <c r="U449" s="160">
        <f t="shared" ca="1" si="77"/>
        <v>0</v>
      </c>
      <c r="V449" s="163">
        <f t="shared" ca="1" si="71"/>
        <v>0</v>
      </c>
      <c r="W449" s="163">
        <f t="shared" ca="1" si="72"/>
        <v>0</v>
      </c>
      <c r="X449" s="163">
        <f t="shared" ca="1" si="73"/>
        <v>0</v>
      </c>
      <c r="Y449" s="163">
        <f t="shared" ca="1" si="74"/>
        <v>0</v>
      </c>
    </row>
    <row r="450" spans="12:25" ht="14.4">
      <c r="L450" s="464"/>
      <c r="M450" s="129" t="str">
        <f t="shared" si="75"/>
        <v>end</v>
      </c>
      <c r="N450" s="161">
        <f t="shared" si="70"/>
        <v>2</v>
      </c>
      <c r="O450" s="160">
        <f t="shared" ca="1" si="76"/>
        <v>0</v>
      </c>
      <c r="P450" s="160">
        <f t="shared" ca="1" si="78"/>
        <v>0</v>
      </c>
      <c r="Q450" s="160">
        <f t="shared" ca="1" si="79"/>
        <v>0</v>
      </c>
      <c r="R450" s="160">
        <f t="shared" ca="1" si="79"/>
        <v>0</v>
      </c>
      <c r="S450" s="160">
        <f t="shared" ca="1" si="79"/>
        <v>0</v>
      </c>
      <c r="T450" s="160">
        <f t="shared" ca="1" si="77"/>
        <v>0</v>
      </c>
      <c r="U450" s="160">
        <f t="shared" ca="1" si="77"/>
        <v>0</v>
      </c>
      <c r="V450" s="163">
        <f t="shared" ca="1" si="71"/>
        <v>0</v>
      </c>
      <c r="W450" s="163">
        <f t="shared" ca="1" si="72"/>
        <v>0</v>
      </c>
      <c r="X450" s="163">
        <f t="shared" ca="1" si="73"/>
        <v>0</v>
      </c>
      <c r="Y450" s="163">
        <f t="shared" ca="1" si="74"/>
        <v>0</v>
      </c>
    </row>
    <row r="451" spans="12:25" ht="14.4">
      <c r="L451" s="464"/>
      <c r="M451" s="129" t="str">
        <f t="shared" si="75"/>
        <v>end</v>
      </c>
      <c r="N451" s="161">
        <f t="shared" si="70"/>
        <v>2</v>
      </c>
      <c r="O451" s="160">
        <f t="shared" ca="1" si="76"/>
        <v>0</v>
      </c>
      <c r="P451" s="160">
        <f t="shared" ca="1" si="78"/>
        <v>0</v>
      </c>
      <c r="Q451" s="160">
        <f t="shared" ca="1" si="79"/>
        <v>0</v>
      </c>
      <c r="R451" s="160">
        <f t="shared" ca="1" si="79"/>
        <v>0</v>
      </c>
      <c r="S451" s="160">
        <f t="shared" ca="1" si="79"/>
        <v>0</v>
      </c>
      <c r="T451" s="160">
        <f t="shared" ca="1" si="77"/>
        <v>0</v>
      </c>
      <c r="U451" s="160">
        <f t="shared" ca="1" si="77"/>
        <v>0</v>
      </c>
      <c r="V451" s="163">
        <f t="shared" ca="1" si="71"/>
        <v>0</v>
      </c>
      <c r="W451" s="163">
        <f t="shared" ca="1" si="72"/>
        <v>0</v>
      </c>
      <c r="X451" s="163">
        <f t="shared" ca="1" si="73"/>
        <v>0</v>
      </c>
      <c r="Y451" s="163">
        <f t="shared" ca="1" si="74"/>
        <v>0</v>
      </c>
    </row>
    <row r="452" spans="12:25" ht="14.4">
      <c r="L452" s="464"/>
      <c r="M452" s="129" t="str">
        <f t="shared" si="75"/>
        <v>end</v>
      </c>
      <c r="N452" s="161">
        <f t="shared" si="70"/>
        <v>2</v>
      </c>
      <c r="O452" s="160">
        <f t="shared" ca="1" si="76"/>
        <v>0</v>
      </c>
      <c r="P452" s="160">
        <f t="shared" ca="1" si="78"/>
        <v>0</v>
      </c>
      <c r="Q452" s="160">
        <f t="shared" ca="1" si="79"/>
        <v>0</v>
      </c>
      <c r="R452" s="160">
        <f t="shared" ca="1" si="79"/>
        <v>0</v>
      </c>
      <c r="S452" s="160">
        <f t="shared" ca="1" si="79"/>
        <v>0</v>
      </c>
      <c r="T452" s="160">
        <f t="shared" ca="1" si="77"/>
        <v>0</v>
      </c>
      <c r="U452" s="160">
        <f t="shared" ca="1" si="77"/>
        <v>0</v>
      </c>
      <c r="V452" s="163">
        <f t="shared" ca="1" si="71"/>
        <v>0</v>
      </c>
      <c r="W452" s="163">
        <f t="shared" ca="1" si="72"/>
        <v>0</v>
      </c>
      <c r="X452" s="163">
        <f t="shared" ca="1" si="73"/>
        <v>0</v>
      </c>
      <c r="Y452" s="163">
        <f t="shared" ca="1" si="74"/>
        <v>0</v>
      </c>
    </row>
    <row r="453" spans="12:25" ht="14.4">
      <c r="L453" s="464"/>
      <c r="M453" s="129" t="str">
        <f t="shared" si="75"/>
        <v>end</v>
      </c>
      <c r="N453" s="161">
        <f t="shared" si="70"/>
        <v>2</v>
      </c>
      <c r="O453" s="160">
        <f t="shared" ca="1" si="76"/>
        <v>0</v>
      </c>
      <c r="P453" s="160">
        <f t="shared" ca="1" si="78"/>
        <v>0</v>
      </c>
      <c r="Q453" s="160">
        <f t="shared" ca="1" si="79"/>
        <v>0</v>
      </c>
      <c r="R453" s="160">
        <f t="shared" ca="1" si="79"/>
        <v>0</v>
      </c>
      <c r="S453" s="160">
        <f t="shared" ca="1" si="79"/>
        <v>0</v>
      </c>
      <c r="T453" s="160">
        <f t="shared" ca="1" si="77"/>
        <v>0</v>
      </c>
      <c r="U453" s="160">
        <f t="shared" ca="1" si="77"/>
        <v>0</v>
      </c>
      <c r="V453" s="163">
        <f t="shared" ca="1" si="71"/>
        <v>0</v>
      </c>
      <c r="W453" s="163">
        <f t="shared" ca="1" si="72"/>
        <v>0</v>
      </c>
      <c r="X453" s="163">
        <f t="shared" ca="1" si="73"/>
        <v>0</v>
      </c>
      <c r="Y453" s="163">
        <f t="shared" ca="1" si="74"/>
        <v>0</v>
      </c>
    </row>
    <row r="454" spans="12:25" ht="14.4">
      <c r="L454" s="464"/>
      <c r="M454" s="129" t="str">
        <f t="shared" si="75"/>
        <v>end</v>
      </c>
      <c r="N454" s="161">
        <f t="shared" si="70"/>
        <v>2</v>
      </c>
      <c r="O454" s="160">
        <f t="shared" ca="1" si="76"/>
        <v>0</v>
      </c>
      <c r="P454" s="160">
        <f t="shared" ca="1" si="78"/>
        <v>0</v>
      </c>
      <c r="Q454" s="160">
        <f t="shared" ca="1" si="79"/>
        <v>0</v>
      </c>
      <c r="R454" s="160">
        <f t="shared" ca="1" si="79"/>
        <v>0</v>
      </c>
      <c r="S454" s="160">
        <f t="shared" ca="1" si="79"/>
        <v>0</v>
      </c>
      <c r="T454" s="160">
        <f t="shared" ca="1" si="77"/>
        <v>0</v>
      </c>
      <c r="U454" s="160">
        <f t="shared" ca="1" si="77"/>
        <v>0</v>
      </c>
      <c r="V454" s="163">
        <f t="shared" ca="1" si="71"/>
        <v>0</v>
      </c>
      <c r="W454" s="163">
        <f t="shared" ca="1" si="72"/>
        <v>0</v>
      </c>
      <c r="X454" s="163">
        <f t="shared" ca="1" si="73"/>
        <v>0</v>
      </c>
      <c r="Y454" s="163">
        <f t="shared" ca="1" si="74"/>
        <v>0</v>
      </c>
    </row>
    <row r="455" spans="12:25" ht="14.4">
      <c r="L455" s="464"/>
      <c r="M455" s="129" t="str">
        <f t="shared" si="75"/>
        <v>end</v>
      </c>
      <c r="N455" s="161">
        <f t="shared" si="70"/>
        <v>2</v>
      </c>
      <c r="O455" s="160">
        <f t="shared" ca="1" si="76"/>
        <v>0</v>
      </c>
      <c r="P455" s="160">
        <f t="shared" ca="1" si="78"/>
        <v>0</v>
      </c>
      <c r="Q455" s="160">
        <f t="shared" ca="1" si="79"/>
        <v>0</v>
      </c>
      <c r="R455" s="160">
        <f t="shared" ca="1" si="79"/>
        <v>0</v>
      </c>
      <c r="S455" s="160">
        <f t="shared" ca="1" si="79"/>
        <v>0</v>
      </c>
      <c r="T455" s="160">
        <f t="shared" ca="1" si="77"/>
        <v>0</v>
      </c>
      <c r="U455" s="160">
        <f t="shared" ca="1" si="77"/>
        <v>0</v>
      </c>
      <c r="V455" s="163">
        <f t="shared" ca="1" si="71"/>
        <v>0</v>
      </c>
      <c r="W455" s="163">
        <f t="shared" ca="1" si="72"/>
        <v>0</v>
      </c>
      <c r="X455" s="163">
        <f t="shared" ca="1" si="73"/>
        <v>0</v>
      </c>
      <c r="Y455" s="163">
        <f t="shared" ca="1" si="74"/>
        <v>0</v>
      </c>
    </row>
    <row r="456" spans="12:25" ht="14.4">
      <c r="L456" s="464"/>
      <c r="M456" s="129" t="str">
        <f t="shared" si="75"/>
        <v>end</v>
      </c>
      <c r="N456" s="161">
        <f t="shared" si="70"/>
        <v>2</v>
      </c>
      <c r="O456" s="160">
        <f t="shared" ca="1" si="76"/>
        <v>0</v>
      </c>
      <c r="P456" s="160">
        <f t="shared" ca="1" si="78"/>
        <v>0</v>
      </c>
      <c r="Q456" s="160">
        <f t="shared" ca="1" si="79"/>
        <v>0</v>
      </c>
      <c r="R456" s="160">
        <f t="shared" ca="1" si="79"/>
        <v>0</v>
      </c>
      <c r="S456" s="160">
        <f t="shared" ca="1" si="79"/>
        <v>0</v>
      </c>
      <c r="T456" s="160">
        <f t="shared" ca="1" si="77"/>
        <v>0</v>
      </c>
      <c r="U456" s="160">
        <f t="shared" ca="1" si="77"/>
        <v>0</v>
      </c>
      <c r="V456" s="163">
        <f t="shared" ca="1" si="71"/>
        <v>0</v>
      </c>
      <c r="W456" s="163">
        <f t="shared" ca="1" si="72"/>
        <v>0</v>
      </c>
      <c r="X456" s="163">
        <f t="shared" ca="1" si="73"/>
        <v>0</v>
      </c>
      <c r="Y456" s="163">
        <f t="shared" ca="1" si="74"/>
        <v>0</v>
      </c>
    </row>
    <row r="457" spans="12:25" ht="14.4">
      <c r="L457" s="464"/>
      <c r="M457" s="129" t="str">
        <f t="shared" si="75"/>
        <v>end</v>
      </c>
      <c r="N457" s="161">
        <f t="shared" si="70"/>
        <v>2</v>
      </c>
      <c r="O457" s="160">
        <f t="shared" ca="1" si="76"/>
        <v>0</v>
      </c>
      <c r="P457" s="160">
        <f t="shared" ca="1" si="78"/>
        <v>0</v>
      </c>
      <c r="Q457" s="160">
        <f t="shared" ca="1" si="79"/>
        <v>0</v>
      </c>
      <c r="R457" s="160">
        <f t="shared" ca="1" si="79"/>
        <v>0</v>
      </c>
      <c r="S457" s="160">
        <f t="shared" ca="1" si="79"/>
        <v>0</v>
      </c>
      <c r="T457" s="160">
        <f t="shared" ca="1" si="77"/>
        <v>0</v>
      </c>
      <c r="U457" s="160">
        <f t="shared" ca="1" si="77"/>
        <v>0</v>
      </c>
      <c r="V457" s="163">
        <f t="shared" ca="1" si="71"/>
        <v>0</v>
      </c>
      <c r="W457" s="163">
        <f t="shared" ca="1" si="72"/>
        <v>0</v>
      </c>
      <c r="X457" s="163">
        <f t="shared" ca="1" si="73"/>
        <v>0</v>
      </c>
      <c r="Y457" s="163">
        <f t="shared" ca="1" si="74"/>
        <v>0</v>
      </c>
    </row>
    <row r="458" spans="12:25" ht="14.4">
      <c r="L458" s="464"/>
      <c r="M458" s="129" t="str">
        <f t="shared" si="75"/>
        <v>end</v>
      </c>
      <c r="N458" s="161">
        <f t="shared" si="70"/>
        <v>2</v>
      </c>
      <c r="O458" s="160">
        <f t="shared" ca="1" si="76"/>
        <v>0</v>
      </c>
      <c r="P458" s="160">
        <f t="shared" ca="1" si="78"/>
        <v>0</v>
      </c>
      <c r="Q458" s="160">
        <f t="shared" ca="1" si="79"/>
        <v>0</v>
      </c>
      <c r="R458" s="160">
        <f t="shared" ca="1" si="79"/>
        <v>0</v>
      </c>
      <c r="S458" s="160">
        <f t="shared" ca="1" si="79"/>
        <v>0</v>
      </c>
      <c r="T458" s="160">
        <f t="shared" ca="1" si="77"/>
        <v>0</v>
      </c>
      <c r="U458" s="160">
        <f t="shared" ca="1" si="77"/>
        <v>0</v>
      </c>
      <c r="V458" s="163">
        <f t="shared" ca="1" si="71"/>
        <v>0</v>
      </c>
      <c r="W458" s="163">
        <f t="shared" ca="1" si="72"/>
        <v>0</v>
      </c>
      <c r="X458" s="163">
        <f t="shared" ca="1" si="73"/>
        <v>0</v>
      </c>
      <c r="Y458" s="163">
        <f t="shared" ca="1" si="74"/>
        <v>0</v>
      </c>
    </row>
    <row r="459" spans="12:25" ht="14.4">
      <c r="L459" s="464"/>
      <c r="M459" s="129" t="str">
        <f t="shared" si="75"/>
        <v>end</v>
      </c>
      <c r="N459" s="161">
        <f t="shared" si="70"/>
        <v>2</v>
      </c>
      <c r="O459" s="160">
        <f t="shared" ca="1" si="76"/>
        <v>0</v>
      </c>
      <c r="P459" s="160">
        <f t="shared" ca="1" si="78"/>
        <v>0</v>
      </c>
      <c r="Q459" s="160">
        <f t="shared" ca="1" si="79"/>
        <v>0</v>
      </c>
      <c r="R459" s="160">
        <f t="shared" ca="1" si="79"/>
        <v>0</v>
      </c>
      <c r="S459" s="160">
        <f t="shared" ca="1" si="79"/>
        <v>0</v>
      </c>
      <c r="T459" s="160">
        <f t="shared" ca="1" si="77"/>
        <v>0</v>
      </c>
      <c r="U459" s="160">
        <f t="shared" ca="1" si="77"/>
        <v>0</v>
      </c>
      <c r="V459" s="163">
        <f t="shared" ca="1" si="71"/>
        <v>0</v>
      </c>
      <c r="W459" s="163">
        <f t="shared" ca="1" si="72"/>
        <v>0</v>
      </c>
      <c r="X459" s="163">
        <f t="shared" ca="1" si="73"/>
        <v>0</v>
      </c>
      <c r="Y459" s="163">
        <f t="shared" ca="1" si="74"/>
        <v>0</v>
      </c>
    </row>
    <row r="460" spans="12:25" ht="14.4">
      <c r="L460" s="464"/>
      <c r="M460" s="129" t="str">
        <f t="shared" si="75"/>
        <v>end</v>
      </c>
      <c r="N460" s="161">
        <f t="shared" si="70"/>
        <v>2</v>
      </c>
      <c r="O460" s="160">
        <f t="shared" ca="1" si="76"/>
        <v>0</v>
      </c>
      <c r="P460" s="160">
        <f t="shared" ca="1" si="78"/>
        <v>0</v>
      </c>
      <c r="Q460" s="160">
        <f t="shared" ca="1" si="79"/>
        <v>0</v>
      </c>
      <c r="R460" s="160">
        <f t="shared" ca="1" si="79"/>
        <v>0</v>
      </c>
      <c r="S460" s="160">
        <f t="shared" ca="1" si="79"/>
        <v>0</v>
      </c>
      <c r="T460" s="160">
        <f t="shared" ca="1" si="77"/>
        <v>0</v>
      </c>
      <c r="U460" s="160">
        <f t="shared" ca="1" si="77"/>
        <v>0</v>
      </c>
      <c r="V460" s="163">
        <f t="shared" ca="1" si="71"/>
        <v>0</v>
      </c>
      <c r="W460" s="163">
        <f t="shared" ca="1" si="72"/>
        <v>0</v>
      </c>
      <c r="X460" s="163">
        <f t="shared" ca="1" si="73"/>
        <v>0</v>
      </c>
      <c r="Y460" s="163">
        <f t="shared" ca="1" si="74"/>
        <v>0</v>
      </c>
    </row>
    <row r="461" spans="12:25" ht="14.4">
      <c r="L461" s="464"/>
      <c r="M461" s="129" t="str">
        <f t="shared" si="75"/>
        <v>end</v>
      </c>
      <c r="N461" s="161">
        <f t="shared" si="70"/>
        <v>2</v>
      </c>
      <c r="O461" s="160">
        <f t="shared" ca="1" si="76"/>
        <v>0</v>
      </c>
      <c r="P461" s="160">
        <f t="shared" ca="1" si="78"/>
        <v>0</v>
      </c>
      <c r="Q461" s="160">
        <f t="shared" ca="1" si="79"/>
        <v>0</v>
      </c>
      <c r="R461" s="160">
        <f t="shared" ca="1" si="79"/>
        <v>0</v>
      </c>
      <c r="S461" s="160">
        <f t="shared" ca="1" si="79"/>
        <v>0</v>
      </c>
      <c r="T461" s="160">
        <f t="shared" ca="1" si="77"/>
        <v>0</v>
      </c>
      <c r="U461" s="160">
        <f t="shared" ca="1" si="77"/>
        <v>0</v>
      </c>
      <c r="V461" s="163">
        <f t="shared" ca="1" si="71"/>
        <v>0</v>
      </c>
      <c r="W461" s="163">
        <f t="shared" ca="1" si="72"/>
        <v>0</v>
      </c>
      <c r="X461" s="163">
        <f t="shared" ca="1" si="73"/>
        <v>0</v>
      </c>
      <c r="Y461" s="163">
        <f t="shared" ca="1" si="74"/>
        <v>0</v>
      </c>
    </row>
    <row r="462" spans="12:25" ht="14.4">
      <c r="L462" s="464"/>
      <c r="M462" s="129" t="str">
        <f t="shared" si="75"/>
        <v>end</v>
      </c>
      <c r="N462" s="161">
        <f t="shared" si="70"/>
        <v>2</v>
      </c>
      <c r="O462" s="160">
        <f t="shared" ca="1" si="76"/>
        <v>0</v>
      </c>
      <c r="P462" s="160">
        <f t="shared" ca="1" si="78"/>
        <v>0</v>
      </c>
      <c r="Q462" s="160">
        <f t="shared" ca="1" si="79"/>
        <v>0</v>
      </c>
      <c r="R462" s="160">
        <f t="shared" ca="1" si="79"/>
        <v>0</v>
      </c>
      <c r="S462" s="160">
        <f t="shared" ca="1" si="79"/>
        <v>0</v>
      </c>
      <c r="T462" s="160">
        <f t="shared" ca="1" si="77"/>
        <v>0</v>
      </c>
      <c r="U462" s="160">
        <f t="shared" ca="1" si="77"/>
        <v>0</v>
      </c>
      <c r="V462" s="163">
        <f t="shared" ca="1" si="71"/>
        <v>0</v>
      </c>
      <c r="W462" s="163">
        <f t="shared" ca="1" si="72"/>
        <v>0</v>
      </c>
      <c r="X462" s="163">
        <f t="shared" ca="1" si="73"/>
        <v>0</v>
      </c>
      <c r="Y462" s="163">
        <f t="shared" ca="1" si="74"/>
        <v>0</v>
      </c>
    </row>
    <row r="463" spans="12:25" ht="14.4">
      <c r="L463" s="464"/>
      <c r="M463" s="129" t="str">
        <f t="shared" si="75"/>
        <v>end</v>
      </c>
      <c r="N463" s="161">
        <f t="shared" si="70"/>
        <v>2</v>
      </c>
      <c r="O463" s="160">
        <f t="shared" ca="1" si="76"/>
        <v>0</v>
      </c>
      <c r="P463" s="160">
        <f t="shared" ca="1" si="78"/>
        <v>0</v>
      </c>
      <c r="Q463" s="160">
        <f t="shared" ca="1" si="79"/>
        <v>0</v>
      </c>
      <c r="R463" s="160">
        <f t="shared" ca="1" si="79"/>
        <v>0</v>
      </c>
      <c r="S463" s="160">
        <f t="shared" ca="1" si="79"/>
        <v>0</v>
      </c>
      <c r="T463" s="160">
        <f t="shared" ca="1" si="77"/>
        <v>0</v>
      </c>
      <c r="U463" s="160">
        <f t="shared" ca="1" si="77"/>
        <v>0</v>
      </c>
      <c r="V463" s="163">
        <f t="shared" ca="1" si="71"/>
        <v>0</v>
      </c>
      <c r="W463" s="163">
        <f t="shared" ca="1" si="72"/>
        <v>0</v>
      </c>
      <c r="X463" s="163">
        <f t="shared" ca="1" si="73"/>
        <v>0</v>
      </c>
      <c r="Y463" s="163">
        <f t="shared" ca="1" si="74"/>
        <v>0</v>
      </c>
    </row>
    <row r="464" spans="12:25" ht="14.4">
      <c r="L464" s="464"/>
      <c r="M464" s="129" t="str">
        <f t="shared" si="75"/>
        <v>end</v>
      </c>
      <c r="N464" s="161">
        <f t="shared" si="70"/>
        <v>2</v>
      </c>
      <c r="O464" s="160">
        <f t="shared" ca="1" si="76"/>
        <v>0</v>
      </c>
      <c r="P464" s="160">
        <f t="shared" ca="1" si="78"/>
        <v>0</v>
      </c>
      <c r="Q464" s="160">
        <f t="shared" ca="1" si="79"/>
        <v>0</v>
      </c>
      <c r="R464" s="160">
        <f t="shared" ca="1" si="79"/>
        <v>0</v>
      </c>
      <c r="S464" s="160">
        <f t="shared" ca="1" si="79"/>
        <v>0</v>
      </c>
      <c r="T464" s="160">
        <f t="shared" ca="1" si="77"/>
        <v>0</v>
      </c>
      <c r="U464" s="160">
        <f t="shared" ca="1" si="77"/>
        <v>0</v>
      </c>
      <c r="V464" s="163">
        <f t="shared" ca="1" si="71"/>
        <v>0</v>
      </c>
      <c r="W464" s="163">
        <f t="shared" ca="1" si="72"/>
        <v>0</v>
      </c>
      <c r="X464" s="163">
        <f t="shared" ca="1" si="73"/>
        <v>0</v>
      </c>
      <c r="Y464" s="163">
        <f t="shared" ca="1" si="74"/>
        <v>0</v>
      </c>
    </row>
    <row r="465" spans="12:25" ht="14.4">
      <c r="L465" s="464"/>
      <c r="M465" s="129" t="str">
        <f t="shared" si="75"/>
        <v>end</v>
      </c>
      <c r="N465" s="161">
        <f t="shared" si="70"/>
        <v>2</v>
      </c>
      <c r="O465" s="160">
        <f t="shared" ca="1" si="76"/>
        <v>0</v>
      </c>
      <c r="P465" s="160">
        <f t="shared" ca="1" si="78"/>
        <v>0</v>
      </c>
      <c r="Q465" s="160">
        <f t="shared" ca="1" si="79"/>
        <v>0</v>
      </c>
      <c r="R465" s="160">
        <f t="shared" ca="1" si="79"/>
        <v>0</v>
      </c>
      <c r="S465" s="160">
        <f t="shared" ca="1" si="79"/>
        <v>0</v>
      </c>
      <c r="T465" s="160">
        <f t="shared" ca="1" si="77"/>
        <v>0</v>
      </c>
      <c r="U465" s="160">
        <f t="shared" ca="1" si="77"/>
        <v>0</v>
      </c>
      <c r="V465" s="163">
        <f t="shared" ca="1" si="71"/>
        <v>0</v>
      </c>
      <c r="W465" s="163">
        <f t="shared" ca="1" si="72"/>
        <v>0</v>
      </c>
      <c r="X465" s="163">
        <f t="shared" ca="1" si="73"/>
        <v>0</v>
      </c>
      <c r="Y465" s="163">
        <f t="shared" ca="1" si="74"/>
        <v>0</v>
      </c>
    </row>
    <row r="466" spans="12:25" ht="14.4">
      <c r="L466" s="464"/>
      <c r="M466" s="129" t="str">
        <f t="shared" si="75"/>
        <v>end</v>
      </c>
      <c r="N466" s="161">
        <f t="shared" ref="N466:N529" si="80">N465</f>
        <v>2</v>
      </c>
      <c r="O466" s="160">
        <f t="shared" ca="1" si="76"/>
        <v>0</v>
      </c>
      <c r="P466" s="160">
        <f t="shared" ca="1" si="78"/>
        <v>0</v>
      </c>
      <c r="Q466" s="160">
        <f t="shared" ca="1" si="79"/>
        <v>0</v>
      </c>
      <c r="R466" s="160">
        <f t="shared" ca="1" si="79"/>
        <v>0</v>
      </c>
      <c r="S466" s="160">
        <f t="shared" ca="1" si="79"/>
        <v>0</v>
      </c>
      <c r="T466" s="160">
        <f t="shared" ca="1" si="77"/>
        <v>0</v>
      </c>
      <c r="U466" s="160">
        <f t="shared" ca="1" si="77"/>
        <v>0</v>
      </c>
      <c r="V466" s="163">
        <f t="shared" ca="1" si="71"/>
        <v>0</v>
      </c>
      <c r="W466" s="163">
        <f t="shared" ca="1" si="72"/>
        <v>0</v>
      </c>
      <c r="X466" s="163">
        <f t="shared" ca="1" si="73"/>
        <v>0</v>
      </c>
      <c r="Y466" s="163">
        <f t="shared" ca="1" si="74"/>
        <v>0</v>
      </c>
    </row>
    <row r="467" spans="12:25" ht="14.4">
      <c r="L467" s="464"/>
      <c r="M467" s="129" t="str">
        <f t="shared" si="75"/>
        <v>end</v>
      </c>
      <c r="N467" s="161">
        <f t="shared" si="80"/>
        <v>2</v>
      </c>
      <c r="O467" s="160">
        <f t="shared" ca="1" si="76"/>
        <v>0</v>
      </c>
      <c r="P467" s="160">
        <f t="shared" ca="1" si="78"/>
        <v>0</v>
      </c>
      <c r="Q467" s="160">
        <f t="shared" ca="1" si="79"/>
        <v>0</v>
      </c>
      <c r="R467" s="160">
        <f t="shared" ca="1" si="79"/>
        <v>0</v>
      </c>
      <c r="S467" s="160">
        <f t="shared" ca="1" si="79"/>
        <v>0</v>
      </c>
      <c r="T467" s="160">
        <f t="shared" ca="1" si="77"/>
        <v>0</v>
      </c>
      <c r="U467" s="160">
        <f t="shared" ca="1" si="77"/>
        <v>0</v>
      </c>
      <c r="V467" s="163">
        <f t="shared" ca="1" si="71"/>
        <v>0</v>
      </c>
      <c r="W467" s="163">
        <f t="shared" ca="1" si="72"/>
        <v>0</v>
      </c>
      <c r="X467" s="163">
        <f t="shared" ca="1" si="73"/>
        <v>0</v>
      </c>
      <c r="Y467" s="163">
        <f t="shared" ca="1" si="74"/>
        <v>0</v>
      </c>
    </row>
    <row r="468" spans="12:25" ht="14.4">
      <c r="L468" s="464"/>
      <c r="M468" s="129" t="str">
        <f t="shared" si="75"/>
        <v>end</v>
      </c>
      <c r="N468" s="161">
        <f t="shared" si="80"/>
        <v>2</v>
      </c>
      <c r="O468" s="160">
        <f t="shared" ca="1" si="76"/>
        <v>0</v>
      </c>
      <c r="P468" s="160">
        <f t="shared" ca="1" si="78"/>
        <v>0</v>
      </c>
      <c r="Q468" s="160">
        <f t="shared" ca="1" si="79"/>
        <v>0</v>
      </c>
      <c r="R468" s="160">
        <f t="shared" ca="1" si="79"/>
        <v>0</v>
      </c>
      <c r="S468" s="160">
        <f t="shared" ca="1" si="79"/>
        <v>0</v>
      </c>
      <c r="T468" s="160">
        <f t="shared" ca="1" si="77"/>
        <v>0</v>
      </c>
      <c r="U468" s="160">
        <f t="shared" ca="1" si="77"/>
        <v>0</v>
      </c>
      <c r="V468" s="163">
        <f t="shared" ca="1" si="71"/>
        <v>0</v>
      </c>
      <c r="W468" s="163">
        <f t="shared" ca="1" si="72"/>
        <v>0</v>
      </c>
      <c r="X468" s="163">
        <f t="shared" ca="1" si="73"/>
        <v>0</v>
      </c>
      <c r="Y468" s="163">
        <f t="shared" ca="1" si="74"/>
        <v>0</v>
      </c>
    </row>
    <row r="469" spans="12:25" ht="14.4">
      <c r="L469" s="464"/>
      <c r="M469" s="129" t="str">
        <f t="shared" si="75"/>
        <v>end</v>
      </c>
      <c r="N469" s="161">
        <f t="shared" si="80"/>
        <v>2</v>
      </c>
      <c r="O469" s="160">
        <f t="shared" ca="1" si="76"/>
        <v>0</v>
      </c>
      <c r="P469" s="160">
        <f t="shared" ca="1" si="78"/>
        <v>0</v>
      </c>
      <c r="Q469" s="160">
        <f t="shared" ca="1" si="79"/>
        <v>0</v>
      </c>
      <c r="R469" s="160">
        <f t="shared" ca="1" si="79"/>
        <v>0</v>
      </c>
      <c r="S469" s="160">
        <f t="shared" ca="1" si="79"/>
        <v>0</v>
      </c>
      <c r="T469" s="160">
        <f t="shared" ca="1" si="77"/>
        <v>0</v>
      </c>
      <c r="U469" s="160">
        <f t="shared" ca="1" si="77"/>
        <v>0</v>
      </c>
      <c r="V469" s="163">
        <f t="shared" ca="1" si="71"/>
        <v>0</v>
      </c>
      <c r="W469" s="163">
        <f t="shared" ca="1" si="72"/>
        <v>0</v>
      </c>
      <c r="X469" s="163">
        <f t="shared" ca="1" si="73"/>
        <v>0</v>
      </c>
      <c r="Y469" s="163">
        <f t="shared" ca="1" si="74"/>
        <v>0</v>
      </c>
    </row>
    <row r="470" spans="12:25" ht="14.4">
      <c r="L470" s="464"/>
      <c r="M470" s="129" t="str">
        <f t="shared" si="75"/>
        <v>end</v>
      </c>
      <c r="N470" s="161">
        <f t="shared" si="80"/>
        <v>2</v>
      </c>
      <c r="O470" s="160">
        <f t="shared" ca="1" si="76"/>
        <v>0</v>
      </c>
      <c r="P470" s="160">
        <f t="shared" ca="1" si="78"/>
        <v>0</v>
      </c>
      <c r="Q470" s="160">
        <f t="shared" ca="1" si="79"/>
        <v>0</v>
      </c>
      <c r="R470" s="160">
        <f t="shared" ca="1" si="79"/>
        <v>0</v>
      </c>
      <c r="S470" s="160">
        <f t="shared" ca="1" si="79"/>
        <v>0</v>
      </c>
      <c r="T470" s="160">
        <f t="shared" ca="1" si="77"/>
        <v>0</v>
      </c>
      <c r="U470" s="160">
        <f t="shared" ca="1" si="77"/>
        <v>0</v>
      </c>
      <c r="V470" s="163">
        <f t="shared" ca="1" si="71"/>
        <v>0</v>
      </c>
      <c r="W470" s="163">
        <f t="shared" ca="1" si="72"/>
        <v>0</v>
      </c>
      <c r="X470" s="163">
        <f t="shared" ca="1" si="73"/>
        <v>0</v>
      </c>
      <c r="Y470" s="163">
        <f t="shared" ca="1" si="74"/>
        <v>0</v>
      </c>
    </row>
    <row r="471" spans="12:25" ht="14.4">
      <c r="L471" s="464"/>
      <c r="M471" s="129" t="str">
        <f t="shared" si="75"/>
        <v>end</v>
      </c>
      <c r="N471" s="161">
        <f t="shared" si="80"/>
        <v>2</v>
      </c>
      <c r="O471" s="160">
        <f t="shared" ca="1" si="76"/>
        <v>0</v>
      </c>
      <c r="P471" s="160">
        <f t="shared" ca="1" si="78"/>
        <v>0</v>
      </c>
      <c r="Q471" s="160">
        <f t="shared" ca="1" si="79"/>
        <v>0</v>
      </c>
      <c r="R471" s="160">
        <f t="shared" ca="1" si="79"/>
        <v>0</v>
      </c>
      <c r="S471" s="160">
        <f t="shared" ca="1" si="79"/>
        <v>0</v>
      </c>
      <c r="T471" s="160">
        <f t="shared" ca="1" si="77"/>
        <v>0</v>
      </c>
      <c r="U471" s="160">
        <f t="shared" ca="1" si="77"/>
        <v>0</v>
      </c>
      <c r="V471" s="163">
        <f t="shared" ca="1" si="71"/>
        <v>0</v>
      </c>
      <c r="W471" s="163">
        <f t="shared" ca="1" si="72"/>
        <v>0</v>
      </c>
      <c r="X471" s="163">
        <f t="shared" ca="1" si="73"/>
        <v>0</v>
      </c>
      <c r="Y471" s="163">
        <f t="shared" ca="1" si="74"/>
        <v>0</v>
      </c>
    </row>
    <row r="472" spans="12:25" ht="14.4">
      <c r="L472" s="464"/>
      <c r="M472" s="129" t="str">
        <f t="shared" si="75"/>
        <v>end</v>
      </c>
      <c r="N472" s="161">
        <f t="shared" si="80"/>
        <v>2</v>
      </c>
      <c r="O472" s="160">
        <f t="shared" ca="1" si="76"/>
        <v>0</v>
      </c>
      <c r="P472" s="160">
        <f t="shared" ca="1" si="78"/>
        <v>0</v>
      </c>
      <c r="Q472" s="160">
        <f t="shared" ca="1" si="79"/>
        <v>0</v>
      </c>
      <c r="R472" s="160">
        <f t="shared" ca="1" si="79"/>
        <v>0</v>
      </c>
      <c r="S472" s="160">
        <f t="shared" ca="1" si="79"/>
        <v>0</v>
      </c>
      <c r="T472" s="160">
        <f t="shared" ca="1" si="77"/>
        <v>0</v>
      </c>
      <c r="U472" s="160">
        <f t="shared" ca="1" si="77"/>
        <v>0</v>
      </c>
      <c r="V472" s="163">
        <f t="shared" ca="1" si="71"/>
        <v>0</v>
      </c>
      <c r="W472" s="163">
        <f t="shared" ca="1" si="72"/>
        <v>0</v>
      </c>
      <c r="X472" s="163">
        <f t="shared" ca="1" si="73"/>
        <v>0</v>
      </c>
      <c r="Y472" s="163">
        <f t="shared" ca="1" si="74"/>
        <v>0</v>
      </c>
    </row>
    <row r="473" spans="12:25" ht="14.4">
      <c r="L473" s="464"/>
      <c r="M473" s="129" t="str">
        <f t="shared" si="75"/>
        <v>end</v>
      </c>
      <c r="N473" s="161">
        <f t="shared" si="80"/>
        <v>2</v>
      </c>
      <c r="O473" s="160">
        <f t="shared" ca="1" si="76"/>
        <v>0</v>
      </c>
      <c r="P473" s="160">
        <f t="shared" ca="1" si="78"/>
        <v>0</v>
      </c>
      <c r="Q473" s="160">
        <f t="shared" ca="1" si="79"/>
        <v>0</v>
      </c>
      <c r="R473" s="160">
        <f t="shared" ca="1" si="79"/>
        <v>0</v>
      </c>
      <c r="S473" s="160">
        <f t="shared" ca="1" si="79"/>
        <v>0</v>
      </c>
      <c r="T473" s="160">
        <f t="shared" ca="1" si="77"/>
        <v>0</v>
      </c>
      <c r="U473" s="160">
        <f t="shared" ca="1" si="77"/>
        <v>0</v>
      </c>
      <c r="V473" s="163">
        <f t="shared" ca="1" si="71"/>
        <v>0</v>
      </c>
      <c r="W473" s="163">
        <f t="shared" ca="1" si="72"/>
        <v>0</v>
      </c>
      <c r="X473" s="163">
        <f t="shared" ca="1" si="73"/>
        <v>0</v>
      </c>
      <c r="Y473" s="163">
        <f t="shared" ca="1" si="74"/>
        <v>0</v>
      </c>
    </row>
    <row r="474" spans="12:25" ht="14.4">
      <c r="L474" s="464"/>
      <c r="M474" s="129" t="str">
        <f t="shared" si="75"/>
        <v>end</v>
      </c>
      <c r="N474" s="161">
        <f t="shared" si="80"/>
        <v>2</v>
      </c>
      <c r="O474" s="160">
        <f t="shared" ca="1" si="76"/>
        <v>0</v>
      </c>
      <c r="P474" s="160">
        <f t="shared" ca="1" si="78"/>
        <v>0</v>
      </c>
      <c r="Q474" s="160">
        <f t="shared" ca="1" si="79"/>
        <v>0</v>
      </c>
      <c r="R474" s="160">
        <f t="shared" ca="1" si="79"/>
        <v>0</v>
      </c>
      <c r="S474" s="160">
        <f t="shared" ca="1" si="79"/>
        <v>0</v>
      </c>
      <c r="T474" s="160">
        <f t="shared" ca="1" si="77"/>
        <v>0</v>
      </c>
      <c r="U474" s="160">
        <f t="shared" ca="1" si="77"/>
        <v>0</v>
      </c>
      <c r="V474" s="163">
        <f t="shared" ca="1" si="71"/>
        <v>0</v>
      </c>
      <c r="W474" s="163">
        <f t="shared" ca="1" si="72"/>
        <v>0</v>
      </c>
      <c r="X474" s="163">
        <f t="shared" ca="1" si="73"/>
        <v>0</v>
      </c>
      <c r="Y474" s="163">
        <f t="shared" ca="1" si="74"/>
        <v>0</v>
      </c>
    </row>
    <row r="475" spans="12:25" ht="14.4">
      <c r="L475" s="464"/>
      <c r="M475" s="129" t="str">
        <f t="shared" si="75"/>
        <v>end</v>
      </c>
      <c r="N475" s="161">
        <f t="shared" si="80"/>
        <v>2</v>
      </c>
      <c r="O475" s="160">
        <f t="shared" ca="1" si="76"/>
        <v>0</v>
      </c>
      <c r="P475" s="160">
        <f t="shared" ca="1" si="78"/>
        <v>0</v>
      </c>
      <c r="Q475" s="160">
        <f t="shared" ca="1" si="79"/>
        <v>0</v>
      </c>
      <c r="R475" s="160">
        <f t="shared" ca="1" si="79"/>
        <v>0</v>
      </c>
      <c r="S475" s="160">
        <f t="shared" ca="1" si="79"/>
        <v>0</v>
      </c>
      <c r="T475" s="160">
        <f t="shared" ca="1" si="77"/>
        <v>0</v>
      </c>
      <c r="U475" s="160">
        <f t="shared" ca="1" si="77"/>
        <v>0</v>
      </c>
      <c r="V475" s="163">
        <f t="shared" ca="1" si="71"/>
        <v>0</v>
      </c>
      <c r="W475" s="163">
        <f t="shared" ca="1" si="72"/>
        <v>0</v>
      </c>
      <c r="X475" s="163">
        <f t="shared" ca="1" si="73"/>
        <v>0</v>
      </c>
      <c r="Y475" s="163">
        <f t="shared" ca="1" si="74"/>
        <v>0</v>
      </c>
    </row>
    <row r="476" spans="12:25" ht="14.4">
      <c r="L476" s="464"/>
      <c r="M476" s="129" t="str">
        <f t="shared" si="75"/>
        <v>end</v>
      </c>
      <c r="N476" s="161">
        <f t="shared" si="80"/>
        <v>2</v>
      </c>
      <c r="O476" s="160">
        <f t="shared" ca="1" si="76"/>
        <v>0</v>
      </c>
      <c r="P476" s="160">
        <f t="shared" ca="1" si="78"/>
        <v>0</v>
      </c>
      <c r="Q476" s="160">
        <f t="shared" ca="1" si="79"/>
        <v>0</v>
      </c>
      <c r="R476" s="160">
        <f t="shared" ca="1" si="79"/>
        <v>0</v>
      </c>
      <c r="S476" s="160">
        <f t="shared" ca="1" si="79"/>
        <v>0</v>
      </c>
      <c r="T476" s="160">
        <f t="shared" ca="1" si="77"/>
        <v>0</v>
      </c>
      <c r="U476" s="160">
        <f t="shared" ca="1" si="77"/>
        <v>0</v>
      </c>
      <c r="V476" s="163">
        <f t="shared" ca="1" si="71"/>
        <v>0</v>
      </c>
      <c r="W476" s="163">
        <f t="shared" ca="1" si="72"/>
        <v>0</v>
      </c>
      <c r="X476" s="163">
        <f t="shared" ca="1" si="73"/>
        <v>0</v>
      </c>
      <c r="Y476" s="163">
        <f t="shared" ca="1" si="74"/>
        <v>0</v>
      </c>
    </row>
    <row r="477" spans="12:25" ht="14.4">
      <c r="L477" s="464"/>
      <c r="M477" s="129" t="str">
        <f t="shared" si="75"/>
        <v>end</v>
      </c>
      <c r="N477" s="161">
        <f t="shared" si="80"/>
        <v>2</v>
      </c>
      <c r="O477" s="160">
        <f t="shared" ca="1" si="76"/>
        <v>0</v>
      </c>
      <c r="P477" s="160">
        <f t="shared" ca="1" si="78"/>
        <v>0</v>
      </c>
      <c r="Q477" s="160">
        <f t="shared" ca="1" si="79"/>
        <v>0</v>
      </c>
      <c r="R477" s="160">
        <f t="shared" ca="1" si="79"/>
        <v>0</v>
      </c>
      <c r="S477" s="160">
        <f t="shared" ca="1" si="79"/>
        <v>0</v>
      </c>
      <c r="T477" s="160">
        <f t="shared" ca="1" si="77"/>
        <v>0</v>
      </c>
      <c r="U477" s="160">
        <f t="shared" ca="1" si="77"/>
        <v>0</v>
      </c>
      <c r="V477" s="163">
        <f t="shared" ca="1" si="71"/>
        <v>0</v>
      </c>
      <c r="W477" s="163">
        <f t="shared" ca="1" si="72"/>
        <v>0</v>
      </c>
      <c r="X477" s="163">
        <f t="shared" ca="1" si="73"/>
        <v>0</v>
      </c>
      <c r="Y477" s="163">
        <f t="shared" ca="1" si="74"/>
        <v>0</v>
      </c>
    </row>
    <row r="478" spans="12:25" ht="14.4">
      <c r="L478" s="464"/>
      <c r="M478" s="129" t="str">
        <f t="shared" si="75"/>
        <v>end</v>
      </c>
      <c r="N478" s="161">
        <f t="shared" si="80"/>
        <v>2</v>
      </c>
      <c r="O478" s="160">
        <f t="shared" ca="1" si="76"/>
        <v>0</v>
      </c>
      <c r="P478" s="160">
        <f t="shared" ca="1" si="78"/>
        <v>0</v>
      </c>
      <c r="Q478" s="160">
        <f t="shared" ca="1" si="79"/>
        <v>0</v>
      </c>
      <c r="R478" s="160">
        <f t="shared" ca="1" si="79"/>
        <v>0</v>
      </c>
      <c r="S478" s="160">
        <f t="shared" ca="1" si="79"/>
        <v>0</v>
      </c>
      <c r="T478" s="160">
        <f t="shared" ca="1" si="77"/>
        <v>0</v>
      </c>
      <c r="U478" s="160">
        <f t="shared" ca="1" si="77"/>
        <v>0</v>
      </c>
      <c r="V478" s="163">
        <f t="shared" ca="1" si="71"/>
        <v>0</v>
      </c>
      <c r="W478" s="163">
        <f t="shared" ca="1" si="72"/>
        <v>0</v>
      </c>
      <c r="X478" s="163">
        <f t="shared" ca="1" si="73"/>
        <v>0</v>
      </c>
      <c r="Y478" s="163">
        <f t="shared" ca="1" si="74"/>
        <v>0</v>
      </c>
    </row>
    <row r="479" spans="12:25" ht="14.4">
      <c r="L479" s="464"/>
      <c r="M479" s="129" t="str">
        <f t="shared" si="75"/>
        <v>end</v>
      </c>
      <c r="N479" s="161">
        <f t="shared" si="80"/>
        <v>2</v>
      </c>
      <c r="O479" s="160">
        <f t="shared" ca="1" si="76"/>
        <v>0</v>
      </c>
      <c r="P479" s="160">
        <f t="shared" ca="1" si="78"/>
        <v>0</v>
      </c>
      <c r="Q479" s="160">
        <f t="shared" ca="1" si="79"/>
        <v>0</v>
      </c>
      <c r="R479" s="160">
        <f t="shared" ca="1" si="79"/>
        <v>0</v>
      </c>
      <c r="S479" s="160">
        <f t="shared" ca="1" si="79"/>
        <v>0</v>
      </c>
      <c r="T479" s="160">
        <f t="shared" ca="1" si="77"/>
        <v>0</v>
      </c>
      <c r="U479" s="160">
        <f t="shared" ca="1" si="77"/>
        <v>0</v>
      </c>
      <c r="V479" s="163">
        <f t="shared" ref="V479:V542" ca="1" si="81">IF(Q479=0,0,IF(S479=180,IF(R479=0,"Slab on Grade",IF(R479=1,"Exposed Floor",IF(R479=3,"Internal Floor",U479))),IF(S479&lt;45,IF(R479=3,"Internal Ceiling",IF(R479=1,"Roof",U479)))))</f>
        <v>0</v>
      </c>
      <c r="W479" s="163">
        <f t="shared" ref="W479:W542" ca="1" si="82">IF(ISNUMBER(SEARCH($W$29,U479))=TRUE,IF(ISNUMBER(SEARCH($W$27,U479))=TRUE,IF(R479=1,"eFrame",IF(R479=3,"iFrame")),IF(R479=1,"eWindow",IF(R479=3,"iWindow"))),U479)</f>
        <v>0</v>
      </c>
      <c r="X479" s="163">
        <f t="shared" ref="X479:X542" ca="1" si="83">IF(ISNUMBER(SEARCH($X$29,U479))=TRUE,IF(ISNUMBER(SEARCH($X$27,U479))=TRUE,IF(R479=1,"eFrameDoor",IF(R479=3,"iFrameDoor")),IF(R479=1,"eDoor",IF(R479=3,"iDoor"))),U479)</f>
        <v>0</v>
      </c>
      <c r="Y479" s="163">
        <f t="shared" ref="Y479:Y542" ca="1" si="84">IF(ISNUMBER(SEARCH($W$29,U479))=TRUE,"Substract",IF(ISNUMBER(SEARCH($X$29,U479))=TRUE, "Sunstract",IF(S479=90,IF(R479=1,"External Wall",IF(R479=3,"Internal Wall",IF(R479=0,"Below Grade Wall",U479))),V479)))</f>
        <v>0</v>
      </c>
    </row>
    <row r="480" spans="12:25" ht="14.4">
      <c r="L480" s="464"/>
      <c r="M480" s="129" t="str">
        <f t="shared" ref="M480:M543" si="85">IF(M479="end","end",IF(M479=$K$1,"end",M479+1))</f>
        <v>end</v>
      </c>
      <c r="N480" s="161">
        <f t="shared" si="80"/>
        <v>2</v>
      </c>
      <c r="O480" s="160">
        <f t="shared" ca="1" si="76"/>
        <v>0</v>
      </c>
      <c r="P480" s="160">
        <f t="shared" ca="1" si="78"/>
        <v>0</v>
      </c>
      <c r="Q480" s="160">
        <f t="shared" ca="1" si="79"/>
        <v>0</v>
      </c>
      <c r="R480" s="160">
        <f t="shared" ca="1" si="79"/>
        <v>0</v>
      </c>
      <c r="S480" s="160">
        <f t="shared" ca="1" si="79"/>
        <v>0</v>
      </c>
      <c r="T480" s="160">
        <f t="shared" ca="1" si="77"/>
        <v>0</v>
      </c>
      <c r="U480" s="160">
        <f t="shared" ca="1" si="77"/>
        <v>0</v>
      </c>
      <c r="V480" s="163">
        <f t="shared" ca="1" si="81"/>
        <v>0</v>
      </c>
      <c r="W480" s="163">
        <f t="shared" ca="1" si="82"/>
        <v>0</v>
      </c>
      <c r="X480" s="163">
        <f t="shared" ca="1" si="83"/>
        <v>0</v>
      </c>
      <c r="Y480" s="163">
        <f t="shared" ca="1" si="84"/>
        <v>0</v>
      </c>
    </row>
    <row r="481" spans="12:25" ht="14.4">
      <c r="L481" s="464"/>
      <c r="M481" s="129" t="str">
        <f t="shared" si="85"/>
        <v>end</v>
      </c>
      <c r="N481" s="161">
        <f t="shared" si="80"/>
        <v>2</v>
      </c>
      <c r="O481" s="160">
        <f t="shared" ca="1" si="76"/>
        <v>0</v>
      </c>
      <c r="P481" s="160">
        <f t="shared" ca="1" si="78"/>
        <v>0</v>
      </c>
      <c r="Q481" s="160">
        <f t="shared" ca="1" si="79"/>
        <v>0</v>
      </c>
      <c r="R481" s="160">
        <f t="shared" ca="1" si="79"/>
        <v>0</v>
      </c>
      <c r="S481" s="160">
        <f t="shared" ca="1" si="79"/>
        <v>0</v>
      </c>
      <c r="T481" s="160">
        <f t="shared" ca="1" si="77"/>
        <v>0</v>
      </c>
      <c r="U481" s="160">
        <f t="shared" ca="1" si="77"/>
        <v>0</v>
      </c>
      <c r="V481" s="163">
        <f t="shared" ca="1" si="81"/>
        <v>0</v>
      </c>
      <c r="W481" s="163">
        <f t="shared" ca="1" si="82"/>
        <v>0</v>
      </c>
      <c r="X481" s="163">
        <f t="shared" ca="1" si="83"/>
        <v>0</v>
      </c>
      <c r="Y481" s="163">
        <f t="shared" ca="1" si="84"/>
        <v>0</v>
      </c>
    </row>
    <row r="482" spans="12:25" ht="14.4">
      <c r="L482" s="464"/>
      <c r="M482" s="129" t="str">
        <f t="shared" si="85"/>
        <v>end</v>
      </c>
      <c r="N482" s="161">
        <f t="shared" si="80"/>
        <v>2</v>
      </c>
      <c r="O482" s="160">
        <f t="shared" ca="1" si="76"/>
        <v>0</v>
      </c>
      <c r="P482" s="160">
        <f t="shared" ca="1" si="78"/>
        <v>0</v>
      </c>
      <c r="Q482" s="160">
        <f t="shared" ca="1" si="79"/>
        <v>0</v>
      </c>
      <c r="R482" s="160">
        <f t="shared" ca="1" si="79"/>
        <v>0</v>
      </c>
      <c r="S482" s="160">
        <f t="shared" ca="1" si="79"/>
        <v>0</v>
      </c>
      <c r="T482" s="160">
        <f t="shared" ca="1" si="77"/>
        <v>0</v>
      </c>
      <c r="U482" s="160">
        <f t="shared" ca="1" si="77"/>
        <v>0</v>
      </c>
      <c r="V482" s="163">
        <f t="shared" ca="1" si="81"/>
        <v>0</v>
      </c>
      <c r="W482" s="163">
        <f t="shared" ca="1" si="82"/>
        <v>0</v>
      </c>
      <c r="X482" s="163">
        <f t="shared" ca="1" si="83"/>
        <v>0</v>
      </c>
      <c r="Y482" s="163">
        <f t="shared" ca="1" si="84"/>
        <v>0</v>
      </c>
    </row>
    <row r="483" spans="12:25" ht="14.4">
      <c r="L483" s="464"/>
      <c r="M483" s="129" t="str">
        <f t="shared" si="85"/>
        <v>end</v>
      </c>
      <c r="N483" s="161">
        <f t="shared" si="80"/>
        <v>2</v>
      </c>
      <c r="O483" s="160">
        <f t="shared" ca="1" si="76"/>
        <v>0</v>
      </c>
      <c r="P483" s="160">
        <f t="shared" ca="1" si="78"/>
        <v>0</v>
      </c>
      <c r="Q483" s="160">
        <f t="shared" ca="1" si="79"/>
        <v>0</v>
      </c>
      <c r="R483" s="160">
        <f t="shared" ca="1" si="79"/>
        <v>0</v>
      </c>
      <c r="S483" s="160">
        <f t="shared" ca="1" si="79"/>
        <v>0</v>
      </c>
      <c r="T483" s="160">
        <f t="shared" ca="1" si="77"/>
        <v>0</v>
      </c>
      <c r="U483" s="160">
        <f t="shared" ca="1" si="77"/>
        <v>0</v>
      </c>
      <c r="V483" s="163">
        <f t="shared" ca="1" si="81"/>
        <v>0</v>
      </c>
      <c r="W483" s="163">
        <f t="shared" ca="1" si="82"/>
        <v>0</v>
      </c>
      <c r="X483" s="163">
        <f t="shared" ca="1" si="83"/>
        <v>0</v>
      </c>
      <c r="Y483" s="163">
        <f t="shared" ca="1" si="84"/>
        <v>0</v>
      </c>
    </row>
    <row r="484" spans="12:25" ht="14.4">
      <c r="L484" s="464"/>
      <c r="M484" s="129" t="str">
        <f t="shared" si="85"/>
        <v>end</v>
      </c>
      <c r="N484" s="161">
        <f t="shared" si="80"/>
        <v>2</v>
      </c>
      <c r="O484" s="160">
        <f t="shared" ca="1" si="76"/>
        <v>0</v>
      </c>
      <c r="P484" s="160">
        <f t="shared" ca="1" si="78"/>
        <v>0</v>
      </c>
      <c r="Q484" s="160">
        <f t="shared" ca="1" si="79"/>
        <v>0</v>
      </c>
      <c r="R484" s="160">
        <f t="shared" ca="1" si="79"/>
        <v>0</v>
      </c>
      <c r="S484" s="160">
        <f t="shared" ca="1" si="79"/>
        <v>0</v>
      </c>
      <c r="T484" s="160">
        <f t="shared" ca="1" si="77"/>
        <v>0</v>
      </c>
      <c r="U484" s="160">
        <f t="shared" ca="1" si="77"/>
        <v>0</v>
      </c>
      <c r="V484" s="163">
        <f t="shared" ca="1" si="81"/>
        <v>0</v>
      </c>
      <c r="W484" s="163">
        <f t="shared" ca="1" si="82"/>
        <v>0</v>
      </c>
      <c r="X484" s="163">
        <f t="shared" ca="1" si="83"/>
        <v>0</v>
      </c>
      <c r="Y484" s="163">
        <f t="shared" ca="1" si="84"/>
        <v>0</v>
      </c>
    </row>
    <row r="485" spans="12:25" ht="14.4">
      <c r="L485" s="464"/>
      <c r="M485" s="129" t="str">
        <f t="shared" si="85"/>
        <v>end</v>
      </c>
      <c r="N485" s="161">
        <f t="shared" si="80"/>
        <v>2</v>
      </c>
      <c r="O485" s="160">
        <f t="shared" ca="1" si="76"/>
        <v>0</v>
      </c>
      <c r="P485" s="160">
        <f t="shared" ca="1" si="78"/>
        <v>0</v>
      </c>
      <c r="Q485" s="160">
        <f t="shared" ca="1" si="79"/>
        <v>0</v>
      </c>
      <c r="R485" s="160">
        <f t="shared" ca="1" si="79"/>
        <v>0</v>
      </c>
      <c r="S485" s="160">
        <f t="shared" ca="1" si="79"/>
        <v>0</v>
      </c>
      <c r="T485" s="160">
        <f t="shared" ca="1" si="77"/>
        <v>0</v>
      </c>
      <c r="U485" s="160">
        <f t="shared" ca="1" si="77"/>
        <v>0</v>
      </c>
      <c r="V485" s="163">
        <f t="shared" ca="1" si="81"/>
        <v>0</v>
      </c>
      <c r="W485" s="163">
        <f t="shared" ca="1" si="82"/>
        <v>0</v>
      </c>
      <c r="X485" s="163">
        <f t="shared" ca="1" si="83"/>
        <v>0</v>
      </c>
      <c r="Y485" s="163">
        <f t="shared" ca="1" si="84"/>
        <v>0</v>
      </c>
    </row>
    <row r="486" spans="12:25" ht="14.4">
      <c r="L486" s="464"/>
      <c r="M486" s="129" t="str">
        <f t="shared" si="85"/>
        <v>end</v>
      </c>
      <c r="N486" s="161">
        <f t="shared" si="80"/>
        <v>2</v>
      </c>
      <c r="O486" s="160">
        <f t="shared" ca="1" si="76"/>
        <v>0</v>
      </c>
      <c r="P486" s="160">
        <f t="shared" ca="1" si="78"/>
        <v>0</v>
      </c>
      <c r="Q486" s="160">
        <f t="shared" ca="1" si="79"/>
        <v>0</v>
      </c>
      <c r="R486" s="160">
        <f t="shared" ca="1" si="79"/>
        <v>0</v>
      </c>
      <c r="S486" s="160">
        <f t="shared" ca="1" si="79"/>
        <v>0</v>
      </c>
      <c r="T486" s="160">
        <f t="shared" ca="1" si="77"/>
        <v>0</v>
      </c>
      <c r="U486" s="160">
        <f t="shared" ca="1" si="77"/>
        <v>0</v>
      </c>
      <c r="V486" s="163">
        <f t="shared" ca="1" si="81"/>
        <v>0</v>
      </c>
      <c r="W486" s="163">
        <f t="shared" ca="1" si="82"/>
        <v>0</v>
      </c>
      <c r="X486" s="163">
        <f t="shared" ca="1" si="83"/>
        <v>0</v>
      </c>
      <c r="Y486" s="163">
        <f t="shared" ca="1" si="84"/>
        <v>0</v>
      </c>
    </row>
    <row r="487" spans="12:25" ht="14.4">
      <c r="L487" s="464"/>
      <c r="M487" s="129" t="str">
        <f t="shared" si="85"/>
        <v>end</v>
      </c>
      <c r="N487" s="161">
        <f t="shared" si="80"/>
        <v>2</v>
      </c>
      <c r="O487" s="160">
        <f t="shared" ca="1" si="76"/>
        <v>0</v>
      </c>
      <c r="P487" s="160">
        <f t="shared" ca="1" si="78"/>
        <v>0</v>
      </c>
      <c r="Q487" s="160">
        <f t="shared" ca="1" si="79"/>
        <v>0</v>
      </c>
      <c r="R487" s="160">
        <f t="shared" ca="1" si="79"/>
        <v>0</v>
      </c>
      <c r="S487" s="160">
        <f t="shared" ca="1" si="79"/>
        <v>0</v>
      </c>
      <c r="T487" s="160">
        <f t="shared" ca="1" si="77"/>
        <v>0</v>
      </c>
      <c r="U487" s="160">
        <f t="shared" ca="1" si="77"/>
        <v>0</v>
      </c>
      <c r="V487" s="163">
        <f t="shared" ca="1" si="81"/>
        <v>0</v>
      </c>
      <c r="W487" s="163">
        <f t="shared" ca="1" si="82"/>
        <v>0</v>
      </c>
      <c r="X487" s="163">
        <f t="shared" ca="1" si="83"/>
        <v>0</v>
      </c>
      <c r="Y487" s="163">
        <f t="shared" ca="1" si="84"/>
        <v>0</v>
      </c>
    </row>
    <row r="488" spans="12:25" ht="14.4">
      <c r="L488" s="464"/>
      <c r="M488" s="129" t="str">
        <f t="shared" si="85"/>
        <v>end</v>
      </c>
      <c r="N488" s="161">
        <f t="shared" si="80"/>
        <v>2</v>
      </c>
      <c r="O488" s="160">
        <f t="shared" ca="1" si="76"/>
        <v>0</v>
      </c>
      <c r="P488" s="160">
        <f t="shared" ca="1" si="78"/>
        <v>0</v>
      </c>
      <c r="Q488" s="160">
        <f t="shared" ca="1" si="79"/>
        <v>0</v>
      </c>
      <c r="R488" s="160">
        <f t="shared" ca="1" si="79"/>
        <v>0</v>
      </c>
      <c r="S488" s="160">
        <f t="shared" ca="1" si="79"/>
        <v>0</v>
      </c>
      <c r="T488" s="160">
        <f t="shared" ca="1" si="77"/>
        <v>0</v>
      </c>
      <c r="U488" s="160">
        <f t="shared" ca="1" si="77"/>
        <v>0</v>
      </c>
      <c r="V488" s="163">
        <f t="shared" ca="1" si="81"/>
        <v>0</v>
      </c>
      <c r="W488" s="163">
        <f t="shared" ca="1" si="82"/>
        <v>0</v>
      </c>
      <c r="X488" s="163">
        <f t="shared" ca="1" si="83"/>
        <v>0</v>
      </c>
      <c r="Y488" s="163">
        <f t="shared" ca="1" si="84"/>
        <v>0</v>
      </c>
    </row>
    <row r="489" spans="12:25" ht="14.4">
      <c r="L489" s="464"/>
      <c r="M489" s="129" t="str">
        <f t="shared" si="85"/>
        <v>end</v>
      </c>
      <c r="N489" s="161">
        <f t="shared" si="80"/>
        <v>2</v>
      </c>
      <c r="O489" s="160">
        <f t="shared" ref="O489:O552" ca="1" si="86">IF($M489="end",0,OFFSET($A$1,$M489-1,O$29,1,1))</f>
        <v>0</v>
      </c>
      <c r="P489" s="160">
        <f t="shared" ca="1" si="78"/>
        <v>0</v>
      </c>
      <c r="Q489" s="160">
        <f t="shared" ca="1" si="79"/>
        <v>0</v>
      </c>
      <c r="R489" s="160">
        <f t="shared" ca="1" si="79"/>
        <v>0</v>
      </c>
      <c r="S489" s="160">
        <f t="shared" ca="1" si="79"/>
        <v>0</v>
      </c>
      <c r="T489" s="160">
        <f t="shared" ca="1" si="77"/>
        <v>0</v>
      </c>
      <c r="U489" s="160">
        <f t="shared" ca="1" si="77"/>
        <v>0</v>
      </c>
      <c r="V489" s="163">
        <f t="shared" ca="1" si="81"/>
        <v>0</v>
      </c>
      <c r="W489" s="163">
        <f t="shared" ca="1" si="82"/>
        <v>0</v>
      </c>
      <c r="X489" s="163">
        <f t="shared" ca="1" si="83"/>
        <v>0</v>
      </c>
      <c r="Y489" s="163">
        <f t="shared" ca="1" si="84"/>
        <v>0</v>
      </c>
    </row>
    <row r="490" spans="12:25" ht="14.4">
      <c r="L490" s="464"/>
      <c r="M490" s="129" t="str">
        <f t="shared" si="85"/>
        <v>end</v>
      </c>
      <c r="N490" s="161">
        <f t="shared" si="80"/>
        <v>2</v>
      </c>
      <c r="O490" s="160">
        <f t="shared" ca="1" si="86"/>
        <v>0</v>
      </c>
      <c r="P490" s="160">
        <f t="shared" ca="1" si="78"/>
        <v>0</v>
      </c>
      <c r="Q490" s="160">
        <f t="shared" ca="1" si="79"/>
        <v>0</v>
      </c>
      <c r="R490" s="160">
        <f t="shared" ca="1" si="79"/>
        <v>0</v>
      </c>
      <c r="S490" s="160">
        <f t="shared" ca="1" si="79"/>
        <v>0</v>
      </c>
      <c r="T490" s="160">
        <f t="shared" ca="1" si="77"/>
        <v>0</v>
      </c>
      <c r="U490" s="160">
        <f t="shared" ca="1" si="77"/>
        <v>0</v>
      </c>
      <c r="V490" s="163">
        <f t="shared" ca="1" si="81"/>
        <v>0</v>
      </c>
      <c r="W490" s="163">
        <f t="shared" ca="1" si="82"/>
        <v>0</v>
      </c>
      <c r="X490" s="163">
        <f t="shared" ca="1" si="83"/>
        <v>0</v>
      </c>
      <c r="Y490" s="163">
        <f t="shared" ca="1" si="84"/>
        <v>0</v>
      </c>
    </row>
    <row r="491" spans="12:25" ht="14.4">
      <c r="L491" s="464"/>
      <c r="M491" s="129" t="str">
        <f t="shared" si="85"/>
        <v>end</v>
      </c>
      <c r="N491" s="161">
        <f t="shared" si="80"/>
        <v>2</v>
      </c>
      <c r="O491" s="160">
        <f t="shared" ca="1" si="86"/>
        <v>0</v>
      </c>
      <c r="P491" s="160">
        <f t="shared" ca="1" si="78"/>
        <v>0</v>
      </c>
      <c r="Q491" s="160">
        <f t="shared" ca="1" si="79"/>
        <v>0</v>
      </c>
      <c r="R491" s="160">
        <f t="shared" ca="1" si="79"/>
        <v>0</v>
      </c>
      <c r="S491" s="160">
        <f t="shared" ca="1" si="79"/>
        <v>0</v>
      </c>
      <c r="T491" s="160">
        <f t="shared" ca="1" si="77"/>
        <v>0</v>
      </c>
      <c r="U491" s="160">
        <f t="shared" ca="1" si="77"/>
        <v>0</v>
      </c>
      <c r="V491" s="163">
        <f t="shared" ca="1" si="81"/>
        <v>0</v>
      </c>
      <c r="W491" s="163">
        <f t="shared" ca="1" si="82"/>
        <v>0</v>
      </c>
      <c r="X491" s="163">
        <f t="shared" ca="1" si="83"/>
        <v>0</v>
      </c>
      <c r="Y491" s="163">
        <f t="shared" ca="1" si="84"/>
        <v>0</v>
      </c>
    </row>
    <row r="492" spans="12:25" ht="14.4">
      <c r="L492" s="464"/>
      <c r="M492" s="129" t="str">
        <f t="shared" si="85"/>
        <v>end</v>
      </c>
      <c r="N492" s="161">
        <f t="shared" si="80"/>
        <v>2</v>
      </c>
      <c r="O492" s="160">
        <f t="shared" ca="1" si="86"/>
        <v>0</v>
      </c>
      <c r="P492" s="160">
        <f t="shared" ca="1" si="78"/>
        <v>0</v>
      </c>
      <c r="Q492" s="160">
        <f t="shared" ca="1" si="79"/>
        <v>0</v>
      </c>
      <c r="R492" s="160">
        <f t="shared" ca="1" si="79"/>
        <v>0</v>
      </c>
      <c r="S492" s="160">
        <f t="shared" ca="1" si="79"/>
        <v>0</v>
      </c>
      <c r="T492" s="160">
        <f t="shared" ca="1" si="77"/>
        <v>0</v>
      </c>
      <c r="U492" s="160">
        <f t="shared" ca="1" si="77"/>
        <v>0</v>
      </c>
      <c r="V492" s="163">
        <f t="shared" ca="1" si="81"/>
        <v>0</v>
      </c>
      <c r="W492" s="163">
        <f t="shared" ca="1" si="82"/>
        <v>0</v>
      </c>
      <c r="X492" s="163">
        <f t="shared" ca="1" si="83"/>
        <v>0</v>
      </c>
      <c r="Y492" s="163">
        <f t="shared" ca="1" si="84"/>
        <v>0</v>
      </c>
    </row>
    <row r="493" spans="12:25" ht="14.4">
      <c r="L493" s="464"/>
      <c r="M493" s="129" t="str">
        <f t="shared" si="85"/>
        <v>end</v>
      </c>
      <c r="N493" s="161">
        <f t="shared" si="80"/>
        <v>2</v>
      </c>
      <c r="O493" s="160">
        <f t="shared" ca="1" si="86"/>
        <v>0</v>
      </c>
      <c r="P493" s="160">
        <f t="shared" ca="1" si="78"/>
        <v>0</v>
      </c>
      <c r="Q493" s="160">
        <f t="shared" ca="1" si="79"/>
        <v>0</v>
      </c>
      <c r="R493" s="160">
        <f t="shared" ca="1" si="79"/>
        <v>0</v>
      </c>
      <c r="S493" s="160">
        <f t="shared" ca="1" si="79"/>
        <v>0</v>
      </c>
      <c r="T493" s="160">
        <f t="shared" ca="1" si="77"/>
        <v>0</v>
      </c>
      <c r="U493" s="160">
        <f t="shared" ca="1" si="77"/>
        <v>0</v>
      </c>
      <c r="V493" s="163">
        <f t="shared" ca="1" si="81"/>
        <v>0</v>
      </c>
      <c r="W493" s="163">
        <f t="shared" ca="1" si="82"/>
        <v>0</v>
      </c>
      <c r="X493" s="163">
        <f t="shared" ca="1" si="83"/>
        <v>0</v>
      </c>
      <c r="Y493" s="163">
        <f t="shared" ca="1" si="84"/>
        <v>0</v>
      </c>
    </row>
    <row r="494" spans="12:25" ht="14.4">
      <c r="L494" s="464"/>
      <c r="M494" s="129" t="str">
        <f t="shared" si="85"/>
        <v>end</v>
      </c>
      <c r="N494" s="161">
        <f t="shared" si="80"/>
        <v>2</v>
      </c>
      <c r="O494" s="160">
        <f t="shared" ca="1" si="86"/>
        <v>0</v>
      </c>
      <c r="P494" s="160">
        <f t="shared" ca="1" si="78"/>
        <v>0</v>
      </c>
      <c r="Q494" s="160">
        <f t="shared" ca="1" si="79"/>
        <v>0</v>
      </c>
      <c r="R494" s="160">
        <f t="shared" ca="1" si="79"/>
        <v>0</v>
      </c>
      <c r="S494" s="160">
        <f t="shared" ca="1" si="79"/>
        <v>0</v>
      </c>
      <c r="T494" s="160">
        <f t="shared" ca="1" si="77"/>
        <v>0</v>
      </c>
      <c r="U494" s="160">
        <f t="shared" ca="1" si="77"/>
        <v>0</v>
      </c>
      <c r="V494" s="163">
        <f t="shared" ca="1" si="81"/>
        <v>0</v>
      </c>
      <c r="W494" s="163">
        <f t="shared" ca="1" si="82"/>
        <v>0</v>
      </c>
      <c r="X494" s="163">
        <f t="shared" ca="1" si="83"/>
        <v>0</v>
      </c>
      <c r="Y494" s="163">
        <f t="shared" ca="1" si="84"/>
        <v>0</v>
      </c>
    </row>
    <row r="495" spans="12:25" ht="14.4">
      <c r="L495" s="464"/>
      <c r="M495" s="129" t="str">
        <f t="shared" si="85"/>
        <v>end</v>
      </c>
      <c r="N495" s="161">
        <f t="shared" si="80"/>
        <v>2</v>
      </c>
      <c r="O495" s="160">
        <f t="shared" ca="1" si="86"/>
        <v>0</v>
      </c>
      <c r="P495" s="160">
        <f t="shared" ca="1" si="78"/>
        <v>0</v>
      </c>
      <c r="Q495" s="160">
        <f t="shared" ca="1" si="79"/>
        <v>0</v>
      </c>
      <c r="R495" s="160">
        <f t="shared" ca="1" si="79"/>
        <v>0</v>
      </c>
      <c r="S495" s="160">
        <f t="shared" ca="1" si="79"/>
        <v>0</v>
      </c>
      <c r="T495" s="160">
        <f t="shared" ca="1" si="77"/>
        <v>0</v>
      </c>
      <c r="U495" s="160">
        <f t="shared" ca="1" si="77"/>
        <v>0</v>
      </c>
      <c r="V495" s="163">
        <f t="shared" ca="1" si="81"/>
        <v>0</v>
      </c>
      <c r="W495" s="163">
        <f t="shared" ca="1" si="82"/>
        <v>0</v>
      </c>
      <c r="X495" s="163">
        <f t="shared" ca="1" si="83"/>
        <v>0</v>
      </c>
      <c r="Y495" s="163">
        <f t="shared" ca="1" si="84"/>
        <v>0</v>
      </c>
    </row>
    <row r="496" spans="12:25" ht="14.4">
      <c r="L496" s="464"/>
      <c r="M496" s="129" t="str">
        <f t="shared" si="85"/>
        <v>end</v>
      </c>
      <c r="N496" s="161">
        <f t="shared" si="80"/>
        <v>2</v>
      </c>
      <c r="O496" s="160">
        <f t="shared" ca="1" si="86"/>
        <v>0</v>
      </c>
      <c r="P496" s="160">
        <f t="shared" ca="1" si="78"/>
        <v>0</v>
      </c>
      <c r="Q496" s="160">
        <f t="shared" ca="1" si="79"/>
        <v>0</v>
      </c>
      <c r="R496" s="160">
        <f t="shared" ca="1" si="79"/>
        <v>0</v>
      </c>
      <c r="S496" s="160">
        <f t="shared" ca="1" si="79"/>
        <v>0</v>
      </c>
      <c r="T496" s="160">
        <f t="shared" ca="1" si="77"/>
        <v>0</v>
      </c>
      <c r="U496" s="160">
        <f t="shared" ca="1" si="77"/>
        <v>0</v>
      </c>
      <c r="V496" s="163">
        <f t="shared" ca="1" si="81"/>
        <v>0</v>
      </c>
      <c r="W496" s="163">
        <f t="shared" ca="1" si="82"/>
        <v>0</v>
      </c>
      <c r="X496" s="163">
        <f t="shared" ca="1" si="83"/>
        <v>0</v>
      </c>
      <c r="Y496" s="163">
        <f t="shared" ca="1" si="84"/>
        <v>0</v>
      </c>
    </row>
    <row r="497" spans="12:25" ht="14.4">
      <c r="L497" s="464"/>
      <c r="M497" s="129" t="str">
        <f t="shared" si="85"/>
        <v>end</v>
      </c>
      <c r="N497" s="161">
        <f t="shared" si="80"/>
        <v>2</v>
      </c>
      <c r="O497" s="160">
        <f t="shared" ca="1" si="86"/>
        <v>0</v>
      </c>
      <c r="P497" s="160">
        <f t="shared" ca="1" si="78"/>
        <v>0</v>
      </c>
      <c r="Q497" s="160">
        <f t="shared" ca="1" si="79"/>
        <v>0</v>
      </c>
      <c r="R497" s="160">
        <f t="shared" ca="1" si="79"/>
        <v>0</v>
      </c>
      <c r="S497" s="160">
        <f t="shared" ca="1" si="79"/>
        <v>0</v>
      </c>
      <c r="T497" s="160">
        <f t="shared" ca="1" si="79"/>
        <v>0</v>
      </c>
      <c r="U497" s="160">
        <f t="shared" ca="1" si="79"/>
        <v>0</v>
      </c>
      <c r="V497" s="163">
        <f t="shared" ca="1" si="81"/>
        <v>0</v>
      </c>
      <c r="W497" s="163">
        <f t="shared" ca="1" si="82"/>
        <v>0</v>
      </c>
      <c r="X497" s="163">
        <f t="shared" ca="1" si="83"/>
        <v>0</v>
      </c>
      <c r="Y497" s="163">
        <f t="shared" ca="1" si="84"/>
        <v>0</v>
      </c>
    </row>
    <row r="498" spans="12:25" ht="14.4">
      <c r="L498" s="464"/>
      <c r="M498" s="129" t="str">
        <f t="shared" si="85"/>
        <v>end</v>
      </c>
      <c r="N498" s="161">
        <f t="shared" si="80"/>
        <v>2</v>
      </c>
      <c r="O498" s="160">
        <f t="shared" ca="1" si="86"/>
        <v>0</v>
      </c>
      <c r="P498" s="160">
        <f t="shared" ref="P498:P561" ca="1" si="87">IF($M498="end",0,OFFSET($A$1,$M498-1,P$29,1,1))</f>
        <v>0</v>
      </c>
      <c r="Q498" s="160">
        <f t="shared" ref="Q498:T561" ca="1" si="88">IF($M498="end",0,OFFSET($A$1,$M498-1,Q$29,1,1))</f>
        <v>0</v>
      </c>
      <c r="R498" s="160">
        <f t="shared" ca="1" si="88"/>
        <v>0</v>
      </c>
      <c r="S498" s="160">
        <f t="shared" ca="1" si="88"/>
        <v>0</v>
      </c>
      <c r="T498" s="160">
        <f t="shared" ca="1" si="88"/>
        <v>0</v>
      </c>
      <c r="U498" s="160">
        <f t="shared" ref="U498:U561" ca="1" si="89">IF($M498="end",0,OFFSET($A$1,$M498-1,U$29,1,1))</f>
        <v>0</v>
      </c>
      <c r="V498" s="163">
        <f t="shared" ca="1" si="81"/>
        <v>0</v>
      </c>
      <c r="W498" s="163">
        <f t="shared" ca="1" si="82"/>
        <v>0</v>
      </c>
      <c r="X498" s="163">
        <f t="shared" ca="1" si="83"/>
        <v>0</v>
      </c>
      <c r="Y498" s="163">
        <f t="shared" ca="1" si="84"/>
        <v>0</v>
      </c>
    </row>
    <row r="499" spans="12:25" ht="14.4">
      <c r="L499" s="464"/>
      <c r="M499" s="129" t="str">
        <f t="shared" si="85"/>
        <v>end</v>
      </c>
      <c r="N499" s="161">
        <f t="shared" si="80"/>
        <v>2</v>
      </c>
      <c r="O499" s="160">
        <f t="shared" ca="1" si="86"/>
        <v>0</v>
      </c>
      <c r="P499" s="160">
        <f t="shared" ca="1" si="87"/>
        <v>0</v>
      </c>
      <c r="Q499" s="160">
        <f t="shared" ca="1" si="88"/>
        <v>0</v>
      </c>
      <c r="R499" s="160">
        <f t="shared" ca="1" si="88"/>
        <v>0</v>
      </c>
      <c r="S499" s="160">
        <f t="shared" ca="1" si="88"/>
        <v>0</v>
      </c>
      <c r="T499" s="160">
        <f t="shared" ca="1" si="88"/>
        <v>0</v>
      </c>
      <c r="U499" s="160">
        <f t="shared" ca="1" si="89"/>
        <v>0</v>
      </c>
      <c r="V499" s="163">
        <f t="shared" ca="1" si="81"/>
        <v>0</v>
      </c>
      <c r="W499" s="163">
        <f t="shared" ca="1" si="82"/>
        <v>0</v>
      </c>
      <c r="X499" s="163">
        <f t="shared" ca="1" si="83"/>
        <v>0</v>
      </c>
      <c r="Y499" s="163">
        <f t="shared" ca="1" si="84"/>
        <v>0</v>
      </c>
    </row>
    <row r="500" spans="12:25" ht="14.4">
      <c r="L500" s="464"/>
      <c r="M500" s="129" t="str">
        <f t="shared" si="85"/>
        <v>end</v>
      </c>
      <c r="N500" s="161">
        <f t="shared" si="80"/>
        <v>2</v>
      </c>
      <c r="O500" s="160">
        <f t="shared" ca="1" si="86"/>
        <v>0</v>
      </c>
      <c r="P500" s="160">
        <f t="shared" ca="1" si="87"/>
        <v>0</v>
      </c>
      <c r="Q500" s="160">
        <f t="shared" ca="1" si="88"/>
        <v>0</v>
      </c>
      <c r="R500" s="160">
        <f t="shared" ca="1" si="88"/>
        <v>0</v>
      </c>
      <c r="S500" s="160">
        <f t="shared" ca="1" si="88"/>
        <v>0</v>
      </c>
      <c r="T500" s="160">
        <f t="shared" ca="1" si="88"/>
        <v>0</v>
      </c>
      <c r="U500" s="160">
        <f t="shared" ca="1" si="89"/>
        <v>0</v>
      </c>
      <c r="V500" s="163">
        <f t="shared" ca="1" si="81"/>
        <v>0</v>
      </c>
      <c r="W500" s="163">
        <f t="shared" ca="1" si="82"/>
        <v>0</v>
      </c>
      <c r="X500" s="163">
        <f t="shared" ca="1" si="83"/>
        <v>0</v>
      </c>
      <c r="Y500" s="163">
        <f t="shared" ca="1" si="84"/>
        <v>0</v>
      </c>
    </row>
    <row r="501" spans="12:25" ht="14.4">
      <c r="L501" s="464"/>
      <c r="M501" s="129" t="str">
        <f t="shared" si="85"/>
        <v>end</v>
      </c>
      <c r="N501" s="161">
        <f t="shared" si="80"/>
        <v>2</v>
      </c>
      <c r="O501" s="160">
        <f t="shared" ca="1" si="86"/>
        <v>0</v>
      </c>
      <c r="P501" s="160">
        <f t="shared" ca="1" si="87"/>
        <v>0</v>
      </c>
      <c r="Q501" s="160">
        <f t="shared" ca="1" si="88"/>
        <v>0</v>
      </c>
      <c r="R501" s="160">
        <f t="shared" ca="1" si="88"/>
        <v>0</v>
      </c>
      <c r="S501" s="160">
        <f t="shared" ca="1" si="88"/>
        <v>0</v>
      </c>
      <c r="T501" s="160">
        <f t="shared" ca="1" si="88"/>
        <v>0</v>
      </c>
      <c r="U501" s="160">
        <f t="shared" ca="1" si="89"/>
        <v>0</v>
      </c>
      <c r="V501" s="163">
        <f t="shared" ca="1" si="81"/>
        <v>0</v>
      </c>
      <c r="W501" s="163">
        <f t="shared" ca="1" si="82"/>
        <v>0</v>
      </c>
      <c r="X501" s="163">
        <f t="shared" ca="1" si="83"/>
        <v>0</v>
      </c>
      <c r="Y501" s="163">
        <f t="shared" ca="1" si="84"/>
        <v>0</v>
      </c>
    </row>
    <row r="502" spans="12:25" ht="14.4">
      <c r="L502" s="464"/>
      <c r="M502" s="129" t="str">
        <f t="shared" si="85"/>
        <v>end</v>
      </c>
      <c r="N502" s="161">
        <f t="shared" si="80"/>
        <v>2</v>
      </c>
      <c r="O502" s="160">
        <f t="shared" ca="1" si="86"/>
        <v>0</v>
      </c>
      <c r="P502" s="160">
        <f t="shared" ca="1" si="87"/>
        <v>0</v>
      </c>
      <c r="Q502" s="160">
        <f t="shared" ca="1" si="88"/>
        <v>0</v>
      </c>
      <c r="R502" s="160">
        <f t="shared" ca="1" si="88"/>
        <v>0</v>
      </c>
      <c r="S502" s="160">
        <f t="shared" ca="1" si="88"/>
        <v>0</v>
      </c>
      <c r="T502" s="160">
        <f t="shared" ca="1" si="88"/>
        <v>0</v>
      </c>
      <c r="U502" s="160">
        <f t="shared" ca="1" si="89"/>
        <v>0</v>
      </c>
      <c r="V502" s="163">
        <f t="shared" ca="1" si="81"/>
        <v>0</v>
      </c>
      <c r="W502" s="163">
        <f t="shared" ca="1" si="82"/>
        <v>0</v>
      </c>
      <c r="X502" s="163">
        <f t="shared" ca="1" si="83"/>
        <v>0</v>
      </c>
      <c r="Y502" s="163">
        <f t="shared" ca="1" si="84"/>
        <v>0</v>
      </c>
    </row>
    <row r="503" spans="12:25" ht="14.4">
      <c r="L503" s="464"/>
      <c r="M503" s="129" t="str">
        <f t="shared" si="85"/>
        <v>end</v>
      </c>
      <c r="N503" s="161">
        <f t="shared" si="80"/>
        <v>2</v>
      </c>
      <c r="O503" s="160">
        <f t="shared" ca="1" si="86"/>
        <v>0</v>
      </c>
      <c r="P503" s="160">
        <f t="shared" ca="1" si="87"/>
        <v>0</v>
      </c>
      <c r="Q503" s="160">
        <f t="shared" ca="1" si="88"/>
        <v>0</v>
      </c>
      <c r="R503" s="160">
        <f t="shared" ca="1" si="88"/>
        <v>0</v>
      </c>
      <c r="S503" s="160">
        <f t="shared" ca="1" si="88"/>
        <v>0</v>
      </c>
      <c r="T503" s="160">
        <f t="shared" ca="1" si="88"/>
        <v>0</v>
      </c>
      <c r="U503" s="160">
        <f t="shared" ca="1" si="89"/>
        <v>0</v>
      </c>
      <c r="V503" s="163">
        <f t="shared" ca="1" si="81"/>
        <v>0</v>
      </c>
      <c r="W503" s="163">
        <f t="shared" ca="1" si="82"/>
        <v>0</v>
      </c>
      <c r="X503" s="163">
        <f t="shared" ca="1" si="83"/>
        <v>0</v>
      </c>
      <c r="Y503" s="163">
        <f t="shared" ca="1" si="84"/>
        <v>0</v>
      </c>
    </row>
    <row r="504" spans="12:25" ht="14.4">
      <c r="L504" s="464"/>
      <c r="M504" s="129" t="str">
        <f t="shared" si="85"/>
        <v>end</v>
      </c>
      <c r="N504" s="161">
        <f t="shared" si="80"/>
        <v>2</v>
      </c>
      <c r="O504" s="160">
        <f t="shared" ca="1" si="86"/>
        <v>0</v>
      </c>
      <c r="P504" s="160">
        <f t="shared" ca="1" si="87"/>
        <v>0</v>
      </c>
      <c r="Q504" s="160">
        <f t="shared" ca="1" si="88"/>
        <v>0</v>
      </c>
      <c r="R504" s="160">
        <f t="shared" ca="1" si="88"/>
        <v>0</v>
      </c>
      <c r="S504" s="160">
        <f t="shared" ca="1" si="88"/>
        <v>0</v>
      </c>
      <c r="T504" s="160">
        <f t="shared" ca="1" si="88"/>
        <v>0</v>
      </c>
      <c r="U504" s="160">
        <f t="shared" ca="1" si="89"/>
        <v>0</v>
      </c>
      <c r="V504" s="163">
        <f t="shared" ca="1" si="81"/>
        <v>0</v>
      </c>
      <c r="W504" s="163">
        <f t="shared" ca="1" si="82"/>
        <v>0</v>
      </c>
      <c r="X504" s="163">
        <f t="shared" ca="1" si="83"/>
        <v>0</v>
      </c>
      <c r="Y504" s="163">
        <f t="shared" ca="1" si="84"/>
        <v>0</v>
      </c>
    </row>
    <row r="505" spans="12:25" ht="14.4">
      <c r="L505" s="464"/>
      <c r="M505" s="129" t="str">
        <f t="shared" si="85"/>
        <v>end</v>
      </c>
      <c r="N505" s="161">
        <f t="shared" si="80"/>
        <v>2</v>
      </c>
      <c r="O505" s="160">
        <f t="shared" ca="1" si="86"/>
        <v>0</v>
      </c>
      <c r="P505" s="160">
        <f t="shared" ca="1" si="87"/>
        <v>0</v>
      </c>
      <c r="Q505" s="160">
        <f t="shared" ca="1" si="88"/>
        <v>0</v>
      </c>
      <c r="R505" s="160">
        <f t="shared" ca="1" si="88"/>
        <v>0</v>
      </c>
      <c r="S505" s="160">
        <f t="shared" ca="1" si="88"/>
        <v>0</v>
      </c>
      <c r="T505" s="160">
        <f t="shared" ca="1" si="88"/>
        <v>0</v>
      </c>
      <c r="U505" s="160">
        <f t="shared" ca="1" si="89"/>
        <v>0</v>
      </c>
      <c r="V505" s="163">
        <f t="shared" ca="1" si="81"/>
        <v>0</v>
      </c>
      <c r="W505" s="163">
        <f t="shared" ca="1" si="82"/>
        <v>0</v>
      </c>
      <c r="X505" s="163">
        <f t="shared" ca="1" si="83"/>
        <v>0</v>
      </c>
      <c r="Y505" s="163">
        <f t="shared" ca="1" si="84"/>
        <v>0</v>
      </c>
    </row>
    <row r="506" spans="12:25" ht="14.4">
      <c r="L506" s="464"/>
      <c r="M506" s="129" t="str">
        <f t="shared" si="85"/>
        <v>end</v>
      </c>
      <c r="N506" s="161">
        <f t="shared" si="80"/>
        <v>2</v>
      </c>
      <c r="O506" s="160">
        <f t="shared" ca="1" si="86"/>
        <v>0</v>
      </c>
      <c r="P506" s="160">
        <f t="shared" ca="1" si="87"/>
        <v>0</v>
      </c>
      <c r="Q506" s="160">
        <f t="shared" ca="1" si="88"/>
        <v>0</v>
      </c>
      <c r="R506" s="160">
        <f t="shared" ca="1" si="88"/>
        <v>0</v>
      </c>
      <c r="S506" s="160">
        <f t="shared" ca="1" si="88"/>
        <v>0</v>
      </c>
      <c r="T506" s="160">
        <f t="shared" ca="1" si="88"/>
        <v>0</v>
      </c>
      <c r="U506" s="160">
        <f t="shared" ca="1" si="89"/>
        <v>0</v>
      </c>
      <c r="V506" s="163">
        <f t="shared" ca="1" si="81"/>
        <v>0</v>
      </c>
      <c r="W506" s="163">
        <f t="shared" ca="1" si="82"/>
        <v>0</v>
      </c>
      <c r="X506" s="163">
        <f t="shared" ca="1" si="83"/>
        <v>0</v>
      </c>
      <c r="Y506" s="163">
        <f t="shared" ca="1" si="84"/>
        <v>0</v>
      </c>
    </row>
    <row r="507" spans="12:25" ht="14.4">
      <c r="L507" s="464"/>
      <c r="M507" s="129" t="str">
        <f t="shared" si="85"/>
        <v>end</v>
      </c>
      <c r="N507" s="161">
        <f t="shared" si="80"/>
        <v>2</v>
      </c>
      <c r="O507" s="160">
        <f t="shared" ca="1" si="86"/>
        <v>0</v>
      </c>
      <c r="P507" s="160">
        <f t="shared" ca="1" si="87"/>
        <v>0</v>
      </c>
      <c r="Q507" s="160">
        <f t="shared" ca="1" si="88"/>
        <v>0</v>
      </c>
      <c r="R507" s="160">
        <f t="shared" ca="1" si="88"/>
        <v>0</v>
      </c>
      <c r="S507" s="160">
        <f t="shared" ca="1" si="88"/>
        <v>0</v>
      </c>
      <c r="T507" s="160">
        <f t="shared" ca="1" si="88"/>
        <v>0</v>
      </c>
      <c r="U507" s="160">
        <f t="shared" ca="1" si="89"/>
        <v>0</v>
      </c>
      <c r="V507" s="163">
        <f t="shared" ca="1" si="81"/>
        <v>0</v>
      </c>
      <c r="W507" s="163">
        <f t="shared" ca="1" si="82"/>
        <v>0</v>
      </c>
      <c r="X507" s="163">
        <f t="shared" ca="1" si="83"/>
        <v>0</v>
      </c>
      <c r="Y507" s="163">
        <f t="shared" ca="1" si="84"/>
        <v>0</v>
      </c>
    </row>
    <row r="508" spans="12:25" ht="14.4">
      <c r="L508" s="464"/>
      <c r="M508" s="129" t="str">
        <f t="shared" si="85"/>
        <v>end</v>
      </c>
      <c r="N508" s="161">
        <f t="shared" si="80"/>
        <v>2</v>
      </c>
      <c r="O508" s="160">
        <f t="shared" ca="1" si="86"/>
        <v>0</v>
      </c>
      <c r="P508" s="160">
        <f t="shared" ca="1" si="87"/>
        <v>0</v>
      </c>
      <c r="Q508" s="160">
        <f t="shared" ca="1" si="88"/>
        <v>0</v>
      </c>
      <c r="R508" s="160">
        <f t="shared" ca="1" si="88"/>
        <v>0</v>
      </c>
      <c r="S508" s="160">
        <f t="shared" ca="1" si="88"/>
        <v>0</v>
      </c>
      <c r="T508" s="160">
        <f t="shared" ca="1" si="88"/>
        <v>0</v>
      </c>
      <c r="U508" s="160">
        <f t="shared" ca="1" si="89"/>
        <v>0</v>
      </c>
      <c r="V508" s="163">
        <f t="shared" ca="1" si="81"/>
        <v>0</v>
      </c>
      <c r="W508" s="163">
        <f t="shared" ca="1" si="82"/>
        <v>0</v>
      </c>
      <c r="X508" s="163">
        <f t="shared" ca="1" si="83"/>
        <v>0</v>
      </c>
      <c r="Y508" s="163">
        <f t="shared" ca="1" si="84"/>
        <v>0</v>
      </c>
    </row>
    <row r="509" spans="12:25" ht="14.4">
      <c r="L509" s="464"/>
      <c r="M509" s="129" t="str">
        <f t="shared" si="85"/>
        <v>end</v>
      </c>
      <c r="N509" s="161">
        <f t="shared" si="80"/>
        <v>2</v>
      </c>
      <c r="O509" s="160">
        <f t="shared" ca="1" si="86"/>
        <v>0</v>
      </c>
      <c r="P509" s="160">
        <f t="shared" ca="1" si="87"/>
        <v>0</v>
      </c>
      <c r="Q509" s="160">
        <f t="shared" ca="1" si="88"/>
        <v>0</v>
      </c>
      <c r="R509" s="160">
        <f t="shared" ca="1" si="88"/>
        <v>0</v>
      </c>
      <c r="S509" s="160">
        <f t="shared" ca="1" si="88"/>
        <v>0</v>
      </c>
      <c r="T509" s="160">
        <f t="shared" ca="1" si="88"/>
        <v>0</v>
      </c>
      <c r="U509" s="160">
        <f t="shared" ca="1" si="89"/>
        <v>0</v>
      </c>
      <c r="V509" s="163">
        <f t="shared" ca="1" si="81"/>
        <v>0</v>
      </c>
      <c r="W509" s="163">
        <f t="shared" ca="1" si="82"/>
        <v>0</v>
      </c>
      <c r="X509" s="163">
        <f t="shared" ca="1" si="83"/>
        <v>0</v>
      </c>
      <c r="Y509" s="163">
        <f t="shared" ca="1" si="84"/>
        <v>0</v>
      </c>
    </row>
    <row r="510" spans="12:25" ht="14.4">
      <c r="L510" s="464"/>
      <c r="M510" s="129" t="str">
        <f t="shared" si="85"/>
        <v>end</v>
      </c>
      <c r="N510" s="161">
        <f t="shared" si="80"/>
        <v>2</v>
      </c>
      <c r="O510" s="160">
        <f t="shared" ca="1" si="86"/>
        <v>0</v>
      </c>
      <c r="P510" s="160">
        <f t="shared" ca="1" si="87"/>
        <v>0</v>
      </c>
      <c r="Q510" s="160">
        <f t="shared" ca="1" si="88"/>
        <v>0</v>
      </c>
      <c r="R510" s="160">
        <f t="shared" ca="1" si="88"/>
        <v>0</v>
      </c>
      <c r="S510" s="160">
        <f t="shared" ca="1" si="88"/>
        <v>0</v>
      </c>
      <c r="T510" s="160">
        <f t="shared" ca="1" si="88"/>
        <v>0</v>
      </c>
      <c r="U510" s="160">
        <f t="shared" ca="1" si="89"/>
        <v>0</v>
      </c>
      <c r="V510" s="163">
        <f t="shared" ca="1" si="81"/>
        <v>0</v>
      </c>
      <c r="W510" s="163">
        <f t="shared" ca="1" si="82"/>
        <v>0</v>
      </c>
      <c r="X510" s="163">
        <f t="shared" ca="1" si="83"/>
        <v>0</v>
      </c>
      <c r="Y510" s="163">
        <f t="shared" ca="1" si="84"/>
        <v>0</v>
      </c>
    </row>
    <row r="511" spans="12:25" ht="14.4">
      <c r="L511" s="464"/>
      <c r="M511" s="129" t="str">
        <f t="shared" si="85"/>
        <v>end</v>
      </c>
      <c r="N511" s="161">
        <f t="shared" si="80"/>
        <v>2</v>
      </c>
      <c r="O511" s="160">
        <f t="shared" ca="1" si="86"/>
        <v>0</v>
      </c>
      <c r="P511" s="160">
        <f t="shared" ca="1" si="87"/>
        <v>0</v>
      </c>
      <c r="Q511" s="160">
        <f t="shared" ca="1" si="88"/>
        <v>0</v>
      </c>
      <c r="R511" s="160">
        <f t="shared" ca="1" si="88"/>
        <v>0</v>
      </c>
      <c r="S511" s="160">
        <f t="shared" ca="1" si="88"/>
        <v>0</v>
      </c>
      <c r="T511" s="160">
        <f t="shared" ca="1" si="88"/>
        <v>0</v>
      </c>
      <c r="U511" s="160">
        <f t="shared" ca="1" si="89"/>
        <v>0</v>
      </c>
      <c r="V511" s="163">
        <f t="shared" ca="1" si="81"/>
        <v>0</v>
      </c>
      <c r="W511" s="163">
        <f t="shared" ca="1" si="82"/>
        <v>0</v>
      </c>
      <c r="X511" s="163">
        <f t="shared" ca="1" si="83"/>
        <v>0</v>
      </c>
      <c r="Y511" s="163">
        <f t="shared" ca="1" si="84"/>
        <v>0</v>
      </c>
    </row>
    <row r="512" spans="12:25" ht="14.4">
      <c r="L512" s="464"/>
      <c r="M512" s="129" t="str">
        <f t="shared" si="85"/>
        <v>end</v>
      </c>
      <c r="N512" s="161">
        <f t="shared" si="80"/>
        <v>2</v>
      </c>
      <c r="O512" s="160">
        <f t="shared" ca="1" si="86"/>
        <v>0</v>
      </c>
      <c r="P512" s="160">
        <f t="shared" ca="1" si="87"/>
        <v>0</v>
      </c>
      <c r="Q512" s="160">
        <f t="shared" ca="1" si="88"/>
        <v>0</v>
      </c>
      <c r="R512" s="160">
        <f t="shared" ca="1" si="88"/>
        <v>0</v>
      </c>
      <c r="S512" s="160">
        <f t="shared" ca="1" si="88"/>
        <v>0</v>
      </c>
      <c r="T512" s="160">
        <f t="shared" ca="1" si="88"/>
        <v>0</v>
      </c>
      <c r="U512" s="160">
        <f t="shared" ca="1" si="89"/>
        <v>0</v>
      </c>
      <c r="V512" s="163">
        <f t="shared" ca="1" si="81"/>
        <v>0</v>
      </c>
      <c r="W512" s="163">
        <f t="shared" ca="1" si="82"/>
        <v>0</v>
      </c>
      <c r="X512" s="163">
        <f t="shared" ca="1" si="83"/>
        <v>0</v>
      </c>
      <c r="Y512" s="163">
        <f t="shared" ca="1" si="84"/>
        <v>0</v>
      </c>
    </row>
    <row r="513" spans="12:25" ht="14.4">
      <c r="L513" s="464"/>
      <c r="M513" s="129" t="str">
        <f t="shared" si="85"/>
        <v>end</v>
      </c>
      <c r="N513" s="161">
        <f t="shared" si="80"/>
        <v>2</v>
      </c>
      <c r="O513" s="160">
        <f t="shared" ca="1" si="86"/>
        <v>0</v>
      </c>
      <c r="P513" s="160">
        <f t="shared" ca="1" si="87"/>
        <v>0</v>
      </c>
      <c r="Q513" s="160">
        <f t="shared" ca="1" si="88"/>
        <v>0</v>
      </c>
      <c r="R513" s="160">
        <f t="shared" ca="1" si="88"/>
        <v>0</v>
      </c>
      <c r="S513" s="160">
        <f t="shared" ca="1" si="88"/>
        <v>0</v>
      </c>
      <c r="T513" s="160">
        <f t="shared" ca="1" si="88"/>
        <v>0</v>
      </c>
      <c r="U513" s="160">
        <f t="shared" ca="1" si="89"/>
        <v>0</v>
      </c>
      <c r="V513" s="163">
        <f t="shared" ca="1" si="81"/>
        <v>0</v>
      </c>
      <c r="W513" s="163">
        <f t="shared" ca="1" si="82"/>
        <v>0</v>
      </c>
      <c r="X513" s="163">
        <f t="shared" ca="1" si="83"/>
        <v>0</v>
      </c>
      <c r="Y513" s="163">
        <f t="shared" ca="1" si="84"/>
        <v>0</v>
      </c>
    </row>
    <row r="514" spans="12:25" ht="14.4">
      <c r="L514" s="464"/>
      <c r="M514" s="129" t="str">
        <f t="shared" si="85"/>
        <v>end</v>
      </c>
      <c r="N514" s="161">
        <f t="shared" si="80"/>
        <v>2</v>
      </c>
      <c r="O514" s="160">
        <f t="shared" ca="1" si="86"/>
        <v>0</v>
      </c>
      <c r="P514" s="160">
        <f t="shared" ca="1" si="87"/>
        <v>0</v>
      </c>
      <c r="Q514" s="160">
        <f t="shared" ca="1" si="88"/>
        <v>0</v>
      </c>
      <c r="R514" s="160">
        <f t="shared" ca="1" si="88"/>
        <v>0</v>
      </c>
      <c r="S514" s="160">
        <f t="shared" ca="1" si="88"/>
        <v>0</v>
      </c>
      <c r="T514" s="160">
        <f t="shared" ca="1" si="88"/>
        <v>0</v>
      </c>
      <c r="U514" s="160">
        <f t="shared" ca="1" si="89"/>
        <v>0</v>
      </c>
      <c r="V514" s="163">
        <f t="shared" ca="1" si="81"/>
        <v>0</v>
      </c>
      <c r="W514" s="163">
        <f t="shared" ca="1" si="82"/>
        <v>0</v>
      </c>
      <c r="X514" s="163">
        <f t="shared" ca="1" si="83"/>
        <v>0</v>
      </c>
      <c r="Y514" s="163">
        <f t="shared" ca="1" si="84"/>
        <v>0</v>
      </c>
    </row>
    <row r="515" spans="12:25" ht="14.4">
      <c r="L515" s="464"/>
      <c r="M515" s="129" t="str">
        <f t="shared" si="85"/>
        <v>end</v>
      </c>
      <c r="N515" s="161">
        <f t="shared" si="80"/>
        <v>2</v>
      </c>
      <c r="O515" s="160">
        <f t="shared" ca="1" si="86"/>
        <v>0</v>
      </c>
      <c r="P515" s="160">
        <f t="shared" ca="1" si="87"/>
        <v>0</v>
      </c>
      <c r="Q515" s="160">
        <f t="shared" ca="1" si="88"/>
        <v>0</v>
      </c>
      <c r="R515" s="160">
        <f t="shared" ca="1" si="88"/>
        <v>0</v>
      </c>
      <c r="S515" s="160">
        <f t="shared" ca="1" si="88"/>
        <v>0</v>
      </c>
      <c r="T515" s="160">
        <f t="shared" ca="1" si="88"/>
        <v>0</v>
      </c>
      <c r="U515" s="160">
        <f t="shared" ca="1" si="89"/>
        <v>0</v>
      </c>
      <c r="V515" s="163">
        <f t="shared" ca="1" si="81"/>
        <v>0</v>
      </c>
      <c r="W515" s="163">
        <f t="shared" ca="1" si="82"/>
        <v>0</v>
      </c>
      <c r="X515" s="163">
        <f t="shared" ca="1" si="83"/>
        <v>0</v>
      </c>
      <c r="Y515" s="163">
        <f t="shared" ca="1" si="84"/>
        <v>0</v>
      </c>
    </row>
    <row r="516" spans="12:25" ht="14.4">
      <c r="L516" s="464"/>
      <c r="M516" s="129" t="str">
        <f t="shared" si="85"/>
        <v>end</v>
      </c>
      <c r="N516" s="161">
        <f t="shared" si="80"/>
        <v>2</v>
      </c>
      <c r="O516" s="160">
        <f t="shared" ca="1" si="86"/>
        <v>0</v>
      </c>
      <c r="P516" s="160">
        <f t="shared" ca="1" si="87"/>
        <v>0</v>
      </c>
      <c r="Q516" s="160">
        <f t="shared" ca="1" si="88"/>
        <v>0</v>
      </c>
      <c r="R516" s="160">
        <f t="shared" ca="1" si="88"/>
        <v>0</v>
      </c>
      <c r="S516" s="160">
        <f t="shared" ca="1" si="88"/>
        <v>0</v>
      </c>
      <c r="T516" s="160">
        <f t="shared" ca="1" si="88"/>
        <v>0</v>
      </c>
      <c r="U516" s="160">
        <f t="shared" ca="1" si="89"/>
        <v>0</v>
      </c>
      <c r="V516" s="163">
        <f t="shared" ca="1" si="81"/>
        <v>0</v>
      </c>
      <c r="W516" s="163">
        <f t="shared" ca="1" si="82"/>
        <v>0</v>
      </c>
      <c r="X516" s="163">
        <f t="shared" ca="1" si="83"/>
        <v>0</v>
      </c>
      <c r="Y516" s="163">
        <f t="shared" ca="1" si="84"/>
        <v>0</v>
      </c>
    </row>
    <row r="517" spans="12:25" ht="14.4">
      <c r="L517" s="464"/>
      <c r="M517" s="129" t="str">
        <f t="shared" si="85"/>
        <v>end</v>
      </c>
      <c r="N517" s="161">
        <f t="shared" si="80"/>
        <v>2</v>
      </c>
      <c r="O517" s="160">
        <f t="shared" ca="1" si="86"/>
        <v>0</v>
      </c>
      <c r="P517" s="160">
        <f t="shared" ca="1" si="87"/>
        <v>0</v>
      </c>
      <c r="Q517" s="160">
        <f t="shared" ca="1" si="88"/>
        <v>0</v>
      </c>
      <c r="R517" s="160">
        <f t="shared" ca="1" si="88"/>
        <v>0</v>
      </c>
      <c r="S517" s="160">
        <f t="shared" ca="1" si="88"/>
        <v>0</v>
      </c>
      <c r="T517" s="160">
        <f t="shared" ca="1" si="88"/>
        <v>0</v>
      </c>
      <c r="U517" s="160">
        <f t="shared" ca="1" si="89"/>
        <v>0</v>
      </c>
      <c r="V517" s="163">
        <f t="shared" ca="1" si="81"/>
        <v>0</v>
      </c>
      <c r="W517" s="163">
        <f t="shared" ca="1" si="82"/>
        <v>0</v>
      </c>
      <c r="X517" s="163">
        <f t="shared" ca="1" si="83"/>
        <v>0</v>
      </c>
      <c r="Y517" s="163">
        <f t="shared" ca="1" si="84"/>
        <v>0</v>
      </c>
    </row>
    <row r="518" spans="12:25" ht="14.4">
      <c r="L518" s="464"/>
      <c r="M518" s="129" t="str">
        <f t="shared" si="85"/>
        <v>end</v>
      </c>
      <c r="N518" s="161">
        <f t="shared" si="80"/>
        <v>2</v>
      </c>
      <c r="O518" s="160">
        <f t="shared" ca="1" si="86"/>
        <v>0</v>
      </c>
      <c r="P518" s="160">
        <f t="shared" ca="1" si="87"/>
        <v>0</v>
      </c>
      <c r="Q518" s="160">
        <f t="shared" ca="1" si="88"/>
        <v>0</v>
      </c>
      <c r="R518" s="160">
        <f t="shared" ca="1" si="88"/>
        <v>0</v>
      </c>
      <c r="S518" s="160">
        <f t="shared" ca="1" si="88"/>
        <v>0</v>
      </c>
      <c r="T518" s="160">
        <f t="shared" ca="1" si="88"/>
        <v>0</v>
      </c>
      <c r="U518" s="160">
        <f t="shared" ca="1" si="89"/>
        <v>0</v>
      </c>
      <c r="V518" s="163">
        <f t="shared" ca="1" si="81"/>
        <v>0</v>
      </c>
      <c r="W518" s="163">
        <f t="shared" ca="1" si="82"/>
        <v>0</v>
      </c>
      <c r="X518" s="163">
        <f t="shared" ca="1" si="83"/>
        <v>0</v>
      </c>
      <c r="Y518" s="163">
        <f t="shared" ca="1" si="84"/>
        <v>0</v>
      </c>
    </row>
    <row r="519" spans="12:25" ht="14.4">
      <c r="L519" s="464"/>
      <c r="M519" s="129" t="str">
        <f t="shared" si="85"/>
        <v>end</v>
      </c>
      <c r="N519" s="161">
        <f t="shared" si="80"/>
        <v>2</v>
      </c>
      <c r="O519" s="160">
        <f t="shared" ca="1" si="86"/>
        <v>0</v>
      </c>
      <c r="P519" s="160">
        <f t="shared" ca="1" si="87"/>
        <v>0</v>
      </c>
      <c r="Q519" s="160">
        <f t="shared" ca="1" si="88"/>
        <v>0</v>
      </c>
      <c r="R519" s="160">
        <f t="shared" ca="1" si="88"/>
        <v>0</v>
      </c>
      <c r="S519" s="160">
        <f t="shared" ca="1" si="88"/>
        <v>0</v>
      </c>
      <c r="T519" s="160">
        <f t="shared" ca="1" si="88"/>
        <v>0</v>
      </c>
      <c r="U519" s="160">
        <f t="shared" ca="1" si="89"/>
        <v>0</v>
      </c>
      <c r="V519" s="163">
        <f t="shared" ca="1" si="81"/>
        <v>0</v>
      </c>
      <c r="W519" s="163">
        <f t="shared" ca="1" si="82"/>
        <v>0</v>
      </c>
      <c r="X519" s="163">
        <f t="shared" ca="1" si="83"/>
        <v>0</v>
      </c>
      <c r="Y519" s="163">
        <f t="shared" ca="1" si="84"/>
        <v>0</v>
      </c>
    </row>
    <row r="520" spans="12:25" ht="14.4">
      <c r="L520" s="464"/>
      <c r="M520" s="129" t="str">
        <f t="shared" si="85"/>
        <v>end</v>
      </c>
      <c r="N520" s="161">
        <f t="shared" si="80"/>
        <v>2</v>
      </c>
      <c r="O520" s="160">
        <f t="shared" ca="1" si="86"/>
        <v>0</v>
      </c>
      <c r="P520" s="160">
        <f t="shared" ca="1" si="87"/>
        <v>0</v>
      </c>
      <c r="Q520" s="160">
        <f t="shared" ca="1" si="88"/>
        <v>0</v>
      </c>
      <c r="R520" s="160">
        <f t="shared" ca="1" si="88"/>
        <v>0</v>
      </c>
      <c r="S520" s="160">
        <f t="shared" ca="1" si="88"/>
        <v>0</v>
      </c>
      <c r="T520" s="160">
        <f t="shared" ca="1" si="88"/>
        <v>0</v>
      </c>
      <c r="U520" s="160">
        <f t="shared" ca="1" si="89"/>
        <v>0</v>
      </c>
      <c r="V520" s="163">
        <f t="shared" ca="1" si="81"/>
        <v>0</v>
      </c>
      <c r="W520" s="163">
        <f t="shared" ca="1" si="82"/>
        <v>0</v>
      </c>
      <c r="X520" s="163">
        <f t="shared" ca="1" si="83"/>
        <v>0</v>
      </c>
      <c r="Y520" s="163">
        <f t="shared" ca="1" si="84"/>
        <v>0</v>
      </c>
    </row>
    <row r="521" spans="12:25" ht="14.4">
      <c r="L521" s="464"/>
      <c r="M521" s="129" t="str">
        <f t="shared" si="85"/>
        <v>end</v>
      </c>
      <c r="N521" s="161">
        <f t="shared" si="80"/>
        <v>2</v>
      </c>
      <c r="O521" s="160">
        <f t="shared" ca="1" si="86"/>
        <v>0</v>
      </c>
      <c r="P521" s="160">
        <f t="shared" ca="1" si="87"/>
        <v>0</v>
      </c>
      <c r="Q521" s="160">
        <f t="shared" ca="1" si="88"/>
        <v>0</v>
      </c>
      <c r="R521" s="160">
        <f t="shared" ca="1" si="88"/>
        <v>0</v>
      </c>
      <c r="S521" s="160">
        <f t="shared" ca="1" si="88"/>
        <v>0</v>
      </c>
      <c r="T521" s="160">
        <f t="shared" ca="1" si="88"/>
        <v>0</v>
      </c>
      <c r="U521" s="160">
        <f t="shared" ca="1" si="89"/>
        <v>0</v>
      </c>
      <c r="V521" s="163">
        <f t="shared" ca="1" si="81"/>
        <v>0</v>
      </c>
      <c r="W521" s="163">
        <f t="shared" ca="1" si="82"/>
        <v>0</v>
      </c>
      <c r="X521" s="163">
        <f t="shared" ca="1" si="83"/>
        <v>0</v>
      </c>
      <c r="Y521" s="163">
        <f t="shared" ca="1" si="84"/>
        <v>0</v>
      </c>
    </row>
    <row r="522" spans="12:25" ht="14.4">
      <c r="L522" s="464"/>
      <c r="M522" s="129" t="str">
        <f t="shared" si="85"/>
        <v>end</v>
      </c>
      <c r="N522" s="161">
        <f t="shared" si="80"/>
        <v>2</v>
      </c>
      <c r="O522" s="160">
        <f t="shared" ca="1" si="86"/>
        <v>0</v>
      </c>
      <c r="P522" s="160">
        <f t="shared" ca="1" si="87"/>
        <v>0</v>
      </c>
      <c r="Q522" s="160">
        <f t="shared" ca="1" si="88"/>
        <v>0</v>
      </c>
      <c r="R522" s="160">
        <f t="shared" ca="1" si="88"/>
        <v>0</v>
      </c>
      <c r="S522" s="160">
        <f t="shared" ca="1" si="88"/>
        <v>0</v>
      </c>
      <c r="T522" s="160">
        <f t="shared" ca="1" si="88"/>
        <v>0</v>
      </c>
      <c r="U522" s="160">
        <f t="shared" ca="1" si="89"/>
        <v>0</v>
      </c>
      <c r="V522" s="163">
        <f t="shared" ca="1" si="81"/>
        <v>0</v>
      </c>
      <c r="W522" s="163">
        <f t="shared" ca="1" si="82"/>
        <v>0</v>
      </c>
      <c r="X522" s="163">
        <f t="shared" ca="1" si="83"/>
        <v>0</v>
      </c>
      <c r="Y522" s="163">
        <f t="shared" ca="1" si="84"/>
        <v>0</v>
      </c>
    </row>
    <row r="523" spans="12:25" ht="14.4">
      <c r="L523" s="464"/>
      <c r="M523" s="129" t="str">
        <f t="shared" si="85"/>
        <v>end</v>
      </c>
      <c r="N523" s="161">
        <f t="shared" si="80"/>
        <v>2</v>
      </c>
      <c r="O523" s="160">
        <f t="shared" ca="1" si="86"/>
        <v>0</v>
      </c>
      <c r="P523" s="160">
        <f t="shared" ca="1" si="87"/>
        <v>0</v>
      </c>
      <c r="Q523" s="160">
        <f t="shared" ca="1" si="88"/>
        <v>0</v>
      </c>
      <c r="R523" s="160">
        <f t="shared" ca="1" si="88"/>
        <v>0</v>
      </c>
      <c r="S523" s="160">
        <f t="shared" ca="1" si="88"/>
        <v>0</v>
      </c>
      <c r="T523" s="160">
        <f t="shared" ca="1" si="88"/>
        <v>0</v>
      </c>
      <c r="U523" s="160">
        <f t="shared" ca="1" si="89"/>
        <v>0</v>
      </c>
      <c r="V523" s="163">
        <f t="shared" ca="1" si="81"/>
        <v>0</v>
      </c>
      <c r="W523" s="163">
        <f t="shared" ca="1" si="82"/>
        <v>0</v>
      </c>
      <c r="X523" s="163">
        <f t="shared" ca="1" si="83"/>
        <v>0</v>
      </c>
      <c r="Y523" s="163">
        <f t="shared" ca="1" si="84"/>
        <v>0</v>
      </c>
    </row>
    <row r="524" spans="12:25" ht="14.4">
      <c r="L524" s="464"/>
      <c r="M524" s="129" t="str">
        <f t="shared" si="85"/>
        <v>end</v>
      </c>
      <c r="N524" s="161">
        <f t="shared" si="80"/>
        <v>2</v>
      </c>
      <c r="O524" s="160">
        <f t="shared" ca="1" si="86"/>
        <v>0</v>
      </c>
      <c r="P524" s="160">
        <f t="shared" ca="1" si="87"/>
        <v>0</v>
      </c>
      <c r="Q524" s="160">
        <f t="shared" ca="1" si="88"/>
        <v>0</v>
      </c>
      <c r="R524" s="160">
        <f t="shared" ca="1" si="88"/>
        <v>0</v>
      </c>
      <c r="S524" s="160">
        <f t="shared" ca="1" si="88"/>
        <v>0</v>
      </c>
      <c r="T524" s="160">
        <f t="shared" ca="1" si="88"/>
        <v>0</v>
      </c>
      <c r="U524" s="160">
        <f t="shared" ca="1" si="89"/>
        <v>0</v>
      </c>
      <c r="V524" s="163">
        <f t="shared" ca="1" si="81"/>
        <v>0</v>
      </c>
      <c r="W524" s="163">
        <f t="shared" ca="1" si="82"/>
        <v>0</v>
      </c>
      <c r="X524" s="163">
        <f t="shared" ca="1" si="83"/>
        <v>0</v>
      </c>
      <c r="Y524" s="163">
        <f t="shared" ca="1" si="84"/>
        <v>0</v>
      </c>
    </row>
    <row r="525" spans="12:25" ht="14.4">
      <c r="L525" s="464"/>
      <c r="M525" s="129" t="str">
        <f t="shared" si="85"/>
        <v>end</v>
      </c>
      <c r="N525" s="161">
        <f t="shared" si="80"/>
        <v>2</v>
      </c>
      <c r="O525" s="160">
        <f t="shared" ca="1" si="86"/>
        <v>0</v>
      </c>
      <c r="P525" s="160">
        <f t="shared" ca="1" si="87"/>
        <v>0</v>
      </c>
      <c r="Q525" s="160">
        <f t="shared" ca="1" si="88"/>
        <v>0</v>
      </c>
      <c r="R525" s="160">
        <f t="shared" ca="1" si="88"/>
        <v>0</v>
      </c>
      <c r="S525" s="160">
        <f t="shared" ca="1" si="88"/>
        <v>0</v>
      </c>
      <c r="T525" s="160">
        <f t="shared" ca="1" si="88"/>
        <v>0</v>
      </c>
      <c r="U525" s="160">
        <f t="shared" ca="1" si="89"/>
        <v>0</v>
      </c>
      <c r="V525" s="163">
        <f t="shared" ca="1" si="81"/>
        <v>0</v>
      </c>
      <c r="W525" s="163">
        <f t="shared" ca="1" si="82"/>
        <v>0</v>
      </c>
      <c r="X525" s="163">
        <f t="shared" ca="1" si="83"/>
        <v>0</v>
      </c>
      <c r="Y525" s="163">
        <f t="shared" ca="1" si="84"/>
        <v>0</v>
      </c>
    </row>
    <row r="526" spans="12:25" ht="14.4">
      <c r="L526" s="464"/>
      <c r="M526" s="129" t="str">
        <f t="shared" si="85"/>
        <v>end</v>
      </c>
      <c r="N526" s="161">
        <f t="shared" si="80"/>
        <v>2</v>
      </c>
      <c r="O526" s="160">
        <f t="shared" ca="1" si="86"/>
        <v>0</v>
      </c>
      <c r="P526" s="160">
        <f t="shared" ca="1" si="87"/>
        <v>0</v>
      </c>
      <c r="Q526" s="160">
        <f t="shared" ca="1" si="88"/>
        <v>0</v>
      </c>
      <c r="R526" s="160">
        <f t="shared" ca="1" si="88"/>
        <v>0</v>
      </c>
      <c r="S526" s="160">
        <f t="shared" ca="1" si="88"/>
        <v>0</v>
      </c>
      <c r="T526" s="160">
        <f t="shared" ca="1" si="88"/>
        <v>0</v>
      </c>
      <c r="U526" s="160">
        <f t="shared" ca="1" si="89"/>
        <v>0</v>
      </c>
      <c r="V526" s="163">
        <f t="shared" ca="1" si="81"/>
        <v>0</v>
      </c>
      <c r="W526" s="163">
        <f t="shared" ca="1" si="82"/>
        <v>0</v>
      </c>
      <c r="X526" s="163">
        <f t="shared" ca="1" si="83"/>
        <v>0</v>
      </c>
      <c r="Y526" s="163">
        <f t="shared" ca="1" si="84"/>
        <v>0</v>
      </c>
    </row>
    <row r="527" spans="12:25" ht="14.4">
      <c r="L527" s="464"/>
      <c r="M527" s="129" t="str">
        <f t="shared" si="85"/>
        <v>end</v>
      </c>
      <c r="N527" s="161">
        <f t="shared" si="80"/>
        <v>2</v>
      </c>
      <c r="O527" s="160">
        <f t="shared" ca="1" si="86"/>
        <v>0</v>
      </c>
      <c r="P527" s="160">
        <f t="shared" ca="1" si="87"/>
        <v>0</v>
      </c>
      <c r="Q527" s="160">
        <f t="shared" ca="1" si="88"/>
        <v>0</v>
      </c>
      <c r="R527" s="160">
        <f t="shared" ca="1" si="88"/>
        <v>0</v>
      </c>
      <c r="S527" s="160">
        <f t="shared" ca="1" si="88"/>
        <v>0</v>
      </c>
      <c r="T527" s="160">
        <f t="shared" ca="1" si="88"/>
        <v>0</v>
      </c>
      <c r="U527" s="160">
        <f t="shared" ca="1" si="89"/>
        <v>0</v>
      </c>
      <c r="V527" s="163">
        <f t="shared" ca="1" si="81"/>
        <v>0</v>
      </c>
      <c r="W527" s="163">
        <f t="shared" ca="1" si="82"/>
        <v>0</v>
      </c>
      <c r="X527" s="163">
        <f t="shared" ca="1" si="83"/>
        <v>0</v>
      </c>
      <c r="Y527" s="163">
        <f t="shared" ca="1" si="84"/>
        <v>0</v>
      </c>
    </row>
    <row r="528" spans="12:25" ht="14.4">
      <c r="L528" s="464"/>
      <c r="M528" s="129" t="str">
        <f t="shared" si="85"/>
        <v>end</v>
      </c>
      <c r="N528" s="161">
        <f t="shared" si="80"/>
        <v>2</v>
      </c>
      <c r="O528" s="160">
        <f t="shared" ca="1" si="86"/>
        <v>0</v>
      </c>
      <c r="P528" s="160">
        <f t="shared" ca="1" si="87"/>
        <v>0</v>
      </c>
      <c r="Q528" s="160">
        <f t="shared" ca="1" si="88"/>
        <v>0</v>
      </c>
      <c r="R528" s="160">
        <f t="shared" ca="1" si="88"/>
        <v>0</v>
      </c>
      <c r="S528" s="160">
        <f t="shared" ca="1" si="88"/>
        <v>0</v>
      </c>
      <c r="T528" s="160">
        <f t="shared" ca="1" si="88"/>
        <v>0</v>
      </c>
      <c r="U528" s="160">
        <f t="shared" ca="1" si="89"/>
        <v>0</v>
      </c>
      <c r="V528" s="163">
        <f t="shared" ca="1" si="81"/>
        <v>0</v>
      </c>
      <c r="W528" s="163">
        <f t="shared" ca="1" si="82"/>
        <v>0</v>
      </c>
      <c r="X528" s="163">
        <f t="shared" ca="1" si="83"/>
        <v>0</v>
      </c>
      <c r="Y528" s="163">
        <f t="shared" ca="1" si="84"/>
        <v>0</v>
      </c>
    </row>
    <row r="529" spans="12:25" ht="14.4">
      <c r="L529" s="464"/>
      <c r="M529" s="129" t="str">
        <f t="shared" si="85"/>
        <v>end</v>
      </c>
      <c r="N529" s="161">
        <f t="shared" si="80"/>
        <v>2</v>
      </c>
      <c r="O529" s="160">
        <f t="shared" ca="1" si="86"/>
        <v>0</v>
      </c>
      <c r="P529" s="160">
        <f t="shared" ca="1" si="87"/>
        <v>0</v>
      </c>
      <c r="Q529" s="160">
        <f t="shared" ca="1" si="88"/>
        <v>0</v>
      </c>
      <c r="R529" s="160">
        <f t="shared" ca="1" si="88"/>
        <v>0</v>
      </c>
      <c r="S529" s="160">
        <f t="shared" ca="1" si="88"/>
        <v>0</v>
      </c>
      <c r="T529" s="160">
        <f t="shared" ca="1" si="88"/>
        <v>0</v>
      </c>
      <c r="U529" s="160">
        <f t="shared" ca="1" si="89"/>
        <v>0</v>
      </c>
      <c r="V529" s="163">
        <f t="shared" ca="1" si="81"/>
        <v>0</v>
      </c>
      <c r="W529" s="163">
        <f t="shared" ca="1" si="82"/>
        <v>0</v>
      </c>
      <c r="X529" s="163">
        <f t="shared" ca="1" si="83"/>
        <v>0</v>
      </c>
      <c r="Y529" s="163">
        <f t="shared" ca="1" si="84"/>
        <v>0</v>
      </c>
    </row>
    <row r="530" spans="12:25" ht="14.4">
      <c r="L530" s="464"/>
      <c r="M530" s="129" t="str">
        <f t="shared" si="85"/>
        <v>end</v>
      </c>
      <c r="N530" s="161">
        <f t="shared" ref="N530:N583" si="90">N529</f>
        <v>2</v>
      </c>
      <c r="O530" s="160">
        <f t="shared" ca="1" si="86"/>
        <v>0</v>
      </c>
      <c r="P530" s="160">
        <f t="shared" ca="1" si="87"/>
        <v>0</v>
      </c>
      <c r="Q530" s="160">
        <f t="shared" ca="1" si="88"/>
        <v>0</v>
      </c>
      <c r="R530" s="160">
        <f t="shared" ca="1" si="88"/>
        <v>0</v>
      </c>
      <c r="S530" s="160">
        <f t="shared" ca="1" si="88"/>
        <v>0</v>
      </c>
      <c r="T530" s="160">
        <f t="shared" ca="1" si="88"/>
        <v>0</v>
      </c>
      <c r="U530" s="160">
        <f t="shared" ca="1" si="89"/>
        <v>0</v>
      </c>
      <c r="V530" s="163">
        <f t="shared" ca="1" si="81"/>
        <v>0</v>
      </c>
      <c r="W530" s="163">
        <f t="shared" ca="1" si="82"/>
        <v>0</v>
      </c>
      <c r="X530" s="163">
        <f t="shared" ca="1" si="83"/>
        <v>0</v>
      </c>
      <c r="Y530" s="163">
        <f t="shared" ca="1" si="84"/>
        <v>0</v>
      </c>
    </row>
    <row r="531" spans="12:25" ht="14.4">
      <c r="L531" s="464"/>
      <c r="M531" s="129" t="str">
        <f t="shared" si="85"/>
        <v>end</v>
      </c>
      <c r="N531" s="161">
        <f t="shared" si="90"/>
        <v>2</v>
      </c>
      <c r="O531" s="160">
        <f t="shared" ca="1" si="86"/>
        <v>0</v>
      </c>
      <c r="P531" s="160">
        <f t="shared" ca="1" si="87"/>
        <v>0</v>
      </c>
      <c r="Q531" s="160">
        <f t="shared" ca="1" si="88"/>
        <v>0</v>
      </c>
      <c r="R531" s="160">
        <f t="shared" ca="1" si="88"/>
        <v>0</v>
      </c>
      <c r="S531" s="160">
        <f t="shared" ca="1" si="88"/>
        <v>0</v>
      </c>
      <c r="T531" s="160">
        <f t="shared" ca="1" si="88"/>
        <v>0</v>
      </c>
      <c r="U531" s="160">
        <f t="shared" ca="1" si="89"/>
        <v>0</v>
      </c>
      <c r="V531" s="163">
        <f t="shared" ca="1" si="81"/>
        <v>0</v>
      </c>
      <c r="W531" s="163">
        <f t="shared" ca="1" si="82"/>
        <v>0</v>
      </c>
      <c r="X531" s="163">
        <f t="shared" ca="1" si="83"/>
        <v>0</v>
      </c>
      <c r="Y531" s="163">
        <f t="shared" ca="1" si="84"/>
        <v>0</v>
      </c>
    </row>
    <row r="532" spans="12:25" ht="14.4">
      <c r="L532" s="464"/>
      <c r="M532" s="129" t="str">
        <f t="shared" si="85"/>
        <v>end</v>
      </c>
      <c r="N532" s="161">
        <f t="shared" si="90"/>
        <v>2</v>
      </c>
      <c r="O532" s="160">
        <f t="shared" ca="1" si="86"/>
        <v>0</v>
      </c>
      <c r="P532" s="160">
        <f t="shared" ca="1" si="87"/>
        <v>0</v>
      </c>
      <c r="Q532" s="160">
        <f t="shared" ca="1" si="88"/>
        <v>0</v>
      </c>
      <c r="R532" s="160">
        <f t="shared" ca="1" si="88"/>
        <v>0</v>
      </c>
      <c r="S532" s="160">
        <f t="shared" ca="1" si="88"/>
        <v>0</v>
      </c>
      <c r="T532" s="160">
        <f t="shared" ca="1" si="88"/>
        <v>0</v>
      </c>
      <c r="U532" s="160">
        <f t="shared" ca="1" si="89"/>
        <v>0</v>
      </c>
      <c r="V532" s="163">
        <f t="shared" ca="1" si="81"/>
        <v>0</v>
      </c>
      <c r="W532" s="163">
        <f t="shared" ca="1" si="82"/>
        <v>0</v>
      </c>
      <c r="X532" s="163">
        <f t="shared" ca="1" si="83"/>
        <v>0</v>
      </c>
      <c r="Y532" s="163">
        <f t="shared" ca="1" si="84"/>
        <v>0</v>
      </c>
    </row>
    <row r="533" spans="12:25" ht="14.4">
      <c r="L533" s="464"/>
      <c r="M533" s="129" t="str">
        <f t="shared" si="85"/>
        <v>end</v>
      </c>
      <c r="N533" s="161">
        <f t="shared" si="90"/>
        <v>2</v>
      </c>
      <c r="O533" s="160">
        <f t="shared" ca="1" si="86"/>
        <v>0</v>
      </c>
      <c r="P533" s="160">
        <f t="shared" ca="1" si="87"/>
        <v>0</v>
      </c>
      <c r="Q533" s="160">
        <f t="shared" ca="1" si="88"/>
        <v>0</v>
      </c>
      <c r="R533" s="160">
        <f t="shared" ca="1" si="88"/>
        <v>0</v>
      </c>
      <c r="S533" s="160">
        <f t="shared" ca="1" si="88"/>
        <v>0</v>
      </c>
      <c r="T533" s="160">
        <f t="shared" ca="1" si="88"/>
        <v>0</v>
      </c>
      <c r="U533" s="160">
        <f t="shared" ca="1" si="89"/>
        <v>0</v>
      </c>
      <c r="V533" s="163">
        <f t="shared" ca="1" si="81"/>
        <v>0</v>
      </c>
      <c r="W533" s="163">
        <f t="shared" ca="1" si="82"/>
        <v>0</v>
      </c>
      <c r="X533" s="163">
        <f t="shared" ca="1" si="83"/>
        <v>0</v>
      </c>
      <c r="Y533" s="163">
        <f t="shared" ca="1" si="84"/>
        <v>0</v>
      </c>
    </row>
    <row r="534" spans="12:25" ht="14.4">
      <c r="L534" s="464"/>
      <c r="M534" s="129" t="str">
        <f t="shared" si="85"/>
        <v>end</v>
      </c>
      <c r="N534" s="161">
        <f t="shared" si="90"/>
        <v>2</v>
      </c>
      <c r="O534" s="160">
        <f t="shared" ca="1" si="86"/>
        <v>0</v>
      </c>
      <c r="P534" s="160">
        <f t="shared" ca="1" si="87"/>
        <v>0</v>
      </c>
      <c r="Q534" s="160">
        <f t="shared" ca="1" si="88"/>
        <v>0</v>
      </c>
      <c r="R534" s="160">
        <f t="shared" ca="1" si="88"/>
        <v>0</v>
      </c>
      <c r="S534" s="160">
        <f t="shared" ca="1" si="88"/>
        <v>0</v>
      </c>
      <c r="T534" s="160">
        <f t="shared" ca="1" si="88"/>
        <v>0</v>
      </c>
      <c r="U534" s="160">
        <f t="shared" ca="1" si="89"/>
        <v>0</v>
      </c>
      <c r="V534" s="163">
        <f t="shared" ca="1" si="81"/>
        <v>0</v>
      </c>
      <c r="W534" s="163">
        <f t="shared" ca="1" si="82"/>
        <v>0</v>
      </c>
      <c r="X534" s="163">
        <f t="shared" ca="1" si="83"/>
        <v>0</v>
      </c>
      <c r="Y534" s="163">
        <f t="shared" ca="1" si="84"/>
        <v>0</v>
      </c>
    </row>
    <row r="535" spans="12:25" ht="14.4">
      <c r="L535" s="464"/>
      <c r="M535" s="129" t="str">
        <f t="shared" si="85"/>
        <v>end</v>
      </c>
      <c r="N535" s="161">
        <f t="shared" si="90"/>
        <v>2</v>
      </c>
      <c r="O535" s="160">
        <f t="shared" ca="1" si="86"/>
        <v>0</v>
      </c>
      <c r="P535" s="160">
        <f t="shared" ca="1" si="87"/>
        <v>0</v>
      </c>
      <c r="Q535" s="160">
        <f t="shared" ca="1" si="88"/>
        <v>0</v>
      </c>
      <c r="R535" s="160">
        <f t="shared" ca="1" si="88"/>
        <v>0</v>
      </c>
      <c r="S535" s="160">
        <f t="shared" ca="1" si="88"/>
        <v>0</v>
      </c>
      <c r="T535" s="160">
        <f t="shared" ca="1" si="88"/>
        <v>0</v>
      </c>
      <c r="U535" s="160">
        <f t="shared" ca="1" si="89"/>
        <v>0</v>
      </c>
      <c r="V535" s="163">
        <f t="shared" ca="1" si="81"/>
        <v>0</v>
      </c>
      <c r="W535" s="163">
        <f t="shared" ca="1" si="82"/>
        <v>0</v>
      </c>
      <c r="X535" s="163">
        <f t="shared" ca="1" si="83"/>
        <v>0</v>
      </c>
      <c r="Y535" s="163">
        <f t="shared" ca="1" si="84"/>
        <v>0</v>
      </c>
    </row>
    <row r="536" spans="12:25" ht="14.4">
      <c r="L536" s="464"/>
      <c r="M536" s="129" t="str">
        <f t="shared" si="85"/>
        <v>end</v>
      </c>
      <c r="N536" s="161">
        <f t="shared" si="90"/>
        <v>2</v>
      </c>
      <c r="O536" s="160">
        <f t="shared" ca="1" si="86"/>
        <v>0</v>
      </c>
      <c r="P536" s="160">
        <f t="shared" ca="1" si="87"/>
        <v>0</v>
      </c>
      <c r="Q536" s="160">
        <f t="shared" ca="1" si="88"/>
        <v>0</v>
      </c>
      <c r="R536" s="160">
        <f t="shared" ca="1" si="88"/>
        <v>0</v>
      </c>
      <c r="S536" s="160">
        <f t="shared" ca="1" si="88"/>
        <v>0</v>
      </c>
      <c r="T536" s="160">
        <f t="shared" ca="1" si="88"/>
        <v>0</v>
      </c>
      <c r="U536" s="160">
        <f t="shared" ca="1" si="89"/>
        <v>0</v>
      </c>
      <c r="V536" s="163">
        <f t="shared" ca="1" si="81"/>
        <v>0</v>
      </c>
      <c r="W536" s="163">
        <f t="shared" ca="1" si="82"/>
        <v>0</v>
      </c>
      <c r="X536" s="163">
        <f t="shared" ca="1" si="83"/>
        <v>0</v>
      </c>
      <c r="Y536" s="163">
        <f t="shared" ca="1" si="84"/>
        <v>0</v>
      </c>
    </row>
    <row r="537" spans="12:25" ht="14.4">
      <c r="L537" s="464"/>
      <c r="M537" s="129" t="str">
        <f t="shared" si="85"/>
        <v>end</v>
      </c>
      <c r="N537" s="161">
        <f t="shared" si="90"/>
        <v>2</v>
      </c>
      <c r="O537" s="160">
        <f t="shared" ca="1" si="86"/>
        <v>0</v>
      </c>
      <c r="P537" s="160">
        <f t="shared" ca="1" si="87"/>
        <v>0</v>
      </c>
      <c r="Q537" s="160">
        <f t="shared" ca="1" si="88"/>
        <v>0</v>
      </c>
      <c r="R537" s="160">
        <f t="shared" ca="1" si="88"/>
        <v>0</v>
      </c>
      <c r="S537" s="160">
        <f t="shared" ca="1" si="88"/>
        <v>0</v>
      </c>
      <c r="T537" s="160">
        <f t="shared" ca="1" si="88"/>
        <v>0</v>
      </c>
      <c r="U537" s="160">
        <f t="shared" ca="1" si="89"/>
        <v>0</v>
      </c>
      <c r="V537" s="163">
        <f t="shared" ca="1" si="81"/>
        <v>0</v>
      </c>
      <c r="W537" s="163">
        <f t="shared" ca="1" si="82"/>
        <v>0</v>
      </c>
      <c r="X537" s="163">
        <f t="shared" ca="1" si="83"/>
        <v>0</v>
      </c>
      <c r="Y537" s="163">
        <f t="shared" ca="1" si="84"/>
        <v>0</v>
      </c>
    </row>
    <row r="538" spans="12:25" ht="14.4">
      <c r="L538" s="464"/>
      <c r="M538" s="129" t="str">
        <f t="shared" si="85"/>
        <v>end</v>
      </c>
      <c r="N538" s="161">
        <f t="shared" si="90"/>
        <v>2</v>
      </c>
      <c r="O538" s="160">
        <f t="shared" ca="1" si="86"/>
        <v>0</v>
      </c>
      <c r="P538" s="160">
        <f t="shared" ca="1" si="87"/>
        <v>0</v>
      </c>
      <c r="Q538" s="160">
        <f t="shared" ca="1" si="88"/>
        <v>0</v>
      </c>
      <c r="R538" s="160">
        <f t="shared" ca="1" si="88"/>
        <v>0</v>
      </c>
      <c r="S538" s="160">
        <f t="shared" ca="1" si="88"/>
        <v>0</v>
      </c>
      <c r="T538" s="160">
        <f t="shared" ca="1" si="88"/>
        <v>0</v>
      </c>
      <c r="U538" s="160">
        <f t="shared" ca="1" si="89"/>
        <v>0</v>
      </c>
      <c r="V538" s="163">
        <f t="shared" ca="1" si="81"/>
        <v>0</v>
      </c>
      <c r="W538" s="163">
        <f t="shared" ca="1" si="82"/>
        <v>0</v>
      </c>
      <c r="X538" s="163">
        <f t="shared" ca="1" si="83"/>
        <v>0</v>
      </c>
      <c r="Y538" s="163">
        <f t="shared" ca="1" si="84"/>
        <v>0</v>
      </c>
    </row>
    <row r="539" spans="12:25" ht="14.4">
      <c r="L539" s="464"/>
      <c r="M539" s="129" t="str">
        <f t="shared" si="85"/>
        <v>end</v>
      </c>
      <c r="N539" s="161">
        <f t="shared" si="90"/>
        <v>2</v>
      </c>
      <c r="O539" s="160">
        <f t="shared" ca="1" si="86"/>
        <v>0</v>
      </c>
      <c r="P539" s="160">
        <f t="shared" ca="1" si="87"/>
        <v>0</v>
      </c>
      <c r="Q539" s="160">
        <f t="shared" ca="1" si="88"/>
        <v>0</v>
      </c>
      <c r="R539" s="160">
        <f t="shared" ca="1" si="88"/>
        <v>0</v>
      </c>
      <c r="S539" s="160">
        <f t="shared" ca="1" si="88"/>
        <v>0</v>
      </c>
      <c r="T539" s="160">
        <f t="shared" ca="1" si="88"/>
        <v>0</v>
      </c>
      <c r="U539" s="160">
        <f t="shared" ca="1" si="89"/>
        <v>0</v>
      </c>
      <c r="V539" s="163">
        <f t="shared" ca="1" si="81"/>
        <v>0</v>
      </c>
      <c r="W539" s="163">
        <f t="shared" ca="1" si="82"/>
        <v>0</v>
      </c>
      <c r="X539" s="163">
        <f t="shared" ca="1" si="83"/>
        <v>0</v>
      </c>
      <c r="Y539" s="163">
        <f t="shared" ca="1" si="84"/>
        <v>0</v>
      </c>
    </row>
    <row r="540" spans="12:25" ht="14.4">
      <c r="L540" s="464"/>
      <c r="M540" s="129" t="str">
        <f t="shared" si="85"/>
        <v>end</v>
      </c>
      <c r="N540" s="161">
        <f t="shared" si="90"/>
        <v>2</v>
      </c>
      <c r="O540" s="160">
        <f t="shared" ca="1" si="86"/>
        <v>0</v>
      </c>
      <c r="P540" s="160">
        <f t="shared" ca="1" si="87"/>
        <v>0</v>
      </c>
      <c r="Q540" s="160">
        <f t="shared" ca="1" si="88"/>
        <v>0</v>
      </c>
      <c r="R540" s="160">
        <f t="shared" ca="1" si="88"/>
        <v>0</v>
      </c>
      <c r="S540" s="160">
        <f t="shared" ca="1" si="88"/>
        <v>0</v>
      </c>
      <c r="T540" s="160">
        <f t="shared" ca="1" si="88"/>
        <v>0</v>
      </c>
      <c r="U540" s="160">
        <f t="shared" ca="1" si="89"/>
        <v>0</v>
      </c>
      <c r="V540" s="163">
        <f t="shared" ca="1" si="81"/>
        <v>0</v>
      </c>
      <c r="W540" s="163">
        <f t="shared" ca="1" si="82"/>
        <v>0</v>
      </c>
      <c r="X540" s="163">
        <f t="shared" ca="1" si="83"/>
        <v>0</v>
      </c>
      <c r="Y540" s="163">
        <f t="shared" ca="1" si="84"/>
        <v>0</v>
      </c>
    </row>
    <row r="541" spans="12:25" ht="14.4">
      <c r="L541" s="464"/>
      <c r="M541" s="129" t="str">
        <f t="shared" si="85"/>
        <v>end</v>
      </c>
      <c r="N541" s="161">
        <f t="shared" si="90"/>
        <v>2</v>
      </c>
      <c r="O541" s="160">
        <f t="shared" ca="1" si="86"/>
        <v>0</v>
      </c>
      <c r="P541" s="160">
        <f t="shared" ca="1" si="87"/>
        <v>0</v>
      </c>
      <c r="Q541" s="160">
        <f t="shared" ca="1" si="88"/>
        <v>0</v>
      </c>
      <c r="R541" s="160">
        <f t="shared" ca="1" si="88"/>
        <v>0</v>
      </c>
      <c r="S541" s="160">
        <f t="shared" ca="1" si="88"/>
        <v>0</v>
      </c>
      <c r="T541" s="160">
        <f t="shared" ca="1" si="88"/>
        <v>0</v>
      </c>
      <c r="U541" s="160">
        <f t="shared" ca="1" si="89"/>
        <v>0</v>
      </c>
      <c r="V541" s="163">
        <f t="shared" ca="1" si="81"/>
        <v>0</v>
      </c>
      <c r="W541" s="163">
        <f t="shared" ca="1" si="82"/>
        <v>0</v>
      </c>
      <c r="X541" s="163">
        <f t="shared" ca="1" si="83"/>
        <v>0</v>
      </c>
      <c r="Y541" s="163">
        <f t="shared" ca="1" si="84"/>
        <v>0</v>
      </c>
    </row>
    <row r="542" spans="12:25" ht="14.4">
      <c r="L542" s="464"/>
      <c r="M542" s="129" t="str">
        <f t="shared" si="85"/>
        <v>end</v>
      </c>
      <c r="N542" s="161">
        <f t="shared" si="90"/>
        <v>2</v>
      </c>
      <c r="O542" s="160">
        <f t="shared" ca="1" si="86"/>
        <v>0</v>
      </c>
      <c r="P542" s="160">
        <f t="shared" ca="1" si="87"/>
        <v>0</v>
      </c>
      <c r="Q542" s="160">
        <f t="shared" ca="1" si="88"/>
        <v>0</v>
      </c>
      <c r="R542" s="160">
        <f t="shared" ca="1" si="88"/>
        <v>0</v>
      </c>
      <c r="S542" s="160">
        <f t="shared" ca="1" si="88"/>
        <v>0</v>
      </c>
      <c r="T542" s="160">
        <f t="shared" ca="1" si="88"/>
        <v>0</v>
      </c>
      <c r="U542" s="160">
        <f t="shared" ca="1" si="89"/>
        <v>0</v>
      </c>
      <c r="V542" s="163">
        <f t="shared" ca="1" si="81"/>
        <v>0</v>
      </c>
      <c r="W542" s="163">
        <f t="shared" ca="1" si="82"/>
        <v>0</v>
      </c>
      <c r="X542" s="163">
        <f t="shared" ca="1" si="83"/>
        <v>0</v>
      </c>
      <c r="Y542" s="163">
        <f t="shared" ca="1" si="84"/>
        <v>0</v>
      </c>
    </row>
    <row r="543" spans="12:25" ht="14.4">
      <c r="L543" s="464"/>
      <c r="M543" s="129" t="str">
        <f t="shared" si="85"/>
        <v>end</v>
      </c>
      <c r="N543" s="161">
        <f t="shared" si="90"/>
        <v>2</v>
      </c>
      <c r="O543" s="160">
        <f t="shared" ca="1" si="86"/>
        <v>0</v>
      </c>
      <c r="P543" s="160">
        <f t="shared" ca="1" si="87"/>
        <v>0</v>
      </c>
      <c r="Q543" s="160">
        <f t="shared" ca="1" si="88"/>
        <v>0</v>
      </c>
      <c r="R543" s="160">
        <f t="shared" ca="1" si="88"/>
        <v>0</v>
      </c>
      <c r="S543" s="160">
        <f t="shared" ca="1" si="88"/>
        <v>0</v>
      </c>
      <c r="T543" s="160">
        <f t="shared" ca="1" si="88"/>
        <v>0</v>
      </c>
      <c r="U543" s="160">
        <f t="shared" ca="1" si="89"/>
        <v>0</v>
      </c>
      <c r="V543" s="163">
        <f t="shared" ref="V543:V583" ca="1" si="91">IF(Q543=0,0,IF(S543=180,IF(R543=0,"Slab on Grade",IF(R543=1,"Exposed Floor",IF(R543=3,"Internal Floor",U543))),IF(S543&lt;45,IF(R543=3,"Internal Ceiling",IF(R543=1,"Roof",U543)))))</f>
        <v>0</v>
      </c>
      <c r="W543" s="163">
        <f t="shared" ref="W543:W583" ca="1" si="92">IF(ISNUMBER(SEARCH($W$29,U543))=TRUE,IF(ISNUMBER(SEARCH($W$27,U543))=TRUE,IF(R543=1,"eFrame",IF(R543=3,"iFrame")),IF(R543=1,"eWindow",IF(R543=3,"iWindow"))),U543)</f>
        <v>0</v>
      </c>
      <c r="X543" s="163">
        <f t="shared" ref="X543:X583" ca="1" si="93">IF(ISNUMBER(SEARCH($X$29,U543))=TRUE,IF(ISNUMBER(SEARCH($X$27,U543))=TRUE,IF(R543=1,"eFrameDoor",IF(R543=3,"iFrameDoor")),IF(R543=1,"eDoor",IF(R543=3,"iDoor"))),U543)</f>
        <v>0</v>
      </c>
      <c r="Y543" s="163">
        <f t="shared" ref="Y543:Y583" ca="1" si="94">IF(ISNUMBER(SEARCH($W$29,U543))=TRUE,"Substract",IF(ISNUMBER(SEARCH($X$29,U543))=TRUE, "Sunstract",IF(S543=90,IF(R543=1,"External Wall",IF(R543=3,"Internal Wall",IF(R543=0,"Below Grade Wall",U543))),V543)))</f>
        <v>0</v>
      </c>
    </row>
    <row r="544" spans="12:25" ht="14.4">
      <c r="L544" s="464"/>
      <c r="M544" s="129" t="str">
        <f t="shared" ref="M544:M583" si="95">IF(M543="end","end",IF(M543=$K$1,"end",M543+1))</f>
        <v>end</v>
      </c>
      <c r="N544" s="161">
        <f t="shared" si="90"/>
        <v>2</v>
      </c>
      <c r="O544" s="160">
        <f t="shared" ca="1" si="86"/>
        <v>0</v>
      </c>
      <c r="P544" s="160">
        <f t="shared" ca="1" si="87"/>
        <v>0</v>
      </c>
      <c r="Q544" s="160">
        <f t="shared" ca="1" si="88"/>
        <v>0</v>
      </c>
      <c r="R544" s="160">
        <f t="shared" ca="1" si="88"/>
        <v>0</v>
      </c>
      <c r="S544" s="160">
        <f t="shared" ca="1" si="88"/>
        <v>0</v>
      </c>
      <c r="T544" s="160">
        <f t="shared" ca="1" si="88"/>
        <v>0</v>
      </c>
      <c r="U544" s="160">
        <f t="shared" ca="1" si="89"/>
        <v>0</v>
      </c>
      <c r="V544" s="163">
        <f t="shared" ca="1" si="91"/>
        <v>0</v>
      </c>
      <c r="W544" s="163">
        <f t="shared" ca="1" si="92"/>
        <v>0</v>
      </c>
      <c r="X544" s="163">
        <f t="shared" ca="1" si="93"/>
        <v>0</v>
      </c>
      <c r="Y544" s="163">
        <f t="shared" ca="1" si="94"/>
        <v>0</v>
      </c>
    </row>
    <row r="545" spans="12:25" ht="14.4">
      <c r="L545" s="464"/>
      <c r="M545" s="129" t="str">
        <f t="shared" si="95"/>
        <v>end</v>
      </c>
      <c r="N545" s="161">
        <f t="shared" si="90"/>
        <v>2</v>
      </c>
      <c r="O545" s="160">
        <f t="shared" ca="1" si="86"/>
        <v>0</v>
      </c>
      <c r="P545" s="160">
        <f t="shared" ca="1" si="87"/>
        <v>0</v>
      </c>
      <c r="Q545" s="160">
        <f t="shared" ca="1" si="88"/>
        <v>0</v>
      </c>
      <c r="R545" s="160">
        <f t="shared" ca="1" si="88"/>
        <v>0</v>
      </c>
      <c r="S545" s="160">
        <f t="shared" ca="1" si="88"/>
        <v>0</v>
      </c>
      <c r="T545" s="160">
        <f t="shared" ca="1" si="88"/>
        <v>0</v>
      </c>
      <c r="U545" s="160">
        <f t="shared" ca="1" si="89"/>
        <v>0</v>
      </c>
      <c r="V545" s="163">
        <f t="shared" ca="1" si="91"/>
        <v>0</v>
      </c>
      <c r="W545" s="163">
        <f t="shared" ca="1" si="92"/>
        <v>0</v>
      </c>
      <c r="X545" s="163">
        <f t="shared" ca="1" si="93"/>
        <v>0</v>
      </c>
      <c r="Y545" s="163">
        <f t="shared" ca="1" si="94"/>
        <v>0</v>
      </c>
    </row>
    <row r="546" spans="12:25" ht="14.4">
      <c r="L546" s="464"/>
      <c r="M546" s="129" t="str">
        <f t="shared" si="95"/>
        <v>end</v>
      </c>
      <c r="N546" s="161">
        <f t="shared" si="90"/>
        <v>2</v>
      </c>
      <c r="O546" s="160">
        <f t="shared" ca="1" si="86"/>
        <v>0</v>
      </c>
      <c r="P546" s="160">
        <f t="shared" ca="1" si="87"/>
        <v>0</v>
      </c>
      <c r="Q546" s="160">
        <f t="shared" ca="1" si="88"/>
        <v>0</v>
      </c>
      <c r="R546" s="160">
        <f t="shared" ca="1" si="88"/>
        <v>0</v>
      </c>
      <c r="S546" s="160">
        <f t="shared" ca="1" si="88"/>
        <v>0</v>
      </c>
      <c r="T546" s="160">
        <f t="shared" ca="1" si="88"/>
        <v>0</v>
      </c>
      <c r="U546" s="160">
        <f t="shared" ca="1" si="89"/>
        <v>0</v>
      </c>
      <c r="V546" s="163">
        <f t="shared" ca="1" si="91"/>
        <v>0</v>
      </c>
      <c r="W546" s="163">
        <f t="shared" ca="1" si="92"/>
        <v>0</v>
      </c>
      <c r="X546" s="163">
        <f t="shared" ca="1" si="93"/>
        <v>0</v>
      </c>
      <c r="Y546" s="163">
        <f t="shared" ca="1" si="94"/>
        <v>0</v>
      </c>
    </row>
    <row r="547" spans="12:25" ht="14.4">
      <c r="L547" s="464"/>
      <c r="M547" s="129" t="str">
        <f t="shared" si="95"/>
        <v>end</v>
      </c>
      <c r="N547" s="161">
        <f t="shared" si="90"/>
        <v>2</v>
      </c>
      <c r="O547" s="160">
        <f t="shared" ca="1" si="86"/>
        <v>0</v>
      </c>
      <c r="P547" s="160">
        <f t="shared" ca="1" si="87"/>
        <v>0</v>
      </c>
      <c r="Q547" s="160">
        <f t="shared" ca="1" si="88"/>
        <v>0</v>
      </c>
      <c r="R547" s="160">
        <f t="shared" ca="1" si="88"/>
        <v>0</v>
      </c>
      <c r="S547" s="160">
        <f t="shared" ca="1" si="88"/>
        <v>0</v>
      </c>
      <c r="T547" s="160">
        <f t="shared" ca="1" si="88"/>
        <v>0</v>
      </c>
      <c r="U547" s="160">
        <f t="shared" ca="1" si="89"/>
        <v>0</v>
      </c>
      <c r="V547" s="163">
        <f t="shared" ca="1" si="91"/>
        <v>0</v>
      </c>
      <c r="W547" s="163">
        <f t="shared" ca="1" si="92"/>
        <v>0</v>
      </c>
      <c r="X547" s="163">
        <f t="shared" ca="1" si="93"/>
        <v>0</v>
      </c>
      <c r="Y547" s="163">
        <f t="shared" ca="1" si="94"/>
        <v>0</v>
      </c>
    </row>
    <row r="548" spans="12:25" ht="14.4">
      <c r="L548" s="464"/>
      <c r="M548" s="129" t="str">
        <f t="shared" si="95"/>
        <v>end</v>
      </c>
      <c r="N548" s="161">
        <f t="shared" si="90"/>
        <v>2</v>
      </c>
      <c r="O548" s="160">
        <f t="shared" ca="1" si="86"/>
        <v>0</v>
      </c>
      <c r="P548" s="160">
        <f t="shared" ca="1" si="87"/>
        <v>0</v>
      </c>
      <c r="Q548" s="160">
        <f t="shared" ca="1" si="88"/>
        <v>0</v>
      </c>
      <c r="R548" s="160">
        <f t="shared" ca="1" si="88"/>
        <v>0</v>
      </c>
      <c r="S548" s="160">
        <f t="shared" ca="1" si="88"/>
        <v>0</v>
      </c>
      <c r="T548" s="160">
        <f t="shared" ca="1" si="88"/>
        <v>0</v>
      </c>
      <c r="U548" s="160">
        <f t="shared" ca="1" si="89"/>
        <v>0</v>
      </c>
      <c r="V548" s="163">
        <f t="shared" ca="1" si="91"/>
        <v>0</v>
      </c>
      <c r="W548" s="163">
        <f t="shared" ca="1" si="92"/>
        <v>0</v>
      </c>
      <c r="X548" s="163">
        <f t="shared" ca="1" si="93"/>
        <v>0</v>
      </c>
      <c r="Y548" s="163">
        <f t="shared" ca="1" si="94"/>
        <v>0</v>
      </c>
    </row>
    <row r="549" spans="12:25" ht="14.4">
      <c r="L549" s="464"/>
      <c r="M549" s="129" t="str">
        <f t="shared" si="95"/>
        <v>end</v>
      </c>
      <c r="N549" s="161">
        <f t="shared" si="90"/>
        <v>2</v>
      </c>
      <c r="O549" s="160">
        <f t="shared" ca="1" si="86"/>
        <v>0</v>
      </c>
      <c r="P549" s="160">
        <f t="shared" ca="1" si="87"/>
        <v>0</v>
      </c>
      <c r="Q549" s="160">
        <f t="shared" ca="1" si="88"/>
        <v>0</v>
      </c>
      <c r="R549" s="160">
        <f t="shared" ca="1" si="88"/>
        <v>0</v>
      </c>
      <c r="S549" s="160">
        <f t="shared" ca="1" si="88"/>
        <v>0</v>
      </c>
      <c r="T549" s="160">
        <f t="shared" ca="1" si="88"/>
        <v>0</v>
      </c>
      <c r="U549" s="160">
        <f t="shared" ca="1" si="89"/>
        <v>0</v>
      </c>
      <c r="V549" s="163">
        <f t="shared" ca="1" si="91"/>
        <v>0</v>
      </c>
      <c r="W549" s="163">
        <f t="shared" ca="1" si="92"/>
        <v>0</v>
      </c>
      <c r="X549" s="163">
        <f t="shared" ca="1" si="93"/>
        <v>0</v>
      </c>
      <c r="Y549" s="163">
        <f t="shared" ca="1" si="94"/>
        <v>0</v>
      </c>
    </row>
    <row r="550" spans="12:25" ht="14.4">
      <c r="L550" s="464"/>
      <c r="M550" s="129" t="str">
        <f t="shared" si="95"/>
        <v>end</v>
      </c>
      <c r="N550" s="161">
        <f t="shared" si="90"/>
        <v>2</v>
      </c>
      <c r="O550" s="160">
        <f t="shared" ca="1" si="86"/>
        <v>0</v>
      </c>
      <c r="P550" s="160">
        <f t="shared" ca="1" si="87"/>
        <v>0</v>
      </c>
      <c r="Q550" s="160">
        <f t="shared" ca="1" si="88"/>
        <v>0</v>
      </c>
      <c r="R550" s="160">
        <f t="shared" ca="1" si="88"/>
        <v>0</v>
      </c>
      <c r="S550" s="160">
        <f t="shared" ca="1" si="88"/>
        <v>0</v>
      </c>
      <c r="T550" s="160">
        <f t="shared" ca="1" si="88"/>
        <v>0</v>
      </c>
      <c r="U550" s="160">
        <f t="shared" ca="1" si="89"/>
        <v>0</v>
      </c>
      <c r="V550" s="163">
        <f t="shared" ca="1" si="91"/>
        <v>0</v>
      </c>
      <c r="W550" s="163">
        <f t="shared" ca="1" si="92"/>
        <v>0</v>
      </c>
      <c r="X550" s="163">
        <f t="shared" ca="1" si="93"/>
        <v>0</v>
      </c>
      <c r="Y550" s="163">
        <f t="shared" ca="1" si="94"/>
        <v>0</v>
      </c>
    </row>
    <row r="551" spans="12:25" ht="14.4">
      <c r="L551" s="464"/>
      <c r="M551" s="129" t="str">
        <f t="shared" si="95"/>
        <v>end</v>
      </c>
      <c r="N551" s="161">
        <f t="shared" si="90"/>
        <v>2</v>
      </c>
      <c r="O551" s="160">
        <f t="shared" ca="1" si="86"/>
        <v>0</v>
      </c>
      <c r="P551" s="160">
        <f t="shared" ca="1" si="87"/>
        <v>0</v>
      </c>
      <c r="Q551" s="160">
        <f t="shared" ca="1" si="88"/>
        <v>0</v>
      </c>
      <c r="R551" s="160">
        <f t="shared" ca="1" si="88"/>
        <v>0</v>
      </c>
      <c r="S551" s="160">
        <f t="shared" ca="1" si="88"/>
        <v>0</v>
      </c>
      <c r="T551" s="160">
        <f t="shared" ca="1" si="88"/>
        <v>0</v>
      </c>
      <c r="U551" s="160">
        <f t="shared" ca="1" si="89"/>
        <v>0</v>
      </c>
      <c r="V551" s="163">
        <f t="shared" ca="1" si="91"/>
        <v>0</v>
      </c>
      <c r="W551" s="163">
        <f t="shared" ca="1" si="92"/>
        <v>0</v>
      </c>
      <c r="X551" s="163">
        <f t="shared" ca="1" si="93"/>
        <v>0</v>
      </c>
      <c r="Y551" s="163">
        <f t="shared" ca="1" si="94"/>
        <v>0</v>
      </c>
    </row>
    <row r="552" spans="12:25" ht="14.4">
      <c r="L552" s="464"/>
      <c r="M552" s="129" t="str">
        <f t="shared" si="95"/>
        <v>end</v>
      </c>
      <c r="N552" s="161">
        <f t="shared" si="90"/>
        <v>2</v>
      </c>
      <c r="O552" s="160">
        <f t="shared" ca="1" si="86"/>
        <v>0</v>
      </c>
      <c r="P552" s="160">
        <f t="shared" ca="1" si="87"/>
        <v>0</v>
      </c>
      <c r="Q552" s="160">
        <f t="shared" ca="1" si="88"/>
        <v>0</v>
      </c>
      <c r="R552" s="160">
        <f t="shared" ca="1" si="88"/>
        <v>0</v>
      </c>
      <c r="S552" s="160">
        <f t="shared" ca="1" si="88"/>
        <v>0</v>
      </c>
      <c r="T552" s="160">
        <f t="shared" ca="1" si="88"/>
        <v>0</v>
      </c>
      <c r="U552" s="160">
        <f t="shared" ca="1" si="89"/>
        <v>0</v>
      </c>
      <c r="V552" s="163">
        <f t="shared" ca="1" si="91"/>
        <v>0</v>
      </c>
      <c r="W552" s="163">
        <f t="shared" ca="1" si="92"/>
        <v>0</v>
      </c>
      <c r="X552" s="163">
        <f t="shared" ca="1" si="93"/>
        <v>0</v>
      </c>
      <c r="Y552" s="163">
        <f t="shared" ca="1" si="94"/>
        <v>0</v>
      </c>
    </row>
    <row r="553" spans="12:25" ht="14.4">
      <c r="L553" s="464"/>
      <c r="M553" s="129" t="str">
        <f t="shared" si="95"/>
        <v>end</v>
      </c>
      <c r="N553" s="161">
        <f t="shared" si="90"/>
        <v>2</v>
      </c>
      <c r="O553" s="160">
        <f t="shared" ref="O553:O583" ca="1" si="96">IF($M553="end",0,OFFSET($A$1,$M553-1,O$29,1,1))</f>
        <v>0</v>
      </c>
      <c r="P553" s="160">
        <f t="shared" ca="1" si="87"/>
        <v>0</v>
      </c>
      <c r="Q553" s="160">
        <f t="shared" ca="1" si="88"/>
        <v>0</v>
      </c>
      <c r="R553" s="160">
        <f t="shared" ca="1" si="88"/>
        <v>0</v>
      </c>
      <c r="S553" s="160">
        <f t="shared" ca="1" si="88"/>
        <v>0</v>
      </c>
      <c r="T553" s="160">
        <f t="shared" ca="1" si="88"/>
        <v>0</v>
      </c>
      <c r="U553" s="160">
        <f t="shared" ca="1" si="89"/>
        <v>0</v>
      </c>
      <c r="V553" s="163">
        <f t="shared" ca="1" si="91"/>
        <v>0</v>
      </c>
      <c r="W553" s="163">
        <f t="shared" ca="1" si="92"/>
        <v>0</v>
      </c>
      <c r="X553" s="163">
        <f t="shared" ca="1" si="93"/>
        <v>0</v>
      </c>
      <c r="Y553" s="163">
        <f t="shared" ca="1" si="94"/>
        <v>0</v>
      </c>
    </row>
    <row r="554" spans="12:25" ht="14.4">
      <c r="L554" s="464"/>
      <c r="M554" s="129" t="str">
        <f t="shared" si="95"/>
        <v>end</v>
      </c>
      <c r="N554" s="161">
        <f t="shared" si="90"/>
        <v>2</v>
      </c>
      <c r="O554" s="160">
        <f t="shared" ca="1" si="96"/>
        <v>0</v>
      </c>
      <c r="P554" s="160">
        <f t="shared" ca="1" si="87"/>
        <v>0</v>
      </c>
      <c r="Q554" s="160">
        <f t="shared" ca="1" si="88"/>
        <v>0</v>
      </c>
      <c r="R554" s="160">
        <f t="shared" ca="1" si="88"/>
        <v>0</v>
      </c>
      <c r="S554" s="160">
        <f t="shared" ca="1" si="88"/>
        <v>0</v>
      </c>
      <c r="T554" s="160">
        <f t="shared" ca="1" si="88"/>
        <v>0</v>
      </c>
      <c r="U554" s="160">
        <f t="shared" ca="1" si="89"/>
        <v>0</v>
      </c>
      <c r="V554" s="163">
        <f t="shared" ca="1" si="91"/>
        <v>0</v>
      </c>
      <c r="W554" s="163">
        <f t="shared" ca="1" si="92"/>
        <v>0</v>
      </c>
      <c r="X554" s="163">
        <f t="shared" ca="1" si="93"/>
        <v>0</v>
      </c>
      <c r="Y554" s="163">
        <f t="shared" ca="1" si="94"/>
        <v>0</v>
      </c>
    </row>
    <row r="555" spans="12:25" ht="14.4">
      <c r="L555" s="464"/>
      <c r="M555" s="129" t="str">
        <f t="shared" si="95"/>
        <v>end</v>
      </c>
      <c r="N555" s="161">
        <f t="shared" si="90"/>
        <v>2</v>
      </c>
      <c r="O555" s="160">
        <f t="shared" ca="1" si="96"/>
        <v>0</v>
      </c>
      <c r="P555" s="160">
        <f t="shared" ca="1" si="87"/>
        <v>0</v>
      </c>
      <c r="Q555" s="160">
        <f t="shared" ca="1" si="88"/>
        <v>0</v>
      </c>
      <c r="R555" s="160">
        <f t="shared" ca="1" si="88"/>
        <v>0</v>
      </c>
      <c r="S555" s="160">
        <f t="shared" ca="1" si="88"/>
        <v>0</v>
      </c>
      <c r="T555" s="160">
        <f t="shared" ca="1" si="88"/>
        <v>0</v>
      </c>
      <c r="U555" s="160">
        <f t="shared" ca="1" si="89"/>
        <v>0</v>
      </c>
      <c r="V555" s="163">
        <f t="shared" ca="1" si="91"/>
        <v>0</v>
      </c>
      <c r="W555" s="163">
        <f t="shared" ca="1" si="92"/>
        <v>0</v>
      </c>
      <c r="X555" s="163">
        <f t="shared" ca="1" si="93"/>
        <v>0</v>
      </c>
      <c r="Y555" s="163">
        <f t="shared" ca="1" si="94"/>
        <v>0</v>
      </c>
    </row>
    <row r="556" spans="12:25" ht="14.4">
      <c r="L556" s="464"/>
      <c r="M556" s="129" t="str">
        <f t="shared" si="95"/>
        <v>end</v>
      </c>
      <c r="N556" s="161">
        <f t="shared" si="90"/>
        <v>2</v>
      </c>
      <c r="O556" s="160">
        <f t="shared" ca="1" si="96"/>
        <v>0</v>
      </c>
      <c r="P556" s="160">
        <f t="shared" ca="1" si="87"/>
        <v>0</v>
      </c>
      <c r="Q556" s="160">
        <f t="shared" ca="1" si="88"/>
        <v>0</v>
      </c>
      <c r="R556" s="160">
        <f t="shared" ca="1" si="88"/>
        <v>0</v>
      </c>
      <c r="S556" s="160">
        <f t="shared" ca="1" si="88"/>
        <v>0</v>
      </c>
      <c r="T556" s="160">
        <f t="shared" ca="1" si="88"/>
        <v>0</v>
      </c>
      <c r="U556" s="160">
        <f t="shared" ca="1" si="89"/>
        <v>0</v>
      </c>
      <c r="V556" s="163">
        <f t="shared" ca="1" si="91"/>
        <v>0</v>
      </c>
      <c r="W556" s="163">
        <f t="shared" ca="1" si="92"/>
        <v>0</v>
      </c>
      <c r="X556" s="163">
        <f t="shared" ca="1" si="93"/>
        <v>0</v>
      </c>
      <c r="Y556" s="163">
        <f t="shared" ca="1" si="94"/>
        <v>0</v>
      </c>
    </row>
    <row r="557" spans="12:25" ht="14.4">
      <c r="L557" s="464"/>
      <c r="M557" s="129" t="str">
        <f t="shared" si="95"/>
        <v>end</v>
      </c>
      <c r="N557" s="161">
        <f t="shared" si="90"/>
        <v>2</v>
      </c>
      <c r="O557" s="160">
        <f t="shared" ca="1" si="96"/>
        <v>0</v>
      </c>
      <c r="P557" s="160">
        <f t="shared" ca="1" si="87"/>
        <v>0</v>
      </c>
      <c r="Q557" s="160">
        <f t="shared" ca="1" si="88"/>
        <v>0</v>
      </c>
      <c r="R557" s="160">
        <f t="shared" ca="1" si="88"/>
        <v>0</v>
      </c>
      <c r="S557" s="160">
        <f t="shared" ca="1" si="88"/>
        <v>0</v>
      </c>
      <c r="T557" s="160">
        <f t="shared" ca="1" si="88"/>
        <v>0</v>
      </c>
      <c r="U557" s="160">
        <f t="shared" ca="1" si="89"/>
        <v>0</v>
      </c>
      <c r="V557" s="163">
        <f t="shared" ca="1" si="91"/>
        <v>0</v>
      </c>
      <c r="W557" s="163">
        <f t="shared" ca="1" si="92"/>
        <v>0</v>
      </c>
      <c r="X557" s="163">
        <f t="shared" ca="1" si="93"/>
        <v>0</v>
      </c>
      <c r="Y557" s="163">
        <f t="shared" ca="1" si="94"/>
        <v>0</v>
      </c>
    </row>
    <row r="558" spans="12:25" ht="14.4">
      <c r="L558" s="464"/>
      <c r="M558" s="129" t="str">
        <f t="shared" si="95"/>
        <v>end</v>
      </c>
      <c r="N558" s="161">
        <f t="shared" si="90"/>
        <v>2</v>
      </c>
      <c r="O558" s="160">
        <f t="shared" ca="1" si="96"/>
        <v>0</v>
      </c>
      <c r="P558" s="160">
        <f t="shared" ca="1" si="87"/>
        <v>0</v>
      </c>
      <c r="Q558" s="160">
        <f t="shared" ca="1" si="88"/>
        <v>0</v>
      </c>
      <c r="R558" s="160">
        <f t="shared" ca="1" si="88"/>
        <v>0</v>
      </c>
      <c r="S558" s="160">
        <f t="shared" ca="1" si="88"/>
        <v>0</v>
      </c>
      <c r="T558" s="160">
        <f t="shared" ca="1" si="88"/>
        <v>0</v>
      </c>
      <c r="U558" s="160">
        <f t="shared" ca="1" si="89"/>
        <v>0</v>
      </c>
      <c r="V558" s="163">
        <f t="shared" ca="1" si="91"/>
        <v>0</v>
      </c>
      <c r="W558" s="163">
        <f t="shared" ca="1" si="92"/>
        <v>0</v>
      </c>
      <c r="X558" s="163">
        <f t="shared" ca="1" si="93"/>
        <v>0</v>
      </c>
      <c r="Y558" s="163">
        <f t="shared" ca="1" si="94"/>
        <v>0</v>
      </c>
    </row>
    <row r="559" spans="12:25" ht="14.4">
      <c r="L559" s="464"/>
      <c r="M559" s="129" t="str">
        <f t="shared" si="95"/>
        <v>end</v>
      </c>
      <c r="N559" s="161">
        <f t="shared" si="90"/>
        <v>2</v>
      </c>
      <c r="O559" s="160">
        <f t="shared" ca="1" si="96"/>
        <v>0</v>
      </c>
      <c r="P559" s="160">
        <f t="shared" ca="1" si="87"/>
        <v>0</v>
      </c>
      <c r="Q559" s="160">
        <f t="shared" ca="1" si="88"/>
        <v>0</v>
      </c>
      <c r="R559" s="160">
        <f t="shared" ca="1" si="88"/>
        <v>0</v>
      </c>
      <c r="S559" s="160">
        <f t="shared" ca="1" si="88"/>
        <v>0</v>
      </c>
      <c r="T559" s="160">
        <f t="shared" ca="1" si="88"/>
        <v>0</v>
      </c>
      <c r="U559" s="160">
        <f t="shared" ca="1" si="89"/>
        <v>0</v>
      </c>
      <c r="V559" s="163">
        <f t="shared" ca="1" si="91"/>
        <v>0</v>
      </c>
      <c r="W559" s="163">
        <f t="shared" ca="1" si="92"/>
        <v>0</v>
      </c>
      <c r="X559" s="163">
        <f t="shared" ca="1" si="93"/>
        <v>0</v>
      </c>
      <c r="Y559" s="163">
        <f t="shared" ca="1" si="94"/>
        <v>0</v>
      </c>
    </row>
    <row r="560" spans="12:25" ht="14.4">
      <c r="L560" s="464"/>
      <c r="M560" s="129" t="str">
        <f t="shared" si="95"/>
        <v>end</v>
      </c>
      <c r="N560" s="161">
        <f t="shared" si="90"/>
        <v>2</v>
      </c>
      <c r="O560" s="160">
        <f t="shared" ca="1" si="96"/>
        <v>0</v>
      </c>
      <c r="P560" s="160">
        <f t="shared" ca="1" si="87"/>
        <v>0</v>
      </c>
      <c r="Q560" s="160">
        <f t="shared" ca="1" si="88"/>
        <v>0</v>
      </c>
      <c r="R560" s="160">
        <f t="shared" ca="1" si="88"/>
        <v>0</v>
      </c>
      <c r="S560" s="160">
        <f t="shared" ca="1" si="88"/>
        <v>0</v>
      </c>
      <c r="T560" s="160">
        <f t="shared" ca="1" si="88"/>
        <v>0</v>
      </c>
      <c r="U560" s="160">
        <f t="shared" ca="1" si="89"/>
        <v>0</v>
      </c>
      <c r="V560" s="163">
        <f t="shared" ca="1" si="91"/>
        <v>0</v>
      </c>
      <c r="W560" s="163">
        <f t="shared" ca="1" si="92"/>
        <v>0</v>
      </c>
      <c r="X560" s="163">
        <f t="shared" ca="1" si="93"/>
        <v>0</v>
      </c>
      <c r="Y560" s="163">
        <f t="shared" ca="1" si="94"/>
        <v>0</v>
      </c>
    </row>
    <row r="561" spans="12:25" ht="14.4">
      <c r="L561" s="464"/>
      <c r="M561" s="129" t="str">
        <f t="shared" si="95"/>
        <v>end</v>
      </c>
      <c r="N561" s="161">
        <f t="shared" si="90"/>
        <v>2</v>
      </c>
      <c r="O561" s="160">
        <f t="shared" ca="1" si="96"/>
        <v>0</v>
      </c>
      <c r="P561" s="160">
        <f t="shared" ca="1" si="87"/>
        <v>0</v>
      </c>
      <c r="Q561" s="160">
        <f t="shared" ca="1" si="88"/>
        <v>0</v>
      </c>
      <c r="R561" s="160">
        <f t="shared" ca="1" si="88"/>
        <v>0</v>
      </c>
      <c r="S561" s="160">
        <f t="shared" ca="1" si="88"/>
        <v>0</v>
      </c>
      <c r="T561" s="160">
        <f t="shared" ref="T561:U583" ca="1" si="97">IF($M561="end",0,OFFSET($A$1,$M561-1,T$29,1,1))</f>
        <v>0</v>
      </c>
      <c r="U561" s="160">
        <f t="shared" ca="1" si="89"/>
        <v>0</v>
      </c>
      <c r="V561" s="163">
        <f t="shared" ca="1" si="91"/>
        <v>0</v>
      </c>
      <c r="W561" s="163">
        <f t="shared" ca="1" si="92"/>
        <v>0</v>
      </c>
      <c r="X561" s="163">
        <f t="shared" ca="1" si="93"/>
        <v>0</v>
      </c>
      <c r="Y561" s="163">
        <f t="shared" ca="1" si="94"/>
        <v>0</v>
      </c>
    </row>
    <row r="562" spans="12:25" ht="14.4">
      <c r="L562" s="464"/>
      <c r="M562" s="129" t="str">
        <f t="shared" si="95"/>
        <v>end</v>
      </c>
      <c r="N562" s="161">
        <f t="shared" si="90"/>
        <v>2</v>
      </c>
      <c r="O562" s="160">
        <f t="shared" ca="1" si="96"/>
        <v>0</v>
      </c>
      <c r="P562" s="160">
        <f t="shared" ref="P562:P583" ca="1" si="98">IF($M562="end",0,OFFSET($A$1,$M562-1,P$29,1,1))</f>
        <v>0</v>
      </c>
      <c r="Q562" s="160">
        <f t="shared" ref="Q562:S583" ca="1" si="99">IF($M562="end",0,OFFSET($A$1,$M562-1,Q$29,1,1))</f>
        <v>0</v>
      </c>
      <c r="R562" s="160">
        <f t="shared" ca="1" si="99"/>
        <v>0</v>
      </c>
      <c r="S562" s="160">
        <f t="shared" ca="1" si="99"/>
        <v>0</v>
      </c>
      <c r="T562" s="160">
        <f t="shared" ca="1" si="97"/>
        <v>0</v>
      </c>
      <c r="U562" s="160">
        <f t="shared" ca="1" si="97"/>
        <v>0</v>
      </c>
      <c r="V562" s="163">
        <f t="shared" ca="1" si="91"/>
        <v>0</v>
      </c>
      <c r="W562" s="163">
        <f t="shared" ca="1" si="92"/>
        <v>0</v>
      </c>
      <c r="X562" s="163">
        <f t="shared" ca="1" si="93"/>
        <v>0</v>
      </c>
      <c r="Y562" s="163">
        <f t="shared" ca="1" si="94"/>
        <v>0</v>
      </c>
    </row>
    <row r="563" spans="12:25" ht="14.4">
      <c r="L563" s="464"/>
      <c r="M563" s="129" t="str">
        <f t="shared" si="95"/>
        <v>end</v>
      </c>
      <c r="N563" s="161">
        <f t="shared" si="90"/>
        <v>2</v>
      </c>
      <c r="O563" s="160">
        <f t="shared" ca="1" si="96"/>
        <v>0</v>
      </c>
      <c r="P563" s="160">
        <f t="shared" ca="1" si="98"/>
        <v>0</v>
      </c>
      <c r="Q563" s="160">
        <f t="shared" ca="1" si="99"/>
        <v>0</v>
      </c>
      <c r="R563" s="160">
        <f t="shared" ca="1" si="99"/>
        <v>0</v>
      </c>
      <c r="S563" s="160">
        <f t="shared" ca="1" si="99"/>
        <v>0</v>
      </c>
      <c r="T563" s="160">
        <f t="shared" ca="1" si="97"/>
        <v>0</v>
      </c>
      <c r="U563" s="160">
        <f t="shared" ca="1" si="97"/>
        <v>0</v>
      </c>
      <c r="V563" s="163">
        <f t="shared" ca="1" si="91"/>
        <v>0</v>
      </c>
      <c r="W563" s="163">
        <f t="shared" ca="1" si="92"/>
        <v>0</v>
      </c>
      <c r="X563" s="163">
        <f t="shared" ca="1" si="93"/>
        <v>0</v>
      </c>
      <c r="Y563" s="163">
        <f t="shared" ca="1" si="94"/>
        <v>0</v>
      </c>
    </row>
    <row r="564" spans="12:25" ht="14.4">
      <c r="L564" s="464"/>
      <c r="M564" s="129" t="str">
        <f t="shared" si="95"/>
        <v>end</v>
      </c>
      <c r="N564" s="161">
        <f t="shared" si="90"/>
        <v>2</v>
      </c>
      <c r="O564" s="160">
        <f t="shared" ca="1" si="96"/>
        <v>0</v>
      </c>
      <c r="P564" s="160">
        <f t="shared" ca="1" si="98"/>
        <v>0</v>
      </c>
      <c r="Q564" s="160">
        <f t="shared" ca="1" si="99"/>
        <v>0</v>
      </c>
      <c r="R564" s="160">
        <f t="shared" ca="1" si="99"/>
        <v>0</v>
      </c>
      <c r="S564" s="160">
        <f t="shared" ca="1" si="99"/>
        <v>0</v>
      </c>
      <c r="T564" s="160">
        <f t="shared" ca="1" si="97"/>
        <v>0</v>
      </c>
      <c r="U564" s="160">
        <f t="shared" ca="1" si="97"/>
        <v>0</v>
      </c>
      <c r="V564" s="163">
        <f t="shared" ca="1" si="91"/>
        <v>0</v>
      </c>
      <c r="W564" s="163">
        <f t="shared" ca="1" si="92"/>
        <v>0</v>
      </c>
      <c r="X564" s="163">
        <f t="shared" ca="1" si="93"/>
        <v>0</v>
      </c>
      <c r="Y564" s="163">
        <f t="shared" ca="1" si="94"/>
        <v>0</v>
      </c>
    </row>
    <row r="565" spans="12:25" ht="14.4">
      <c r="L565" s="464"/>
      <c r="M565" s="129" t="str">
        <f t="shared" si="95"/>
        <v>end</v>
      </c>
      <c r="N565" s="161">
        <f t="shared" si="90"/>
        <v>2</v>
      </c>
      <c r="O565" s="160">
        <f t="shared" ca="1" si="96"/>
        <v>0</v>
      </c>
      <c r="P565" s="160">
        <f t="shared" ca="1" si="98"/>
        <v>0</v>
      </c>
      <c r="Q565" s="160">
        <f t="shared" ca="1" si="99"/>
        <v>0</v>
      </c>
      <c r="R565" s="160">
        <f t="shared" ca="1" si="99"/>
        <v>0</v>
      </c>
      <c r="S565" s="160">
        <f t="shared" ca="1" si="99"/>
        <v>0</v>
      </c>
      <c r="T565" s="160">
        <f t="shared" ca="1" si="97"/>
        <v>0</v>
      </c>
      <c r="U565" s="160">
        <f t="shared" ca="1" si="97"/>
        <v>0</v>
      </c>
      <c r="V565" s="163">
        <f t="shared" ca="1" si="91"/>
        <v>0</v>
      </c>
      <c r="W565" s="163">
        <f t="shared" ca="1" si="92"/>
        <v>0</v>
      </c>
      <c r="X565" s="163">
        <f t="shared" ca="1" si="93"/>
        <v>0</v>
      </c>
      <c r="Y565" s="163">
        <f t="shared" ca="1" si="94"/>
        <v>0</v>
      </c>
    </row>
    <row r="566" spans="12:25" ht="14.4">
      <c r="L566" s="464"/>
      <c r="M566" s="129" t="str">
        <f t="shared" si="95"/>
        <v>end</v>
      </c>
      <c r="N566" s="161">
        <f t="shared" si="90"/>
        <v>2</v>
      </c>
      <c r="O566" s="160">
        <f t="shared" ca="1" si="96"/>
        <v>0</v>
      </c>
      <c r="P566" s="160">
        <f t="shared" ca="1" si="98"/>
        <v>0</v>
      </c>
      <c r="Q566" s="160">
        <f t="shared" ca="1" si="99"/>
        <v>0</v>
      </c>
      <c r="R566" s="160">
        <f t="shared" ca="1" si="99"/>
        <v>0</v>
      </c>
      <c r="S566" s="160">
        <f t="shared" ca="1" si="99"/>
        <v>0</v>
      </c>
      <c r="T566" s="160">
        <f t="shared" ca="1" si="97"/>
        <v>0</v>
      </c>
      <c r="U566" s="160">
        <f t="shared" ca="1" si="97"/>
        <v>0</v>
      </c>
      <c r="V566" s="163">
        <f t="shared" ca="1" si="91"/>
        <v>0</v>
      </c>
      <c r="W566" s="163">
        <f t="shared" ca="1" si="92"/>
        <v>0</v>
      </c>
      <c r="X566" s="163">
        <f t="shared" ca="1" si="93"/>
        <v>0</v>
      </c>
      <c r="Y566" s="163">
        <f t="shared" ca="1" si="94"/>
        <v>0</v>
      </c>
    </row>
    <row r="567" spans="12:25" ht="14.4">
      <c r="L567" s="464"/>
      <c r="M567" s="129" t="str">
        <f t="shared" si="95"/>
        <v>end</v>
      </c>
      <c r="N567" s="161">
        <f t="shared" si="90"/>
        <v>2</v>
      </c>
      <c r="O567" s="160">
        <f t="shared" ca="1" si="96"/>
        <v>0</v>
      </c>
      <c r="P567" s="160">
        <f t="shared" ca="1" si="98"/>
        <v>0</v>
      </c>
      <c r="Q567" s="160">
        <f t="shared" ca="1" si="99"/>
        <v>0</v>
      </c>
      <c r="R567" s="160">
        <f t="shared" ca="1" si="99"/>
        <v>0</v>
      </c>
      <c r="S567" s="160">
        <f t="shared" ca="1" si="99"/>
        <v>0</v>
      </c>
      <c r="T567" s="160">
        <f t="shared" ca="1" si="97"/>
        <v>0</v>
      </c>
      <c r="U567" s="160">
        <f t="shared" ca="1" si="97"/>
        <v>0</v>
      </c>
      <c r="V567" s="163">
        <f t="shared" ca="1" si="91"/>
        <v>0</v>
      </c>
      <c r="W567" s="163">
        <f t="shared" ca="1" si="92"/>
        <v>0</v>
      </c>
      <c r="X567" s="163">
        <f t="shared" ca="1" si="93"/>
        <v>0</v>
      </c>
      <c r="Y567" s="163">
        <f t="shared" ca="1" si="94"/>
        <v>0</v>
      </c>
    </row>
    <row r="568" spans="12:25" ht="14.4">
      <c r="L568" s="464"/>
      <c r="M568" s="129" t="str">
        <f t="shared" si="95"/>
        <v>end</v>
      </c>
      <c r="N568" s="161">
        <f t="shared" si="90"/>
        <v>2</v>
      </c>
      <c r="O568" s="160">
        <f t="shared" ca="1" si="96"/>
        <v>0</v>
      </c>
      <c r="P568" s="160">
        <f t="shared" ca="1" si="98"/>
        <v>0</v>
      </c>
      <c r="Q568" s="160">
        <f t="shared" ca="1" si="99"/>
        <v>0</v>
      </c>
      <c r="R568" s="160">
        <f t="shared" ca="1" si="99"/>
        <v>0</v>
      </c>
      <c r="S568" s="160">
        <f t="shared" ca="1" si="99"/>
        <v>0</v>
      </c>
      <c r="T568" s="160">
        <f t="shared" ca="1" si="97"/>
        <v>0</v>
      </c>
      <c r="U568" s="160">
        <f t="shared" ca="1" si="97"/>
        <v>0</v>
      </c>
      <c r="V568" s="163">
        <f t="shared" ca="1" si="91"/>
        <v>0</v>
      </c>
      <c r="W568" s="163">
        <f t="shared" ca="1" si="92"/>
        <v>0</v>
      </c>
      <c r="X568" s="163">
        <f t="shared" ca="1" si="93"/>
        <v>0</v>
      </c>
      <c r="Y568" s="163">
        <f t="shared" ca="1" si="94"/>
        <v>0</v>
      </c>
    </row>
    <row r="569" spans="12:25" ht="14.4">
      <c r="L569" s="464"/>
      <c r="M569" s="129" t="str">
        <f t="shared" si="95"/>
        <v>end</v>
      </c>
      <c r="N569" s="161">
        <f t="shared" si="90"/>
        <v>2</v>
      </c>
      <c r="O569" s="160">
        <f t="shared" ca="1" si="96"/>
        <v>0</v>
      </c>
      <c r="P569" s="160">
        <f t="shared" ca="1" si="98"/>
        <v>0</v>
      </c>
      <c r="Q569" s="160">
        <f t="shared" ca="1" si="99"/>
        <v>0</v>
      </c>
      <c r="R569" s="160">
        <f t="shared" ca="1" si="99"/>
        <v>0</v>
      </c>
      <c r="S569" s="160">
        <f t="shared" ca="1" si="99"/>
        <v>0</v>
      </c>
      <c r="T569" s="160">
        <f t="shared" ca="1" si="97"/>
        <v>0</v>
      </c>
      <c r="U569" s="160">
        <f t="shared" ca="1" si="97"/>
        <v>0</v>
      </c>
      <c r="V569" s="163">
        <f t="shared" ca="1" si="91"/>
        <v>0</v>
      </c>
      <c r="W569" s="163">
        <f t="shared" ca="1" si="92"/>
        <v>0</v>
      </c>
      <c r="X569" s="163">
        <f t="shared" ca="1" si="93"/>
        <v>0</v>
      </c>
      <c r="Y569" s="163">
        <f t="shared" ca="1" si="94"/>
        <v>0</v>
      </c>
    </row>
    <row r="570" spans="12:25" ht="14.4">
      <c r="L570" s="464"/>
      <c r="M570" s="129" t="str">
        <f t="shared" si="95"/>
        <v>end</v>
      </c>
      <c r="N570" s="161">
        <f t="shared" si="90"/>
        <v>2</v>
      </c>
      <c r="O570" s="160">
        <f t="shared" ca="1" si="96"/>
        <v>0</v>
      </c>
      <c r="P570" s="160">
        <f t="shared" ca="1" si="98"/>
        <v>0</v>
      </c>
      <c r="Q570" s="160">
        <f t="shared" ca="1" si="99"/>
        <v>0</v>
      </c>
      <c r="R570" s="160">
        <f t="shared" ca="1" si="99"/>
        <v>0</v>
      </c>
      <c r="S570" s="160">
        <f t="shared" ca="1" si="99"/>
        <v>0</v>
      </c>
      <c r="T570" s="160">
        <f t="shared" ca="1" si="97"/>
        <v>0</v>
      </c>
      <c r="U570" s="160">
        <f t="shared" ca="1" si="97"/>
        <v>0</v>
      </c>
      <c r="V570" s="163">
        <f t="shared" ca="1" si="91"/>
        <v>0</v>
      </c>
      <c r="W570" s="163">
        <f t="shared" ca="1" si="92"/>
        <v>0</v>
      </c>
      <c r="X570" s="163">
        <f t="shared" ca="1" si="93"/>
        <v>0</v>
      </c>
      <c r="Y570" s="163">
        <f t="shared" ca="1" si="94"/>
        <v>0</v>
      </c>
    </row>
    <row r="571" spans="12:25" ht="14.4">
      <c r="L571" s="464"/>
      <c r="M571" s="129" t="str">
        <f t="shared" si="95"/>
        <v>end</v>
      </c>
      <c r="N571" s="161">
        <f t="shared" si="90"/>
        <v>2</v>
      </c>
      <c r="O571" s="160">
        <f t="shared" ca="1" si="96"/>
        <v>0</v>
      </c>
      <c r="P571" s="160">
        <f t="shared" ca="1" si="98"/>
        <v>0</v>
      </c>
      <c r="Q571" s="160">
        <f t="shared" ca="1" si="99"/>
        <v>0</v>
      </c>
      <c r="R571" s="160">
        <f t="shared" ca="1" si="99"/>
        <v>0</v>
      </c>
      <c r="S571" s="160">
        <f t="shared" ca="1" si="99"/>
        <v>0</v>
      </c>
      <c r="T571" s="160">
        <f t="shared" ca="1" si="97"/>
        <v>0</v>
      </c>
      <c r="U571" s="160">
        <f t="shared" ca="1" si="97"/>
        <v>0</v>
      </c>
      <c r="V571" s="163">
        <f t="shared" ca="1" si="91"/>
        <v>0</v>
      </c>
      <c r="W571" s="163">
        <f t="shared" ca="1" si="92"/>
        <v>0</v>
      </c>
      <c r="X571" s="163">
        <f t="shared" ca="1" si="93"/>
        <v>0</v>
      </c>
      <c r="Y571" s="163">
        <f t="shared" ca="1" si="94"/>
        <v>0</v>
      </c>
    </row>
    <row r="572" spans="12:25" ht="14.4">
      <c r="L572" s="464"/>
      <c r="M572" s="129" t="str">
        <f t="shared" si="95"/>
        <v>end</v>
      </c>
      <c r="N572" s="161">
        <f t="shared" si="90"/>
        <v>2</v>
      </c>
      <c r="O572" s="160">
        <f t="shared" ca="1" si="96"/>
        <v>0</v>
      </c>
      <c r="P572" s="160">
        <f t="shared" ca="1" si="98"/>
        <v>0</v>
      </c>
      <c r="Q572" s="160">
        <f t="shared" ca="1" si="99"/>
        <v>0</v>
      </c>
      <c r="R572" s="160">
        <f t="shared" ca="1" si="99"/>
        <v>0</v>
      </c>
      <c r="S572" s="160">
        <f t="shared" ca="1" si="99"/>
        <v>0</v>
      </c>
      <c r="T572" s="160">
        <f t="shared" ca="1" si="97"/>
        <v>0</v>
      </c>
      <c r="U572" s="160">
        <f t="shared" ca="1" si="97"/>
        <v>0</v>
      </c>
      <c r="V572" s="163">
        <f t="shared" ca="1" si="91"/>
        <v>0</v>
      </c>
      <c r="W572" s="163">
        <f t="shared" ca="1" si="92"/>
        <v>0</v>
      </c>
      <c r="X572" s="163">
        <f t="shared" ca="1" si="93"/>
        <v>0</v>
      </c>
      <c r="Y572" s="163">
        <f t="shared" ca="1" si="94"/>
        <v>0</v>
      </c>
    </row>
    <row r="573" spans="12:25" ht="14.4">
      <c r="L573" s="464"/>
      <c r="M573" s="129" t="str">
        <f t="shared" si="95"/>
        <v>end</v>
      </c>
      <c r="N573" s="161">
        <f t="shared" si="90"/>
        <v>2</v>
      </c>
      <c r="O573" s="160">
        <f t="shared" ca="1" si="96"/>
        <v>0</v>
      </c>
      <c r="P573" s="160">
        <f t="shared" ca="1" si="98"/>
        <v>0</v>
      </c>
      <c r="Q573" s="160">
        <f t="shared" ca="1" si="99"/>
        <v>0</v>
      </c>
      <c r="R573" s="160">
        <f t="shared" ca="1" si="99"/>
        <v>0</v>
      </c>
      <c r="S573" s="160">
        <f t="shared" ca="1" si="99"/>
        <v>0</v>
      </c>
      <c r="T573" s="160">
        <f t="shared" ca="1" si="97"/>
        <v>0</v>
      </c>
      <c r="U573" s="160">
        <f t="shared" ca="1" si="97"/>
        <v>0</v>
      </c>
      <c r="V573" s="163">
        <f t="shared" ca="1" si="91"/>
        <v>0</v>
      </c>
      <c r="W573" s="163">
        <f t="shared" ca="1" si="92"/>
        <v>0</v>
      </c>
      <c r="X573" s="163">
        <f t="shared" ca="1" si="93"/>
        <v>0</v>
      </c>
      <c r="Y573" s="163">
        <f t="shared" ca="1" si="94"/>
        <v>0</v>
      </c>
    </row>
    <row r="574" spans="12:25" ht="14.4">
      <c r="L574" s="464"/>
      <c r="M574" s="129" t="str">
        <f t="shared" si="95"/>
        <v>end</v>
      </c>
      <c r="N574" s="161">
        <f t="shared" si="90"/>
        <v>2</v>
      </c>
      <c r="O574" s="160">
        <f t="shared" ca="1" si="96"/>
        <v>0</v>
      </c>
      <c r="P574" s="160">
        <f t="shared" ca="1" si="98"/>
        <v>0</v>
      </c>
      <c r="Q574" s="160">
        <f t="shared" ca="1" si="99"/>
        <v>0</v>
      </c>
      <c r="R574" s="160">
        <f t="shared" ca="1" si="99"/>
        <v>0</v>
      </c>
      <c r="S574" s="160">
        <f t="shared" ca="1" si="99"/>
        <v>0</v>
      </c>
      <c r="T574" s="160">
        <f t="shared" ca="1" si="97"/>
        <v>0</v>
      </c>
      <c r="U574" s="160">
        <f t="shared" ca="1" si="97"/>
        <v>0</v>
      </c>
      <c r="V574" s="163">
        <f t="shared" ca="1" si="91"/>
        <v>0</v>
      </c>
      <c r="W574" s="163">
        <f t="shared" ca="1" si="92"/>
        <v>0</v>
      </c>
      <c r="X574" s="163">
        <f t="shared" ca="1" si="93"/>
        <v>0</v>
      </c>
      <c r="Y574" s="163">
        <f t="shared" ca="1" si="94"/>
        <v>0</v>
      </c>
    </row>
    <row r="575" spans="12:25" ht="14.4">
      <c r="L575" s="464"/>
      <c r="M575" s="129" t="str">
        <f t="shared" si="95"/>
        <v>end</v>
      </c>
      <c r="N575" s="161">
        <f t="shared" si="90"/>
        <v>2</v>
      </c>
      <c r="O575" s="160">
        <f t="shared" ca="1" si="96"/>
        <v>0</v>
      </c>
      <c r="P575" s="160">
        <f t="shared" ca="1" si="98"/>
        <v>0</v>
      </c>
      <c r="Q575" s="160">
        <f t="shared" ca="1" si="99"/>
        <v>0</v>
      </c>
      <c r="R575" s="160">
        <f t="shared" ca="1" si="99"/>
        <v>0</v>
      </c>
      <c r="S575" s="160">
        <f t="shared" ca="1" si="99"/>
        <v>0</v>
      </c>
      <c r="T575" s="160">
        <f t="shared" ca="1" si="97"/>
        <v>0</v>
      </c>
      <c r="U575" s="160">
        <f t="shared" ca="1" si="97"/>
        <v>0</v>
      </c>
      <c r="V575" s="163">
        <f t="shared" ca="1" si="91"/>
        <v>0</v>
      </c>
      <c r="W575" s="163">
        <f t="shared" ca="1" si="92"/>
        <v>0</v>
      </c>
      <c r="X575" s="163">
        <f t="shared" ca="1" si="93"/>
        <v>0</v>
      </c>
      <c r="Y575" s="163">
        <f t="shared" ca="1" si="94"/>
        <v>0</v>
      </c>
    </row>
    <row r="576" spans="12:25" ht="14.4">
      <c r="L576" s="464"/>
      <c r="M576" s="129" t="str">
        <f t="shared" si="95"/>
        <v>end</v>
      </c>
      <c r="N576" s="161">
        <f t="shared" si="90"/>
        <v>2</v>
      </c>
      <c r="O576" s="160">
        <f t="shared" ca="1" si="96"/>
        <v>0</v>
      </c>
      <c r="P576" s="160">
        <f t="shared" ca="1" si="98"/>
        <v>0</v>
      </c>
      <c r="Q576" s="160">
        <f t="shared" ca="1" si="99"/>
        <v>0</v>
      </c>
      <c r="R576" s="160">
        <f t="shared" ca="1" si="99"/>
        <v>0</v>
      </c>
      <c r="S576" s="160">
        <f t="shared" ca="1" si="99"/>
        <v>0</v>
      </c>
      <c r="T576" s="160">
        <f t="shared" ca="1" si="97"/>
        <v>0</v>
      </c>
      <c r="U576" s="160">
        <f t="shared" ca="1" si="97"/>
        <v>0</v>
      </c>
      <c r="V576" s="163">
        <f t="shared" ca="1" si="91"/>
        <v>0</v>
      </c>
      <c r="W576" s="163">
        <f t="shared" ca="1" si="92"/>
        <v>0</v>
      </c>
      <c r="X576" s="163">
        <f t="shared" ca="1" si="93"/>
        <v>0</v>
      </c>
      <c r="Y576" s="163">
        <f t="shared" ca="1" si="94"/>
        <v>0</v>
      </c>
    </row>
    <row r="577" spans="12:25" ht="14.4">
      <c r="L577" s="464"/>
      <c r="M577" s="129" t="str">
        <f t="shared" si="95"/>
        <v>end</v>
      </c>
      <c r="N577" s="161">
        <f t="shared" si="90"/>
        <v>2</v>
      </c>
      <c r="O577" s="160">
        <f t="shared" ca="1" si="96"/>
        <v>0</v>
      </c>
      <c r="P577" s="160">
        <f t="shared" ca="1" si="98"/>
        <v>0</v>
      </c>
      <c r="Q577" s="160">
        <f t="shared" ca="1" si="99"/>
        <v>0</v>
      </c>
      <c r="R577" s="160">
        <f t="shared" ca="1" si="99"/>
        <v>0</v>
      </c>
      <c r="S577" s="160">
        <f t="shared" ca="1" si="99"/>
        <v>0</v>
      </c>
      <c r="T577" s="160">
        <f t="shared" ca="1" si="97"/>
        <v>0</v>
      </c>
      <c r="U577" s="160">
        <f t="shared" ca="1" si="97"/>
        <v>0</v>
      </c>
      <c r="V577" s="163">
        <f t="shared" ca="1" si="91"/>
        <v>0</v>
      </c>
      <c r="W577" s="163">
        <f t="shared" ca="1" si="92"/>
        <v>0</v>
      </c>
      <c r="X577" s="163">
        <f t="shared" ca="1" si="93"/>
        <v>0</v>
      </c>
      <c r="Y577" s="163">
        <f t="shared" ca="1" si="94"/>
        <v>0</v>
      </c>
    </row>
    <row r="578" spans="12:25" ht="14.4">
      <c r="L578" s="464"/>
      <c r="M578" s="129" t="str">
        <f t="shared" si="95"/>
        <v>end</v>
      </c>
      <c r="N578" s="161">
        <f t="shared" si="90"/>
        <v>2</v>
      </c>
      <c r="O578" s="160">
        <f t="shared" ca="1" si="96"/>
        <v>0</v>
      </c>
      <c r="P578" s="160">
        <f t="shared" ca="1" si="98"/>
        <v>0</v>
      </c>
      <c r="Q578" s="160">
        <f t="shared" ca="1" si="99"/>
        <v>0</v>
      </c>
      <c r="R578" s="160">
        <f t="shared" ca="1" si="99"/>
        <v>0</v>
      </c>
      <c r="S578" s="160">
        <f t="shared" ca="1" si="99"/>
        <v>0</v>
      </c>
      <c r="T578" s="160">
        <f t="shared" ca="1" si="97"/>
        <v>0</v>
      </c>
      <c r="U578" s="160">
        <f t="shared" ca="1" si="97"/>
        <v>0</v>
      </c>
      <c r="V578" s="163">
        <f t="shared" ca="1" si="91"/>
        <v>0</v>
      </c>
      <c r="W578" s="163">
        <f t="shared" ca="1" si="92"/>
        <v>0</v>
      </c>
      <c r="X578" s="163">
        <f t="shared" ca="1" si="93"/>
        <v>0</v>
      </c>
      <c r="Y578" s="163">
        <f t="shared" ca="1" si="94"/>
        <v>0</v>
      </c>
    </row>
    <row r="579" spans="12:25" ht="14.4">
      <c r="L579" s="464"/>
      <c r="M579" s="129" t="str">
        <f t="shared" si="95"/>
        <v>end</v>
      </c>
      <c r="N579" s="161">
        <f t="shared" si="90"/>
        <v>2</v>
      </c>
      <c r="O579" s="160">
        <f t="shared" ca="1" si="96"/>
        <v>0</v>
      </c>
      <c r="P579" s="160">
        <f t="shared" ca="1" si="98"/>
        <v>0</v>
      </c>
      <c r="Q579" s="160">
        <f t="shared" ca="1" si="99"/>
        <v>0</v>
      </c>
      <c r="R579" s="160">
        <f t="shared" ca="1" si="99"/>
        <v>0</v>
      </c>
      <c r="S579" s="160">
        <f t="shared" ca="1" si="99"/>
        <v>0</v>
      </c>
      <c r="T579" s="160">
        <f t="shared" ca="1" si="97"/>
        <v>0</v>
      </c>
      <c r="U579" s="160">
        <f t="shared" ca="1" si="97"/>
        <v>0</v>
      </c>
      <c r="V579" s="163">
        <f t="shared" ca="1" si="91"/>
        <v>0</v>
      </c>
      <c r="W579" s="163">
        <f t="shared" ca="1" si="92"/>
        <v>0</v>
      </c>
      <c r="X579" s="163">
        <f t="shared" ca="1" si="93"/>
        <v>0</v>
      </c>
      <c r="Y579" s="163">
        <f t="shared" ca="1" si="94"/>
        <v>0</v>
      </c>
    </row>
    <row r="580" spans="12:25" ht="14.4">
      <c r="L580" s="464"/>
      <c r="M580" s="129" t="str">
        <f t="shared" si="95"/>
        <v>end</v>
      </c>
      <c r="N580" s="161">
        <f t="shared" si="90"/>
        <v>2</v>
      </c>
      <c r="O580" s="160">
        <f t="shared" ca="1" si="96"/>
        <v>0</v>
      </c>
      <c r="P580" s="160">
        <f t="shared" ca="1" si="98"/>
        <v>0</v>
      </c>
      <c r="Q580" s="160">
        <f t="shared" ca="1" si="99"/>
        <v>0</v>
      </c>
      <c r="R580" s="160">
        <f t="shared" ca="1" si="99"/>
        <v>0</v>
      </c>
      <c r="S580" s="160">
        <f t="shared" ca="1" si="99"/>
        <v>0</v>
      </c>
      <c r="T580" s="160">
        <f t="shared" ca="1" si="97"/>
        <v>0</v>
      </c>
      <c r="U580" s="160">
        <f t="shared" ca="1" si="97"/>
        <v>0</v>
      </c>
      <c r="V580" s="163">
        <f t="shared" ca="1" si="91"/>
        <v>0</v>
      </c>
      <c r="W580" s="163">
        <f t="shared" ca="1" si="92"/>
        <v>0</v>
      </c>
      <c r="X580" s="163">
        <f t="shared" ca="1" si="93"/>
        <v>0</v>
      </c>
      <c r="Y580" s="163">
        <f t="shared" ca="1" si="94"/>
        <v>0</v>
      </c>
    </row>
    <row r="581" spans="12:25" ht="14.4">
      <c r="L581" s="464"/>
      <c r="M581" s="129" t="str">
        <f t="shared" si="95"/>
        <v>end</v>
      </c>
      <c r="N581" s="161">
        <f t="shared" si="90"/>
        <v>2</v>
      </c>
      <c r="O581" s="160">
        <f t="shared" ca="1" si="96"/>
        <v>0</v>
      </c>
      <c r="P581" s="160">
        <f t="shared" ca="1" si="98"/>
        <v>0</v>
      </c>
      <c r="Q581" s="160">
        <f t="shared" ca="1" si="99"/>
        <v>0</v>
      </c>
      <c r="R581" s="160">
        <f t="shared" ca="1" si="99"/>
        <v>0</v>
      </c>
      <c r="S581" s="160">
        <f t="shared" ca="1" si="99"/>
        <v>0</v>
      </c>
      <c r="T581" s="160">
        <f t="shared" ca="1" si="97"/>
        <v>0</v>
      </c>
      <c r="U581" s="160">
        <f t="shared" ca="1" si="97"/>
        <v>0</v>
      </c>
      <c r="V581" s="163">
        <f t="shared" ca="1" si="91"/>
        <v>0</v>
      </c>
      <c r="W581" s="163">
        <f t="shared" ca="1" si="92"/>
        <v>0</v>
      </c>
      <c r="X581" s="163">
        <f t="shared" ca="1" si="93"/>
        <v>0</v>
      </c>
      <c r="Y581" s="163">
        <f t="shared" ca="1" si="94"/>
        <v>0</v>
      </c>
    </row>
    <row r="582" spans="12:25" ht="14.4">
      <c r="L582" s="464"/>
      <c r="M582" s="129" t="str">
        <f t="shared" si="95"/>
        <v>end</v>
      </c>
      <c r="N582" s="161">
        <f t="shared" si="90"/>
        <v>2</v>
      </c>
      <c r="O582" s="160">
        <f t="shared" ca="1" si="96"/>
        <v>0</v>
      </c>
      <c r="P582" s="160">
        <f t="shared" ca="1" si="98"/>
        <v>0</v>
      </c>
      <c r="Q582" s="160">
        <f t="shared" ca="1" si="99"/>
        <v>0</v>
      </c>
      <c r="R582" s="160">
        <f t="shared" ca="1" si="99"/>
        <v>0</v>
      </c>
      <c r="S582" s="160">
        <f t="shared" ca="1" si="99"/>
        <v>0</v>
      </c>
      <c r="T582" s="160">
        <f t="shared" ca="1" si="97"/>
        <v>0</v>
      </c>
      <c r="U582" s="160">
        <f t="shared" ca="1" si="97"/>
        <v>0</v>
      </c>
      <c r="V582" s="163">
        <f t="shared" ca="1" si="91"/>
        <v>0</v>
      </c>
      <c r="W582" s="163">
        <f t="shared" ca="1" si="92"/>
        <v>0</v>
      </c>
      <c r="X582" s="163">
        <f t="shared" ca="1" si="93"/>
        <v>0</v>
      </c>
      <c r="Y582" s="163">
        <f t="shared" ca="1" si="94"/>
        <v>0</v>
      </c>
    </row>
    <row r="583" spans="12:25" ht="14.4">
      <c r="L583" s="464"/>
      <c r="M583" s="129" t="str">
        <f t="shared" si="95"/>
        <v>end</v>
      </c>
      <c r="N583" s="161">
        <f t="shared" si="90"/>
        <v>2</v>
      </c>
      <c r="O583" s="160">
        <f t="shared" ca="1" si="96"/>
        <v>0</v>
      </c>
      <c r="P583" s="160">
        <f t="shared" ca="1" si="98"/>
        <v>0</v>
      </c>
      <c r="Q583" s="160">
        <f t="shared" ca="1" si="99"/>
        <v>0</v>
      </c>
      <c r="R583" s="160">
        <f t="shared" ca="1" si="99"/>
        <v>0</v>
      </c>
      <c r="S583" s="160">
        <f t="shared" ca="1" si="99"/>
        <v>0</v>
      </c>
      <c r="T583" s="160">
        <f t="shared" ca="1" si="97"/>
        <v>0</v>
      </c>
      <c r="U583" s="160">
        <f t="shared" ca="1" si="97"/>
        <v>0</v>
      </c>
      <c r="V583" s="163">
        <f t="shared" ca="1" si="91"/>
        <v>0</v>
      </c>
      <c r="W583" s="163">
        <f t="shared" ca="1" si="92"/>
        <v>0</v>
      </c>
      <c r="X583" s="163">
        <f t="shared" ca="1" si="93"/>
        <v>0</v>
      </c>
      <c r="Y583" s="163">
        <f t="shared" ca="1" si="94"/>
        <v>0</v>
      </c>
    </row>
    <row r="584" spans="12:25" ht="14.4">
      <c r="L584" s="464"/>
      <c r="Q584" s="152"/>
    </row>
    <row r="585" spans="12:25" ht="14.4">
      <c r="L585" s="464"/>
      <c r="Q585" s="152"/>
    </row>
    <row r="586" spans="12:25" ht="14.4">
      <c r="L586" s="464"/>
      <c r="Q586" s="152"/>
    </row>
    <row r="587" spans="12:25" ht="14.4">
      <c r="L587" s="464"/>
      <c r="Q587" s="152"/>
    </row>
    <row r="588" spans="12:25" ht="14.4">
      <c r="L588" s="464"/>
      <c r="Q588" s="152"/>
    </row>
    <row r="589" spans="12:25" ht="12.75" customHeight="1">
      <c r="L589" s="464"/>
    </row>
    <row r="590" spans="12:25" ht="12.75" customHeight="1">
      <c r="L590" s="464"/>
    </row>
    <row r="591" spans="12:25" ht="12.75" customHeight="1">
      <c r="L591" s="464"/>
    </row>
    <row r="592" spans="12:25" ht="12.75" customHeight="1">
      <c r="L592" s="464"/>
    </row>
    <row r="593" spans="12:12" ht="12.75" customHeight="1">
      <c r="L593" s="464"/>
    </row>
    <row r="594" spans="12:12" ht="12.75" customHeight="1">
      <c r="L594" s="464"/>
    </row>
    <row r="595" spans="12:12" ht="12.75" customHeight="1">
      <c r="L595" s="464"/>
    </row>
    <row r="596" spans="12:12" ht="12.75" customHeight="1">
      <c r="L596" s="464"/>
    </row>
    <row r="597" spans="12:12" ht="12.75" customHeight="1">
      <c r="L597" s="464"/>
    </row>
    <row r="598" spans="12:12" ht="12.75" customHeight="1">
      <c r="L598" s="464"/>
    </row>
    <row r="599" spans="12:12" ht="12.75" customHeight="1">
      <c r="L599" s="464"/>
    </row>
    <row r="600" spans="12:12" ht="12.75" customHeight="1">
      <c r="L600" s="464"/>
    </row>
    <row r="601" spans="12:12" ht="12.75" customHeight="1">
      <c r="L601" s="464"/>
    </row>
    <row r="602" spans="12:12" ht="12.75" customHeight="1">
      <c r="L602" s="464"/>
    </row>
    <row r="603" spans="12:12" ht="12.75" customHeight="1">
      <c r="L603" s="464"/>
    </row>
    <row r="604" spans="12:12" ht="12.75" customHeight="1">
      <c r="L604" s="464"/>
    </row>
    <row r="605" spans="12:12" ht="12.75" customHeight="1">
      <c r="L605" s="464"/>
    </row>
    <row r="606" spans="12:12" ht="12.75" customHeight="1">
      <c r="L606" s="464"/>
    </row>
    <row r="607" spans="12:12" ht="12.75" customHeight="1">
      <c r="L607" s="464"/>
    </row>
    <row r="608" spans="12:12" ht="12.75" customHeight="1">
      <c r="L608" s="464"/>
    </row>
    <row r="609" spans="12:12" ht="12.75" customHeight="1">
      <c r="L609" s="464"/>
    </row>
    <row r="610" spans="12:12" ht="12.75" customHeight="1">
      <c r="L610" s="464"/>
    </row>
    <row r="611" spans="12:12" ht="12.75" customHeight="1">
      <c r="L611" s="464"/>
    </row>
    <row r="612" spans="12:12" ht="12.75" customHeight="1">
      <c r="L612" s="464"/>
    </row>
    <row r="613" spans="12:12" ht="12.75" customHeight="1">
      <c r="L613" s="464"/>
    </row>
    <row r="614" spans="12:12" ht="12.75" customHeight="1">
      <c r="L614" s="464"/>
    </row>
    <row r="615" spans="12:12" ht="12.75" customHeight="1">
      <c r="L615" s="464"/>
    </row>
    <row r="616" spans="12:12" ht="12.75" customHeight="1">
      <c r="L616" s="464"/>
    </row>
    <row r="617" spans="12:12" ht="12.75" customHeight="1">
      <c r="L617" s="464"/>
    </row>
    <row r="618" spans="12:12" ht="12.75" customHeight="1">
      <c r="L618" s="464"/>
    </row>
    <row r="619" spans="12:12" ht="12.75" customHeight="1">
      <c r="L619" s="464"/>
    </row>
    <row r="620" spans="12:12" ht="12.75" customHeight="1">
      <c r="L620" s="464"/>
    </row>
    <row r="621" spans="12:12" ht="12.75" customHeight="1">
      <c r="L621" s="464"/>
    </row>
    <row r="622" spans="12:12" ht="12.75" customHeight="1">
      <c r="L622" s="464"/>
    </row>
    <row r="623" spans="12:12" ht="12.75" customHeight="1">
      <c r="L623" s="464"/>
    </row>
    <row r="624" spans="12:12" ht="12.75" customHeight="1">
      <c r="L624" s="464"/>
    </row>
    <row r="625" spans="12:12" ht="12.75" customHeight="1">
      <c r="L625" s="464"/>
    </row>
    <row r="626" spans="12:12" ht="12.75" customHeight="1">
      <c r="L626" s="464"/>
    </row>
    <row r="627" spans="12:12" ht="12.75" customHeight="1">
      <c r="L627" s="464"/>
    </row>
    <row r="628" spans="12:12" ht="12.75" customHeight="1">
      <c r="L628" s="464"/>
    </row>
    <row r="629" spans="12:12" ht="12.75" customHeight="1">
      <c r="L629" s="464"/>
    </row>
    <row r="630" spans="12:12" ht="12.75" customHeight="1">
      <c r="L630" s="464"/>
    </row>
    <row r="631" spans="12:12" ht="12.75" customHeight="1">
      <c r="L631" s="464"/>
    </row>
    <row r="632" spans="12:12" ht="12.75" customHeight="1">
      <c r="L632" s="464"/>
    </row>
    <row r="633" spans="12:12" ht="12.75" customHeight="1">
      <c r="L633" s="464"/>
    </row>
    <row r="634" spans="12:12" ht="12.75" customHeight="1">
      <c r="L634" s="464"/>
    </row>
    <row r="635" spans="12:12" ht="12.75" customHeight="1">
      <c r="L635" s="464"/>
    </row>
    <row r="636" spans="12:12" ht="12.75" customHeight="1">
      <c r="L636" s="464"/>
    </row>
    <row r="637" spans="12:12" ht="12.75" customHeight="1">
      <c r="L637" s="464"/>
    </row>
    <row r="638" spans="12:12" ht="12.75" customHeight="1">
      <c r="L638" s="464"/>
    </row>
    <row r="639" spans="12:12" ht="12.75" customHeight="1">
      <c r="L639" s="464"/>
    </row>
    <row r="640" spans="12:12" ht="12.75" customHeight="1">
      <c r="L640" s="464"/>
    </row>
    <row r="641" spans="12:12" ht="12.75" customHeight="1">
      <c r="L641" s="464"/>
    </row>
    <row r="642" spans="12:12" ht="12.75" customHeight="1">
      <c r="L642" s="464"/>
    </row>
    <row r="643" spans="12:12" ht="12.75" customHeight="1">
      <c r="L643" s="464"/>
    </row>
    <row r="644" spans="12:12" ht="12.75" customHeight="1">
      <c r="L644" s="464"/>
    </row>
    <row r="645" spans="12:12" ht="12.75" customHeight="1">
      <c r="L645" s="464"/>
    </row>
    <row r="646" spans="12:12" ht="12.75" customHeight="1">
      <c r="L646" s="464"/>
    </row>
    <row r="647" spans="12:12" ht="12.75" customHeight="1">
      <c r="L647" s="464"/>
    </row>
    <row r="648" spans="12:12" ht="12.75" customHeight="1">
      <c r="L648" s="464"/>
    </row>
    <row r="649" spans="12:12" ht="12.75" customHeight="1">
      <c r="L649" s="464"/>
    </row>
    <row r="650" spans="12:12" ht="12.75" customHeight="1">
      <c r="L650" s="464"/>
    </row>
    <row r="651" spans="12:12" ht="12.75" customHeight="1">
      <c r="L651" s="464"/>
    </row>
    <row r="652" spans="12:12" ht="12.75" customHeight="1">
      <c r="L652" s="464"/>
    </row>
    <row r="653" spans="12:12" ht="12.75" customHeight="1">
      <c r="L653" s="464"/>
    </row>
    <row r="654" spans="12:12" ht="12.75" customHeight="1">
      <c r="L654" s="464"/>
    </row>
    <row r="655" spans="12:12" ht="12.75" customHeight="1">
      <c r="L655" s="464"/>
    </row>
    <row r="656" spans="12:12" ht="12.75" customHeight="1">
      <c r="L656" s="464"/>
    </row>
    <row r="657" spans="12:12" ht="12.75" customHeight="1">
      <c r="L657" s="464"/>
    </row>
    <row r="658" spans="12:12" ht="12.75" customHeight="1">
      <c r="L658" s="464"/>
    </row>
    <row r="659" spans="12:12" ht="12.75" customHeight="1">
      <c r="L659" s="464"/>
    </row>
    <row r="660" spans="12:12" ht="12.75" customHeight="1">
      <c r="L660" s="464"/>
    </row>
    <row r="661" spans="12:12" ht="12.75" customHeight="1">
      <c r="L661" s="464"/>
    </row>
    <row r="662" spans="12:12" ht="12.75" customHeight="1">
      <c r="L662" s="464"/>
    </row>
    <row r="663" spans="12:12" ht="12.75" customHeight="1">
      <c r="L663" s="464"/>
    </row>
    <row r="664" spans="12:12" ht="12.75" customHeight="1">
      <c r="L664" s="464"/>
    </row>
    <row r="665" spans="12:12" ht="12.75" customHeight="1">
      <c r="L665" s="464"/>
    </row>
    <row r="666" spans="12:12" ht="12.75" customHeight="1">
      <c r="L666" s="464"/>
    </row>
    <row r="667" spans="12:12" ht="12.75" customHeight="1">
      <c r="L667" s="464"/>
    </row>
    <row r="668" spans="12:12" ht="12.75" customHeight="1">
      <c r="L668" s="464"/>
    </row>
    <row r="669" spans="12:12" ht="12.75" customHeight="1">
      <c r="L669" s="464"/>
    </row>
    <row r="670" spans="12:12" ht="12.75" customHeight="1">
      <c r="L670" s="464"/>
    </row>
    <row r="671" spans="12:12" ht="12.75" customHeight="1">
      <c r="L671" s="464"/>
    </row>
    <row r="672" spans="12:12" ht="12.75" customHeight="1">
      <c r="L672" s="464"/>
    </row>
    <row r="673" spans="12:12" ht="12.75" customHeight="1">
      <c r="L673" s="464"/>
    </row>
    <row r="674" spans="12:12" ht="12.75" customHeight="1">
      <c r="L674" s="464"/>
    </row>
    <row r="675" spans="12:12" ht="12.75" customHeight="1">
      <c r="L675" s="464"/>
    </row>
    <row r="676" spans="12:12" ht="12.75" customHeight="1">
      <c r="L676" s="464"/>
    </row>
    <row r="677" spans="12:12" ht="12.75" customHeight="1">
      <c r="L677" s="464"/>
    </row>
    <row r="678" spans="12:12" ht="12.75" customHeight="1">
      <c r="L678" s="464"/>
    </row>
    <row r="679" spans="12:12" ht="12.75" customHeight="1">
      <c r="L679" s="464"/>
    </row>
    <row r="680" spans="12:12" ht="12.75" customHeight="1">
      <c r="L680" s="464"/>
    </row>
    <row r="681" spans="12:12" ht="12.75" customHeight="1">
      <c r="L681" s="464"/>
    </row>
    <row r="682" spans="12:12" ht="12.75" customHeight="1">
      <c r="L682" s="464"/>
    </row>
    <row r="683" spans="12:12" ht="12.75" customHeight="1">
      <c r="L683" s="464"/>
    </row>
    <row r="684" spans="12:12" ht="12.75" customHeight="1">
      <c r="L684" s="464"/>
    </row>
    <row r="685" spans="12:12" ht="12.75" customHeight="1">
      <c r="L685" s="464"/>
    </row>
    <row r="686" spans="12:12" ht="12.75" customHeight="1">
      <c r="L686" s="464"/>
    </row>
    <row r="687" spans="12:12" ht="12.75" customHeight="1">
      <c r="L687" s="464"/>
    </row>
    <row r="688" spans="12:12" ht="12.75" customHeight="1">
      <c r="L688" s="464"/>
    </row>
    <row r="689" spans="12:12" ht="12.75" customHeight="1">
      <c r="L689" s="464"/>
    </row>
    <row r="690" spans="12:12" ht="12.75" customHeight="1">
      <c r="L690" s="464"/>
    </row>
    <row r="691" spans="12:12" ht="12.75" customHeight="1">
      <c r="L691" s="464"/>
    </row>
    <row r="692" spans="12:12" ht="12.75" customHeight="1">
      <c r="L692" s="464"/>
    </row>
    <row r="693" spans="12:12" ht="12.75" customHeight="1">
      <c r="L693" s="464"/>
    </row>
    <row r="694" spans="12:12" ht="12.75" customHeight="1">
      <c r="L694" s="464"/>
    </row>
    <row r="695" spans="12:12" ht="12.75" customHeight="1">
      <c r="L695" s="464"/>
    </row>
    <row r="696" spans="12:12" ht="12.75" customHeight="1">
      <c r="L696" s="464"/>
    </row>
    <row r="697" spans="12:12" ht="12.75" customHeight="1">
      <c r="L697" s="464"/>
    </row>
    <row r="698" spans="12:12" ht="12.75" customHeight="1">
      <c r="L698" s="464"/>
    </row>
    <row r="699" spans="12:12" ht="12.75" customHeight="1">
      <c r="L699" s="464"/>
    </row>
    <row r="700" spans="12:12" ht="12.75" customHeight="1">
      <c r="L700" s="464"/>
    </row>
    <row r="701" spans="12:12" ht="12.75" customHeight="1">
      <c r="L701" s="464"/>
    </row>
    <row r="702" spans="12:12" ht="12.75" customHeight="1">
      <c r="L702" s="464"/>
    </row>
    <row r="703" spans="12:12" ht="12.75" customHeight="1">
      <c r="L703" s="464"/>
    </row>
    <row r="704" spans="12:12" ht="12.75" customHeight="1">
      <c r="L704" s="464"/>
    </row>
    <row r="705" spans="12:12" ht="12.75" customHeight="1">
      <c r="L705" s="464"/>
    </row>
    <row r="706" spans="12:12" ht="12.75" customHeight="1">
      <c r="L706" s="464"/>
    </row>
    <row r="707" spans="12:12" ht="12.75" customHeight="1">
      <c r="L707" s="464"/>
    </row>
    <row r="708" spans="12:12" ht="12.75" customHeight="1">
      <c r="L708" s="464"/>
    </row>
    <row r="709" spans="12:12" ht="12.75" customHeight="1">
      <c r="L709" s="464"/>
    </row>
    <row r="710" spans="12:12" ht="12.75" customHeight="1">
      <c r="L710" s="464"/>
    </row>
    <row r="711" spans="12:12" ht="12.75" customHeight="1">
      <c r="L711" s="464"/>
    </row>
    <row r="712" spans="12:12" ht="12.75" customHeight="1">
      <c r="L712" s="464"/>
    </row>
    <row r="713" spans="12:12" ht="12.75" customHeight="1">
      <c r="L713" s="464"/>
    </row>
    <row r="714" spans="12:12" ht="12.75" customHeight="1">
      <c r="L714" s="464"/>
    </row>
    <row r="715" spans="12:12" ht="12.75" customHeight="1">
      <c r="L715" s="464"/>
    </row>
    <row r="716" spans="12:12" ht="12.75" customHeight="1">
      <c r="L716" s="464"/>
    </row>
    <row r="717" spans="12:12" ht="12.75" customHeight="1">
      <c r="L717" s="464"/>
    </row>
    <row r="718" spans="12:12" ht="12.75" customHeight="1">
      <c r="L718" s="464"/>
    </row>
    <row r="719" spans="12:12" ht="12.75" customHeight="1">
      <c r="L719" s="464"/>
    </row>
    <row r="720" spans="12:12" ht="12.75" customHeight="1">
      <c r="L720" s="464"/>
    </row>
    <row r="721" spans="12:12" ht="12.75" customHeight="1">
      <c r="L721" s="464"/>
    </row>
    <row r="722" spans="12:12" ht="12.75" customHeight="1">
      <c r="L722" s="464"/>
    </row>
    <row r="723" spans="12:12" ht="12.75" customHeight="1">
      <c r="L723" s="464"/>
    </row>
    <row r="724" spans="12:12" ht="12.75" customHeight="1">
      <c r="L724" s="464"/>
    </row>
    <row r="725" spans="12:12" ht="12.75" customHeight="1">
      <c r="L725" s="464"/>
    </row>
    <row r="726" spans="12:12" ht="12.75" customHeight="1">
      <c r="L726" s="464"/>
    </row>
    <row r="727" spans="12:12" ht="12.75" customHeight="1">
      <c r="L727" s="464"/>
    </row>
    <row r="728" spans="12:12" ht="12.75" customHeight="1">
      <c r="L728" s="464"/>
    </row>
    <row r="729" spans="12:12" ht="12.75" customHeight="1">
      <c r="L729" s="464"/>
    </row>
    <row r="730" spans="12:12" ht="12.75" customHeight="1">
      <c r="L730" s="464"/>
    </row>
    <row r="731" spans="12:12" ht="12.75" customHeight="1">
      <c r="L731" s="464"/>
    </row>
    <row r="732" spans="12:12" ht="12.75" customHeight="1">
      <c r="L732" s="464"/>
    </row>
    <row r="733" spans="12:12" ht="12.75" customHeight="1">
      <c r="L733" s="464"/>
    </row>
    <row r="734" spans="12:12" ht="12.75" customHeight="1">
      <c r="L734" s="464"/>
    </row>
    <row r="735" spans="12:12" ht="12.75" customHeight="1">
      <c r="L735" s="464"/>
    </row>
    <row r="736" spans="12:12" ht="12.75" customHeight="1">
      <c r="L736" s="464"/>
    </row>
    <row r="737" spans="12:12" ht="12.75" customHeight="1">
      <c r="L737" s="464"/>
    </row>
    <row r="738" spans="12:12" ht="12.75" customHeight="1">
      <c r="L738" s="464"/>
    </row>
    <row r="739" spans="12:12" ht="12.75" customHeight="1">
      <c r="L739" s="464"/>
    </row>
    <row r="740" spans="12:12" ht="12.75" customHeight="1">
      <c r="L740" s="464"/>
    </row>
    <row r="741" spans="12:12" ht="12.75" customHeight="1">
      <c r="L741" s="464"/>
    </row>
    <row r="859" spans="1:1" ht="12.75" customHeight="1">
      <c r="A859" s="129">
        <v>859</v>
      </c>
    </row>
    <row r="860" spans="1:1" ht="12.75" customHeight="1">
      <c r="A860" s="129">
        <v>860</v>
      </c>
    </row>
    <row r="861" spans="1:1" ht="12.75" customHeight="1">
      <c r="A861" s="129">
        <v>861</v>
      </c>
    </row>
    <row r="862" spans="1:1" ht="12.75" customHeight="1">
      <c r="A862" s="129">
        <v>862</v>
      </c>
    </row>
    <row r="863" spans="1:1" ht="12.75" customHeight="1">
      <c r="A863" s="129">
        <v>863</v>
      </c>
    </row>
    <row r="864" spans="1:1" ht="12.75" customHeight="1">
      <c r="A864" s="129">
        <v>864</v>
      </c>
    </row>
    <row r="865" spans="1:1" ht="12.75" customHeight="1">
      <c r="A865" s="129">
        <v>865</v>
      </c>
    </row>
    <row r="866" spans="1:1" ht="12.75" customHeight="1">
      <c r="A866" s="129">
        <v>866</v>
      </c>
    </row>
    <row r="867" spans="1:1" ht="12.75" customHeight="1">
      <c r="A867" s="129">
        <v>867</v>
      </c>
    </row>
    <row r="868" spans="1:1" ht="12.75" customHeight="1">
      <c r="A868" s="129">
        <v>868</v>
      </c>
    </row>
    <row r="869" spans="1:1" ht="12.75" customHeight="1">
      <c r="A869" s="129">
        <v>869</v>
      </c>
    </row>
    <row r="870" spans="1:1" ht="12.75" customHeight="1">
      <c r="A870" s="129">
        <v>870</v>
      </c>
    </row>
    <row r="871" spans="1:1" ht="12.75" customHeight="1">
      <c r="A871" s="129">
        <v>871</v>
      </c>
    </row>
    <row r="872" spans="1:1" ht="12.75" customHeight="1">
      <c r="A872" s="129">
        <v>872</v>
      </c>
    </row>
    <row r="873" spans="1:1" ht="12.75" customHeight="1">
      <c r="A873" s="129">
        <v>873</v>
      </c>
    </row>
    <row r="874" spans="1:1" ht="12.75" customHeight="1">
      <c r="A874" s="129">
        <v>874</v>
      </c>
    </row>
    <row r="875" spans="1:1" ht="12.75" customHeight="1">
      <c r="A875" s="129">
        <v>875</v>
      </c>
    </row>
    <row r="876" spans="1:1" ht="12.75" customHeight="1">
      <c r="A876" s="129">
        <v>876</v>
      </c>
    </row>
    <row r="877" spans="1:1" ht="12.75" customHeight="1">
      <c r="A877" s="129">
        <v>877</v>
      </c>
    </row>
    <row r="878" spans="1:1" ht="12.75" customHeight="1">
      <c r="A878" s="129">
        <v>878</v>
      </c>
    </row>
    <row r="879" spans="1:1" ht="12.75" customHeight="1">
      <c r="A879" s="129">
        <v>879</v>
      </c>
    </row>
    <row r="880" spans="1:1" ht="12.75" customHeight="1">
      <c r="A880" s="129">
        <v>880</v>
      </c>
    </row>
    <row r="881" spans="1:1" ht="12.75" customHeight="1">
      <c r="A881" s="129">
        <v>881</v>
      </c>
    </row>
    <row r="882" spans="1:1" ht="12.75" customHeight="1">
      <c r="A882" s="129">
        <v>882</v>
      </c>
    </row>
    <row r="883" spans="1:1" ht="12.75" customHeight="1">
      <c r="A883" s="129">
        <v>883</v>
      </c>
    </row>
    <row r="884" spans="1:1" ht="12.75" customHeight="1">
      <c r="A884" s="129">
        <v>884</v>
      </c>
    </row>
    <row r="885" spans="1:1" ht="12.75" customHeight="1">
      <c r="A885" s="129">
        <v>885</v>
      </c>
    </row>
    <row r="886" spans="1:1" ht="12.75" customHeight="1">
      <c r="A886" s="129">
        <v>886</v>
      </c>
    </row>
    <row r="887" spans="1:1" ht="12.75" customHeight="1">
      <c r="A887" s="129">
        <v>887</v>
      </c>
    </row>
    <row r="888" spans="1:1" ht="12.75" customHeight="1">
      <c r="A888" s="129">
        <v>888</v>
      </c>
    </row>
    <row r="889" spans="1:1" ht="12.75" customHeight="1">
      <c r="A889" s="129">
        <v>889</v>
      </c>
    </row>
    <row r="890" spans="1:1" ht="12.75" customHeight="1">
      <c r="A890" s="129">
        <v>890</v>
      </c>
    </row>
    <row r="891" spans="1:1" ht="12.75" customHeight="1">
      <c r="A891" s="129">
        <v>891</v>
      </c>
    </row>
    <row r="892" spans="1:1" ht="12.75" customHeight="1">
      <c r="A892" s="129">
        <v>892</v>
      </c>
    </row>
    <row r="893" spans="1:1" ht="12.75" customHeight="1">
      <c r="A893" s="129">
        <v>893</v>
      </c>
    </row>
    <row r="894" spans="1:1" ht="12.75" customHeight="1">
      <c r="A894" s="129">
        <v>894</v>
      </c>
    </row>
    <row r="895" spans="1:1" ht="12.75" customHeight="1">
      <c r="A895" s="129">
        <v>895</v>
      </c>
    </row>
    <row r="896" spans="1:1" ht="12.75" customHeight="1">
      <c r="A896" s="129">
        <v>896</v>
      </c>
    </row>
    <row r="897" spans="1:1" ht="12.75" customHeight="1">
      <c r="A897" s="129">
        <v>897</v>
      </c>
    </row>
    <row r="898" spans="1:1" ht="12.75" customHeight="1">
      <c r="A898" s="129">
        <v>898</v>
      </c>
    </row>
    <row r="899" spans="1:1" ht="12.75" customHeight="1">
      <c r="A899" s="129">
        <v>899</v>
      </c>
    </row>
    <row r="900" spans="1:1" ht="12.75" customHeight="1">
      <c r="A900" s="129">
        <v>900</v>
      </c>
    </row>
    <row r="901" spans="1:1" ht="12.75" customHeight="1">
      <c r="A901" s="129">
        <v>901</v>
      </c>
    </row>
    <row r="902" spans="1:1" ht="12.75" customHeight="1">
      <c r="A902" s="129">
        <v>902</v>
      </c>
    </row>
    <row r="903" spans="1:1" ht="12.75" customHeight="1">
      <c r="A903" s="129">
        <v>903</v>
      </c>
    </row>
    <row r="904" spans="1:1" ht="12.75" customHeight="1">
      <c r="A904" s="129">
        <v>904</v>
      </c>
    </row>
    <row r="905" spans="1:1" ht="12.75" customHeight="1">
      <c r="A905" s="129">
        <v>905</v>
      </c>
    </row>
    <row r="906" spans="1:1" ht="12.75" customHeight="1">
      <c r="A906" s="129">
        <v>906</v>
      </c>
    </row>
    <row r="907" spans="1:1" ht="12.75" customHeight="1">
      <c r="A907" s="129">
        <v>907</v>
      </c>
    </row>
    <row r="908" spans="1:1" ht="12.75" customHeight="1">
      <c r="A908" s="129">
        <v>908</v>
      </c>
    </row>
    <row r="909" spans="1:1" ht="12.75" customHeight="1">
      <c r="A909" s="129">
        <v>909</v>
      </c>
    </row>
    <row r="910" spans="1:1" ht="12.75" customHeight="1">
      <c r="A910" s="129">
        <v>910</v>
      </c>
    </row>
    <row r="911" spans="1:1" ht="12.75" customHeight="1">
      <c r="A911" s="129">
        <v>911</v>
      </c>
    </row>
    <row r="912" spans="1:1" ht="12.75" customHeight="1">
      <c r="A912" s="129">
        <v>912</v>
      </c>
    </row>
    <row r="913" spans="1:1" ht="12.75" customHeight="1">
      <c r="A913" s="129">
        <v>913</v>
      </c>
    </row>
    <row r="914" spans="1:1" ht="12.75" customHeight="1">
      <c r="A914" s="129">
        <v>914</v>
      </c>
    </row>
    <row r="915" spans="1:1" ht="12.75" customHeight="1">
      <c r="A915" s="129">
        <v>915</v>
      </c>
    </row>
    <row r="916" spans="1:1" ht="12.75" customHeight="1">
      <c r="A916" s="129">
        <v>916</v>
      </c>
    </row>
    <row r="917" spans="1:1" ht="12.75" customHeight="1">
      <c r="A917" s="129">
        <v>917</v>
      </c>
    </row>
    <row r="918" spans="1:1" ht="12.75" customHeight="1">
      <c r="A918" s="129">
        <v>918</v>
      </c>
    </row>
    <row r="919" spans="1:1" ht="12.75" customHeight="1">
      <c r="A919" s="129">
        <v>919</v>
      </c>
    </row>
    <row r="920" spans="1:1" ht="12.75" customHeight="1">
      <c r="A920" s="129">
        <v>920</v>
      </c>
    </row>
    <row r="921" spans="1:1" ht="12.75" customHeight="1">
      <c r="A921" s="129">
        <v>921</v>
      </c>
    </row>
    <row r="922" spans="1:1" ht="12.75" customHeight="1">
      <c r="A922" s="129">
        <v>922</v>
      </c>
    </row>
    <row r="923" spans="1:1" ht="12.75" customHeight="1">
      <c r="A923" s="129">
        <v>923</v>
      </c>
    </row>
    <row r="924" spans="1:1" ht="12.75" customHeight="1">
      <c r="A924" s="129">
        <v>924</v>
      </c>
    </row>
    <row r="925" spans="1:1" ht="12.75" customHeight="1">
      <c r="A925" s="129">
        <v>925</v>
      </c>
    </row>
    <row r="926" spans="1:1" ht="12.75" customHeight="1">
      <c r="A926" s="129">
        <v>926</v>
      </c>
    </row>
    <row r="927" spans="1:1" ht="12.75" customHeight="1">
      <c r="A927" s="129">
        <v>927</v>
      </c>
    </row>
    <row r="928" spans="1:1" ht="12.75" customHeight="1">
      <c r="A928" s="129">
        <v>928</v>
      </c>
    </row>
    <row r="929" spans="1:1" ht="12.75" customHeight="1">
      <c r="A929" s="129">
        <v>929</v>
      </c>
    </row>
    <row r="930" spans="1:1" ht="12.75" customHeight="1">
      <c r="A930" s="129">
        <v>930</v>
      </c>
    </row>
    <row r="931" spans="1:1" ht="12.75" customHeight="1">
      <c r="A931" s="129">
        <v>931</v>
      </c>
    </row>
    <row r="932" spans="1:1" ht="12.75" customHeight="1">
      <c r="A932" s="129">
        <v>932</v>
      </c>
    </row>
    <row r="933" spans="1:1" ht="12.75" customHeight="1">
      <c r="A933" s="129">
        <v>933</v>
      </c>
    </row>
    <row r="934" spans="1:1" ht="12.75" customHeight="1">
      <c r="A934" s="129">
        <v>934</v>
      </c>
    </row>
    <row r="935" spans="1:1" ht="12.75" customHeight="1">
      <c r="A935" s="129">
        <v>935</v>
      </c>
    </row>
    <row r="936" spans="1:1" ht="12.75" customHeight="1">
      <c r="A936" s="129">
        <v>936</v>
      </c>
    </row>
    <row r="937" spans="1:1" ht="12.75" customHeight="1">
      <c r="A937" s="129">
        <v>937</v>
      </c>
    </row>
    <row r="938" spans="1:1" ht="12.75" customHeight="1">
      <c r="A938" s="129">
        <v>938</v>
      </c>
    </row>
    <row r="939" spans="1:1" ht="12.75" customHeight="1">
      <c r="A939" s="129">
        <v>939</v>
      </c>
    </row>
    <row r="940" spans="1:1" ht="12.75" customHeight="1">
      <c r="A940" s="129">
        <v>940</v>
      </c>
    </row>
    <row r="941" spans="1:1" ht="12.75" customHeight="1">
      <c r="A941" s="129">
        <v>941</v>
      </c>
    </row>
    <row r="942" spans="1:1" ht="12.75" customHeight="1">
      <c r="A942" s="129">
        <v>942</v>
      </c>
    </row>
    <row r="943" spans="1:1" ht="12.75" customHeight="1">
      <c r="A943" s="129">
        <v>943</v>
      </c>
    </row>
    <row r="944" spans="1:1" ht="12.75" customHeight="1">
      <c r="A944" s="129">
        <v>944</v>
      </c>
    </row>
    <row r="945" spans="1:1" ht="12.75" customHeight="1">
      <c r="A945" s="129">
        <v>945</v>
      </c>
    </row>
    <row r="946" spans="1:1" ht="12.75" customHeight="1">
      <c r="A946" s="129">
        <v>946</v>
      </c>
    </row>
    <row r="947" spans="1:1" ht="12.75" customHeight="1">
      <c r="A947" s="129">
        <v>947</v>
      </c>
    </row>
    <row r="948" spans="1:1" ht="12.75" customHeight="1">
      <c r="A948" s="129">
        <v>948</v>
      </c>
    </row>
    <row r="949" spans="1:1" ht="12.75" customHeight="1">
      <c r="A949" s="129">
        <v>949</v>
      </c>
    </row>
    <row r="950" spans="1:1" ht="12.75" customHeight="1">
      <c r="A950" s="129">
        <v>950</v>
      </c>
    </row>
    <row r="951" spans="1:1" ht="12.75" customHeight="1">
      <c r="A951" s="129">
        <v>951</v>
      </c>
    </row>
    <row r="952" spans="1:1" ht="12.75" customHeight="1">
      <c r="A952" s="129">
        <v>952</v>
      </c>
    </row>
    <row r="953" spans="1:1" ht="12.75" customHeight="1">
      <c r="A953" s="129">
        <v>953</v>
      </c>
    </row>
    <row r="954" spans="1:1" ht="12.75" customHeight="1">
      <c r="A954" s="129">
        <v>954</v>
      </c>
    </row>
    <row r="955" spans="1:1" ht="12.75" customHeight="1">
      <c r="A955" s="129">
        <v>955</v>
      </c>
    </row>
    <row r="956" spans="1:1" ht="12.75" customHeight="1">
      <c r="A956" s="129">
        <v>956</v>
      </c>
    </row>
    <row r="957" spans="1:1" ht="12.75" customHeight="1">
      <c r="A957" s="129">
        <v>957</v>
      </c>
    </row>
    <row r="958" spans="1:1" ht="12.75" customHeight="1">
      <c r="A958" s="129">
        <v>958</v>
      </c>
    </row>
    <row r="959" spans="1:1" ht="12.75" customHeight="1">
      <c r="A959" s="129">
        <v>959</v>
      </c>
    </row>
    <row r="960" spans="1:1" ht="12.75" customHeight="1">
      <c r="A960" s="129">
        <v>960</v>
      </c>
    </row>
    <row r="961" spans="1:1" ht="12.75" customHeight="1">
      <c r="A961" s="129">
        <v>961</v>
      </c>
    </row>
    <row r="962" spans="1:1" ht="12.75" customHeight="1">
      <c r="A962" s="129">
        <v>962</v>
      </c>
    </row>
    <row r="963" spans="1:1" ht="12.75" customHeight="1">
      <c r="A963" s="129">
        <v>963</v>
      </c>
    </row>
    <row r="964" spans="1:1" ht="12.75" customHeight="1">
      <c r="A964" s="129">
        <v>964</v>
      </c>
    </row>
    <row r="965" spans="1:1" ht="12.75" customHeight="1">
      <c r="A965" s="129">
        <v>965</v>
      </c>
    </row>
    <row r="966" spans="1:1" ht="12.75" customHeight="1">
      <c r="A966" s="129">
        <v>966</v>
      </c>
    </row>
    <row r="967" spans="1:1" ht="12.75" customHeight="1">
      <c r="A967" s="129">
        <v>967</v>
      </c>
    </row>
    <row r="968" spans="1:1" ht="12.75" customHeight="1">
      <c r="A968" s="129">
        <v>968</v>
      </c>
    </row>
    <row r="969" spans="1:1" ht="12.75" customHeight="1">
      <c r="A969" s="129">
        <v>969</v>
      </c>
    </row>
    <row r="970" spans="1:1" ht="12.75" customHeight="1">
      <c r="A970" s="129">
        <v>970</v>
      </c>
    </row>
    <row r="971" spans="1:1" ht="12.75" customHeight="1">
      <c r="A971" s="129">
        <v>971</v>
      </c>
    </row>
    <row r="972" spans="1:1" ht="12.75" customHeight="1">
      <c r="A972" s="129">
        <v>972</v>
      </c>
    </row>
    <row r="973" spans="1:1" ht="12.75" customHeight="1">
      <c r="A973" s="129">
        <v>973</v>
      </c>
    </row>
    <row r="974" spans="1:1" ht="12.75" customHeight="1">
      <c r="A974" s="129">
        <v>974</v>
      </c>
    </row>
    <row r="975" spans="1:1" ht="12.75" customHeight="1">
      <c r="A975" s="129">
        <v>975</v>
      </c>
    </row>
    <row r="976" spans="1:1" ht="12.75" customHeight="1">
      <c r="A976" s="129">
        <v>976</v>
      </c>
    </row>
    <row r="977" spans="1:1" ht="12.75" customHeight="1">
      <c r="A977" s="129">
        <v>977</v>
      </c>
    </row>
    <row r="978" spans="1:1" ht="12.75" customHeight="1">
      <c r="A978" s="129">
        <v>978</v>
      </c>
    </row>
    <row r="979" spans="1:1" ht="12.75" customHeight="1">
      <c r="A979" s="129">
        <v>979</v>
      </c>
    </row>
    <row r="980" spans="1:1" ht="12.75" customHeight="1">
      <c r="A980" s="129">
        <v>980</v>
      </c>
    </row>
    <row r="981" spans="1:1" ht="12.75" customHeight="1">
      <c r="A981" s="129">
        <v>981</v>
      </c>
    </row>
    <row r="982" spans="1:1" ht="12.75" customHeight="1">
      <c r="A982" s="129">
        <v>982</v>
      </c>
    </row>
    <row r="983" spans="1:1" ht="12.75" customHeight="1">
      <c r="A983" s="129">
        <v>983</v>
      </c>
    </row>
    <row r="984" spans="1:1" ht="12.75" customHeight="1">
      <c r="A984" s="129">
        <v>984</v>
      </c>
    </row>
    <row r="985" spans="1:1" ht="12.75" customHeight="1">
      <c r="A985" s="129">
        <v>985</v>
      </c>
    </row>
    <row r="986" spans="1:1" ht="12.75" customHeight="1">
      <c r="A986" s="129">
        <v>986</v>
      </c>
    </row>
    <row r="987" spans="1:1" ht="12.75" customHeight="1">
      <c r="A987" s="129">
        <v>987</v>
      </c>
    </row>
    <row r="988" spans="1:1" ht="12.75" customHeight="1">
      <c r="A988" s="129">
        <v>988</v>
      </c>
    </row>
    <row r="989" spans="1:1" ht="12.75" customHeight="1">
      <c r="A989" s="129">
        <v>989</v>
      </c>
    </row>
    <row r="990" spans="1:1" ht="12.75" customHeight="1">
      <c r="A990" s="129">
        <v>990</v>
      </c>
    </row>
    <row r="991" spans="1:1" ht="12.75" customHeight="1">
      <c r="A991" s="129">
        <v>991</v>
      </c>
    </row>
    <row r="992" spans="1:1" ht="12.75" customHeight="1">
      <c r="A992" s="129">
        <v>992</v>
      </c>
    </row>
    <row r="993" spans="1:1" ht="12.75" customHeight="1">
      <c r="A993" s="129">
        <v>993</v>
      </c>
    </row>
    <row r="994" spans="1:1" ht="12.75" customHeight="1">
      <c r="A994" s="129">
        <v>994</v>
      </c>
    </row>
    <row r="995" spans="1:1" ht="12.75" customHeight="1">
      <c r="A995" s="129">
        <v>995</v>
      </c>
    </row>
    <row r="996" spans="1:1" ht="12.75" customHeight="1">
      <c r="A996" s="129">
        <v>996</v>
      </c>
    </row>
    <row r="997" spans="1:1" ht="12.75" customHeight="1">
      <c r="A997" s="129">
        <v>997</v>
      </c>
    </row>
    <row r="998" spans="1:1" ht="12.75" customHeight="1">
      <c r="A998" s="129">
        <v>998</v>
      </c>
    </row>
    <row r="999" spans="1:1" ht="12.75" customHeight="1">
      <c r="A999" s="129">
        <v>999</v>
      </c>
    </row>
    <row r="1000" spans="1:1" ht="12.75" customHeight="1">
      <c r="A1000" s="129">
        <v>1000</v>
      </c>
    </row>
    <row r="1001" spans="1:1" ht="12.75" customHeight="1">
      <c r="A1001" s="129">
        <v>1001</v>
      </c>
    </row>
    <row r="1002" spans="1:1" ht="12.75" customHeight="1">
      <c r="A1002" s="129">
        <v>1002</v>
      </c>
    </row>
    <row r="1003" spans="1:1" ht="12.75" customHeight="1">
      <c r="A1003" s="129">
        <v>1003</v>
      </c>
    </row>
    <row r="1004" spans="1:1" ht="12.75" customHeight="1">
      <c r="A1004" s="129">
        <v>1004</v>
      </c>
    </row>
    <row r="1005" spans="1:1" ht="12.75" customHeight="1">
      <c r="A1005" s="129">
        <v>1005</v>
      </c>
    </row>
    <row r="1006" spans="1:1" ht="12.75" customHeight="1">
      <c r="A1006" s="129">
        <v>1006</v>
      </c>
    </row>
    <row r="1007" spans="1:1" ht="12.75" customHeight="1">
      <c r="A1007" s="129">
        <v>1007</v>
      </c>
    </row>
    <row r="1008" spans="1:1" ht="12.75" customHeight="1">
      <c r="A1008" s="129">
        <v>1008</v>
      </c>
    </row>
    <row r="1009" spans="1:1" ht="12.75" customHeight="1">
      <c r="A1009" s="129">
        <v>1009</v>
      </c>
    </row>
    <row r="1010" spans="1:1" ht="12.75" customHeight="1">
      <c r="A1010" s="129">
        <v>1010</v>
      </c>
    </row>
    <row r="1011" spans="1:1" ht="12.75" customHeight="1">
      <c r="A1011" s="129">
        <v>1011</v>
      </c>
    </row>
    <row r="1012" spans="1:1" ht="12.75" customHeight="1">
      <c r="A1012" s="129">
        <v>1012</v>
      </c>
    </row>
    <row r="1013" spans="1:1" ht="12.75" customHeight="1">
      <c r="A1013" s="129">
        <v>1013</v>
      </c>
    </row>
    <row r="1014" spans="1:1" ht="12.75" customHeight="1">
      <c r="A1014" s="129">
        <v>1014</v>
      </c>
    </row>
    <row r="1015" spans="1:1" ht="12.75" customHeight="1">
      <c r="A1015" s="129">
        <v>1015</v>
      </c>
    </row>
    <row r="1016" spans="1:1" ht="12.75" customHeight="1">
      <c r="A1016" s="129">
        <v>1016</v>
      </c>
    </row>
    <row r="1017" spans="1:1" ht="12.75" customHeight="1">
      <c r="A1017" s="129">
        <v>1017</v>
      </c>
    </row>
    <row r="1018" spans="1:1" ht="12.75" customHeight="1">
      <c r="A1018" s="129">
        <v>1018</v>
      </c>
    </row>
    <row r="1019" spans="1:1" ht="12.75" customHeight="1">
      <c r="A1019" s="129">
        <v>1019</v>
      </c>
    </row>
    <row r="1020" spans="1:1" ht="12.75" customHeight="1">
      <c r="A1020" s="129">
        <v>1020</v>
      </c>
    </row>
    <row r="1021" spans="1:1" ht="12.75" customHeight="1">
      <c r="A1021" s="129">
        <v>1021</v>
      </c>
    </row>
    <row r="1022" spans="1:1" ht="12.75" customHeight="1">
      <c r="A1022" s="129">
        <v>1022</v>
      </c>
    </row>
    <row r="1023" spans="1:1" ht="12.75" customHeight="1">
      <c r="A1023" s="129">
        <v>1023</v>
      </c>
    </row>
    <row r="1024" spans="1:1" ht="12.75" customHeight="1">
      <c r="A1024" s="129">
        <v>1024</v>
      </c>
    </row>
    <row r="1025" spans="1:1" ht="12.75" customHeight="1">
      <c r="A1025" s="129">
        <v>1025</v>
      </c>
    </row>
    <row r="1026" spans="1:1" ht="12.75" customHeight="1">
      <c r="A1026" s="129">
        <v>1026</v>
      </c>
    </row>
    <row r="1027" spans="1:1" ht="12.75" customHeight="1">
      <c r="A1027" s="129">
        <v>1027</v>
      </c>
    </row>
    <row r="1028" spans="1:1" ht="12.75" customHeight="1">
      <c r="A1028" s="129">
        <v>1028</v>
      </c>
    </row>
    <row r="1029" spans="1:1" ht="12.75" customHeight="1">
      <c r="A1029" s="129">
        <v>1029</v>
      </c>
    </row>
    <row r="1030" spans="1:1" ht="12.75" customHeight="1">
      <c r="A1030" s="129">
        <v>1030</v>
      </c>
    </row>
    <row r="1031" spans="1:1" ht="12.75" customHeight="1">
      <c r="A1031" s="129">
        <v>1031</v>
      </c>
    </row>
    <row r="1032" spans="1:1" ht="12.75" customHeight="1">
      <c r="A1032" s="129">
        <v>1032</v>
      </c>
    </row>
    <row r="1033" spans="1:1" ht="12.75" customHeight="1">
      <c r="A1033" s="129">
        <v>1033</v>
      </c>
    </row>
    <row r="1034" spans="1:1" ht="12.75" customHeight="1">
      <c r="A1034" s="129">
        <v>1034</v>
      </c>
    </row>
    <row r="1035" spans="1:1" ht="12.75" customHeight="1">
      <c r="A1035" s="129">
        <v>1035</v>
      </c>
    </row>
    <row r="1036" spans="1:1" ht="12.75" customHeight="1">
      <c r="A1036" s="129">
        <v>1036</v>
      </c>
    </row>
    <row r="1037" spans="1:1" ht="12.75" customHeight="1">
      <c r="A1037" s="129">
        <v>1037</v>
      </c>
    </row>
    <row r="1038" spans="1:1" ht="12.75" customHeight="1">
      <c r="A1038" s="129">
        <v>1038</v>
      </c>
    </row>
    <row r="1039" spans="1:1" ht="12.75" customHeight="1">
      <c r="A1039" s="129">
        <v>1039</v>
      </c>
    </row>
    <row r="1040" spans="1:1" ht="12.75" customHeight="1">
      <c r="A1040" s="129">
        <v>1040</v>
      </c>
    </row>
    <row r="1041" spans="1:1" ht="12.75" customHeight="1">
      <c r="A1041" s="129">
        <v>1041</v>
      </c>
    </row>
    <row r="1042" spans="1:1" ht="12.75" customHeight="1">
      <c r="A1042" s="129">
        <v>1042</v>
      </c>
    </row>
    <row r="1043" spans="1:1" ht="12.75" customHeight="1">
      <c r="A1043" s="129">
        <v>1043</v>
      </c>
    </row>
    <row r="1044" spans="1:1" ht="12.75" customHeight="1">
      <c r="A1044" s="129">
        <v>1044</v>
      </c>
    </row>
    <row r="1045" spans="1:1" ht="12.75" customHeight="1">
      <c r="A1045" s="129">
        <v>1045</v>
      </c>
    </row>
    <row r="1046" spans="1:1" ht="12.75" customHeight="1">
      <c r="A1046" s="129">
        <v>1046</v>
      </c>
    </row>
    <row r="1047" spans="1:1" ht="12.75" customHeight="1">
      <c r="A1047" s="129">
        <v>1047</v>
      </c>
    </row>
    <row r="1048" spans="1:1" ht="12.75" customHeight="1">
      <c r="A1048" s="129">
        <v>1048</v>
      </c>
    </row>
    <row r="1049" spans="1:1" ht="12.75" customHeight="1">
      <c r="A1049" s="129">
        <v>1049</v>
      </c>
    </row>
    <row r="1050" spans="1:1" ht="12.75" customHeight="1">
      <c r="A1050" s="129">
        <v>1050</v>
      </c>
    </row>
    <row r="1051" spans="1:1" ht="12.75" customHeight="1">
      <c r="A1051" s="129">
        <v>1051</v>
      </c>
    </row>
    <row r="1052" spans="1:1" ht="12.75" customHeight="1">
      <c r="A1052" s="129">
        <v>1052</v>
      </c>
    </row>
    <row r="1053" spans="1:1" ht="12.75" customHeight="1">
      <c r="A1053" s="129">
        <v>1053</v>
      </c>
    </row>
    <row r="1054" spans="1:1" ht="12.75" customHeight="1">
      <c r="A1054" s="129">
        <v>1054</v>
      </c>
    </row>
    <row r="1055" spans="1:1" ht="12.75" customHeight="1">
      <c r="A1055" s="129">
        <v>1055</v>
      </c>
    </row>
    <row r="1056" spans="1:1" ht="12.75" customHeight="1">
      <c r="A1056" s="129">
        <v>1056</v>
      </c>
    </row>
    <row r="1057" spans="1:1" ht="12.75" customHeight="1">
      <c r="A1057" s="129">
        <v>1057</v>
      </c>
    </row>
    <row r="1058" spans="1:1" ht="12.75" customHeight="1">
      <c r="A1058" s="129">
        <v>1058</v>
      </c>
    </row>
    <row r="1059" spans="1:1" ht="12.75" customHeight="1">
      <c r="A1059" s="129">
        <v>1059</v>
      </c>
    </row>
    <row r="1060" spans="1:1" ht="12.75" customHeight="1">
      <c r="A1060" s="129">
        <v>1060</v>
      </c>
    </row>
    <row r="1061" spans="1:1" ht="12.75" customHeight="1">
      <c r="A1061" s="129">
        <v>1061</v>
      </c>
    </row>
    <row r="1062" spans="1:1" ht="12.75" customHeight="1">
      <c r="A1062" s="129">
        <v>1062</v>
      </c>
    </row>
    <row r="1063" spans="1:1" ht="12.75" customHeight="1">
      <c r="A1063" s="129">
        <v>1063</v>
      </c>
    </row>
    <row r="1064" spans="1:1" ht="12.75" customHeight="1">
      <c r="A1064" s="129">
        <v>1064</v>
      </c>
    </row>
    <row r="1065" spans="1:1" ht="12.75" customHeight="1">
      <c r="A1065" s="129">
        <v>1065</v>
      </c>
    </row>
    <row r="1066" spans="1:1" ht="12.75" customHeight="1">
      <c r="A1066" s="129">
        <v>1066</v>
      </c>
    </row>
    <row r="1067" spans="1:1" ht="12.75" customHeight="1">
      <c r="A1067" s="129">
        <v>1067</v>
      </c>
    </row>
    <row r="1068" spans="1:1" ht="12.75" customHeight="1">
      <c r="A1068" s="129">
        <v>1068</v>
      </c>
    </row>
    <row r="1069" spans="1:1" ht="12.75" customHeight="1">
      <c r="A1069" s="129">
        <v>1069</v>
      </c>
    </row>
    <row r="1070" spans="1:1" ht="12.75" customHeight="1">
      <c r="A1070" s="129">
        <v>1070</v>
      </c>
    </row>
    <row r="1071" spans="1:1" ht="12.75" customHeight="1">
      <c r="A1071" s="129">
        <v>1071</v>
      </c>
    </row>
    <row r="1072" spans="1:1" ht="12.75" customHeight="1">
      <c r="A1072" s="129">
        <v>1072</v>
      </c>
    </row>
    <row r="1073" spans="1:1" ht="12.75" customHeight="1">
      <c r="A1073" s="129">
        <v>1073</v>
      </c>
    </row>
    <row r="1074" spans="1:1" ht="12.75" customHeight="1">
      <c r="A1074" s="129">
        <v>1074</v>
      </c>
    </row>
    <row r="1075" spans="1:1" ht="12.75" customHeight="1">
      <c r="A1075" s="129">
        <v>1075</v>
      </c>
    </row>
    <row r="1076" spans="1:1" ht="12.75" customHeight="1">
      <c r="A1076" s="129">
        <v>1076</v>
      </c>
    </row>
    <row r="1077" spans="1:1" ht="12.75" customHeight="1">
      <c r="A1077" s="129">
        <v>1077</v>
      </c>
    </row>
    <row r="1078" spans="1:1" ht="12.75" customHeight="1">
      <c r="A1078" s="129">
        <v>1078</v>
      </c>
    </row>
    <row r="1079" spans="1:1" ht="12.75" customHeight="1">
      <c r="A1079" s="129">
        <v>1079</v>
      </c>
    </row>
    <row r="1080" spans="1:1" ht="12.75" customHeight="1">
      <c r="A1080" s="129">
        <v>1080</v>
      </c>
    </row>
    <row r="1081" spans="1:1" ht="12.75" customHeight="1">
      <c r="A1081" s="129">
        <v>1081</v>
      </c>
    </row>
    <row r="1082" spans="1:1" ht="12.75" customHeight="1">
      <c r="A1082" s="129">
        <v>1082</v>
      </c>
    </row>
    <row r="1083" spans="1:1" ht="12.75" customHeight="1">
      <c r="A1083" s="129">
        <v>1083</v>
      </c>
    </row>
    <row r="1084" spans="1:1" ht="12.75" customHeight="1">
      <c r="A1084" s="129">
        <v>1084</v>
      </c>
    </row>
    <row r="1085" spans="1:1" ht="12.75" customHeight="1">
      <c r="A1085" s="129">
        <v>1085</v>
      </c>
    </row>
    <row r="1086" spans="1:1" ht="12.75" customHeight="1">
      <c r="A1086" s="129">
        <v>1086</v>
      </c>
    </row>
    <row r="1087" spans="1:1" ht="12.75" customHeight="1">
      <c r="A1087" s="129">
        <v>1087</v>
      </c>
    </row>
    <row r="1088" spans="1:1" ht="12.75" customHeight="1">
      <c r="A1088" s="129">
        <v>1088</v>
      </c>
    </row>
    <row r="1089" spans="1:1" ht="12.75" customHeight="1">
      <c r="A1089" s="129">
        <v>1089</v>
      </c>
    </row>
    <row r="1090" spans="1:1" ht="12.75" customHeight="1">
      <c r="A1090" s="129">
        <v>1090</v>
      </c>
    </row>
    <row r="1091" spans="1:1" ht="12.75" customHeight="1">
      <c r="A1091" s="129">
        <v>1091</v>
      </c>
    </row>
    <row r="1092" spans="1:1" ht="12.75" customHeight="1">
      <c r="A1092" s="129">
        <v>1092</v>
      </c>
    </row>
    <row r="1093" spans="1:1" ht="12.75" customHeight="1">
      <c r="A1093" s="129">
        <v>1093</v>
      </c>
    </row>
    <row r="1094" spans="1:1" ht="12.75" customHeight="1">
      <c r="A1094" s="129">
        <v>1094</v>
      </c>
    </row>
    <row r="1095" spans="1:1" ht="12.75" customHeight="1">
      <c r="A1095" s="129">
        <v>1095</v>
      </c>
    </row>
    <row r="1096" spans="1:1" ht="12.75" customHeight="1">
      <c r="A1096" s="129">
        <v>1096</v>
      </c>
    </row>
    <row r="1097" spans="1:1" ht="12.75" customHeight="1">
      <c r="A1097" s="129">
        <v>1097</v>
      </c>
    </row>
    <row r="1098" spans="1:1" ht="12.75" customHeight="1">
      <c r="A1098" s="129">
        <v>1098</v>
      </c>
    </row>
    <row r="1099" spans="1:1" ht="12.75" customHeight="1">
      <c r="A1099" s="129">
        <v>1099</v>
      </c>
    </row>
    <row r="1100" spans="1:1" ht="12.75" customHeight="1">
      <c r="A1100" s="129">
        <v>1100</v>
      </c>
    </row>
    <row r="1101" spans="1:1" ht="12.75" customHeight="1">
      <c r="A1101" s="129">
        <v>1101</v>
      </c>
    </row>
    <row r="1102" spans="1:1" ht="12.75" customHeight="1">
      <c r="A1102" s="129">
        <v>1102</v>
      </c>
    </row>
    <row r="1103" spans="1:1" ht="12.75" customHeight="1">
      <c r="A1103" s="129">
        <v>1103</v>
      </c>
    </row>
    <row r="1104" spans="1:1" ht="12.75" customHeight="1">
      <c r="A1104" s="129">
        <v>1104</v>
      </c>
    </row>
    <row r="1105" spans="1:1" ht="12.75" customHeight="1">
      <c r="A1105" s="129">
        <v>1105</v>
      </c>
    </row>
    <row r="1106" spans="1:1" ht="12.75" customHeight="1">
      <c r="A1106" s="129">
        <v>1106</v>
      </c>
    </row>
    <row r="1107" spans="1:1" ht="12.75" customHeight="1">
      <c r="A1107" s="129">
        <v>1107</v>
      </c>
    </row>
    <row r="1108" spans="1:1" ht="12.75" customHeight="1">
      <c r="A1108" s="129">
        <v>1108</v>
      </c>
    </row>
    <row r="1109" spans="1:1" ht="12.75" customHeight="1">
      <c r="A1109" s="129">
        <v>1109</v>
      </c>
    </row>
    <row r="1110" spans="1:1" ht="12.75" customHeight="1">
      <c r="A1110" s="129">
        <v>1110</v>
      </c>
    </row>
    <row r="1111" spans="1:1" ht="12.75" customHeight="1">
      <c r="A1111" s="129">
        <v>1111</v>
      </c>
    </row>
    <row r="1112" spans="1:1" ht="12.75" customHeight="1">
      <c r="A1112" s="129">
        <v>1112</v>
      </c>
    </row>
    <row r="1113" spans="1:1" ht="12.75" customHeight="1">
      <c r="A1113" s="129">
        <v>1113</v>
      </c>
    </row>
    <row r="1114" spans="1:1" ht="12.75" customHeight="1">
      <c r="A1114" s="129">
        <v>1114</v>
      </c>
    </row>
    <row r="1115" spans="1:1" ht="12.75" customHeight="1">
      <c r="A1115" s="129">
        <v>1115</v>
      </c>
    </row>
    <row r="1116" spans="1:1" ht="12.75" customHeight="1">
      <c r="A1116" s="129">
        <v>1116</v>
      </c>
    </row>
    <row r="1117" spans="1:1" ht="12.75" customHeight="1">
      <c r="A1117" s="129">
        <v>1117</v>
      </c>
    </row>
    <row r="1118" spans="1:1" ht="12.75" customHeight="1">
      <c r="A1118" s="129">
        <v>1118</v>
      </c>
    </row>
    <row r="1119" spans="1:1" ht="12.75" customHeight="1">
      <c r="A1119" s="129">
        <v>1119</v>
      </c>
    </row>
    <row r="1120" spans="1:1" ht="12.75" customHeight="1">
      <c r="A1120" s="129">
        <v>1120</v>
      </c>
    </row>
    <row r="1121" spans="1:1" ht="12.75" customHeight="1">
      <c r="A1121" s="129">
        <v>1121</v>
      </c>
    </row>
    <row r="1122" spans="1:1" ht="12.75" customHeight="1">
      <c r="A1122" s="129">
        <v>1122</v>
      </c>
    </row>
    <row r="1123" spans="1:1" ht="12.75" customHeight="1">
      <c r="A1123" s="129">
        <v>1123</v>
      </c>
    </row>
    <row r="1124" spans="1:1" ht="12.75" customHeight="1">
      <c r="A1124" s="129">
        <v>1124</v>
      </c>
    </row>
    <row r="1125" spans="1:1" ht="12.75" customHeight="1">
      <c r="A1125" s="129">
        <v>1125</v>
      </c>
    </row>
    <row r="1126" spans="1:1" ht="12.75" customHeight="1">
      <c r="A1126" s="129">
        <v>1126</v>
      </c>
    </row>
    <row r="1127" spans="1:1" ht="12.75" customHeight="1">
      <c r="A1127" s="129">
        <v>1127</v>
      </c>
    </row>
    <row r="1128" spans="1:1" ht="12.75" customHeight="1">
      <c r="A1128" s="129">
        <v>1128</v>
      </c>
    </row>
    <row r="1129" spans="1:1" ht="12.75" customHeight="1">
      <c r="A1129" s="129">
        <v>1129</v>
      </c>
    </row>
    <row r="1130" spans="1:1" ht="12.75" customHeight="1">
      <c r="A1130" s="129">
        <v>1130</v>
      </c>
    </row>
    <row r="1131" spans="1:1" ht="12.75" customHeight="1">
      <c r="A1131" s="129">
        <v>1131</v>
      </c>
    </row>
    <row r="1132" spans="1:1" ht="12.75" customHeight="1">
      <c r="A1132" s="129">
        <v>1132</v>
      </c>
    </row>
    <row r="1133" spans="1:1" ht="12.75" customHeight="1">
      <c r="A1133" s="129">
        <v>1133</v>
      </c>
    </row>
    <row r="1134" spans="1:1" ht="12.75" customHeight="1">
      <c r="A1134" s="129">
        <v>1134</v>
      </c>
    </row>
    <row r="1135" spans="1:1" ht="12.75" customHeight="1">
      <c r="A1135" s="129">
        <v>1135</v>
      </c>
    </row>
    <row r="1136" spans="1:1" ht="12.75" customHeight="1">
      <c r="A1136" s="129">
        <v>1136</v>
      </c>
    </row>
    <row r="1137" spans="1:1" ht="12.75" customHeight="1">
      <c r="A1137" s="129">
        <v>1137</v>
      </c>
    </row>
    <row r="1138" spans="1:1" ht="12.75" customHeight="1">
      <c r="A1138" s="129">
        <v>1138</v>
      </c>
    </row>
    <row r="1139" spans="1:1" ht="12.75" customHeight="1">
      <c r="A1139" s="129">
        <v>1139</v>
      </c>
    </row>
    <row r="1140" spans="1:1" ht="12.75" customHeight="1">
      <c r="A1140" s="129">
        <v>1140</v>
      </c>
    </row>
    <row r="1141" spans="1:1" ht="12.75" customHeight="1">
      <c r="A1141" s="129">
        <v>1141</v>
      </c>
    </row>
    <row r="1142" spans="1:1" ht="12.75" customHeight="1">
      <c r="A1142" s="129">
        <v>1142</v>
      </c>
    </row>
    <row r="1143" spans="1:1" ht="12.75" customHeight="1">
      <c r="A1143" s="129">
        <v>1143</v>
      </c>
    </row>
    <row r="1144" spans="1:1" ht="12.75" customHeight="1">
      <c r="A1144" s="129">
        <v>1144</v>
      </c>
    </row>
    <row r="1145" spans="1:1" ht="12.75" customHeight="1">
      <c r="A1145" s="129">
        <v>1145</v>
      </c>
    </row>
    <row r="1146" spans="1:1" ht="12.75" customHeight="1">
      <c r="A1146" s="129">
        <v>1146</v>
      </c>
    </row>
    <row r="1147" spans="1:1" ht="12.75" customHeight="1">
      <c r="A1147" s="129">
        <v>1147</v>
      </c>
    </row>
    <row r="1148" spans="1:1" ht="12.75" customHeight="1">
      <c r="A1148" s="129">
        <v>1148</v>
      </c>
    </row>
    <row r="1149" spans="1:1" ht="12.75" customHeight="1">
      <c r="A1149" s="129">
        <v>1149</v>
      </c>
    </row>
    <row r="1150" spans="1:1" ht="12.75" customHeight="1">
      <c r="A1150" s="129">
        <v>1150</v>
      </c>
    </row>
    <row r="1151" spans="1:1" ht="12.75" customHeight="1">
      <c r="A1151" s="129">
        <v>1151</v>
      </c>
    </row>
    <row r="1152" spans="1:1" ht="12.75" customHeight="1">
      <c r="A1152" s="129">
        <v>1152</v>
      </c>
    </row>
    <row r="1153" spans="1:1" ht="12.75" customHeight="1">
      <c r="A1153" s="129">
        <v>1153</v>
      </c>
    </row>
    <row r="1154" spans="1:1" ht="12.75" customHeight="1">
      <c r="A1154" s="129">
        <v>1154</v>
      </c>
    </row>
    <row r="1155" spans="1:1" ht="12.75" customHeight="1">
      <c r="A1155" s="129">
        <v>1155</v>
      </c>
    </row>
    <row r="1156" spans="1:1" ht="12.75" customHeight="1">
      <c r="A1156" s="129">
        <v>1156</v>
      </c>
    </row>
    <row r="1157" spans="1:1" ht="12.75" customHeight="1">
      <c r="A1157" s="129">
        <v>1157</v>
      </c>
    </row>
    <row r="1158" spans="1:1" ht="12.75" customHeight="1">
      <c r="A1158" s="129">
        <v>1158</v>
      </c>
    </row>
    <row r="1159" spans="1:1" ht="12.75" customHeight="1">
      <c r="A1159" s="129">
        <v>1159</v>
      </c>
    </row>
    <row r="1160" spans="1:1" ht="12.75" customHeight="1">
      <c r="A1160" s="129">
        <v>1160</v>
      </c>
    </row>
    <row r="1161" spans="1:1" ht="12.75" customHeight="1">
      <c r="A1161" s="129">
        <v>1161</v>
      </c>
    </row>
    <row r="1162" spans="1:1" ht="12.75" customHeight="1">
      <c r="A1162" s="129">
        <v>1162</v>
      </c>
    </row>
    <row r="1163" spans="1:1" ht="12.75" customHeight="1">
      <c r="A1163" s="129">
        <v>1163</v>
      </c>
    </row>
    <row r="1164" spans="1:1" ht="12.75" customHeight="1">
      <c r="A1164" s="129">
        <v>1164</v>
      </c>
    </row>
    <row r="1165" spans="1:1" ht="12.75" customHeight="1">
      <c r="A1165" s="129">
        <v>1165</v>
      </c>
    </row>
    <row r="1166" spans="1:1" ht="12.75" customHeight="1">
      <c r="A1166" s="129">
        <v>1166</v>
      </c>
    </row>
    <row r="1167" spans="1:1" ht="12.75" customHeight="1">
      <c r="A1167" s="129">
        <v>1167</v>
      </c>
    </row>
    <row r="1168" spans="1:1" ht="12.75" customHeight="1">
      <c r="A1168" s="129">
        <v>1168</v>
      </c>
    </row>
    <row r="1169" spans="1:1" ht="12.75" customHeight="1">
      <c r="A1169" s="129">
        <v>1169</v>
      </c>
    </row>
    <row r="1170" spans="1:1" ht="12.75" customHeight="1">
      <c r="A1170" s="129">
        <v>1170</v>
      </c>
    </row>
    <row r="1171" spans="1:1" ht="12.75" customHeight="1">
      <c r="A1171" s="129">
        <v>1171</v>
      </c>
    </row>
    <row r="1172" spans="1:1" ht="12.75" customHeight="1">
      <c r="A1172" s="129">
        <v>1172</v>
      </c>
    </row>
    <row r="1173" spans="1:1" ht="12.75" customHeight="1">
      <c r="A1173" s="129">
        <v>1173</v>
      </c>
    </row>
    <row r="1174" spans="1:1" ht="12.75" customHeight="1">
      <c r="A1174" s="129">
        <v>1174</v>
      </c>
    </row>
    <row r="1175" spans="1:1" ht="12.75" customHeight="1">
      <c r="A1175" s="129">
        <v>1175</v>
      </c>
    </row>
    <row r="1176" spans="1:1" ht="12.75" customHeight="1">
      <c r="A1176" s="129">
        <v>1176</v>
      </c>
    </row>
    <row r="1177" spans="1:1" ht="12.75" customHeight="1">
      <c r="A1177" s="129">
        <v>1177</v>
      </c>
    </row>
    <row r="1178" spans="1:1" ht="12.75" customHeight="1">
      <c r="A1178" s="129">
        <v>1178</v>
      </c>
    </row>
    <row r="1179" spans="1:1" ht="12.75" customHeight="1">
      <c r="A1179" s="129">
        <v>1179</v>
      </c>
    </row>
    <row r="1180" spans="1:1" ht="12.75" customHeight="1">
      <c r="A1180" s="129">
        <v>1180</v>
      </c>
    </row>
    <row r="1181" spans="1:1" ht="12.75" customHeight="1">
      <c r="A1181" s="129">
        <v>1181</v>
      </c>
    </row>
    <row r="1182" spans="1:1" ht="12.75" customHeight="1">
      <c r="A1182" s="129">
        <v>1182</v>
      </c>
    </row>
    <row r="1183" spans="1:1" ht="12.75" customHeight="1">
      <c r="A1183" s="129">
        <v>1183</v>
      </c>
    </row>
    <row r="1184" spans="1:1" ht="12.75" customHeight="1">
      <c r="A1184" s="129">
        <v>1184</v>
      </c>
    </row>
    <row r="1185" spans="1:1" ht="12.75" customHeight="1">
      <c r="A1185" s="129">
        <v>1185</v>
      </c>
    </row>
    <row r="1186" spans="1:1" ht="12.75" customHeight="1">
      <c r="A1186" s="129">
        <v>1186</v>
      </c>
    </row>
    <row r="1187" spans="1:1" ht="12.75" customHeight="1">
      <c r="A1187" s="129">
        <v>1187</v>
      </c>
    </row>
    <row r="1188" spans="1:1" ht="12.75" customHeight="1">
      <c r="A1188" s="129">
        <v>1188</v>
      </c>
    </row>
    <row r="1189" spans="1:1" ht="12.75" customHeight="1">
      <c r="A1189" s="129">
        <v>1189</v>
      </c>
    </row>
    <row r="1190" spans="1:1" ht="12.75" customHeight="1">
      <c r="A1190" s="129">
        <v>1190</v>
      </c>
    </row>
    <row r="1191" spans="1:1" ht="12.75" customHeight="1">
      <c r="A1191" s="129">
        <v>1191</v>
      </c>
    </row>
    <row r="1192" spans="1:1" ht="12.75" customHeight="1">
      <c r="A1192" s="129">
        <v>1192</v>
      </c>
    </row>
    <row r="1193" spans="1:1" ht="12.75" customHeight="1">
      <c r="A1193" s="129">
        <v>1193</v>
      </c>
    </row>
    <row r="1194" spans="1:1" ht="12.75" customHeight="1">
      <c r="A1194" s="129">
        <v>1194</v>
      </c>
    </row>
    <row r="1195" spans="1:1" ht="12.75" customHeight="1">
      <c r="A1195" s="129">
        <v>1195</v>
      </c>
    </row>
    <row r="1196" spans="1:1" ht="12.75" customHeight="1">
      <c r="A1196" s="129">
        <v>1196</v>
      </c>
    </row>
    <row r="1197" spans="1:1" ht="12.75" customHeight="1">
      <c r="A1197" s="129">
        <v>1197</v>
      </c>
    </row>
    <row r="1198" spans="1:1" ht="12.75" customHeight="1">
      <c r="A1198" s="129">
        <v>1198</v>
      </c>
    </row>
    <row r="1199" spans="1:1" ht="12.75" customHeight="1">
      <c r="A1199" s="129">
        <v>1199</v>
      </c>
    </row>
    <row r="1200" spans="1:1" ht="12.75" customHeight="1">
      <c r="A1200" s="129">
        <v>1200</v>
      </c>
    </row>
    <row r="1201" spans="1:1" ht="12.75" customHeight="1">
      <c r="A1201" s="129">
        <v>1201</v>
      </c>
    </row>
    <row r="1202" spans="1:1" ht="12.75" customHeight="1">
      <c r="A1202" s="129">
        <v>1202</v>
      </c>
    </row>
    <row r="1203" spans="1:1" ht="12.75" customHeight="1">
      <c r="A1203" s="129">
        <v>1203</v>
      </c>
    </row>
    <row r="1204" spans="1:1" ht="12.75" customHeight="1">
      <c r="A1204" s="129">
        <v>1204</v>
      </c>
    </row>
    <row r="1205" spans="1:1" ht="12.75" customHeight="1">
      <c r="A1205" s="129">
        <v>1205</v>
      </c>
    </row>
    <row r="1206" spans="1:1" ht="12.75" customHeight="1">
      <c r="A1206" s="129">
        <v>1206</v>
      </c>
    </row>
    <row r="1207" spans="1:1" ht="12.75" customHeight="1">
      <c r="A1207" s="129">
        <v>1207</v>
      </c>
    </row>
    <row r="1208" spans="1:1" ht="12.75" customHeight="1">
      <c r="A1208" s="129">
        <v>1208</v>
      </c>
    </row>
    <row r="1209" spans="1:1" ht="12.75" customHeight="1">
      <c r="A1209" s="129">
        <v>1209</v>
      </c>
    </row>
    <row r="1210" spans="1:1" ht="12.75" customHeight="1">
      <c r="A1210" s="129">
        <v>1210</v>
      </c>
    </row>
    <row r="1211" spans="1:1" ht="12.75" customHeight="1">
      <c r="A1211" s="129">
        <v>1211</v>
      </c>
    </row>
    <row r="1212" spans="1:1" ht="12.75" customHeight="1">
      <c r="A1212" s="129">
        <v>1212</v>
      </c>
    </row>
    <row r="1213" spans="1:1" ht="12.75" customHeight="1">
      <c r="A1213" s="129">
        <v>1213</v>
      </c>
    </row>
    <row r="1214" spans="1:1" ht="12.75" customHeight="1">
      <c r="A1214" s="129">
        <v>1214</v>
      </c>
    </row>
    <row r="1215" spans="1:1" ht="12.75" customHeight="1">
      <c r="A1215" s="129">
        <v>1215</v>
      </c>
    </row>
    <row r="1216" spans="1:1" ht="12.75" customHeight="1">
      <c r="A1216" s="129">
        <v>1216</v>
      </c>
    </row>
    <row r="1217" spans="1:1" ht="12.75" customHeight="1">
      <c r="A1217" s="129">
        <v>1217</v>
      </c>
    </row>
    <row r="1218" spans="1:1" ht="12.75" customHeight="1">
      <c r="A1218" s="129">
        <v>1218</v>
      </c>
    </row>
    <row r="1219" spans="1:1" ht="12.75" customHeight="1">
      <c r="A1219" s="129">
        <v>1219</v>
      </c>
    </row>
    <row r="1220" spans="1:1" ht="12.75" customHeight="1">
      <c r="A1220" s="129">
        <v>1220</v>
      </c>
    </row>
    <row r="1221" spans="1:1" ht="12.75" customHeight="1">
      <c r="A1221" s="129">
        <v>1221</v>
      </c>
    </row>
    <row r="1222" spans="1:1" ht="12.75" customHeight="1">
      <c r="A1222" s="129">
        <v>1222</v>
      </c>
    </row>
    <row r="1223" spans="1:1" ht="12.75" customHeight="1">
      <c r="A1223" s="129">
        <v>1223</v>
      </c>
    </row>
    <row r="1224" spans="1:1" ht="12.75" customHeight="1">
      <c r="A1224" s="129">
        <v>1224</v>
      </c>
    </row>
    <row r="1225" spans="1:1" ht="12.75" customHeight="1">
      <c r="A1225" s="129">
        <v>1225</v>
      </c>
    </row>
    <row r="1226" spans="1:1" ht="12.75" customHeight="1">
      <c r="A1226" s="129">
        <v>1226</v>
      </c>
    </row>
    <row r="1227" spans="1:1" ht="12.75" customHeight="1">
      <c r="A1227" s="129">
        <v>1227</v>
      </c>
    </row>
    <row r="1228" spans="1:1" ht="12.75" customHeight="1">
      <c r="A1228" s="129">
        <v>1228</v>
      </c>
    </row>
    <row r="1229" spans="1:1" ht="12.75" customHeight="1">
      <c r="A1229" s="129">
        <v>1229</v>
      </c>
    </row>
    <row r="1230" spans="1:1" ht="12.75" customHeight="1">
      <c r="A1230" s="129">
        <v>1230</v>
      </c>
    </row>
    <row r="1231" spans="1:1" ht="12.75" customHeight="1">
      <c r="A1231" s="129">
        <v>1231</v>
      </c>
    </row>
    <row r="1232" spans="1:1" ht="12.75" customHeight="1">
      <c r="A1232" s="129">
        <v>1232</v>
      </c>
    </row>
    <row r="1233" spans="1:1" ht="12.75" customHeight="1">
      <c r="A1233" s="129">
        <v>1233</v>
      </c>
    </row>
    <row r="1234" spans="1:1" ht="12.75" customHeight="1">
      <c r="A1234" s="129">
        <v>1234</v>
      </c>
    </row>
    <row r="1235" spans="1:1" ht="12.75" customHeight="1">
      <c r="A1235" s="129">
        <v>1235</v>
      </c>
    </row>
    <row r="1236" spans="1:1" ht="12.75" customHeight="1">
      <c r="A1236" s="129">
        <v>1236</v>
      </c>
    </row>
    <row r="1237" spans="1:1" ht="12.75" customHeight="1">
      <c r="A1237" s="129">
        <v>1237</v>
      </c>
    </row>
    <row r="1238" spans="1:1" ht="12.75" customHeight="1">
      <c r="A1238" s="129">
        <v>1238</v>
      </c>
    </row>
    <row r="1239" spans="1:1" ht="12.75" customHeight="1">
      <c r="A1239" s="129">
        <v>1239</v>
      </c>
    </row>
    <row r="1240" spans="1:1" ht="12.75" customHeight="1">
      <c r="A1240" s="129">
        <v>1240</v>
      </c>
    </row>
    <row r="1241" spans="1:1" ht="12.75" customHeight="1">
      <c r="A1241" s="129">
        <v>1241</v>
      </c>
    </row>
    <row r="1242" spans="1:1" ht="12.75" customHeight="1">
      <c r="A1242" s="129">
        <v>1242</v>
      </c>
    </row>
    <row r="1243" spans="1:1" ht="12.75" customHeight="1">
      <c r="A1243" s="129">
        <v>1243</v>
      </c>
    </row>
    <row r="1244" spans="1:1" ht="12.75" customHeight="1">
      <c r="A1244" s="129">
        <v>1244</v>
      </c>
    </row>
    <row r="1245" spans="1:1" ht="12.75" customHeight="1">
      <c r="A1245" s="129">
        <v>1245</v>
      </c>
    </row>
    <row r="1246" spans="1:1" ht="12.75" customHeight="1">
      <c r="A1246" s="129">
        <v>1246</v>
      </c>
    </row>
    <row r="1247" spans="1:1" ht="12.75" customHeight="1">
      <c r="A1247" s="129">
        <v>1247</v>
      </c>
    </row>
    <row r="1248" spans="1:1" ht="12.75" customHeight="1">
      <c r="A1248" s="129">
        <v>1248</v>
      </c>
    </row>
    <row r="1249" spans="1:1" ht="12.75" customHeight="1">
      <c r="A1249" s="129">
        <v>1249</v>
      </c>
    </row>
    <row r="1250" spans="1:1" ht="12.75" customHeight="1">
      <c r="A1250" s="129">
        <v>1250</v>
      </c>
    </row>
    <row r="1251" spans="1:1" ht="12.75" customHeight="1">
      <c r="A1251" s="129">
        <v>1251</v>
      </c>
    </row>
    <row r="1252" spans="1:1" ht="12.75" customHeight="1">
      <c r="A1252" s="129">
        <v>1252</v>
      </c>
    </row>
    <row r="1253" spans="1:1" ht="12.75" customHeight="1">
      <c r="A1253" s="129">
        <v>1253</v>
      </c>
    </row>
    <row r="1254" spans="1:1" ht="12.75" customHeight="1">
      <c r="A1254" s="129">
        <v>1254</v>
      </c>
    </row>
    <row r="1255" spans="1:1" ht="12.75" customHeight="1">
      <c r="A1255" s="129">
        <v>1255</v>
      </c>
    </row>
    <row r="1256" spans="1:1" ht="12.75" customHeight="1">
      <c r="A1256" s="129">
        <v>1256</v>
      </c>
    </row>
    <row r="1257" spans="1:1" ht="12.75" customHeight="1">
      <c r="A1257" s="129">
        <v>1257</v>
      </c>
    </row>
    <row r="1258" spans="1:1" ht="12.75" customHeight="1">
      <c r="A1258" s="129">
        <v>1258</v>
      </c>
    </row>
    <row r="1259" spans="1:1" ht="12.75" customHeight="1">
      <c r="A1259" s="129">
        <v>1259</v>
      </c>
    </row>
    <row r="1260" spans="1:1" ht="12.75" customHeight="1">
      <c r="A1260" s="129">
        <v>1260</v>
      </c>
    </row>
    <row r="1261" spans="1:1" ht="12.75" customHeight="1">
      <c r="A1261" s="129">
        <v>1261</v>
      </c>
    </row>
    <row r="1262" spans="1:1" ht="12.75" customHeight="1">
      <c r="A1262" s="129">
        <v>1262</v>
      </c>
    </row>
    <row r="1263" spans="1:1" ht="12.75" customHeight="1">
      <c r="A1263" s="129">
        <v>1263</v>
      </c>
    </row>
    <row r="1264" spans="1:1" ht="12.75" customHeight="1">
      <c r="A1264" s="129">
        <v>1264</v>
      </c>
    </row>
    <row r="1265" spans="1:1" ht="12.75" customHeight="1">
      <c r="A1265" s="129">
        <v>1265</v>
      </c>
    </row>
    <row r="1266" spans="1:1" ht="12.75" customHeight="1">
      <c r="A1266" s="129">
        <v>1266</v>
      </c>
    </row>
    <row r="1267" spans="1:1" ht="12.75" customHeight="1">
      <c r="A1267" s="129">
        <v>1267</v>
      </c>
    </row>
    <row r="1268" spans="1:1" ht="12.75" customHeight="1">
      <c r="A1268" s="129">
        <v>1268</v>
      </c>
    </row>
    <row r="1269" spans="1:1" ht="12.75" customHeight="1">
      <c r="A1269" s="129">
        <v>1269</v>
      </c>
    </row>
    <row r="1270" spans="1:1" ht="12.75" customHeight="1">
      <c r="A1270" s="129">
        <v>1270</v>
      </c>
    </row>
    <row r="1271" spans="1:1" ht="12.75" customHeight="1">
      <c r="A1271" s="129">
        <v>1271</v>
      </c>
    </row>
    <row r="1272" spans="1:1" ht="12.75" customHeight="1">
      <c r="A1272" s="129">
        <v>1272</v>
      </c>
    </row>
    <row r="1273" spans="1:1" ht="12.75" customHeight="1">
      <c r="A1273" s="129">
        <v>1273</v>
      </c>
    </row>
    <row r="1274" spans="1:1" ht="12.75" customHeight="1">
      <c r="A1274" s="129">
        <v>1274</v>
      </c>
    </row>
    <row r="1275" spans="1:1" ht="12.75" customHeight="1">
      <c r="A1275" s="129">
        <v>1275</v>
      </c>
    </row>
    <row r="1276" spans="1:1" ht="12.75" customHeight="1">
      <c r="A1276" s="129">
        <v>1276</v>
      </c>
    </row>
    <row r="1277" spans="1:1" ht="12.75" customHeight="1">
      <c r="A1277" s="129">
        <v>1277</v>
      </c>
    </row>
    <row r="1278" spans="1:1" ht="12.75" customHeight="1">
      <c r="A1278" s="129">
        <v>1278</v>
      </c>
    </row>
    <row r="1279" spans="1:1" ht="12.75" customHeight="1">
      <c r="A1279" s="129">
        <v>1279</v>
      </c>
    </row>
    <row r="1280" spans="1:1" ht="12.75" customHeight="1">
      <c r="A1280" s="129">
        <v>1280</v>
      </c>
    </row>
    <row r="1281" spans="1:1" ht="12.75" customHeight="1">
      <c r="A1281" s="129">
        <v>1281</v>
      </c>
    </row>
    <row r="1282" spans="1:1" ht="12.75" customHeight="1">
      <c r="A1282" s="129">
        <v>1282</v>
      </c>
    </row>
    <row r="1283" spans="1:1" ht="12.75" customHeight="1">
      <c r="A1283" s="129">
        <v>1283</v>
      </c>
    </row>
    <row r="1284" spans="1:1" ht="12.75" customHeight="1">
      <c r="A1284" s="129">
        <v>1284</v>
      </c>
    </row>
    <row r="1285" spans="1:1" ht="12.75" customHeight="1">
      <c r="A1285" s="129">
        <v>1285</v>
      </c>
    </row>
    <row r="1286" spans="1:1" ht="12.75" customHeight="1">
      <c r="A1286" s="129">
        <v>1286</v>
      </c>
    </row>
    <row r="1287" spans="1:1" ht="12.75" customHeight="1">
      <c r="A1287" s="129">
        <v>1287</v>
      </c>
    </row>
    <row r="1288" spans="1:1" ht="12.75" customHeight="1">
      <c r="A1288" s="129">
        <v>1288</v>
      </c>
    </row>
    <row r="1289" spans="1:1" ht="12.75" customHeight="1">
      <c r="A1289" s="129">
        <v>1289</v>
      </c>
    </row>
    <row r="1290" spans="1:1" ht="12.75" customHeight="1">
      <c r="A1290" s="129">
        <v>1290</v>
      </c>
    </row>
    <row r="1291" spans="1:1" ht="12.75" customHeight="1">
      <c r="A1291" s="129">
        <v>1291</v>
      </c>
    </row>
    <row r="1292" spans="1:1" ht="12.75" customHeight="1">
      <c r="A1292" s="129">
        <v>1292</v>
      </c>
    </row>
    <row r="1293" spans="1:1" ht="12.75" customHeight="1">
      <c r="A1293" s="129">
        <v>1293</v>
      </c>
    </row>
    <row r="1294" spans="1:1" ht="12.75" customHeight="1">
      <c r="A1294" s="129">
        <v>1294</v>
      </c>
    </row>
    <row r="1295" spans="1:1" ht="12.75" customHeight="1">
      <c r="A1295" s="129">
        <v>1295</v>
      </c>
    </row>
    <row r="1296" spans="1:1" ht="12.75" customHeight="1">
      <c r="A1296" s="129">
        <v>1296</v>
      </c>
    </row>
    <row r="1297" spans="1:1" ht="12.75" customHeight="1">
      <c r="A1297" s="129">
        <v>1297</v>
      </c>
    </row>
    <row r="1298" spans="1:1" ht="12.75" customHeight="1">
      <c r="A1298" s="129">
        <v>1298</v>
      </c>
    </row>
    <row r="1299" spans="1:1" ht="12.75" customHeight="1">
      <c r="A1299" s="129">
        <v>1299</v>
      </c>
    </row>
    <row r="1300" spans="1:1" ht="12.75" customHeight="1">
      <c r="A1300" s="129">
        <v>1300</v>
      </c>
    </row>
    <row r="1301" spans="1:1" ht="12.75" customHeight="1">
      <c r="A1301" s="129">
        <v>1301</v>
      </c>
    </row>
    <row r="1302" spans="1:1" ht="12.75" customHeight="1">
      <c r="A1302" s="129">
        <v>1302</v>
      </c>
    </row>
    <row r="1303" spans="1:1" ht="12.75" customHeight="1">
      <c r="A1303" s="129">
        <v>1303</v>
      </c>
    </row>
    <row r="1304" spans="1:1" ht="12.75" customHeight="1">
      <c r="A1304" s="129">
        <v>1304</v>
      </c>
    </row>
    <row r="1305" spans="1:1" ht="12.75" customHeight="1">
      <c r="A1305" s="129">
        <v>1305</v>
      </c>
    </row>
    <row r="1306" spans="1:1" ht="12.75" customHeight="1">
      <c r="A1306" s="129">
        <v>1306</v>
      </c>
    </row>
    <row r="1307" spans="1:1" ht="12.75" customHeight="1">
      <c r="A1307" s="129">
        <v>1307</v>
      </c>
    </row>
    <row r="1308" spans="1:1" ht="12.75" customHeight="1">
      <c r="A1308" s="129">
        <v>1308</v>
      </c>
    </row>
    <row r="1309" spans="1:1" ht="12.75" customHeight="1">
      <c r="A1309" s="129">
        <v>1309</v>
      </c>
    </row>
    <row r="1310" spans="1:1" ht="12.75" customHeight="1">
      <c r="A1310" s="129">
        <v>1310</v>
      </c>
    </row>
    <row r="1311" spans="1:1" ht="12.75" customHeight="1">
      <c r="A1311" s="129">
        <v>1311</v>
      </c>
    </row>
    <row r="1312" spans="1:1" ht="12.75" customHeight="1">
      <c r="A1312" s="129">
        <v>1312</v>
      </c>
    </row>
    <row r="1313" spans="1:1" ht="12.75" customHeight="1">
      <c r="A1313" s="129">
        <v>1313</v>
      </c>
    </row>
    <row r="1314" spans="1:1" ht="12.75" customHeight="1">
      <c r="A1314" s="129">
        <v>1314</v>
      </c>
    </row>
    <row r="1315" spans="1:1" ht="12.75" customHeight="1">
      <c r="A1315" s="129">
        <v>1315</v>
      </c>
    </row>
    <row r="1316" spans="1:1" ht="12.75" customHeight="1">
      <c r="A1316" s="129">
        <v>1316</v>
      </c>
    </row>
    <row r="1317" spans="1:1" ht="12.75" customHeight="1">
      <c r="A1317" s="129">
        <v>1317</v>
      </c>
    </row>
    <row r="1318" spans="1:1" ht="12.75" customHeight="1">
      <c r="A1318" s="129">
        <v>1318</v>
      </c>
    </row>
    <row r="1319" spans="1:1" ht="12.75" customHeight="1">
      <c r="A1319" s="129">
        <v>1319</v>
      </c>
    </row>
    <row r="1320" spans="1:1" ht="12.75" customHeight="1">
      <c r="A1320" s="129">
        <v>1320</v>
      </c>
    </row>
    <row r="1321" spans="1:1" ht="12.75" customHeight="1">
      <c r="A1321" s="129">
        <v>1321</v>
      </c>
    </row>
    <row r="1322" spans="1:1" ht="12.75" customHeight="1">
      <c r="A1322" s="129">
        <v>1322</v>
      </c>
    </row>
    <row r="1323" spans="1:1" ht="12.75" customHeight="1">
      <c r="A1323" s="129">
        <v>1323</v>
      </c>
    </row>
    <row r="1324" spans="1:1" ht="12.75" customHeight="1">
      <c r="A1324" s="129">
        <v>1324</v>
      </c>
    </row>
    <row r="1325" spans="1:1" ht="12.75" customHeight="1">
      <c r="A1325" s="129">
        <v>1325</v>
      </c>
    </row>
    <row r="1326" spans="1:1" ht="12.75" customHeight="1">
      <c r="A1326" s="129">
        <v>1326</v>
      </c>
    </row>
    <row r="1327" spans="1:1" ht="12.75" customHeight="1">
      <c r="A1327" s="129">
        <v>1327</v>
      </c>
    </row>
    <row r="1328" spans="1:1" ht="12.75" customHeight="1">
      <c r="A1328" s="129">
        <v>1328</v>
      </c>
    </row>
    <row r="1329" spans="1:1" ht="12.75" customHeight="1">
      <c r="A1329" s="129">
        <v>1329</v>
      </c>
    </row>
    <row r="1330" spans="1:1" ht="12.75" customHeight="1">
      <c r="A1330" s="129">
        <v>1330</v>
      </c>
    </row>
    <row r="1331" spans="1:1" ht="12.75" customHeight="1">
      <c r="A1331" s="129">
        <v>1331</v>
      </c>
    </row>
    <row r="1332" spans="1:1" ht="12.75" customHeight="1">
      <c r="A1332" s="129">
        <v>1332</v>
      </c>
    </row>
    <row r="1333" spans="1:1" ht="12.75" customHeight="1">
      <c r="A1333" s="129">
        <v>1333</v>
      </c>
    </row>
    <row r="1334" spans="1:1" ht="12.75" customHeight="1">
      <c r="A1334" s="129">
        <v>1334</v>
      </c>
    </row>
    <row r="1335" spans="1:1" ht="12.75" customHeight="1">
      <c r="A1335" s="129">
        <v>1335</v>
      </c>
    </row>
    <row r="1336" spans="1:1" ht="12.75" customHeight="1">
      <c r="A1336" s="129">
        <v>1336</v>
      </c>
    </row>
    <row r="1337" spans="1:1" ht="12.75" customHeight="1">
      <c r="A1337" s="129">
        <v>1337</v>
      </c>
    </row>
    <row r="1338" spans="1:1" ht="12.75" customHeight="1">
      <c r="A1338" s="129">
        <v>1338</v>
      </c>
    </row>
    <row r="1339" spans="1:1" ht="12.75" customHeight="1">
      <c r="A1339" s="129">
        <v>1339</v>
      </c>
    </row>
    <row r="1340" spans="1:1" ht="12.75" customHeight="1">
      <c r="A1340" s="129">
        <v>1340</v>
      </c>
    </row>
    <row r="1341" spans="1:1" ht="12.75" customHeight="1">
      <c r="A1341" s="129">
        <v>1341</v>
      </c>
    </row>
    <row r="1342" spans="1:1" ht="12.75" customHeight="1">
      <c r="A1342" s="129">
        <v>1342</v>
      </c>
    </row>
    <row r="1343" spans="1:1" ht="12.75" customHeight="1">
      <c r="A1343" s="129">
        <v>1343</v>
      </c>
    </row>
    <row r="1344" spans="1:1" ht="12.75" customHeight="1">
      <c r="A1344" s="129">
        <v>1344</v>
      </c>
    </row>
    <row r="1345" spans="1:1" ht="12.75" customHeight="1">
      <c r="A1345" s="129">
        <v>1345</v>
      </c>
    </row>
    <row r="1346" spans="1:1" ht="12.75" customHeight="1">
      <c r="A1346" s="129">
        <v>1346</v>
      </c>
    </row>
    <row r="1347" spans="1:1" ht="12.75" customHeight="1">
      <c r="A1347" s="129">
        <v>1347</v>
      </c>
    </row>
    <row r="1348" spans="1:1" ht="12.75" customHeight="1">
      <c r="A1348" s="129">
        <v>1348</v>
      </c>
    </row>
    <row r="1349" spans="1:1" ht="12.75" customHeight="1">
      <c r="A1349" s="129">
        <v>1349</v>
      </c>
    </row>
    <row r="1350" spans="1:1" ht="12.75" customHeight="1">
      <c r="A1350" s="129">
        <v>1350</v>
      </c>
    </row>
    <row r="1351" spans="1:1" ht="12.75" customHeight="1">
      <c r="A1351" s="129">
        <v>1351</v>
      </c>
    </row>
    <row r="1352" spans="1:1" ht="12.75" customHeight="1">
      <c r="A1352" s="129">
        <v>1352</v>
      </c>
    </row>
    <row r="1353" spans="1:1" ht="12.75" customHeight="1">
      <c r="A1353" s="129">
        <v>1353</v>
      </c>
    </row>
    <row r="1354" spans="1:1" ht="12.75" customHeight="1">
      <c r="A1354" s="129">
        <v>1354</v>
      </c>
    </row>
    <row r="1355" spans="1:1" ht="12.75" customHeight="1">
      <c r="A1355" s="129">
        <v>1355</v>
      </c>
    </row>
    <row r="1356" spans="1:1" ht="12.75" customHeight="1">
      <c r="A1356" s="129">
        <v>1356</v>
      </c>
    </row>
    <row r="1357" spans="1:1" ht="12.75" customHeight="1">
      <c r="A1357" s="129">
        <v>1357</v>
      </c>
    </row>
    <row r="1358" spans="1:1" ht="12.75" customHeight="1">
      <c r="A1358" s="129">
        <v>1358</v>
      </c>
    </row>
    <row r="1359" spans="1:1" ht="12.75" customHeight="1">
      <c r="A1359" s="129">
        <v>1359</v>
      </c>
    </row>
    <row r="1360" spans="1:1" ht="12.75" customHeight="1">
      <c r="A1360" s="129">
        <v>1360</v>
      </c>
    </row>
    <row r="1361" spans="1:1" ht="12.75" customHeight="1">
      <c r="A1361" s="129">
        <v>1361</v>
      </c>
    </row>
    <row r="1362" spans="1:1" ht="12.75" customHeight="1">
      <c r="A1362" s="129">
        <v>1362</v>
      </c>
    </row>
    <row r="1363" spans="1:1" ht="12.75" customHeight="1">
      <c r="A1363" s="129">
        <v>1363</v>
      </c>
    </row>
    <row r="1364" spans="1:1" ht="12.75" customHeight="1">
      <c r="A1364" s="129">
        <v>1364</v>
      </c>
    </row>
    <row r="1365" spans="1:1" ht="12.75" customHeight="1">
      <c r="A1365" s="129">
        <v>1365</v>
      </c>
    </row>
    <row r="1366" spans="1:1" ht="12.75" customHeight="1">
      <c r="A1366" s="129">
        <v>1366</v>
      </c>
    </row>
    <row r="1367" spans="1:1" ht="12.75" customHeight="1">
      <c r="A1367" s="129">
        <v>1367</v>
      </c>
    </row>
    <row r="1368" spans="1:1" ht="12.75" customHeight="1">
      <c r="A1368" s="129">
        <v>1368</v>
      </c>
    </row>
    <row r="1369" spans="1:1" ht="12.75" customHeight="1">
      <c r="A1369" s="129">
        <v>1369</v>
      </c>
    </row>
    <row r="1370" spans="1:1" ht="12.75" customHeight="1">
      <c r="A1370" s="129">
        <v>1370</v>
      </c>
    </row>
    <row r="1371" spans="1:1" ht="12.75" customHeight="1">
      <c r="A1371" s="129">
        <v>1371</v>
      </c>
    </row>
    <row r="1372" spans="1:1" ht="12.75" customHeight="1">
      <c r="A1372" s="129">
        <v>1372</v>
      </c>
    </row>
    <row r="1373" spans="1:1" ht="12.75" customHeight="1">
      <c r="A1373" s="129">
        <v>1373</v>
      </c>
    </row>
    <row r="1374" spans="1:1" ht="12.75" customHeight="1">
      <c r="A1374" s="129">
        <v>1374</v>
      </c>
    </row>
    <row r="1375" spans="1:1" ht="12.75" customHeight="1">
      <c r="A1375" s="129">
        <v>1375</v>
      </c>
    </row>
    <row r="1376" spans="1:1" ht="12.75" customHeight="1">
      <c r="A1376" s="129">
        <v>1376</v>
      </c>
    </row>
    <row r="1377" spans="1:1" ht="12.75" customHeight="1">
      <c r="A1377" s="129">
        <v>1377</v>
      </c>
    </row>
    <row r="1378" spans="1:1" ht="12.75" customHeight="1">
      <c r="A1378" s="129">
        <v>1378</v>
      </c>
    </row>
    <row r="1379" spans="1:1" ht="12.75" customHeight="1">
      <c r="A1379" s="129">
        <v>1379</v>
      </c>
    </row>
    <row r="1380" spans="1:1" ht="12.75" customHeight="1">
      <c r="A1380" s="129">
        <v>1380</v>
      </c>
    </row>
    <row r="1381" spans="1:1" ht="12.75" customHeight="1">
      <c r="A1381" s="129">
        <v>1381</v>
      </c>
    </row>
    <row r="1382" spans="1:1" ht="12.75" customHeight="1">
      <c r="A1382" s="129">
        <v>1382</v>
      </c>
    </row>
    <row r="1383" spans="1:1" ht="12.75" customHeight="1">
      <c r="A1383" s="129">
        <v>1383</v>
      </c>
    </row>
    <row r="1384" spans="1:1" ht="12.75" customHeight="1">
      <c r="A1384" s="129">
        <v>1384</v>
      </c>
    </row>
    <row r="1385" spans="1:1" ht="12.75" customHeight="1">
      <c r="A1385" s="129">
        <v>1385</v>
      </c>
    </row>
    <row r="1386" spans="1:1" ht="12.75" customHeight="1">
      <c r="A1386" s="129">
        <v>1386</v>
      </c>
    </row>
    <row r="1387" spans="1:1" ht="12.75" customHeight="1">
      <c r="A1387" s="129">
        <v>1387</v>
      </c>
    </row>
    <row r="1388" spans="1:1" ht="12.75" customHeight="1">
      <c r="A1388" s="129">
        <v>1388</v>
      </c>
    </row>
    <row r="1389" spans="1:1" ht="12.75" customHeight="1">
      <c r="A1389" s="129">
        <v>1389</v>
      </c>
    </row>
    <row r="1390" spans="1:1" ht="12.75" customHeight="1">
      <c r="A1390" s="129">
        <v>1390</v>
      </c>
    </row>
    <row r="1391" spans="1:1" ht="12.75" customHeight="1">
      <c r="A1391" s="129">
        <v>1391</v>
      </c>
    </row>
    <row r="1392" spans="1:1" ht="12.75" customHeight="1">
      <c r="A1392" s="129">
        <v>1392</v>
      </c>
    </row>
    <row r="1393" spans="1:1" ht="12.75" customHeight="1">
      <c r="A1393" s="129">
        <v>1393</v>
      </c>
    </row>
    <row r="1394" spans="1:1" ht="12.75" customHeight="1">
      <c r="A1394" s="129">
        <v>1394</v>
      </c>
    </row>
    <row r="1395" spans="1:1" ht="12.75" customHeight="1">
      <c r="A1395" s="129">
        <v>1395</v>
      </c>
    </row>
    <row r="1396" spans="1:1" ht="12.75" customHeight="1">
      <c r="A1396" s="129">
        <v>1396</v>
      </c>
    </row>
    <row r="1397" spans="1:1" ht="12.75" customHeight="1">
      <c r="A1397" s="129">
        <v>1397</v>
      </c>
    </row>
    <row r="1398" spans="1:1" ht="12.75" customHeight="1">
      <c r="A1398" s="129">
        <v>1398</v>
      </c>
    </row>
    <row r="1399" spans="1:1" ht="12.75" customHeight="1">
      <c r="A1399" s="129">
        <v>1399</v>
      </c>
    </row>
    <row r="1400" spans="1:1" ht="12.75" customHeight="1">
      <c r="A1400" s="129">
        <v>1400</v>
      </c>
    </row>
    <row r="1401" spans="1:1" ht="12.75" customHeight="1">
      <c r="A1401" s="129">
        <v>1401</v>
      </c>
    </row>
    <row r="1402" spans="1:1" ht="12.75" customHeight="1">
      <c r="A1402" s="129">
        <v>1402</v>
      </c>
    </row>
    <row r="1403" spans="1:1" ht="12.75" customHeight="1">
      <c r="A1403" s="129">
        <v>1403</v>
      </c>
    </row>
    <row r="1404" spans="1:1" ht="12.75" customHeight="1">
      <c r="A1404" s="129">
        <v>1404</v>
      </c>
    </row>
    <row r="1405" spans="1:1" ht="12.75" customHeight="1">
      <c r="A1405" s="129">
        <v>1405</v>
      </c>
    </row>
    <row r="1406" spans="1:1" ht="12.75" customHeight="1">
      <c r="A1406" s="129">
        <v>1406</v>
      </c>
    </row>
    <row r="1407" spans="1:1" ht="12.75" customHeight="1">
      <c r="A1407" s="129">
        <v>1407</v>
      </c>
    </row>
    <row r="1408" spans="1:1" ht="12.75" customHeight="1">
      <c r="A1408" s="129">
        <v>1408</v>
      </c>
    </row>
    <row r="1409" spans="1:1" ht="12.75" customHeight="1">
      <c r="A1409" s="129">
        <v>1409</v>
      </c>
    </row>
    <row r="1410" spans="1:1" ht="12.75" customHeight="1">
      <c r="A1410" s="129">
        <v>1410</v>
      </c>
    </row>
    <row r="1411" spans="1:1" ht="12.75" customHeight="1">
      <c r="A1411" s="129">
        <v>1411</v>
      </c>
    </row>
    <row r="1412" spans="1:1" ht="12.75" customHeight="1">
      <c r="A1412" s="129">
        <v>1412</v>
      </c>
    </row>
    <row r="1413" spans="1:1" ht="12.75" customHeight="1">
      <c r="A1413" s="129">
        <v>1413</v>
      </c>
    </row>
    <row r="1414" spans="1:1" ht="12.75" customHeight="1">
      <c r="A1414" s="129">
        <v>1414</v>
      </c>
    </row>
    <row r="1415" spans="1:1" ht="12.75" customHeight="1">
      <c r="A1415" s="129">
        <v>1415</v>
      </c>
    </row>
    <row r="1416" spans="1:1" ht="12.75" customHeight="1">
      <c r="A1416" s="129">
        <v>1416</v>
      </c>
    </row>
    <row r="1417" spans="1:1" ht="12.75" customHeight="1">
      <c r="A1417" s="129">
        <v>1417</v>
      </c>
    </row>
    <row r="1418" spans="1:1" ht="12.75" customHeight="1">
      <c r="A1418" s="129">
        <v>1418</v>
      </c>
    </row>
    <row r="1419" spans="1:1" ht="12.75" customHeight="1">
      <c r="A1419" s="129">
        <v>1419</v>
      </c>
    </row>
    <row r="1420" spans="1:1" ht="12.75" customHeight="1">
      <c r="A1420" s="129">
        <v>1420</v>
      </c>
    </row>
    <row r="1421" spans="1:1" ht="12.75" customHeight="1">
      <c r="A1421" s="129">
        <v>1421</v>
      </c>
    </row>
    <row r="1422" spans="1:1" ht="12.75" customHeight="1">
      <c r="A1422" s="129">
        <v>1422</v>
      </c>
    </row>
    <row r="1423" spans="1:1" ht="12.75" customHeight="1">
      <c r="A1423" s="129">
        <v>1423</v>
      </c>
    </row>
    <row r="1424" spans="1:1" ht="12.75" customHeight="1">
      <c r="A1424" s="129">
        <v>1424</v>
      </c>
    </row>
    <row r="1425" spans="1:1" ht="12.75" customHeight="1">
      <c r="A1425" s="129">
        <v>1425</v>
      </c>
    </row>
    <row r="1426" spans="1:1" ht="12.75" customHeight="1">
      <c r="A1426" s="129">
        <v>1426</v>
      </c>
    </row>
    <row r="1427" spans="1:1" ht="12.75" customHeight="1">
      <c r="A1427" s="129">
        <v>1427</v>
      </c>
    </row>
    <row r="1428" spans="1:1" ht="12.75" customHeight="1">
      <c r="A1428" s="129">
        <v>1428</v>
      </c>
    </row>
    <row r="1429" spans="1:1" ht="12.75" customHeight="1">
      <c r="A1429" s="129">
        <v>1429</v>
      </c>
    </row>
    <row r="1430" spans="1:1" ht="12.75" customHeight="1">
      <c r="A1430" s="129">
        <v>1430</v>
      </c>
    </row>
    <row r="1431" spans="1:1" ht="12.75" customHeight="1">
      <c r="A1431" s="129">
        <v>1431</v>
      </c>
    </row>
    <row r="1432" spans="1:1" ht="12.75" customHeight="1">
      <c r="A1432" s="129">
        <v>1432</v>
      </c>
    </row>
    <row r="1433" spans="1:1" ht="12.75" customHeight="1">
      <c r="A1433" s="129">
        <v>1433</v>
      </c>
    </row>
    <row r="1434" spans="1:1" ht="12.75" customHeight="1">
      <c r="A1434" s="129">
        <v>1434</v>
      </c>
    </row>
    <row r="1435" spans="1:1" ht="12.75" customHeight="1">
      <c r="A1435" s="129">
        <v>1435</v>
      </c>
    </row>
    <row r="1436" spans="1:1" ht="12.75" customHeight="1">
      <c r="A1436" s="129">
        <v>1436</v>
      </c>
    </row>
    <row r="1437" spans="1:1" ht="12.75" customHeight="1">
      <c r="A1437" s="129">
        <v>1437</v>
      </c>
    </row>
    <row r="1438" spans="1:1" ht="12.75" customHeight="1">
      <c r="A1438" s="129">
        <v>1438</v>
      </c>
    </row>
    <row r="1439" spans="1:1" ht="12.75" customHeight="1">
      <c r="A1439" s="129">
        <v>1439</v>
      </c>
    </row>
    <row r="1440" spans="1:1" ht="12.75" customHeight="1">
      <c r="A1440" s="129">
        <v>1440</v>
      </c>
    </row>
    <row r="1441" spans="1:1" ht="12.75" customHeight="1">
      <c r="A1441" s="129">
        <v>1441</v>
      </c>
    </row>
    <row r="1442" spans="1:1" ht="12.75" customHeight="1">
      <c r="A1442" s="129">
        <v>1442</v>
      </c>
    </row>
    <row r="1443" spans="1:1" ht="12.75" customHeight="1">
      <c r="A1443" s="129">
        <v>1443</v>
      </c>
    </row>
    <row r="1444" spans="1:1" ht="12.75" customHeight="1">
      <c r="A1444" s="129">
        <v>1444</v>
      </c>
    </row>
    <row r="1445" spans="1:1" ht="12.75" customHeight="1">
      <c r="A1445" s="129">
        <v>1445</v>
      </c>
    </row>
    <row r="1446" spans="1:1" ht="12.75" customHeight="1">
      <c r="A1446" s="129">
        <v>1446</v>
      </c>
    </row>
    <row r="1447" spans="1:1" ht="12.75" customHeight="1">
      <c r="A1447" s="129">
        <v>1447</v>
      </c>
    </row>
    <row r="1448" spans="1:1" ht="12.75" customHeight="1">
      <c r="A1448" s="129">
        <v>1448</v>
      </c>
    </row>
    <row r="1449" spans="1:1" ht="12.75" customHeight="1">
      <c r="A1449" s="129">
        <v>1449</v>
      </c>
    </row>
    <row r="1450" spans="1:1" ht="12.75" customHeight="1">
      <c r="A1450" s="129">
        <v>1450</v>
      </c>
    </row>
    <row r="1451" spans="1:1" ht="12.75" customHeight="1">
      <c r="A1451" s="129">
        <v>1451</v>
      </c>
    </row>
    <row r="1452" spans="1:1" ht="12.75" customHeight="1">
      <c r="A1452" s="129">
        <v>1452</v>
      </c>
    </row>
    <row r="1453" spans="1:1" ht="12.75" customHeight="1">
      <c r="A1453" s="129">
        <v>1453</v>
      </c>
    </row>
    <row r="1454" spans="1:1" ht="12.75" customHeight="1">
      <c r="A1454" s="129">
        <v>1454</v>
      </c>
    </row>
    <row r="1455" spans="1:1" ht="12.75" customHeight="1">
      <c r="A1455" s="129">
        <v>1455</v>
      </c>
    </row>
    <row r="1456" spans="1:1" ht="12.75" customHeight="1">
      <c r="A1456" s="129">
        <v>1456</v>
      </c>
    </row>
    <row r="1457" spans="1:1" ht="12.75" customHeight="1">
      <c r="A1457" s="129">
        <v>1457</v>
      </c>
    </row>
    <row r="1458" spans="1:1" ht="12.75" customHeight="1">
      <c r="A1458" s="129">
        <v>1458</v>
      </c>
    </row>
    <row r="1459" spans="1:1" ht="12.75" customHeight="1">
      <c r="A1459" s="129">
        <v>1459</v>
      </c>
    </row>
    <row r="1460" spans="1:1" ht="12.75" customHeight="1">
      <c r="A1460" s="129">
        <v>1460</v>
      </c>
    </row>
    <row r="1461" spans="1:1" ht="12.75" customHeight="1">
      <c r="A1461" s="129">
        <v>1461</v>
      </c>
    </row>
    <row r="1462" spans="1:1" ht="12.75" customHeight="1">
      <c r="A1462" s="129">
        <v>1462</v>
      </c>
    </row>
    <row r="1463" spans="1:1" ht="12.75" customHeight="1">
      <c r="A1463" s="129">
        <v>1463</v>
      </c>
    </row>
    <row r="1464" spans="1:1" ht="12.75" customHeight="1">
      <c r="A1464" s="129">
        <v>1464</v>
      </c>
    </row>
    <row r="1465" spans="1:1" ht="12.75" customHeight="1">
      <c r="A1465" s="129">
        <v>1465</v>
      </c>
    </row>
    <row r="1466" spans="1:1" ht="12.75" customHeight="1">
      <c r="A1466" s="129">
        <v>1466</v>
      </c>
    </row>
    <row r="1467" spans="1:1" ht="12.75" customHeight="1">
      <c r="A1467" s="129">
        <v>1467</v>
      </c>
    </row>
    <row r="1468" spans="1:1" ht="12.75" customHeight="1">
      <c r="A1468" s="129">
        <v>1468</v>
      </c>
    </row>
    <row r="1469" spans="1:1" ht="12.75" customHeight="1">
      <c r="A1469" s="129">
        <v>1469</v>
      </c>
    </row>
    <row r="1470" spans="1:1" ht="12.75" customHeight="1">
      <c r="A1470" s="129">
        <v>1470</v>
      </c>
    </row>
    <row r="1471" spans="1:1" ht="12.75" customHeight="1">
      <c r="A1471" s="129">
        <v>1471</v>
      </c>
    </row>
    <row r="1472" spans="1:1" ht="12.75" customHeight="1">
      <c r="A1472" s="129">
        <v>1472</v>
      </c>
    </row>
    <row r="1473" spans="1:1" ht="12.75" customHeight="1">
      <c r="A1473" s="129">
        <v>1473</v>
      </c>
    </row>
    <row r="1474" spans="1:1" ht="12.75" customHeight="1">
      <c r="A1474" s="129">
        <v>1474</v>
      </c>
    </row>
    <row r="1475" spans="1:1" ht="12.75" customHeight="1">
      <c r="A1475" s="129">
        <v>1475</v>
      </c>
    </row>
    <row r="1476" spans="1:1" ht="12.75" customHeight="1">
      <c r="A1476" s="129">
        <v>1476</v>
      </c>
    </row>
    <row r="1477" spans="1:1" ht="12.75" customHeight="1">
      <c r="A1477" s="129">
        <v>1477</v>
      </c>
    </row>
    <row r="1478" spans="1:1" ht="12.75" customHeight="1">
      <c r="A1478" s="129">
        <v>1478</v>
      </c>
    </row>
    <row r="1479" spans="1:1" ht="12.75" customHeight="1">
      <c r="A1479" s="129">
        <v>1479</v>
      </c>
    </row>
    <row r="1480" spans="1:1" ht="12.75" customHeight="1">
      <c r="A1480" s="129">
        <v>1480</v>
      </c>
    </row>
    <row r="1481" spans="1:1" ht="12.75" customHeight="1">
      <c r="A1481" s="129">
        <v>1481</v>
      </c>
    </row>
    <row r="1482" spans="1:1" ht="12.75" customHeight="1">
      <c r="A1482" s="129">
        <v>1482</v>
      </c>
    </row>
    <row r="1483" spans="1:1" ht="12.75" customHeight="1">
      <c r="A1483" s="129">
        <v>1483</v>
      </c>
    </row>
    <row r="1484" spans="1:1" ht="12.75" customHeight="1">
      <c r="A1484" s="129">
        <v>1484</v>
      </c>
    </row>
    <row r="1485" spans="1:1" ht="12.75" customHeight="1">
      <c r="A1485" s="129">
        <v>1485</v>
      </c>
    </row>
    <row r="1486" spans="1:1" ht="12.75" customHeight="1">
      <c r="A1486" s="129">
        <v>1486</v>
      </c>
    </row>
    <row r="1487" spans="1:1" ht="12.75" customHeight="1">
      <c r="A1487" s="129">
        <v>1487</v>
      </c>
    </row>
    <row r="1488" spans="1:1" ht="12.75" customHeight="1">
      <c r="A1488" s="129">
        <v>1488</v>
      </c>
    </row>
    <row r="1489" spans="1:1" ht="12.75" customHeight="1">
      <c r="A1489" s="129">
        <v>1489</v>
      </c>
    </row>
    <row r="1490" spans="1:1" ht="12.75" customHeight="1">
      <c r="A1490" s="129">
        <v>1490</v>
      </c>
    </row>
    <row r="1491" spans="1:1" ht="12.75" customHeight="1">
      <c r="A1491" s="129">
        <v>1491</v>
      </c>
    </row>
    <row r="1492" spans="1:1" ht="12.75" customHeight="1">
      <c r="A1492" s="129">
        <v>1492</v>
      </c>
    </row>
    <row r="1493" spans="1:1" ht="12.75" customHeight="1">
      <c r="A1493" s="129">
        <v>1493</v>
      </c>
    </row>
    <row r="1494" spans="1:1" ht="12.75" customHeight="1">
      <c r="A1494" s="129">
        <v>1494</v>
      </c>
    </row>
    <row r="1495" spans="1:1" ht="12.75" customHeight="1">
      <c r="A1495" s="129">
        <v>1495</v>
      </c>
    </row>
    <row r="1496" spans="1:1" ht="12.75" customHeight="1">
      <c r="A1496" s="129">
        <v>1496</v>
      </c>
    </row>
    <row r="1497" spans="1:1" ht="12.75" customHeight="1">
      <c r="A1497" s="129">
        <v>1497</v>
      </c>
    </row>
    <row r="1498" spans="1:1" ht="12.75" customHeight="1">
      <c r="A1498" s="129">
        <v>1498</v>
      </c>
    </row>
    <row r="1499" spans="1:1" ht="12.75" customHeight="1">
      <c r="A1499" s="129">
        <v>1499</v>
      </c>
    </row>
    <row r="1500" spans="1:1" ht="12.75" customHeight="1">
      <c r="A1500" s="129">
        <v>1500</v>
      </c>
    </row>
    <row r="1501" spans="1:1" ht="12.75" customHeight="1">
      <c r="A1501" s="129">
        <v>1501</v>
      </c>
    </row>
    <row r="1502" spans="1:1" ht="12.75" customHeight="1">
      <c r="A1502" s="129">
        <v>1502</v>
      </c>
    </row>
    <row r="1503" spans="1:1" ht="12.75" customHeight="1">
      <c r="A1503" s="129">
        <v>1503</v>
      </c>
    </row>
    <row r="1504" spans="1:1" ht="12.75" customHeight="1">
      <c r="A1504" s="129">
        <v>1504</v>
      </c>
    </row>
    <row r="1505" spans="1:1" ht="12.75" customHeight="1">
      <c r="A1505" s="129">
        <v>1505</v>
      </c>
    </row>
    <row r="1506" spans="1:1" ht="12.75" customHeight="1">
      <c r="A1506" s="129">
        <v>1506</v>
      </c>
    </row>
    <row r="1507" spans="1:1" ht="12.75" customHeight="1">
      <c r="A1507" s="129">
        <v>1507</v>
      </c>
    </row>
    <row r="1508" spans="1:1" ht="12.75" customHeight="1">
      <c r="A1508" s="129">
        <v>1508</v>
      </c>
    </row>
    <row r="1509" spans="1:1" ht="12.75" customHeight="1">
      <c r="A1509" s="129">
        <v>1509</v>
      </c>
    </row>
    <row r="1510" spans="1:1" ht="12.75" customHeight="1">
      <c r="A1510" s="129">
        <v>1510</v>
      </c>
    </row>
    <row r="1511" spans="1:1" ht="12.75" customHeight="1">
      <c r="A1511" s="129">
        <v>1511</v>
      </c>
    </row>
    <row r="1512" spans="1:1" ht="12.75" customHeight="1">
      <c r="A1512" s="129">
        <v>1512</v>
      </c>
    </row>
    <row r="1513" spans="1:1" ht="12.75" customHeight="1">
      <c r="A1513" s="129">
        <v>1513</v>
      </c>
    </row>
    <row r="1514" spans="1:1" ht="12.75" customHeight="1">
      <c r="A1514" s="129">
        <v>1514</v>
      </c>
    </row>
    <row r="1515" spans="1:1" ht="12.75" customHeight="1">
      <c r="A1515" s="129">
        <v>1515</v>
      </c>
    </row>
    <row r="1516" spans="1:1" ht="12.75" customHeight="1">
      <c r="A1516" s="129">
        <v>1516</v>
      </c>
    </row>
    <row r="1517" spans="1:1" ht="12.75" customHeight="1">
      <c r="A1517" s="129">
        <v>1517</v>
      </c>
    </row>
    <row r="1518" spans="1:1" ht="12.75" customHeight="1">
      <c r="A1518" s="129">
        <v>1518</v>
      </c>
    </row>
    <row r="1519" spans="1:1" ht="12.75" customHeight="1">
      <c r="A1519" s="129">
        <v>1519</v>
      </c>
    </row>
    <row r="1520" spans="1:1" ht="12.75" customHeight="1">
      <c r="A1520" s="129">
        <v>1520</v>
      </c>
    </row>
    <row r="1521" spans="1:1" ht="12.75" customHeight="1">
      <c r="A1521" s="129">
        <v>1521</v>
      </c>
    </row>
    <row r="1522" spans="1:1" ht="12.75" customHeight="1">
      <c r="A1522" s="129">
        <v>1522</v>
      </c>
    </row>
    <row r="1523" spans="1:1" ht="12.75" customHeight="1">
      <c r="A1523" s="129">
        <v>1523</v>
      </c>
    </row>
    <row r="1524" spans="1:1" ht="12.75" customHeight="1">
      <c r="A1524" s="129">
        <v>1524</v>
      </c>
    </row>
    <row r="1525" spans="1:1" ht="12.75" customHeight="1">
      <c r="A1525" s="129">
        <v>1525</v>
      </c>
    </row>
    <row r="1526" spans="1:1" ht="12.75" customHeight="1">
      <c r="A1526" s="129">
        <v>1526</v>
      </c>
    </row>
    <row r="1527" spans="1:1" ht="12.75" customHeight="1">
      <c r="A1527" s="129">
        <v>1527</v>
      </c>
    </row>
    <row r="1528" spans="1:1" ht="12.75" customHeight="1">
      <c r="A1528" s="129">
        <v>1528</v>
      </c>
    </row>
    <row r="1529" spans="1:1" ht="12.75" customHeight="1">
      <c r="A1529" s="129">
        <v>1529</v>
      </c>
    </row>
    <row r="1530" spans="1:1" ht="12.75" customHeight="1">
      <c r="A1530" s="129">
        <v>1530</v>
      </c>
    </row>
    <row r="1531" spans="1:1" ht="12.75" customHeight="1">
      <c r="A1531" s="129">
        <v>1531</v>
      </c>
    </row>
    <row r="1532" spans="1:1" ht="12.75" customHeight="1">
      <c r="A1532" s="129">
        <v>1532</v>
      </c>
    </row>
    <row r="1533" spans="1:1" ht="12.75" customHeight="1">
      <c r="A1533" s="129">
        <v>1533</v>
      </c>
    </row>
    <row r="1534" spans="1:1" ht="12.75" customHeight="1">
      <c r="A1534" s="129">
        <v>1534</v>
      </c>
    </row>
    <row r="1535" spans="1:1" ht="12.75" customHeight="1">
      <c r="A1535" s="129">
        <v>1535</v>
      </c>
    </row>
    <row r="1536" spans="1:1" ht="12.75" customHeight="1">
      <c r="A1536" s="129">
        <v>1536</v>
      </c>
    </row>
    <row r="1537" spans="1:1" ht="12.75" customHeight="1">
      <c r="A1537" s="129">
        <v>1537</v>
      </c>
    </row>
    <row r="1538" spans="1:1" ht="12.75" customHeight="1">
      <c r="A1538" s="129">
        <v>1538</v>
      </c>
    </row>
    <row r="1539" spans="1:1" ht="12.75" customHeight="1">
      <c r="A1539" s="129">
        <v>1539</v>
      </c>
    </row>
    <row r="1540" spans="1:1" ht="12.75" customHeight="1">
      <c r="A1540" s="129">
        <v>1540</v>
      </c>
    </row>
    <row r="1541" spans="1:1" ht="12.75" customHeight="1">
      <c r="A1541" s="129">
        <v>1541</v>
      </c>
    </row>
    <row r="1542" spans="1:1" ht="12.75" customHeight="1">
      <c r="A1542" s="129">
        <v>1542</v>
      </c>
    </row>
    <row r="1543" spans="1:1" ht="12.75" customHeight="1">
      <c r="A1543" s="129">
        <v>1543</v>
      </c>
    </row>
    <row r="1544" spans="1:1" ht="12.75" customHeight="1">
      <c r="A1544" s="129">
        <v>1544</v>
      </c>
    </row>
    <row r="1545" spans="1:1" ht="12.75" customHeight="1">
      <c r="A1545" s="129">
        <v>1545</v>
      </c>
    </row>
    <row r="1546" spans="1:1" ht="12.75" customHeight="1">
      <c r="A1546" s="129">
        <v>1546</v>
      </c>
    </row>
    <row r="1547" spans="1:1" ht="12.75" customHeight="1">
      <c r="A1547" s="129">
        <v>1547</v>
      </c>
    </row>
    <row r="1548" spans="1:1" ht="12.75" customHeight="1">
      <c r="A1548" s="129">
        <v>1548</v>
      </c>
    </row>
    <row r="1549" spans="1:1" ht="12.75" customHeight="1">
      <c r="A1549" s="129">
        <v>1549</v>
      </c>
    </row>
    <row r="1550" spans="1:1" ht="12.75" customHeight="1">
      <c r="A1550" s="129">
        <v>1550</v>
      </c>
    </row>
    <row r="1551" spans="1:1" ht="12.75" customHeight="1">
      <c r="A1551" s="129">
        <v>1551</v>
      </c>
    </row>
    <row r="1552" spans="1:1" ht="12.75" customHeight="1">
      <c r="A1552" s="129">
        <v>1552</v>
      </c>
    </row>
    <row r="1553" spans="1:1" ht="12.75" customHeight="1">
      <c r="A1553" s="129">
        <v>1553</v>
      </c>
    </row>
    <row r="1554" spans="1:1" ht="12.75" customHeight="1">
      <c r="A1554" s="129">
        <v>1554</v>
      </c>
    </row>
    <row r="1555" spans="1:1" ht="12.75" customHeight="1">
      <c r="A1555" s="129">
        <v>1555</v>
      </c>
    </row>
    <row r="1556" spans="1:1" ht="12.75" customHeight="1">
      <c r="A1556" s="129">
        <v>1556</v>
      </c>
    </row>
    <row r="1557" spans="1:1" ht="12.75" customHeight="1">
      <c r="A1557" s="129">
        <v>1557</v>
      </c>
    </row>
    <row r="1558" spans="1:1" ht="12.75" customHeight="1">
      <c r="A1558" s="129">
        <v>1558</v>
      </c>
    </row>
    <row r="1559" spans="1:1" ht="12.75" customHeight="1">
      <c r="A1559" s="129">
        <v>1559</v>
      </c>
    </row>
    <row r="1560" spans="1:1" ht="12.75" customHeight="1">
      <c r="A1560" s="129">
        <v>1560</v>
      </c>
    </row>
    <row r="1561" spans="1:1" ht="12.75" customHeight="1">
      <c r="A1561" s="129">
        <v>1561</v>
      </c>
    </row>
    <row r="1562" spans="1:1" ht="12.75" customHeight="1">
      <c r="A1562" s="129">
        <v>1562</v>
      </c>
    </row>
    <row r="1563" spans="1:1" ht="12.75" customHeight="1">
      <c r="A1563" s="129">
        <v>1563</v>
      </c>
    </row>
    <row r="1564" spans="1:1" ht="12.75" customHeight="1">
      <c r="A1564" s="129">
        <v>1564</v>
      </c>
    </row>
    <row r="1565" spans="1:1" ht="12.75" customHeight="1">
      <c r="A1565" s="129">
        <v>1565</v>
      </c>
    </row>
    <row r="1566" spans="1:1" ht="12.75" customHeight="1">
      <c r="A1566" s="129">
        <v>1566</v>
      </c>
    </row>
    <row r="1567" spans="1:1" ht="12.75" customHeight="1">
      <c r="A1567" s="129">
        <v>1567</v>
      </c>
    </row>
    <row r="1568" spans="1:1" ht="12.75" customHeight="1">
      <c r="A1568" s="129">
        <v>1568</v>
      </c>
    </row>
    <row r="1569" spans="1:1" ht="12.75" customHeight="1">
      <c r="A1569" s="129">
        <v>1569</v>
      </c>
    </row>
    <row r="1570" spans="1:1" ht="12.75" customHeight="1">
      <c r="A1570" s="129">
        <v>1570</v>
      </c>
    </row>
    <row r="1571" spans="1:1" ht="12.75" customHeight="1">
      <c r="A1571" s="129">
        <v>1571</v>
      </c>
    </row>
    <row r="1572" spans="1:1" ht="12.75" customHeight="1">
      <c r="A1572" s="129">
        <v>1572</v>
      </c>
    </row>
    <row r="1573" spans="1:1" ht="12.75" customHeight="1">
      <c r="A1573" s="129">
        <v>1573</v>
      </c>
    </row>
    <row r="1574" spans="1:1" ht="12.75" customHeight="1">
      <c r="A1574" s="129">
        <v>1574</v>
      </c>
    </row>
    <row r="1575" spans="1:1" ht="12.75" customHeight="1">
      <c r="A1575" s="129">
        <v>1575</v>
      </c>
    </row>
    <row r="1576" spans="1:1" ht="12.75" customHeight="1">
      <c r="A1576" s="129">
        <v>1576</v>
      </c>
    </row>
    <row r="1577" spans="1:1" ht="12.75" customHeight="1">
      <c r="A1577" s="129">
        <v>1577</v>
      </c>
    </row>
    <row r="1578" spans="1:1" ht="12.75" customHeight="1">
      <c r="A1578" s="129">
        <v>1578</v>
      </c>
    </row>
    <row r="1579" spans="1:1" ht="12.75" customHeight="1">
      <c r="A1579" s="129">
        <v>1579</v>
      </c>
    </row>
    <row r="1580" spans="1:1" ht="12.75" customHeight="1">
      <c r="A1580" s="129">
        <v>1580</v>
      </c>
    </row>
    <row r="1581" spans="1:1" ht="12.75" customHeight="1">
      <c r="A1581" s="129">
        <v>1581</v>
      </c>
    </row>
    <row r="1582" spans="1:1" ht="12.75" customHeight="1">
      <c r="A1582" s="129">
        <v>1582</v>
      </c>
    </row>
    <row r="1583" spans="1:1" ht="12.75" customHeight="1">
      <c r="A1583" s="129">
        <v>1583</v>
      </c>
    </row>
    <row r="1584" spans="1:1" ht="12.75" customHeight="1">
      <c r="A1584" s="129">
        <v>1584</v>
      </c>
    </row>
    <row r="1585" spans="1:1" ht="12.75" customHeight="1">
      <c r="A1585" s="129">
        <v>1585</v>
      </c>
    </row>
    <row r="1586" spans="1:1" ht="12.75" customHeight="1">
      <c r="A1586" s="129">
        <v>1586</v>
      </c>
    </row>
    <row r="1587" spans="1:1" ht="12.75" customHeight="1">
      <c r="A1587" s="129">
        <v>1587</v>
      </c>
    </row>
    <row r="1588" spans="1:1" ht="12.75" customHeight="1">
      <c r="A1588" s="129">
        <v>1588</v>
      </c>
    </row>
    <row r="1589" spans="1:1" ht="12.75" customHeight="1">
      <c r="A1589" s="129">
        <v>1589</v>
      </c>
    </row>
    <row r="1590" spans="1:1" ht="12.75" customHeight="1">
      <c r="A1590" s="129">
        <v>1590</v>
      </c>
    </row>
    <row r="1591" spans="1:1" ht="12.75" customHeight="1">
      <c r="A1591" s="129">
        <v>1591</v>
      </c>
    </row>
    <row r="1592" spans="1:1" ht="12.75" customHeight="1">
      <c r="A1592" s="129">
        <v>1592</v>
      </c>
    </row>
    <row r="1593" spans="1:1" ht="12.75" customHeight="1">
      <c r="A1593" s="129">
        <v>1593</v>
      </c>
    </row>
    <row r="1594" spans="1:1" ht="12.75" customHeight="1">
      <c r="A1594" s="129">
        <v>1594</v>
      </c>
    </row>
    <row r="1595" spans="1:1" ht="12.75" customHeight="1">
      <c r="A1595" s="129">
        <v>1595</v>
      </c>
    </row>
    <row r="1596" spans="1:1" ht="12.75" customHeight="1">
      <c r="A1596" s="129">
        <v>1596</v>
      </c>
    </row>
    <row r="1597" spans="1:1" ht="12.75" customHeight="1">
      <c r="A1597" s="129">
        <v>1597</v>
      </c>
    </row>
    <row r="1598" spans="1:1" ht="12.75" customHeight="1">
      <c r="A1598" s="129">
        <v>1598</v>
      </c>
    </row>
    <row r="1599" spans="1:1" ht="12.75" customHeight="1">
      <c r="A1599" s="129">
        <v>1599</v>
      </c>
    </row>
    <row r="1600" spans="1:1" ht="12.75" customHeight="1">
      <c r="A1600" s="129">
        <v>1600</v>
      </c>
    </row>
    <row r="1601" spans="1:1" ht="12.75" customHeight="1">
      <c r="A1601" s="129">
        <v>1601</v>
      </c>
    </row>
    <row r="1602" spans="1:1" ht="12.75" customHeight="1">
      <c r="A1602" s="129">
        <v>1602</v>
      </c>
    </row>
    <row r="1603" spans="1:1" ht="12.75" customHeight="1">
      <c r="A1603" s="129">
        <v>1603</v>
      </c>
    </row>
    <row r="1604" spans="1:1" ht="12.75" customHeight="1">
      <c r="A1604" s="129">
        <v>1604</v>
      </c>
    </row>
    <row r="1605" spans="1:1" ht="12.75" customHeight="1">
      <c r="A1605" s="129">
        <v>1605</v>
      </c>
    </row>
    <row r="1606" spans="1:1" ht="12.75" customHeight="1">
      <c r="A1606" s="129">
        <v>1606</v>
      </c>
    </row>
    <row r="1607" spans="1:1" ht="12.75" customHeight="1">
      <c r="A1607" s="129">
        <v>1607</v>
      </c>
    </row>
    <row r="1608" spans="1:1" ht="12.75" customHeight="1">
      <c r="A1608" s="129">
        <v>1608</v>
      </c>
    </row>
    <row r="1609" spans="1:1" ht="12.75" customHeight="1">
      <c r="A1609" s="129">
        <v>1609</v>
      </c>
    </row>
    <row r="1610" spans="1:1" ht="12.75" customHeight="1">
      <c r="A1610" s="129">
        <v>1610</v>
      </c>
    </row>
    <row r="1611" spans="1:1" ht="12.75" customHeight="1">
      <c r="A1611" s="129">
        <v>1611</v>
      </c>
    </row>
    <row r="1612" spans="1:1" ht="12.75" customHeight="1">
      <c r="A1612" s="129">
        <v>1612</v>
      </c>
    </row>
    <row r="1613" spans="1:1" ht="12.75" customHeight="1">
      <c r="A1613" s="129">
        <v>1613</v>
      </c>
    </row>
    <row r="1614" spans="1:1" ht="12.75" customHeight="1">
      <c r="A1614" s="129">
        <v>1614</v>
      </c>
    </row>
    <row r="1615" spans="1:1" ht="12.75" customHeight="1">
      <c r="A1615" s="129">
        <v>1615</v>
      </c>
    </row>
    <row r="1616" spans="1:1" ht="12.75" customHeight="1">
      <c r="A1616" s="129">
        <v>1616</v>
      </c>
    </row>
    <row r="1617" spans="1:1" ht="12.75" customHeight="1">
      <c r="A1617" s="129">
        <v>1617</v>
      </c>
    </row>
    <row r="1618" spans="1:1" ht="12.75" customHeight="1">
      <c r="A1618" s="129">
        <v>1618</v>
      </c>
    </row>
    <row r="1619" spans="1:1" ht="12.75" customHeight="1">
      <c r="A1619" s="129">
        <v>1619</v>
      </c>
    </row>
    <row r="1620" spans="1:1" ht="12.75" customHeight="1">
      <c r="A1620" s="129">
        <v>1620</v>
      </c>
    </row>
    <row r="1621" spans="1:1" ht="12.75" customHeight="1">
      <c r="A1621" s="129">
        <v>1621</v>
      </c>
    </row>
    <row r="1622" spans="1:1" ht="12.75" customHeight="1">
      <c r="A1622" s="129">
        <v>1622</v>
      </c>
    </row>
    <row r="1623" spans="1:1" ht="12.75" customHeight="1">
      <c r="A1623" s="129">
        <v>1623</v>
      </c>
    </row>
    <row r="1624" spans="1:1" ht="12.75" customHeight="1">
      <c r="A1624" s="129">
        <v>1624</v>
      </c>
    </row>
    <row r="1625" spans="1:1" ht="12.75" customHeight="1">
      <c r="A1625" s="129">
        <v>1625</v>
      </c>
    </row>
    <row r="1626" spans="1:1" ht="12.75" customHeight="1">
      <c r="A1626" s="129">
        <v>1626</v>
      </c>
    </row>
    <row r="1627" spans="1:1" ht="12.75" customHeight="1">
      <c r="A1627" s="129">
        <v>1627</v>
      </c>
    </row>
    <row r="1628" spans="1:1" ht="12.75" customHeight="1">
      <c r="A1628" s="129">
        <v>1628</v>
      </c>
    </row>
    <row r="1629" spans="1:1" ht="12.75" customHeight="1">
      <c r="A1629" s="129">
        <v>1629</v>
      </c>
    </row>
    <row r="1630" spans="1:1" ht="12.75" customHeight="1">
      <c r="A1630" s="129">
        <v>1630</v>
      </c>
    </row>
    <row r="1631" spans="1:1" ht="12.75" customHeight="1">
      <c r="A1631" s="129">
        <v>1631</v>
      </c>
    </row>
    <row r="1632" spans="1:1" ht="12.75" customHeight="1">
      <c r="A1632" s="129">
        <v>1632</v>
      </c>
    </row>
    <row r="1633" spans="1:1" ht="12.75" customHeight="1">
      <c r="A1633" s="129">
        <v>1633</v>
      </c>
    </row>
    <row r="1634" spans="1:1" ht="12.75" customHeight="1">
      <c r="A1634" s="129">
        <v>1634</v>
      </c>
    </row>
    <row r="1635" spans="1:1" ht="12.75" customHeight="1">
      <c r="A1635" s="129">
        <v>1635</v>
      </c>
    </row>
    <row r="1636" spans="1:1" ht="12.75" customHeight="1">
      <c r="A1636" s="129">
        <v>1636</v>
      </c>
    </row>
    <row r="1637" spans="1:1" ht="12.75" customHeight="1">
      <c r="A1637" s="129">
        <v>1637</v>
      </c>
    </row>
    <row r="1638" spans="1:1" ht="12.75" customHeight="1">
      <c r="A1638" s="129">
        <v>1638</v>
      </c>
    </row>
    <row r="1639" spans="1:1" ht="12.75" customHeight="1">
      <c r="A1639" s="129">
        <v>1639</v>
      </c>
    </row>
    <row r="1640" spans="1:1" ht="12.75" customHeight="1">
      <c r="A1640" s="129">
        <v>1640</v>
      </c>
    </row>
    <row r="1641" spans="1:1" ht="12.75" customHeight="1">
      <c r="A1641" s="129">
        <v>1641</v>
      </c>
    </row>
    <row r="1642" spans="1:1" ht="12.75" customHeight="1">
      <c r="A1642" s="129">
        <v>1642</v>
      </c>
    </row>
    <row r="1643" spans="1:1" ht="12.75" customHeight="1">
      <c r="A1643" s="129">
        <v>1643</v>
      </c>
    </row>
    <row r="1644" spans="1:1" ht="12.75" customHeight="1">
      <c r="A1644" s="129">
        <v>1644</v>
      </c>
    </row>
    <row r="1645" spans="1:1" ht="12.75" customHeight="1">
      <c r="A1645" s="129">
        <v>1645</v>
      </c>
    </row>
    <row r="1646" spans="1:1" ht="12.75" customHeight="1">
      <c r="A1646" s="129">
        <v>1646</v>
      </c>
    </row>
    <row r="1647" spans="1:1" ht="12.75" customHeight="1">
      <c r="A1647" s="129">
        <v>1647</v>
      </c>
    </row>
    <row r="1648" spans="1:1" ht="12.75" customHeight="1">
      <c r="A1648" s="129">
        <v>1648</v>
      </c>
    </row>
    <row r="1649" spans="1:1" ht="12.75" customHeight="1">
      <c r="A1649" s="129">
        <v>1649</v>
      </c>
    </row>
    <row r="1650" spans="1:1" ht="12.75" customHeight="1">
      <c r="A1650" s="129">
        <v>1650</v>
      </c>
    </row>
    <row r="1651" spans="1:1" ht="12.75" customHeight="1">
      <c r="A1651" s="129">
        <v>1651</v>
      </c>
    </row>
    <row r="1652" spans="1:1" ht="12.75" customHeight="1">
      <c r="A1652" s="129">
        <v>1652</v>
      </c>
    </row>
    <row r="1653" spans="1:1" ht="12.75" customHeight="1">
      <c r="A1653" s="129">
        <v>1653</v>
      </c>
    </row>
    <row r="1654" spans="1:1" ht="12.75" customHeight="1">
      <c r="A1654" s="129">
        <v>1654</v>
      </c>
    </row>
    <row r="1655" spans="1:1" ht="12.75" customHeight="1">
      <c r="A1655" s="129">
        <v>1655</v>
      </c>
    </row>
    <row r="1656" spans="1:1" ht="12.75" customHeight="1">
      <c r="A1656" s="129">
        <v>1656</v>
      </c>
    </row>
    <row r="1657" spans="1:1" ht="12.75" customHeight="1">
      <c r="A1657" s="129">
        <v>1657</v>
      </c>
    </row>
    <row r="1658" spans="1:1" ht="12.75" customHeight="1">
      <c r="A1658" s="129">
        <v>1658</v>
      </c>
    </row>
    <row r="1659" spans="1:1" ht="12.75" customHeight="1">
      <c r="A1659" s="129">
        <v>1659</v>
      </c>
    </row>
    <row r="1660" spans="1:1" ht="12.75" customHeight="1">
      <c r="A1660" s="129">
        <v>1660</v>
      </c>
    </row>
    <row r="1661" spans="1:1" ht="12.75" customHeight="1">
      <c r="A1661" s="129">
        <v>1661</v>
      </c>
    </row>
    <row r="1662" spans="1:1" ht="12.75" customHeight="1">
      <c r="A1662" s="129">
        <v>1662</v>
      </c>
    </row>
    <row r="1663" spans="1:1" ht="12.75" customHeight="1">
      <c r="A1663" s="129">
        <v>1663</v>
      </c>
    </row>
    <row r="1664" spans="1:1" ht="12.75" customHeight="1">
      <c r="A1664" s="129">
        <v>1664</v>
      </c>
    </row>
    <row r="1665" spans="1:1" ht="12.75" customHeight="1">
      <c r="A1665" s="129">
        <v>1665</v>
      </c>
    </row>
    <row r="1666" spans="1:1" ht="12.75" customHeight="1">
      <c r="A1666" s="129">
        <v>1666</v>
      </c>
    </row>
    <row r="1667" spans="1:1" ht="12.75" customHeight="1">
      <c r="A1667" s="129">
        <v>1667</v>
      </c>
    </row>
    <row r="1668" spans="1:1" ht="12.75" customHeight="1">
      <c r="A1668" s="129">
        <v>1668</v>
      </c>
    </row>
    <row r="1669" spans="1:1" ht="12.75" customHeight="1">
      <c r="A1669" s="129">
        <v>1669</v>
      </c>
    </row>
    <row r="1670" spans="1:1" ht="12.75" customHeight="1">
      <c r="A1670" s="129">
        <v>1670</v>
      </c>
    </row>
    <row r="1671" spans="1:1" ht="12.75" customHeight="1">
      <c r="A1671" s="129">
        <v>1671</v>
      </c>
    </row>
    <row r="1672" spans="1:1" ht="12.75" customHeight="1">
      <c r="A1672" s="129">
        <v>1672</v>
      </c>
    </row>
    <row r="1673" spans="1:1" ht="12.75" customHeight="1">
      <c r="A1673" s="129">
        <v>1673</v>
      </c>
    </row>
    <row r="1674" spans="1:1" ht="12.75" customHeight="1">
      <c r="A1674" s="129">
        <v>1674</v>
      </c>
    </row>
    <row r="1675" spans="1:1" ht="12.75" customHeight="1">
      <c r="A1675" s="129">
        <v>1675</v>
      </c>
    </row>
    <row r="1676" spans="1:1" ht="12.75" customHeight="1">
      <c r="A1676" s="129">
        <v>1676</v>
      </c>
    </row>
    <row r="1677" spans="1:1" ht="12.75" customHeight="1">
      <c r="A1677" s="129">
        <v>1677</v>
      </c>
    </row>
    <row r="1678" spans="1:1" ht="12.75" customHeight="1">
      <c r="A1678" s="129">
        <v>1678</v>
      </c>
    </row>
    <row r="1679" spans="1:1" ht="12.75" customHeight="1">
      <c r="A1679" s="129">
        <v>1679</v>
      </c>
    </row>
    <row r="1680" spans="1:1" ht="12.75" customHeight="1">
      <c r="A1680" s="129">
        <v>1680</v>
      </c>
    </row>
    <row r="1681" spans="1:1" ht="12.75" customHeight="1">
      <c r="A1681" s="129">
        <v>1681</v>
      </c>
    </row>
    <row r="1682" spans="1:1" ht="12.75" customHeight="1">
      <c r="A1682" s="129">
        <v>1682</v>
      </c>
    </row>
    <row r="1683" spans="1:1" ht="12.75" customHeight="1">
      <c r="A1683" s="129">
        <v>1683</v>
      </c>
    </row>
    <row r="1684" spans="1:1" ht="12.75" customHeight="1">
      <c r="A1684" s="129">
        <v>1684</v>
      </c>
    </row>
    <row r="1685" spans="1:1" ht="12.75" customHeight="1">
      <c r="A1685" s="129">
        <v>1685</v>
      </c>
    </row>
    <row r="1686" spans="1:1" ht="12.75" customHeight="1">
      <c r="A1686" s="129">
        <v>1686</v>
      </c>
    </row>
    <row r="1687" spans="1:1" ht="12.75" customHeight="1">
      <c r="A1687" s="129">
        <v>1687</v>
      </c>
    </row>
    <row r="1688" spans="1:1" ht="12.75" customHeight="1">
      <c r="A1688" s="129">
        <v>1688</v>
      </c>
    </row>
    <row r="1689" spans="1:1" ht="12.75" customHeight="1">
      <c r="A1689" s="129">
        <v>1689</v>
      </c>
    </row>
    <row r="1690" spans="1:1" ht="12.75" customHeight="1">
      <c r="A1690" s="129">
        <v>1690</v>
      </c>
    </row>
    <row r="1691" spans="1:1" ht="12.75" customHeight="1">
      <c r="A1691" s="129">
        <v>1691</v>
      </c>
    </row>
    <row r="1692" spans="1:1" ht="12.75" customHeight="1">
      <c r="A1692" s="129">
        <v>1692</v>
      </c>
    </row>
    <row r="1693" spans="1:1" ht="12.75" customHeight="1">
      <c r="A1693" s="129">
        <v>1693</v>
      </c>
    </row>
    <row r="1694" spans="1:1" ht="12.75" customHeight="1">
      <c r="A1694" s="129">
        <v>1694</v>
      </c>
    </row>
    <row r="1695" spans="1:1" ht="12.75" customHeight="1">
      <c r="A1695" s="129">
        <v>1695</v>
      </c>
    </row>
    <row r="1696" spans="1:1" ht="12.75" customHeight="1">
      <c r="A1696" s="129">
        <v>1696</v>
      </c>
    </row>
    <row r="1697" spans="1:1" ht="12.75" customHeight="1">
      <c r="A1697" s="129">
        <v>1697</v>
      </c>
    </row>
    <row r="1698" spans="1:1" ht="12.75" customHeight="1">
      <c r="A1698" s="129">
        <v>1698</v>
      </c>
    </row>
    <row r="1699" spans="1:1" ht="12.75" customHeight="1">
      <c r="A1699" s="129">
        <v>1699</v>
      </c>
    </row>
    <row r="1700" spans="1:1" ht="12.75" customHeight="1">
      <c r="A1700" s="129">
        <v>1700</v>
      </c>
    </row>
    <row r="1701" spans="1:1" ht="12.75" customHeight="1">
      <c r="A1701" s="129">
        <v>1701</v>
      </c>
    </row>
    <row r="1702" spans="1:1" ht="12.75" customHeight="1">
      <c r="A1702" s="129">
        <v>1702</v>
      </c>
    </row>
    <row r="1703" spans="1:1" ht="12.75" customHeight="1">
      <c r="A1703" s="129">
        <v>1703</v>
      </c>
    </row>
    <row r="1704" spans="1:1" ht="12.75" customHeight="1">
      <c r="A1704" s="129">
        <v>1704</v>
      </c>
    </row>
    <row r="1705" spans="1:1" ht="12.75" customHeight="1">
      <c r="A1705" s="129">
        <v>1705</v>
      </c>
    </row>
    <row r="1706" spans="1:1" ht="12.75" customHeight="1">
      <c r="A1706" s="129">
        <v>1706</v>
      </c>
    </row>
    <row r="1707" spans="1:1" ht="12.75" customHeight="1">
      <c r="A1707" s="129">
        <v>1707</v>
      </c>
    </row>
    <row r="1708" spans="1:1" ht="12.75" customHeight="1">
      <c r="A1708" s="129">
        <v>1708</v>
      </c>
    </row>
    <row r="1709" spans="1:1" ht="12.75" customHeight="1">
      <c r="A1709" s="129">
        <v>1709</v>
      </c>
    </row>
    <row r="1710" spans="1:1" ht="12.75" customHeight="1">
      <c r="A1710" s="129">
        <v>1710</v>
      </c>
    </row>
    <row r="1711" spans="1:1" ht="12.75" customHeight="1">
      <c r="A1711" s="129">
        <v>1711</v>
      </c>
    </row>
    <row r="1712" spans="1:1" ht="12.75" customHeight="1">
      <c r="A1712" s="129">
        <v>1712</v>
      </c>
    </row>
    <row r="1713" spans="1:1" ht="12.75" customHeight="1">
      <c r="A1713" s="129">
        <v>1713</v>
      </c>
    </row>
    <row r="1714" spans="1:1" ht="12.75" customHeight="1">
      <c r="A1714" s="129">
        <v>1714</v>
      </c>
    </row>
    <row r="1715" spans="1:1" ht="12.75" customHeight="1">
      <c r="A1715" s="129">
        <v>1715</v>
      </c>
    </row>
    <row r="1716" spans="1:1" ht="12.75" customHeight="1">
      <c r="A1716" s="129">
        <v>1716</v>
      </c>
    </row>
    <row r="1717" spans="1:1" ht="12.75" customHeight="1">
      <c r="A1717" s="129">
        <v>1717</v>
      </c>
    </row>
    <row r="1718" spans="1:1" ht="12.75" customHeight="1">
      <c r="A1718" s="129">
        <v>1718</v>
      </c>
    </row>
    <row r="1719" spans="1:1" ht="12.75" customHeight="1">
      <c r="A1719" s="129">
        <v>1719</v>
      </c>
    </row>
    <row r="1720" spans="1:1" ht="12.75" customHeight="1">
      <c r="A1720" s="129">
        <v>1720</v>
      </c>
    </row>
    <row r="1721" spans="1:1" ht="12.75" customHeight="1">
      <c r="A1721" s="129">
        <v>1721</v>
      </c>
    </row>
    <row r="1722" spans="1:1" ht="12.75" customHeight="1">
      <c r="A1722" s="129">
        <v>1722</v>
      </c>
    </row>
    <row r="1723" spans="1:1" ht="12.75" customHeight="1">
      <c r="A1723" s="129">
        <v>1723</v>
      </c>
    </row>
    <row r="1724" spans="1:1" ht="12.75" customHeight="1">
      <c r="A1724" s="129">
        <v>1724</v>
      </c>
    </row>
    <row r="1725" spans="1:1" ht="12.75" customHeight="1">
      <c r="A1725" s="129">
        <v>1725</v>
      </c>
    </row>
    <row r="1726" spans="1:1" ht="12.75" customHeight="1">
      <c r="A1726" s="129">
        <v>1726</v>
      </c>
    </row>
    <row r="1727" spans="1:1" ht="12.75" customHeight="1">
      <c r="A1727" s="129">
        <v>1727</v>
      </c>
    </row>
    <row r="1728" spans="1:1" ht="12.75" customHeight="1">
      <c r="A1728" s="129">
        <v>1728</v>
      </c>
    </row>
    <row r="1729" spans="1:1" ht="12.75" customHeight="1">
      <c r="A1729" s="129">
        <v>1729</v>
      </c>
    </row>
    <row r="1730" spans="1:1" ht="12.75" customHeight="1">
      <c r="A1730" s="129">
        <v>1730</v>
      </c>
    </row>
    <row r="1731" spans="1:1" ht="12.75" customHeight="1">
      <c r="A1731" s="129">
        <v>1731</v>
      </c>
    </row>
    <row r="1732" spans="1:1" ht="12.75" customHeight="1">
      <c r="A1732" s="129">
        <v>1732</v>
      </c>
    </row>
    <row r="1733" spans="1:1" ht="12.75" customHeight="1">
      <c r="A1733" s="129">
        <v>1733</v>
      </c>
    </row>
    <row r="1734" spans="1:1" ht="12.75" customHeight="1">
      <c r="A1734" s="129">
        <v>1734</v>
      </c>
    </row>
    <row r="1735" spans="1:1" ht="12.75" customHeight="1">
      <c r="A1735" s="129">
        <v>1735</v>
      </c>
    </row>
    <row r="1736" spans="1:1" ht="12.75" customHeight="1">
      <c r="A1736" s="129">
        <v>1736</v>
      </c>
    </row>
    <row r="1737" spans="1:1" ht="12.75" customHeight="1">
      <c r="A1737" s="129">
        <v>1737</v>
      </c>
    </row>
    <row r="1738" spans="1:1" ht="12.75" customHeight="1">
      <c r="A1738" s="129">
        <v>1738</v>
      </c>
    </row>
    <row r="1739" spans="1:1" ht="12.75" customHeight="1">
      <c r="A1739" s="129">
        <v>1739</v>
      </c>
    </row>
    <row r="1740" spans="1:1" ht="12.75" customHeight="1">
      <c r="A1740" s="129">
        <v>1740</v>
      </c>
    </row>
    <row r="1741" spans="1:1" ht="12.75" customHeight="1">
      <c r="A1741" s="129">
        <v>1741</v>
      </c>
    </row>
    <row r="1742" spans="1:1" ht="12.75" customHeight="1">
      <c r="A1742" s="129">
        <v>1742</v>
      </c>
    </row>
    <row r="1743" spans="1:1" ht="12.75" customHeight="1">
      <c r="A1743" s="129">
        <v>1743</v>
      </c>
    </row>
    <row r="1744" spans="1:1" ht="12.75" customHeight="1">
      <c r="A1744" s="129">
        <v>1744</v>
      </c>
    </row>
    <row r="1745" spans="1:1" ht="12.75" customHeight="1">
      <c r="A1745" s="129">
        <v>1745</v>
      </c>
    </row>
    <row r="1746" spans="1:1" ht="12.75" customHeight="1">
      <c r="A1746" s="129">
        <v>1746</v>
      </c>
    </row>
    <row r="1747" spans="1:1" ht="12.75" customHeight="1">
      <c r="A1747" s="129">
        <v>1747</v>
      </c>
    </row>
    <row r="1748" spans="1:1" ht="12.75" customHeight="1">
      <c r="A1748" s="129">
        <v>1748</v>
      </c>
    </row>
    <row r="1749" spans="1:1" ht="12.75" customHeight="1">
      <c r="A1749" s="129">
        <v>1749</v>
      </c>
    </row>
    <row r="1750" spans="1:1" ht="12.75" customHeight="1">
      <c r="A1750" s="129">
        <v>1750</v>
      </c>
    </row>
    <row r="1751" spans="1:1" ht="12.75" customHeight="1">
      <c r="A1751" s="129">
        <v>1751</v>
      </c>
    </row>
    <row r="1752" spans="1:1" ht="12.75" customHeight="1">
      <c r="A1752" s="129">
        <v>1752</v>
      </c>
    </row>
    <row r="1753" spans="1:1" ht="12.75" customHeight="1">
      <c r="A1753" s="129">
        <v>1753</v>
      </c>
    </row>
    <row r="1754" spans="1:1" ht="12.75" customHeight="1">
      <c r="A1754" s="129">
        <v>1754</v>
      </c>
    </row>
    <row r="1755" spans="1:1" ht="12.75" customHeight="1">
      <c r="A1755" s="129">
        <v>1755</v>
      </c>
    </row>
    <row r="1756" spans="1:1" ht="12.75" customHeight="1">
      <c r="A1756" s="129">
        <v>1756</v>
      </c>
    </row>
    <row r="1757" spans="1:1" ht="12.75" customHeight="1">
      <c r="A1757" s="129">
        <v>1757</v>
      </c>
    </row>
    <row r="1758" spans="1:1" ht="12.75" customHeight="1">
      <c r="A1758" s="129">
        <v>1758</v>
      </c>
    </row>
    <row r="1759" spans="1:1" ht="12.75" customHeight="1">
      <c r="A1759" s="129">
        <v>1759</v>
      </c>
    </row>
    <row r="1760" spans="1:1" ht="12.75" customHeight="1">
      <c r="A1760" s="129">
        <v>1760</v>
      </c>
    </row>
    <row r="1761" spans="1:1" ht="12.75" customHeight="1">
      <c r="A1761" s="129">
        <v>1761</v>
      </c>
    </row>
    <row r="1762" spans="1:1" ht="12.75" customHeight="1">
      <c r="A1762" s="129">
        <v>1762</v>
      </c>
    </row>
    <row r="1763" spans="1:1" ht="12.75" customHeight="1">
      <c r="A1763" s="129">
        <v>1763</v>
      </c>
    </row>
    <row r="1764" spans="1:1" ht="12.75" customHeight="1">
      <c r="A1764" s="129">
        <v>1764</v>
      </c>
    </row>
    <row r="1765" spans="1:1" ht="12.75" customHeight="1">
      <c r="A1765" s="129">
        <v>1765</v>
      </c>
    </row>
    <row r="1766" spans="1:1" ht="12.75" customHeight="1">
      <c r="A1766" s="129">
        <v>1766</v>
      </c>
    </row>
    <row r="1767" spans="1:1" ht="12.75" customHeight="1">
      <c r="A1767" s="129">
        <v>1767</v>
      </c>
    </row>
    <row r="1768" spans="1:1" ht="12.75" customHeight="1">
      <c r="A1768" s="129">
        <v>1768</v>
      </c>
    </row>
    <row r="1769" spans="1:1" ht="12.75" customHeight="1">
      <c r="A1769" s="129">
        <v>1769</v>
      </c>
    </row>
    <row r="1770" spans="1:1" ht="12.75" customHeight="1">
      <c r="A1770" s="129">
        <v>1770</v>
      </c>
    </row>
    <row r="1771" spans="1:1" ht="12.75" customHeight="1">
      <c r="A1771" s="129">
        <v>1771</v>
      </c>
    </row>
    <row r="1772" spans="1:1" ht="12.75" customHeight="1">
      <c r="A1772" s="129">
        <v>1772</v>
      </c>
    </row>
    <row r="1773" spans="1:1" ht="12.75" customHeight="1">
      <c r="A1773" s="129">
        <v>1773</v>
      </c>
    </row>
    <row r="1774" spans="1:1" ht="12.75" customHeight="1">
      <c r="A1774" s="129">
        <v>1774</v>
      </c>
    </row>
    <row r="1775" spans="1:1" ht="12.75" customHeight="1">
      <c r="A1775" s="129">
        <v>1775</v>
      </c>
    </row>
    <row r="1776" spans="1:1" ht="12.75" customHeight="1">
      <c r="A1776" s="129">
        <v>1776</v>
      </c>
    </row>
    <row r="1777" spans="1:1" ht="12.75" customHeight="1">
      <c r="A1777" s="129">
        <v>1777</v>
      </c>
    </row>
    <row r="1778" spans="1:1" ht="12.75" customHeight="1">
      <c r="A1778" s="129">
        <v>1778</v>
      </c>
    </row>
    <row r="1779" spans="1:1" ht="12.75" customHeight="1">
      <c r="A1779" s="129">
        <v>1779</v>
      </c>
    </row>
    <row r="1780" spans="1:1" ht="12.75" customHeight="1">
      <c r="A1780" s="129">
        <v>1780</v>
      </c>
    </row>
    <row r="1781" spans="1:1" ht="12.75" customHeight="1">
      <c r="A1781" s="129">
        <v>1781</v>
      </c>
    </row>
    <row r="1782" spans="1:1" ht="12.75" customHeight="1">
      <c r="A1782" s="129">
        <v>1782</v>
      </c>
    </row>
    <row r="1783" spans="1:1" ht="12.75" customHeight="1">
      <c r="A1783" s="129">
        <v>1783</v>
      </c>
    </row>
    <row r="1784" spans="1:1" ht="12.75" customHeight="1">
      <c r="A1784" s="129">
        <v>1784</v>
      </c>
    </row>
    <row r="1785" spans="1:1" ht="12.75" customHeight="1">
      <c r="A1785" s="129">
        <v>1785</v>
      </c>
    </row>
    <row r="1786" spans="1:1" ht="12.75" customHeight="1">
      <c r="A1786" s="129">
        <v>1786</v>
      </c>
    </row>
    <row r="1787" spans="1:1" ht="12.75" customHeight="1">
      <c r="A1787" s="129">
        <v>1787</v>
      </c>
    </row>
    <row r="1788" spans="1:1" ht="12.75" customHeight="1">
      <c r="A1788" s="129">
        <v>1788</v>
      </c>
    </row>
    <row r="1789" spans="1:1" ht="12.75" customHeight="1">
      <c r="A1789" s="129">
        <v>1789</v>
      </c>
    </row>
    <row r="1790" spans="1:1" ht="12.75" customHeight="1">
      <c r="A1790" s="129">
        <v>1790</v>
      </c>
    </row>
    <row r="1791" spans="1:1" ht="12.75" customHeight="1">
      <c r="A1791" s="129">
        <v>1791</v>
      </c>
    </row>
    <row r="1792" spans="1:1" ht="12.75" customHeight="1">
      <c r="A1792" s="129">
        <v>1792</v>
      </c>
    </row>
    <row r="1793" spans="1:1" ht="12.75" customHeight="1">
      <c r="A1793" s="129">
        <v>1793</v>
      </c>
    </row>
    <row r="1794" spans="1:1" ht="12.75" customHeight="1">
      <c r="A1794" s="129">
        <v>1794</v>
      </c>
    </row>
    <row r="1795" spans="1:1" ht="12.75" customHeight="1">
      <c r="A1795" s="129">
        <v>1795</v>
      </c>
    </row>
    <row r="1796" spans="1:1" ht="12.75" customHeight="1">
      <c r="A1796" s="129">
        <v>1796</v>
      </c>
    </row>
    <row r="1797" spans="1:1" ht="12.75" customHeight="1">
      <c r="A1797" s="129">
        <v>1797</v>
      </c>
    </row>
    <row r="1798" spans="1:1" ht="12.75" customHeight="1">
      <c r="A1798" s="129">
        <v>1798</v>
      </c>
    </row>
    <row r="1799" spans="1:1" ht="12.75" customHeight="1">
      <c r="A1799" s="129">
        <v>1799</v>
      </c>
    </row>
    <row r="1800" spans="1:1" ht="12.75" customHeight="1">
      <c r="A1800" s="129">
        <v>1800</v>
      </c>
    </row>
    <row r="1801" spans="1:1" ht="12.75" customHeight="1">
      <c r="A1801" s="129">
        <v>1801</v>
      </c>
    </row>
    <row r="1802" spans="1:1" ht="12.75" customHeight="1">
      <c r="A1802" s="129">
        <v>1802</v>
      </c>
    </row>
    <row r="1803" spans="1:1" ht="12.75" customHeight="1">
      <c r="A1803" s="129">
        <v>1803</v>
      </c>
    </row>
    <row r="1804" spans="1:1" ht="12.75" customHeight="1">
      <c r="A1804" s="129">
        <v>1804</v>
      </c>
    </row>
    <row r="1805" spans="1:1" ht="12.75" customHeight="1">
      <c r="A1805" s="129">
        <v>1805</v>
      </c>
    </row>
    <row r="1806" spans="1:1" ht="12.75" customHeight="1">
      <c r="A1806" s="129">
        <v>1806</v>
      </c>
    </row>
    <row r="1807" spans="1:1" ht="12.75" customHeight="1">
      <c r="A1807" s="129">
        <v>1807</v>
      </c>
    </row>
    <row r="1808" spans="1:1" ht="12.75" customHeight="1">
      <c r="A1808" s="129">
        <v>1808</v>
      </c>
    </row>
    <row r="1809" spans="1:1" ht="12.75" customHeight="1">
      <c r="A1809" s="129">
        <v>1809</v>
      </c>
    </row>
    <row r="1810" spans="1:1" ht="12.75" customHeight="1">
      <c r="A1810" s="129">
        <v>1810</v>
      </c>
    </row>
    <row r="1811" spans="1:1" ht="12.75" customHeight="1">
      <c r="A1811" s="129">
        <v>1811</v>
      </c>
    </row>
    <row r="1812" spans="1:1" ht="12.75" customHeight="1">
      <c r="A1812" s="129">
        <v>1812</v>
      </c>
    </row>
    <row r="1813" spans="1:1" ht="12.75" customHeight="1">
      <c r="A1813" s="129">
        <v>1813</v>
      </c>
    </row>
    <row r="1814" spans="1:1" ht="12.75" customHeight="1">
      <c r="A1814" s="129">
        <v>1814</v>
      </c>
    </row>
    <row r="1815" spans="1:1" ht="12.75" customHeight="1">
      <c r="A1815" s="129">
        <v>1815</v>
      </c>
    </row>
    <row r="1816" spans="1:1" ht="12.75" customHeight="1">
      <c r="A1816" s="129">
        <v>1816</v>
      </c>
    </row>
    <row r="1817" spans="1:1" ht="12.75" customHeight="1">
      <c r="A1817" s="129">
        <v>1817</v>
      </c>
    </row>
    <row r="1818" spans="1:1" ht="12.75" customHeight="1">
      <c r="A1818" s="129">
        <v>1818</v>
      </c>
    </row>
    <row r="1819" spans="1:1" ht="12.75" customHeight="1">
      <c r="A1819" s="129">
        <v>1819</v>
      </c>
    </row>
    <row r="1820" spans="1:1" ht="12.75" customHeight="1">
      <c r="A1820" s="129">
        <v>1820</v>
      </c>
    </row>
    <row r="1821" spans="1:1" ht="12.75" customHeight="1">
      <c r="A1821" s="129">
        <v>1821</v>
      </c>
    </row>
    <row r="1822" spans="1:1" ht="12.75" customHeight="1">
      <c r="A1822" s="129">
        <v>1822</v>
      </c>
    </row>
    <row r="1823" spans="1:1" ht="12.75" customHeight="1">
      <c r="A1823" s="129">
        <v>1823</v>
      </c>
    </row>
    <row r="1824" spans="1:1" ht="12.75" customHeight="1">
      <c r="A1824" s="129">
        <v>1824</v>
      </c>
    </row>
    <row r="1825" spans="1:1" ht="12.75" customHeight="1">
      <c r="A1825" s="129">
        <v>1825</v>
      </c>
    </row>
    <row r="1826" spans="1:1" ht="12.75" customHeight="1">
      <c r="A1826" s="129">
        <v>1826</v>
      </c>
    </row>
    <row r="1827" spans="1:1" ht="12.75" customHeight="1">
      <c r="A1827" s="129">
        <v>1827</v>
      </c>
    </row>
    <row r="1828" spans="1:1" ht="12.75" customHeight="1">
      <c r="A1828" s="129">
        <v>1828</v>
      </c>
    </row>
    <row r="1829" spans="1:1" ht="12.75" customHeight="1">
      <c r="A1829" s="129">
        <v>1829</v>
      </c>
    </row>
    <row r="1830" spans="1:1" ht="12.75" customHeight="1">
      <c r="A1830" s="129">
        <v>1830</v>
      </c>
    </row>
    <row r="1831" spans="1:1" ht="12.75" customHeight="1">
      <c r="A1831" s="129">
        <v>1831</v>
      </c>
    </row>
    <row r="1832" spans="1:1" ht="12.75" customHeight="1">
      <c r="A1832" s="129">
        <v>1832</v>
      </c>
    </row>
    <row r="1833" spans="1:1" ht="12.75" customHeight="1">
      <c r="A1833" s="129">
        <v>1833</v>
      </c>
    </row>
    <row r="1834" spans="1:1" ht="12.75" customHeight="1">
      <c r="A1834" s="129">
        <v>1834</v>
      </c>
    </row>
    <row r="1835" spans="1:1" ht="12.75" customHeight="1">
      <c r="A1835" s="129">
        <v>1835</v>
      </c>
    </row>
    <row r="1836" spans="1:1" ht="12.75" customHeight="1">
      <c r="A1836" s="129">
        <v>1836</v>
      </c>
    </row>
    <row r="1837" spans="1:1" ht="12.75" customHeight="1">
      <c r="A1837" s="129">
        <v>1837</v>
      </c>
    </row>
    <row r="1838" spans="1:1" ht="12.75" customHeight="1">
      <c r="A1838" s="129">
        <v>1838</v>
      </c>
    </row>
    <row r="1839" spans="1:1" ht="12.75" customHeight="1">
      <c r="A1839" s="129">
        <v>1839</v>
      </c>
    </row>
    <row r="1840" spans="1:1" ht="12.75" customHeight="1">
      <c r="A1840" s="129">
        <v>1840</v>
      </c>
    </row>
    <row r="1841" spans="1:1" ht="12.75" customHeight="1">
      <c r="A1841" s="129">
        <v>1841</v>
      </c>
    </row>
    <row r="1842" spans="1:1" ht="12.75" customHeight="1">
      <c r="A1842" s="129">
        <v>1842</v>
      </c>
    </row>
    <row r="1843" spans="1:1" ht="12.75" customHeight="1">
      <c r="A1843" s="129">
        <v>1843</v>
      </c>
    </row>
    <row r="1844" spans="1:1" ht="12.75" customHeight="1">
      <c r="A1844" s="129">
        <v>1844</v>
      </c>
    </row>
    <row r="1845" spans="1:1" ht="12.75" customHeight="1">
      <c r="A1845" s="129">
        <v>1845</v>
      </c>
    </row>
    <row r="1846" spans="1:1" ht="12.75" customHeight="1">
      <c r="A1846" s="129">
        <v>1846</v>
      </c>
    </row>
    <row r="1847" spans="1:1" ht="12.75" customHeight="1">
      <c r="A1847" s="129">
        <v>1847</v>
      </c>
    </row>
    <row r="1848" spans="1:1" ht="12.75" customHeight="1">
      <c r="A1848" s="129">
        <v>1848</v>
      </c>
    </row>
    <row r="1849" spans="1:1" ht="12.75" customHeight="1">
      <c r="A1849" s="129">
        <v>1849</v>
      </c>
    </row>
    <row r="1850" spans="1:1" ht="12.75" customHeight="1">
      <c r="A1850" s="129">
        <v>1850</v>
      </c>
    </row>
    <row r="1851" spans="1:1" ht="12.75" customHeight="1">
      <c r="A1851" s="129">
        <v>1851</v>
      </c>
    </row>
    <row r="1852" spans="1:1" ht="12.75" customHeight="1">
      <c r="A1852" s="129">
        <v>1852</v>
      </c>
    </row>
    <row r="1853" spans="1:1" ht="12.75" customHeight="1">
      <c r="A1853" s="129">
        <v>1853</v>
      </c>
    </row>
    <row r="1854" spans="1:1" ht="12.75" customHeight="1">
      <c r="A1854" s="129">
        <v>1854</v>
      </c>
    </row>
    <row r="1855" spans="1:1" ht="12.75" customHeight="1">
      <c r="A1855" s="129">
        <v>1855</v>
      </c>
    </row>
    <row r="1856" spans="1:1" ht="12.75" customHeight="1">
      <c r="A1856" s="129">
        <v>1856</v>
      </c>
    </row>
    <row r="1857" spans="1:1" ht="12.75" customHeight="1">
      <c r="A1857" s="129">
        <v>1857</v>
      </c>
    </row>
    <row r="1858" spans="1:1" ht="12.75" customHeight="1">
      <c r="A1858" s="129">
        <v>1858</v>
      </c>
    </row>
    <row r="1859" spans="1:1" ht="12.75" customHeight="1">
      <c r="A1859" s="129">
        <v>1859</v>
      </c>
    </row>
    <row r="1860" spans="1:1" ht="12.75" customHeight="1">
      <c r="A1860" s="129">
        <v>1860</v>
      </c>
    </row>
    <row r="1861" spans="1:1" ht="12.75" customHeight="1">
      <c r="A1861" s="129">
        <v>1861</v>
      </c>
    </row>
    <row r="1862" spans="1:1" ht="12.75" customHeight="1">
      <c r="A1862" s="129">
        <v>1862</v>
      </c>
    </row>
    <row r="1863" spans="1:1" ht="12.75" customHeight="1">
      <c r="A1863" s="129">
        <v>1863</v>
      </c>
    </row>
    <row r="1864" spans="1:1" ht="12.75" customHeight="1">
      <c r="A1864" s="129">
        <v>1864</v>
      </c>
    </row>
    <row r="1865" spans="1:1" ht="12.75" customHeight="1">
      <c r="A1865" s="129">
        <v>1865</v>
      </c>
    </row>
    <row r="1866" spans="1:1" ht="12.75" customHeight="1">
      <c r="A1866" s="129">
        <v>1866</v>
      </c>
    </row>
    <row r="1867" spans="1:1" ht="12.75" customHeight="1">
      <c r="A1867" s="129">
        <v>1867</v>
      </c>
    </row>
    <row r="1868" spans="1:1" ht="12.75" customHeight="1">
      <c r="A1868" s="129">
        <v>1868</v>
      </c>
    </row>
    <row r="1869" spans="1:1" ht="12.75" customHeight="1">
      <c r="A1869" s="129">
        <v>1869</v>
      </c>
    </row>
    <row r="1870" spans="1:1" ht="12.75" customHeight="1">
      <c r="A1870" s="129">
        <v>1870</v>
      </c>
    </row>
    <row r="1871" spans="1:1" ht="12.75" customHeight="1">
      <c r="A1871" s="129">
        <v>1871</v>
      </c>
    </row>
    <row r="1872" spans="1:1" ht="12.75" customHeight="1">
      <c r="A1872" s="129">
        <v>1872</v>
      </c>
    </row>
    <row r="1873" spans="1:1" ht="12.75" customHeight="1">
      <c r="A1873" s="129">
        <v>1873</v>
      </c>
    </row>
    <row r="1874" spans="1:1" ht="12.75" customHeight="1">
      <c r="A1874" s="129">
        <v>1874</v>
      </c>
    </row>
    <row r="1875" spans="1:1" ht="12.75" customHeight="1">
      <c r="A1875" s="129">
        <v>1875</v>
      </c>
    </row>
    <row r="1876" spans="1:1" ht="12.75" customHeight="1">
      <c r="A1876" s="129">
        <v>1876</v>
      </c>
    </row>
    <row r="1877" spans="1:1" ht="12.75" customHeight="1">
      <c r="A1877" s="129">
        <v>1877</v>
      </c>
    </row>
    <row r="1878" spans="1:1" ht="12.75" customHeight="1">
      <c r="A1878" s="129">
        <v>1878</v>
      </c>
    </row>
    <row r="1879" spans="1:1" ht="12.75" customHeight="1">
      <c r="A1879" s="129">
        <v>1879</v>
      </c>
    </row>
    <row r="1880" spans="1:1" ht="12.75" customHeight="1">
      <c r="A1880" s="129">
        <v>1880</v>
      </c>
    </row>
    <row r="1881" spans="1:1" ht="12.75" customHeight="1">
      <c r="A1881" s="129">
        <v>1881</v>
      </c>
    </row>
    <row r="1882" spans="1:1" ht="12.75" customHeight="1">
      <c r="A1882" s="129">
        <v>1882</v>
      </c>
    </row>
    <row r="1883" spans="1:1" ht="12.75" customHeight="1">
      <c r="A1883" s="129">
        <v>1883</v>
      </c>
    </row>
    <row r="1884" spans="1:1" ht="12.75" customHeight="1">
      <c r="A1884" s="129">
        <v>1884</v>
      </c>
    </row>
    <row r="1885" spans="1:1" ht="12.75" customHeight="1">
      <c r="A1885" s="129">
        <v>1885</v>
      </c>
    </row>
    <row r="1886" spans="1:1" ht="12.75" customHeight="1">
      <c r="A1886" s="129">
        <v>1886</v>
      </c>
    </row>
    <row r="1887" spans="1:1" ht="12.75" customHeight="1">
      <c r="A1887" s="129">
        <v>1887</v>
      </c>
    </row>
    <row r="1888" spans="1:1" ht="12.75" customHeight="1">
      <c r="A1888" s="129">
        <v>1888</v>
      </c>
    </row>
    <row r="1889" spans="1:1" ht="12.75" customHeight="1">
      <c r="A1889" s="129">
        <v>1889</v>
      </c>
    </row>
    <row r="1890" spans="1:1" ht="12.75" customHeight="1">
      <c r="A1890" s="129">
        <v>1890</v>
      </c>
    </row>
    <row r="1891" spans="1:1" ht="12.75" customHeight="1">
      <c r="A1891" s="129">
        <v>1891</v>
      </c>
    </row>
    <row r="1892" spans="1:1" ht="12.75" customHeight="1">
      <c r="A1892" s="129">
        <v>1892</v>
      </c>
    </row>
    <row r="1893" spans="1:1" ht="12.75" customHeight="1">
      <c r="A1893" s="129">
        <v>1893</v>
      </c>
    </row>
    <row r="1894" spans="1:1" ht="12.75" customHeight="1">
      <c r="A1894" s="129">
        <v>1894</v>
      </c>
    </row>
    <row r="1895" spans="1:1" ht="12.75" customHeight="1">
      <c r="A1895" s="129">
        <v>1895</v>
      </c>
    </row>
    <row r="1896" spans="1:1" ht="12.75" customHeight="1">
      <c r="A1896" s="129">
        <v>1896</v>
      </c>
    </row>
    <row r="1897" spans="1:1" ht="12.75" customHeight="1">
      <c r="A1897" s="129">
        <v>1897</v>
      </c>
    </row>
    <row r="1898" spans="1:1" ht="12.75" customHeight="1">
      <c r="A1898" s="129">
        <v>1898</v>
      </c>
    </row>
    <row r="1899" spans="1:1" ht="12.75" customHeight="1">
      <c r="A1899" s="129">
        <v>1899</v>
      </c>
    </row>
    <row r="1900" spans="1:1" ht="12.75" customHeight="1">
      <c r="A1900" s="129">
        <v>1900</v>
      </c>
    </row>
    <row r="1901" spans="1:1" ht="12.75" customHeight="1">
      <c r="A1901" s="129">
        <v>1901</v>
      </c>
    </row>
    <row r="1902" spans="1:1" ht="12.75" customHeight="1">
      <c r="A1902" s="129">
        <v>1902</v>
      </c>
    </row>
    <row r="1903" spans="1:1" ht="12.75" customHeight="1">
      <c r="A1903" s="129">
        <v>1903</v>
      </c>
    </row>
    <row r="1904" spans="1:1" ht="12.75" customHeight="1">
      <c r="A1904" s="129">
        <v>1904</v>
      </c>
    </row>
    <row r="1905" spans="1:1" ht="12.75" customHeight="1">
      <c r="A1905" s="129">
        <v>1905</v>
      </c>
    </row>
    <row r="1906" spans="1:1" ht="12.75" customHeight="1">
      <c r="A1906" s="129">
        <v>1906</v>
      </c>
    </row>
    <row r="1907" spans="1:1" ht="12.75" customHeight="1">
      <c r="A1907" s="129">
        <v>1907</v>
      </c>
    </row>
    <row r="1908" spans="1:1" ht="12.75" customHeight="1">
      <c r="A1908" s="129">
        <v>1908</v>
      </c>
    </row>
    <row r="1909" spans="1:1" ht="12.75" customHeight="1">
      <c r="A1909" s="129">
        <v>1909</v>
      </c>
    </row>
    <row r="1910" spans="1:1" ht="12.75" customHeight="1">
      <c r="A1910" s="129">
        <v>1910</v>
      </c>
    </row>
    <row r="1911" spans="1:1" ht="12.75" customHeight="1">
      <c r="A1911" s="129">
        <v>1911</v>
      </c>
    </row>
    <row r="1912" spans="1:1" ht="12.75" customHeight="1">
      <c r="A1912" s="129">
        <v>1912</v>
      </c>
    </row>
    <row r="1913" spans="1:1" ht="12.75" customHeight="1">
      <c r="A1913" s="129">
        <v>1913</v>
      </c>
    </row>
    <row r="1914" spans="1:1" ht="12.75" customHeight="1">
      <c r="A1914" s="129">
        <v>1914</v>
      </c>
    </row>
    <row r="1915" spans="1:1" ht="12.75" customHeight="1">
      <c r="A1915" s="129">
        <v>1915</v>
      </c>
    </row>
    <row r="1916" spans="1:1" ht="12.75" customHeight="1">
      <c r="A1916" s="129">
        <v>1916</v>
      </c>
    </row>
    <row r="1917" spans="1:1" ht="12.75" customHeight="1">
      <c r="A1917" s="129">
        <v>1917</v>
      </c>
    </row>
    <row r="1918" spans="1:1" ht="12.75" customHeight="1">
      <c r="A1918" s="129">
        <v>1918</v>
      </c>
    </row>
    <row r="1919" spans="1:1" ht="12.75" customHeight="1">
      <c r="A1919" s="129">
        <v>1919</v>
      </c>
    </row>
    <row r="1920" spans="1:1" ht="12.75" customHeight="1">
      <c r="A1920" s="129">
        <v>1920</v>
      </c>
    </row>
    <row r="1921" spans="1:1" ht="12.75" customHeight="1">
      <c r="A1921" s="129">
        <v>1921</v>
      </c>
    </row>
    <row r="1922" spans="1:1" ht="12.75" customHeight="1">
      <c r="A1922" s="129">
        <v>1922</v>
      </c>
    </row>
    <row r="1923" spans="1:1" ht="12.75" customHeight="1">
      <c r="A1923" s="129">
        <v>1923</v>
      </c>
    </row>
    <row r="1924" spans="1:1" ht="12.75" customHeight="1">
      <c r="A1924" s="129">
        <v>1924</v>
      </c>
    </row>
    <row r="1925" spans="1:1" ht="12.75" customHeight="1">
      <c r="A1925" s="129">
        <v>1925</v>
      </c>
    </row>
    <row r="1926" spans="1:1" ht="12.75" customHeight="1">
      <c r="A1926" s="129">
        <v>1926</v>
      </c>
    </row>
    <row r="1927" spans="1:1" ht="12.75" customHeight="1">
      <c r="A1927" s="129">
        <v>1927</v>
      </c>
    </row>
    <row r="1928" spans="1:1" ht="12.75" customHeight="1">
      <c r="A1928" s="129">
        <v>1928</v>
      </c>
    </row>
    <row r="1929" spans="1:1" ht="12.75" customHeight="1">
      <c r="A1929" s="129">
        <v>1929</v>
      </c>
    </row>
    <row r="1930" spans="1:1" ht="12.75" customHeight="1">
      <c r="A1930" s="129">
        <v>1930</v>
      </c>
    </row>
    <row r="1931" spans="1:1" ht="12.75" customHeight="1">
      <c r="A1931" s="129">
        <v>1931</v>
      </c>
    </row>
    <row r="1932" spans="1:1" ht="12.75" customHeight="1">
      <c r="A1932" s="129">
        <v>1932</v>
      </c>
    </row>
    <row r="1933" spans="1:1" ht="12.75" customHeight="1">
      <c r="A1933" s="129">
        <v>1933</v>
      </c>
    </row>
    <row r="1934" spans="1:1" ht="12.75" customHeight="1">
      <c r="A1934" s="129">
        <v>1934</v>
      </c>
    </row>
    <row r="1935" spans="1:1" ht="12.75" customHeight="1">
      <c r="A1935" s="129">
        <v>1935</v>
      </c>
    </row>
    <row r="1936" spans="1:1" ht="12.75" customHeight="1">
      <c r="A1936" s="129">
        <v>1936</v>
      </c>
    </row>
    <row r="1937" spans="1:1" ht="12.75" customHeight="1">
      <c r="A1937" s="129">
        <v>1937</v>
      </c>
    </row>
    <row r="1938" spans="1:1" ht="12.75" customHeight="1">
      <c r="A1938" s="129">
        <v>1938</v>
      </c>
    </row>
    <row r="1939" spans="1:1" ht="12.75" customHeight="1">
      <c r="A1939" s="129">
        <v>1939</v>
      </c>
    </row>
    <row r="1940" spans="1:1" ht="12.75" customHeight="1">
      <c r="A1940" s="129">
        <v>1940</v>
      </c>
    </row>
    <row r="1941" spans="1:1" ht="12.75" customHeight="1">
      <c r="A1941" s="129">
        <v>1941</v>
      </c>
    </row>
    <row r="1942" spans="1:1" ht="12.75" customHeight="1">
      <c r="A1942" s="129">
        <v>1942</v>
      </c>
    </row>
    <row r="1943" spans="1:1" ht="12.75" customHeight="1">
      <c r="A1943" s="129">
        <v>1943</v>
      </c>
    </row>
    <row r="1944" spans="1:1" ht="12.75" customHeight="1">
      <c r="A1944" s="129">
        <v>1944</v>
      </c>
    </row>
    <row r="1945" spans="1:1" ht="12.75" customHeight="1">
      <c r="A1945" s="129">
        <v>1945</v>
      </c>
    </row>
    <row r="1946" spans="1:1" ht="12.75" customHeight="1">
      <c r="A1946" s="129">
        <v>1946</v>
      </c>
    </row>
    <row r="1947" spans="1:1" ht="12.75" customHeight="1">
      <c r="A1947" s="129">
        <v>1947</v>
      </c>
    </row>
    <row r="1948" spans="1:1" ht="12.75" customHeight="1">
      <c r="A1948" s="129">
        <v>1948</v>
      </c>
    </row>
    <row r="1949" spans="1:1" ht="12.75" customHeight="1">
      <c r="A1949" s="129">
        <v>1949</v>
      </c>
    </row>
    <row r="1950" spans="1:1" ht="12.75" customHeight="1">
      <c r="A1950" s="129">
        <v>1950</v>
      </c>
    </row>
    <row r="1951" spans="1:1" ht="12.75" customHeight="1">
      <c r="A1951" s="129">
        <v>1951</v>
      </c>
    </row>
    <row r="1952" spans="1:1" ht="12.75" customHeight="1">
      <c r="A1952" s="129">
        <v>1952</v>
      </c>
    </row>
    <row r="1953" spans="1:1" ht="12.75" customHeight="1">
      <c r="A1953" s="129">
        <v>1953</v>
      </c>
    </row>
    <row r="1954" spans="1:1" ht="12.75" customHeight="1">
      <c r="A1954" s="129">
        <v>1954</v>
      </c>
    </row>
    <row r="1955" spans="1:1" ht="12.75" customHeight="1">
      <c r="A1955" s="129">
        <v>1955</v>
      </c>
    </row>
    <row r="1956" spans="1:1" ht="12.75" customHeight="1">
      <c r="A1956" s="129">
        <v>1956</v>
      </c>
    </row>
    <row r="1957" spans="1:1" ht="12.75" customHeight="1">
      <c r="A1957" s="129">
        <v>1957</v>
      </c>
    </row>
    <row r="1958" spans="1:1" ht="12.75" customHeight="1">
      <c r="A1958" s="129">
        <v>1958</v>
      </c>
    </row>
    <row r="1959" spans="1:1" ht="12.75" customHeight="1">
      <c r="A1959" s="129">
        <v>1959</v>
      </c>
    </row>
    <row r="1960" spans="1:1" ht="12.75" customHeight="1">
      <c r="A1960" s="129">
        <v>1960</v>
      </c>
    </row>
    <row r="1961" spans="1:1" ht="12.75" customHeight="1">
      <c r="A1961" s="129">
        <v>1961</v>
      </c>
    </row>
    <row r="1962" spans="1:1" ht="12.75" customHeight="1">
      <c r="A1962" s="129">
        <v>1962</v>
      </c>
    </row>
    <row r="1963" spans="1:1" ht="12.75" customHeight="1">
      <c r="A1963" s="129">
        <v>1963</v>
      </c>
    </row>
    <row r="1964" spans="1:1" ht="12.75" customHeight="1">
      <c r="A1964" s="129">
        <v>1964</v>
      </c>
    </row>
    <row r="1965" spans="1:1" ht="12.75" customHeight="1">
      <c r="A1965" s="129">
        <v>1965</v>
      </c>
    </row>
    <row r="1966" spans="1:1" ht="12.75" customHeight="1">
      <c r="A1966" s="129">
        <v>1966</v>
      </c>
    </row>
    <row r="1967" spans="1:1" ht="12.75" customHeight="1">
      <c r="A1967" s="129">
        <v>1967</v>
      </c>
    </row>
    <row r="1968" spans="1:1" ht="12.75" customHeight="1">
      <c r="A1968" s="129">
        <v>1968</v>
      </c>
    </row>
    <row r="1969" spans="1:1" ht="12.75" customHeight="1">
      <c r="A1969" s="129">
        <v>1969</v>
      </c>
    </row>
    <row r="1970" spans="1:1" ht="12.75" customHeight="1">
      <c r="A1970" s="129">
        <v>1970</v>
      </c>
    </row>
    <row r="1971" spans="1:1" ht="12.75" customHeight="1">
      <c r="A1971" s="129">
        <v>1971</v>
      </c>
    </row>
    <row r="1972" spans="1:1" ht="12.75" customHeight="1">
      <c r="A1972" s="129">
        <v>1972</v>
      </c>
    </row>
    <row r="1973" spans="1:1" ht="12.75" customHeight="1">
      <c r="A1973" s="129">
        <v>1973</v>
      </c>
    </row>
    <row r="1974" spans="1:1" ht="12.75" customHeight="1">
      <c r="A1974" s="129">
        <v>1974</v>
      </c>
    </row>
    <row r="1975" spans="1:1" ht="12.75" customHeight="1">
      <c r="A1975" s="129">
        <v>1975</v>
      </c>
    </row>
    <row r="1976" spans="1:1" ht="12.75" customHeight="1">
      <c r="A1976" s="129">
        <v>1976</v>
      </c>
    </row>
    <row r="1977" spans="1:1" ht="12.75" customHeight="1">
      <c r="A1977" s="129">
        <v>1977</v>
      </c>
    </row>
    <row r="1978" spans="1:1" ht="12.75" customHeight="1">
      <c r="A1978" s="129">
        <v>1978</v>
      </c>
    </row>
    <row r="1979" spans="1:1" ht="12.75" customHeight="1">
      <c r="A1979" s="129">
        <v>1979</v>
      </c>
    </row>
    <row r="1980" spans="1:1" ht="12.75" customHeight="1">
      <c r="A1980" s="129">
        <v>1980</v>
      </c>
    </row>
    <row r="1981" spans="1:1" ht="12.75" customHeight="1">
      <c r="A1981" s="129">
        <v>1981</v>
      </c>
    </row>
    <row r="1982" spans="1:1" ht="12.75" customHeight="1">
      <c r="A1982" s="129">
        <v>1982</v>
      </c>
    </row>
    <row r="1983" spans="1:1" ht="12.75" customHeight="1">
      <c r="A1983" s="129">
        <v>1983</v>
      </c>
    </row>
    <row r="1984" spans="1:1" ht="12.75" customHeight="1">
      <c r="A1984" s="129">
        <v>1984</v>
      </c>
    </row>
    <row r="1985" spans="1:1" ht="12.75" customHeight="1">
      <c r="A1985" s="129">
        <v>1985</v>
      </c>
    </row>
    <row r="1986" spans="1:1" ht="12.75" customHeight="1">
      <c r="A1986" s="129">
        <v>1986</v>
      </c>
    </row>
    <row r="1987" spans="1:1" ht="12.75" customHeight="1">
      <c r="A1987" s="129">
        <v>1987</v>
      </c>
    </row>
    <row r="1988" spans="1:1" ht="12.75" customHeight="1">
      <c r="A1988" s="129">
        <v>1988</v>
      </c>
    </row>
    <row r="1989" spans="1:1" ht="12.75" customHeight="1">
      <c r="A1989" s="129">
        <v>1989</v>
      </c>
    </row>
    <row r="1990" spans="1:1" ht="12.75" customHeight="1">
      <c r="A1990" s="129">
        <v>1990</v>
      </c>
    </row>
    <row r="1991" spans="1:1" ht="12.75" customHeight="1">
      <c r="A1991" s="129">
        <v>1991</v>
      </c>
    </row>
    <row r="1992" spans="1:1" ht="12.75" customHeight="1">
      <c r="A1992" s="129">
        <v>1992</v>
      </c>
    </row>
    <row r="1993" spans="1:1" ht="12.75" customHeight="1">
      <c r="A1993" s="129">
        <v>1993</v>
      </c>
    </row>
    <row r="1994" spans="1:1" ht="12.75" customHeight="1">
      <c r="A1994" s="129">
        <v>1994</v>
      </c>
    </row>
    <row r="1995" spans="1:1" ht="12.75" customHeight="1">
      <c r="A1995" s="129">
        <v>1995</v>
      </c>
    </row>
    <row r="1996" spans="1:1" ht="12.75" customHeight="1">
      <c r="A1996" s="129">
        <v>1996</v>
      </c>
    </row>
    <row r="1997" spans="1:1" ht="12.75" customHeight="1">
      <c r="A1997" s="129">
        <v>1997</v>
      </c>
    </row>
    <row r="1998" spans="1:1" ht="12.75" customHeight="1">
      <c r="A1998" s="129">
        <v>1998</v>
      </c>
    </row>
    <row r="1999" spans="1:1" ht="12.75" customHeight="1">
      <c r="A1999" s="129">
        <v>1999</v>
      </c>
    </row>
    <row r="2000" spans="1:1" ht="12.75" customHeight="1">
      <c r="A2000" s="129">
        <v>2000</v>
      </c>
    </row>
    <row r="2001" spans="1:1" ht="12.75" customHeight="1">
      <c r="A2001" s="129">
        <v>2001</v>
      </c>
    </row>
    <row r="2002" spans="1:1" ht="12.75" customHeight="1">
      <c r="A2002" s="129">
        <v>2002</v>
      </c>
    </row>
    <row r="2003" spans="1:1" ht="12.75" customHeight="1">
      <c r="A2003" s="129">
        <v>2003</v>
      </c>
    </row>
    <row r="2004" spans="1:1" ht="12.75" customHeight="1">
      <c r="A2004" s="129">
        <v>2004</v>
      </c>
    </row>
    <row r="2005" spans="1:1" ht="12.75" customHeight="1">
      <c r="A2005" s="129">
        <v>2005</v>
      </c>
    </row>
    <row r="2006" spans="1:1" ht="12.75" customHeight="1">
      <c r="A2006" s="129">
        <v>2006</v>
      </c>
    </row>
    <row r="2007" spans="1:1" ht="12.75" customHeight="1">
      <c r="A2007" s="129">
        <v>2007</v>
      </c>
    </row>
    <row r="2008" spans="1:1" ht="12.75" customHeight="1">
      <c r="A2008" s="129">
        <v>2008</v>
      </c>
    </row>
    <row r="2009" spans="1:1" ht="12.75" customHeight="1">
      <c r="A2009" s="129">
        <v>2009</v>
      </c>
    </row>
    <row r="2010" spans="1:1" ht="12.75" customHeight="1">
      <c r="A2010" s="129">
        <v>2010</v>
      </c>
    </row>
    <row r="2011" spans="1:1" ht="12.75" customHeight="1">
      <c r="A2011" s="129">
        <v>2011</v>
      </c>
    </row>
    <row r="2012" spans="1:1" ht="12.75" customHeight="1">
      <c r="A2012" s="129">
        <v>2012</v>
      </c>
    </row>
    <row r="2013" spans="1:1" ht="12.75" customHeight="1">
      <c r="A2013" s="129">
        <v>2013</v>
      </c>
    </row>
    <row r="2014" spans="1:1" ht="12.75" customHeight="1">
      <c r="A2014" s="129">
        <v>2014</v>
      </c>
    </row>
    <row r="2015" spans="1:1" ht="12.75" customHeight="1">
      <c r="A2015" s="129">
        <v>2015</v>
      </c>
    </row>
    <row r="2016" spans="1:1" ht="12.75" customHeight="1">
      <c r="A2016" s="129">
        <v>2016</v>
      </c>
    </row>
    <row r="2017" spans="1:1" ht="12.75" customHeight="1">
      <c r="A2017" s="129">
        <v>2017</v>
      </c>
    </row>
    <row r="2018" spans="1:1" ht="12.75" customHeight="1">
      <c r="A2018" s="129">
        <v>2018</v>
      </c>
    </row>
    <row r="2019" spans="1:1" ht="12.75" customHeight="1">
      <c r="A2019" s="129">
        <v>2019</v>
      </c>
    </row>
    <row r="2020" spans="1:1" ht="12.75" customHeight="1">
      <c r="A2020" s="129">
        <v>2020</v>
      </c>
    </row>
    <row r="2021" spans="1:1" ht="12.75" customHeight="1">
      <c r="A2021" s="129">
        <v>2021</v>
      </c>
    </row>
    <row r="2022" spans="1:1" ht="12.75" customHeight="1">
      <c r="A2022" s="129">
        <v>2022</v>
      </c>
    </row>
    <row r="2023" spans="1:1" ht="12.75" customHeight="1">
      <c r="A2023" s="129">
        <v>2023</v>
      </c>
    </row>
    <row r="2024" spans="1:1" ht="12.75" customHeight="1">
      <c r="A2024" s="129">
        <v>2024</v>
      </c>
    </row>
    <row r="2025" spans="1:1" ht="12.75" customHeight="1">
      <c r="A2025" s="129">
        <v>2025</v>
      </c>
    </row>
    <row r="2026" spans="1:1" ht="12.75" customHeight="1">
      <c r="A2026" s="129">
        <v>2026</v>
      </c>
    </row>
    <row r="2027" spans="1:1" ht="12.75" customHeight="1">
      <c r="A2027" s="129">
        <v>2027</v>
      </c>
    </row>
    <row r="2028" spans="1:1" ht="12.75" customHeight="1">
      <c r="A2028" s="129">
        <v>2028</v>
      </c>
    </row>
    <row r="2029" spans="1:1" ht="12.75" customHeight="1">
      <c r="A2029" s="129">
        <v>2029</v>
      </c>
    </row>
    <row r="2030" spans="1:1" ht="12.75" customHeight="1">
      <c r="A2030" s="129">
        <v>2030</v>
      </c>
    </row>
    <row r="2031" spans="1:1" ht="12.75" customHeight="1">
      <c r="A2031" s="129">
        <v>2031</v>
      </c>
    </row>
    <row r="2032" spans="1:1" ht="12.75" customHeight="1">
      <c r="A2032" s="129">
        <v>2032</v>
      </c>
    </row>
    <row r="2033" spans="1:1" ht="12.75" customHeight="1">
      <c r="A2033" s="129">
        <v>2033</v>
      </c>
    </row>
    <row r="2034" spans="1:1" ht="12.75" customHeight="1">
      <c r="A2034" s="129">
        <v>2034</v>
      </c>
    </row>
    <row r="2035" spans="1:1" ht="12.75" customHeight="1">
      <c r="A2035" s="129">
        <v>2035</v>
      </c>
    </row>
    <row r="2036" spans="1:1" ht="12.75" customHeight="1">
      <c r="A2036" s="129">
        <v>2036</v>
      </c>
    </row>
    <row r="2037" spans="1:1" ht="12.75" customHeight="1">
      <c r="A2037" s="129">
        <v>2037</v>
      </c>
    </row>
    <row r="2038" spans="1:1" ht="12.75" customHeight="1">
      <c r="A2038" s="129">
        <v>2038</v>
      </c>
    </row>
    <row r="2039" spans="1:1" ht="12.75" customHeight="1">
      <c r="A2039" s="129">
        <v>2039</v>
      </c>
    </row>
    <row r="2040" spans="1:1" ht="12.75" customHeight="1">
      <c r="A2040" s="129">
        <v>2040</v>
      </c>
    </row>
    <row r="2041" spans="1:1" ht="12.75" customHeight="1">
      <c r="A2041" s="129">
        <v>2041</v>
      </c>
    </row>
    <row r="2042" spans="1:1" ht="12.75" customHeight="1">
      <c r="A2042" s="129">
        <v>2042</v>
      </c>
    </row>
    <row r="2043" spans="1:1" ht="12.75" customHeight="1">
      <c r="A2043" s="129">
        <v>2043</v>
      </c>
    </row>
    <row r="2044" spans="1:1" ht="12.75" customHeight="1">
      <c r="A2044" s="129">
        <v>2044</v>
      </c>
    </row>
    <row r="2045" spans="1:1" ht="12.75" customHeight="1">
      <c r="A2045" s="129">
        <v>2045</v>
      </c>
    </row>
    <row r="2046" spans="1:1" ht="12.75" customHeight="1">
      <c r="A2046" s="129">
        <v>2046</v>
      </c>
    </row>
    <row r="2047" spans="1:1" ht="12.75" customHeight="1">
      <c r="A2047" s="129">
        <v>2047</v>
      </c>
    </row>
    <row r="2048" spans="1:1" ht="12.75" customHeight="1">
      <c r="A2048" s="129">
        <v>2048</v>
      </c>
    </row>
    <row r="2049" spans="1:1" ht="12.75" customHeight="1">
      <c r="A2049" s="129">
        <v>2049</v>
      </c>
    </row>
    <row r="2050" spans="1:1" ht="12.75" customHeight="1">
      <c r="A2050" s="129">
        <v>2050</v>
      </c>
    </row>
    <row r="2051" spans="1:1" ht="12.75" customHeight="1">
      <c r="A2051" s="129">
        <v>2051</v>
      </c>
    </row>
    <row r="2052" spans="1:1" ht="12.75" customHeight="1">
      <c r="A2052" s="129">
        <v>2052</v>
      </c>
    </row>
    <row r="2053" spans="1:1" ht="12.75" customHeight="1">
      <c r="A2053" s="129">
        <v>2053</v>
      </c>
    </row>
    <row r="2054" spans="1:1" ht="12.75" customHeight="1">
      <c r="A2054" s="129">
        <v>2054</v>
      </c>
    </row>
    <row r="2055" spans="1:1" ht="12.75" customHeight="1">
      <c r="A2055" s="129">
        <v>2055</v>
      </c>
    </row>
    <row r="2056" spans="1:1" ht="12.75" customHeight="1">
      <c r="A2056" s="129">
        <v>2056</v>
      </c>
    </row>
    <row r="2057" spans="1:1" ht="12.75" customHeight="1">
      <c r="A2057" s="129">
        <v>2057</v>
      </c>
    </row>
    <row r="2058" spans="1:1" ht="12.75" customHeight="1">
      <c r="A2058" s="129">
        <v>2058</v>
      </c>
    </row>
    <row r="2059" spans="1:1" ht="12.75" customHeight="1">
      <c r="A2059" s="129">
        <v>2059</v>
      </c>
    </row>
    <row r="2060" spans="1:1" ht="12.75" customHeight="1">
      <c r="A2060" s="129">
        <v>2060</v>
      </c>
    </row>
    <row r="2061" spans="1:1" ht="12.75" customHeight="1">
      <c r="A2061" s="129">
        <v>2061</v>
      </c>
    </row>
    <row r="2062" spans="1:1" ht="12.75" customHeight="1">
      <c r="A2062" s="129">
        <v>2062</v>
      </c>
    </row>
    <row r="2063" spans="1:1" ht="12.75" customHeight="1">
      <c r="A2063" s="129">
        <v>2063</v>
      </c>
    </row>
    <row r="2064" spans="1:1" ht="12.75" customHeight="1">
      <c r="A2064" s="129">
        <v>2064</v>
      </c>
    </row>
    <row r="2065" spans="1:1" ht="12.75" customHeight="1">
      <c r="A2065" s="129">
        <v>2065</v>
      </c>
    </row>
    <row r="2066" spans="1:1" ht="12.75" customHeight="1">
      <c r="A2066" s="129">
        <v>2066</v>
      </c>
    </row>
    <row r="2067" spans="1:1" ht="12.75" customHeight="1">
      <c r="A2067" s="129">
        <v>2067</v>
      </c>
    </row>
    <row r="2068" spans="1:1" ht="12.75" customHeight="1">
      <c r="A2068" s="129">
        <v>2068</v>
      </c>
    </row>
    <row r="2069" spans="1:1" ht="12.75" customHeight="1">
      <c r="A2069" s="129">
        <v>2069</v>
      </c>
    </row>
    <row r="2070" spans="1:1" ht="12.75" customHeight="1">
      <c r="A2070" s="129">
        <v>2070</v>
      </c>
    </row>
    <row r="2071" spans="1:1" ht="12.75" customHeight="1">
      <c r="A2071" s="129">
        <v>2071</v>
      </c>
    </row>
    <row r="2072" spans="1:1" ht="12.75" customHeight="1">
      <c r="A2072" s="129">
        <v>2072</v>
      </c>
    </row>
    <row r="2073" spans="1:1" ht="12.75" customHeight="1">
      <c r="A2073" s="129">
        <v>2073</v>
      </c>
    </row>
    <row r="2074" spans="1:1" ht="12.75" customHeight="1">
      <c r="A2074" s="129">
        <v>2074</v>
      </c>
    </row>
    <row r="2075" spans="1:1" ht="12.75" customHeight="1">
      <c r="A2075" s="129">
        <v>2075</v>
      </c>
    </row>
    <row r="2076" spans="1:1" ht="12.75" customHeight="1">
      <c r="A2076" s="129">
        <v>2076</v>
      </c>
    </row>
    <row r="2077" spans="1:1" ht="12.75" customHeight="1">
      <c r="A2077" s="129">
        <v>2077</v>
      </c>
    </row>
    <row r="2078" spans="1:1" ht="12.75" customHeight="1">
      <c r="A2078" s="129">
        <v>2078</v>
      </c>
    </row>
    <row r="2079" spans="1:1" ht="12.75" customHeight="1">
      <c r="A2079" s="129">
        <v>2079</v>
      </c>
    </row>
    <row r="2080" spans="1:1" ht="12.75" customHeight="1">
      <c r="A2080" s="129">
        <v>2080</v>
      </c>
    </row>
    <row r="2081" spans="1:1" ht="12.75" customHeight="1">
      <c r="A2081" s="129">
        <v>2081</v>
      </c>
    </row>
    <row r="2082" spans="1:1" ht="12.75" customHeight="1">
      <c r="A2082" s="129">
        <v>2082</v>
      </c>
    </row>
    <row r="2083" spans="1:1" ht="12.75" customHeight="1">
      <c r="A2083" s="129">
        <v>2083</v>
      </c>
    </row>
    <row r="2084" spans="1:1" ht="12.75" customHeight="1">
      <c r="A2084" s="129">
        <v>2084</v>
      </c>
    </row>
    <row r="2085" spans="1:1" ht="12.75" customHeight="1">
      <c r="A2085" s="129">
        <v>2085</v>
      </c>
    </row>
    <row r="2086" spans="1:1" ht="12.75" customHeight="1">
      <c r="A2086" s="129">
        <v>2086</v>
      </c>
    </row>
    <row r="2087" spans="1:1" ht="12.75" customHeight="1">
      <c r="A2087" s="129">
        <v>2087</v>
      </c>
    </row>
    <row r="2088" spans="1:1" ht="12.75" customHeight="1">
      <c r="A2088" s="129">
        <v>2088</v>
      </c>
    </row>
    <row r="2089" spans="1:1" ht="12.75" customHeight="1">
      <c r="A2089" s="129">
        <v>2089</v>
      </c>
    </row>
    <row r="2090" spans="1:1" ht="12.75" customHeight="1">
      <c r="A2090" s="129">
        <v>2090</v>
      </c>
    </row>
    <row r="2091" spans="1:1" ht="12.75" customHeight="1">
      <c r="A2091" s="129">
        <v>2091</v>
      </c>
    </row>
    <row r="2092" spans="1:1" ht="12.75" customHeight="1">
      <c r="A2092" s="129">
        <v>2092</v>
      </c>
    </row>
    <row r="2093" spans="1:1" ht="12.75" customHeight="1">
      <c r="A2093" s="129">
        <v>2093</v>
      </c>
    </row>
    <row r="2094" spans="1:1" ht="12.75" customHeight="1">
      <c r="A2094" s="129">
        <v>2094</v>
      </c>
    </row>
    <row r="2095" spans="1:1" ht="12.75" customHeight="1">
      <c r="A2095" s="129">
        <v>2095</v>
      </c>
    </row>
    <row r="2096" spans="1:1" ht="12.75" customHeight="1">
      <c r="A2096" s="129">
        <v>2096</v>
      </c>
    </row>
    <row r="2097" spans="1:1" ht="12.75" customHeight="1">
      <c r="A2097" s="129">
        <v>2097</v>
      </c>
    </row>
    <row r="2098" spans="1:1" ht="12.75" customHeight="1">
      <c r="A2098" s="129">
        <v>2098</v>
      </c>
    </row>
    <row r="2099" spans="1:1" ht="12.75" customHeight="1">
      <c r="A2099" s="129">
        <v>2099</v>
      </c>
    </row>
    <row r="2100" spans="1:1" ht="12.75" customHeight="1">
      <c r="A2100" s="129">
        <v>2100</v>
      </c>
    </row>
    <row r="2101" spans="1:1" ht="12.75" customHeight="1">
      <c r="A2101" s="129">
        <v>2101</v>
      </c>
    </row>
    <row r="2102" spans="1:1" ht="12.75" customHeight="1">
      <c r="A2102" s="129">
        <v>2102</v>
      </c>
    </row>
    <row r="2103" spans="1:1" ht="12.75" customHeight="1">
      <c r="A2103" s="129">
        <v>2103</v>
      </c>
    </row>
    <row r="2104" spans="1:1" ht="12.75" customHeight="1">
      <c r="A2104" s="129">
        <v>2104</v>
      </c>
    </row>
    <row r="2105" spans="1:1" ht="12.75" customHeight="1">
      <c r="A2105" s="129">
        <v>2105</v>
      </c>
    </row>
    <row r="2106" spans="1:1" ht="12.75" customHeight="1">
      <c r="A2106" s="129">
        <v>2106</v>
      </c>
    </row>
    <row r="2107" spans="1:1" ht="12.75" customHeight="1">
      <c r="A2107" s="129">
        <v>2107</v>
      </c>
    </row>
    <row r="2108" spans="1:1" ht="12.75" customHeight="1">
      <c r="A2108" s="129">
        <v>2108</v>
      </c>
    </row>
    <row r="2109" spans="1:1" ht="12.75" customHeight="1">
      <c r="A2109" s="129">
        <v>2109</v>
      </c>
    </row>
    <row r="2110" spans="1:1" ht="12.75" customHeight="1">
      <c r="A2110" s="129">
        <v>2110</v>
      </c>
    </row>
    <row r="2111" spans="1:1" ht="12.75" customHeight="1">
      <c r="A2111" s="129">
        <v>2111</v>
      </c>
    </row>
    <row r="2112" spans="1:1" ht="12.75" customHeight="1">
      <c r="A2112" s="129">
        <v>2112</v>
      </c>
    </row>
    <row r="2113" spans="1:1" ht="12.75" customHeight="1">
      <c r="A2113" s="129">
        <v>2113</v>
      </c>
    </row>
    <row r="2114" spans="1:1" ht="12.75" customHeight="1">
      <c r="A2114" s="129">
        <v>2114</v>
      </c>
    </row>
    <row r="2115" spans="1:1" ht="12.75" customHeight="1">
      <c r="A2115" s="129">
        <v>2115</v>
      </c>
    </row>
    <row r="2116" spans="1:1" ht="12.75" customHeight="1">
      <c r="A2116" s="129">
        <v>2116</v>
      </c>
    </row>
    <row r="2117" spans="1:1" ht="12.75" customHeight="1">
      <c r="A2117" s="129">
        <v>2117</v>
      </c>
    </row>
    <row r="2118" spans="1:1" ht="12.75" customHeight="1">
      <c r="A2118" s="129">
        <v>2118</v>
      </c>
    </row>
    <row r="2119" spans="1:1" ht="12.75" customHeight="1">
      <c r="A2119" s="129">
        <v>2119</v>
      </c>
    </row>
    <row r="2120" spans="1:1" ht="12.75" customHeight="1">
      <c r="A2120" s="129">
        <v>2120</v>
      </c>
    </row>
    <row r="2121" spans="1:1" ht="12.75" customHeight="1">
      <c r="A2121" s="129">
        <v>2121</v>
      </c>
    </row>
    <row r="2122" spans="1:1" ht="12.75" customHeight="1">
      <c r="A2122" s="129">
        <v>2122</v>
      </c>
    </row>
    <row r="2123" spans="1:1" ht="12.75" customHeight="1">
      <c r="A2123" s="129">
        <v>2123</v>
      </c>
    </row>
    <row r="2124" spans="1:1" ht="12.75" customHeight="1">
      <c r="A2124" s="129">
        <v>2124</v>
      </c>
    </row>
    <row r="2125" spans="1:1" ht="12.75" customHeight="1">
      <c r="A2125" s="129">
        <v>2125</v>
      </c>
    </row>
    <row r="2126" spans="1:1" ht="12.75" customHeight="1">
      <c r="A2126" s="129">
        <v>2126</v>
      </c>
    </row>
    <row r="2127" spans="1:1" ht="12.75" customHeight="1">
      <c r="A2127" s="129">
        <v>2127</v>
      </c>
    </row>
    <row r="2128" spans="1:1" ht="12.75" customHeight="1">
      <c r="A2128" s="129">
        <v>2128</v>
      </c>
    </row>
    <row r="2129" spans="1:1" ht="12.75" customHeight="1">
      <c r="A2129" s="129">
        <v>2129</v>
      </c>
    </row>
    <row r="2130" spans="1:1" ht="12.75" customHeight="1">
      <c r="A2130" s="129">
        <v>2130</v>
      </c>
    </row>
    <row r="2131" spans="1:1" ht="12.75" customHeight="1">
      <c r="A2131" s="129">
        <v>2131</v>
      </c>
    </row>
    <row r="2132" spans="1:1" ht="12.75" customHeight="1">
      <c r="A2132" s="129">
        <v>2132</v>
      </c>
    </row>
    <row r="2133" spans="1:1" ht="12.75" customHeight="1">
      <c r="A2133" s="129">
        <v>2133</v>
      </c>
    </row>
    <row r="2134" spans="1:1" ht="12.75" customHeight="1">
      <c r="A2134" s="129">
        <v>2134</v>
      </c>
    </row>
    <row r="2135" spans="1:1" ht="12.75" customHeight="1">
      <c r="A2135" s="129">
        <v>2135</v>
      </c>
    </row>
    <row r="2136" spans="1:1" ht="12.75" customHeight="1">
      <c r="A2136" s="129">
        <v>2136</v>
      </c>
    </row>
    <row r="2137" spans="1:1" ht="12.75" customHeight="1">
      <c r="A2137" s="129">
        <v>2137</v>
      </c>
    </row>
    <row r="2138" spans="1:1" ht="12.75" customHeight="1">
      <c r="A2138" s="129">
        <v>2138</v>
      </c>
    </row>
    <row r="2139" spans="1:1" ht="12.75" customHeight="1">
      <c r="A2139" s="129">
        <v>2139</v>
      </c>
    </row>
    <row r="2140" spans="1:1" ht="12.75" customHeight="1">
      <c r="A2140" s="129">
        <v>2140</v>
      </c>
    </row>
    <row r="2141" spans="1:1" ht="12.75" customHeight="1">
      <c r="A2141" s="129">
        <v>2141</v>
      </c>
    </row>
    <row r="2142" spans="1:1" ht="12.75" customHeight="1">
      <c r="A2142" s="129">
        <v>2142</v>
      </c>
    </row>
    <row r="2143" spans="1:1" ht="12.75" customHeight="1">
      <c r="A2143" s="129">
        <v>2143</v>
      </c>
    </row>
    <row r="2144" spans="1:1" ht="12.75" customHeight="1">
      <c r="A2144" s="129">
        <v>2144</v>
      </c>
    </row>
    <row r="2145" spans="1:1" ht="12.75" customHeight="1">
      <c r="A2145" s="129">
        <v>2145</v>
      </c>
    </row>
    <row r="2146" spans="1:1" ht="12.75" customHeight="1">
      <c r="A2146" s="129">
        <v>2146</v>
      </c>
    </row>
    <row r="2147" spans="1:1" ht="12.75" customHeight="1">
      <c r="A2147" s="129">
        <v>2147</v>
      </c>
    </row>
    <row r="2148" spans="1:1" ht="12.75" customHeight="1">
      <c r="A2148" s="129">
        <v>2148</v>
      </c>
    </row>
    <row r="2149" spans="1:1" ht="12.75" customHeight="1">
      <c r="A2149" s="129">
        <v>2149</v>
      </c>
    </row>
    <row r="2150" spans="1:1" ht="12.75" customHeight="1">
      <c r="A2150" s="129">
        <v>2150</v>
      </c>
    </row>
    <row r="2151" spans="1:1" ht="12.75" customHeight="1">
      <c r="A2151" s="129">
        <v>2151</v>
      </c>
    </row>
    <row r="2152" spans="1:1" ht="12.75" customHeight="1">
      <c r="A2152" s="129">
        <v>2152</v>
      </c>
    </row>
    <row r="2153" spans="1:1" ht="12.75" customHeight="1">
      <c r="A2153" s="129">
        <v>2153</v>
      </c>
    </row>
    <row r="2154" spans="1:1" ht="12.75" customHeight="1">
      <c r="A2154" s="129">
        <v>2154</v>
      </c>
    </row>
    <row r="2155" spans="1:1" ht="12.75" customHeight="1">
      <c r="A2155" s="129">
        <v>2155</v>
      </c>
    </row>
    <row r="2156" spans="1:1" ht="12.75" customHeight="1">
      <c r="A2156" s="129">
        <v>2156</v>
      </c>
    </row>
    <row r="2157" spans="1:1" ht="12.75" customHeight="1">
      <c r="A2157" s="129">
        <v>2157</v>
      </c>
    </row>
    <row r="2158" spans="1:1" ht="12.75" customHeight="1">
      <c r="A2158" s="129">
        <v>2158</v>
      </c>
    </row>
    <row r="2159" spans="1:1" ht="12.75" customHeight="1">
      <c r="A2159" s="129">
        <v>2159</v>
      </c>
    </row>
    <row r="2160" spans="1:1" ht="12.75" customHeight="1">
      <c r="A2160" s="129">
        <v>2160</v>
      </c>
    </row>
    <row r="2161" spans="1:1" ht="12.75" customHeight="1">
      <c r="A2161" s="129">
        <v>2161</v>
      </c>
    </row>
    <row r="2162" spans="1:1" ht="12.75" customHeight="1">
      <c r="A2162" s="129">
        <v>2162</v>
      </c>
    </row>
    <row r="2163" spans="1:1" ht="12.75" customHeight="1">
      <c r="A2163" s="129">
        <v>2163</v>
      </c>
    </row>
    <row r="2164" spans="1:1" ht="12.75" customHeight="1">
      <c r="A2164" s="129">
        <v>2164</v>
      </c>
    </row>
    <row r="2165" spans="1:1" ht="12.75" customHeight="1">
      <c r="A2165" s="129">
        <v>2165</v>
      </c>
    </row>
    <row r="2166" spans="1:1" ht="12.75" customHeight="1">
      <c r="A2166" s="129">
        <v>2166</v>
      </c>
    </row>
    <row r="2167" spans="1:1" ht="12.75" customHeight="1">
      <c r="A2167" s="129">
        <v>2167</v>
      </c>
    </row>
    <row r="2168" spans="1:1" ht="12.75" customHeight="1">
      <c r="A2168" s="129">
        <v>2168</v>
      </c>
    </row>
    <row r="2169" spans="1:1" ht="12.75" customHeight="1">
      <c r="A2169" s="129">
        <v>2169</v>
      </c>
    </row>
    <row r="2170" spans="1:1" ht="12.75" customHeight="1">
      <c r="A2170" s="129">
        <v>2170</v>
      </c>
    </row>
    <row r="2171" spans="1:1" ht="12.75" customHeight="1">
      <c r="A2171" s="129">
        <v>2171</v>
      </c>
    </row>
    <row r="2172" spans="1:1" ht="12.75" customHeight="1">
      <c r="A2172" s="129">
        <v>2172</v>
      </c>
    </row>
    <row r="2173" spans="1:1" ht="12.75" customHeight="1">
      <c r="A2173" s="129">
        <v>2173</v>
      </c>
    </row>
    <row r="2174" spans="1:1" ht="12.75" customHeight="1">
      <c r="A2174" s="129">
        <v>2174</v>
      </c>
    </row>
    <row r="2175" spans="1:1" ht="12.75" customHeight="1">
      <c r="A2175" s="129">
        <v>2175</v>
      </c>
    </row>
    <row r="2176" spans="1:1" ht="12.75" customHeight="1">
      <c r="A2176" s="129">
        <v>2176</v>
      </c>
    </row>
    <row r="2177" spans="1:1" ht="12.75" customHeight="1">
      <c r="A2177" s="129">
        <v>2177</v>
      </c>
    </row>
    <row r="2178" spans="1:1" ht="12.75" customHeight="1">
      <c r="A2178" s="129">
        <v>2178</v>
      </c>
    </row>
    <row r="2179" spans="1:1" ht="12.75" customHeight="1">
      <c r="A2179" s="129">
        <v>2179</v>
      </c>
    </row>
    <row r="2180" spans="1:1" ht="12.75" customHeight="1">
      <c r="A2180" s="129">
        <v>2180</v>
      </c>
    </row>
    <row r="2181" spans="1:1" ht="12.75" customHeight="1">
      <c r="A2181" s="129">
        <v>2181</v>
      </c>
    </row>
    <row r="2182" spans="1:1" ht="12.75" customHeight="1">
      <c r="A2182" s="129">
        <v>2182</v>
      </c>
    </row>
    <row r="2183" spans="1:1" ht="12.75" customHeight="1">
      <c r="A2183" s="129">
        <v>2183</v>
      </c>
    </row>
    <row r="2184" spans="1:1" ht="12.75" customHeight="1">
      <c r="A2184" s="129">
        <v>2184</v>
      </c>
    </row>
    <row r="2185" spans="1:1" ht="12.75" customHeight="1">
      <c r="A2185" s="129">
        <v>2185</v>
      </c>
    </row>
    <row r="2186" spans="1:1" ht="12.75" customHeight="1">
      <c r="A2186" s="129">
        <v>2186</v>
      </c>
    </row>
    <row r="2187" spans="1:1" ht="12.75" customHeight="1">
      <c r="A2187" s="129">
        <v>2187</v>
      </c>
    </row>
    <row r="2188" spans="1:1" ht="12.75" customHeight="1">
      <c r="A2188" s="129">
        <v>2188</v>
      </c>
    </row>
    <row r="2189" spans="1:1" ht="12.75" customHeight="1">
      <c r="A2189" s="129">
        <v>2189</v>
      </c>
    </row>
    <row r="2190" spans="1:1" ht="12.75" customHeight="1">
      <c r="A2190" s="129">
        <v>2190</v>
      </c>
    </row>
    <row r="2191" spans="1:1" ht="12.75" customHeight="1">
      <c r="A2191" s="129">
        <v>2191</v>
      </c>
    </row>
    <row r="2192" spans="1:1" ht="12.75" customHeight="1">
      <c r="A2192" s="129">
        <v>2192</v>
      </c>
    </row>
    <row r="2193" spans="1:1" ht="12.75" customHeight="1">
      <c r="A2193" s="129">
        <v>2193</v>
      </c>
    </row>
    <row r="2194" spans="1:1" ht="12.75" customHeight="1">
      <c r="A2194" s="129">
        <v>2194</v>
      </c>
    </row>
    <row r="2195" spans="1:1" ht="12.75" customHeight="1">
      <c r="A2195" s="129">
        <v>2195</v>
      </c>
    </row>
    <row r="2196" spans="1:1" ht="12.75" customHeight="1">
      <c r="A2196" s="129">
        <v>2196</v>
      </c>
    </row>
    <row r="2197" spans="1:1" ht="12.75" customHeight="1">
      <c r="A2197" s="129">
        <v>2197</v>
      </c>
    </row>
    <row r="2198" spans="1:1" ht="12.75" customHeight="1">
      <c r="A2198" s="129">
        <v>2198</v>
      </c>
    </row>
    <row r="2199" spans="1:1" ht="12.75" customHeight="1">
      <c r="A2199" s="129">
        <v>2199</v>
      </c>
    </row>
    <row r="2200" spans="1:1" ht="12.75" customHeight="1">
      <c r="A2200" s="129">
        <v>2200</v>
      </c>
    </row>
    <row r="2201" spans="1:1" ht="12.75" customHeight="1">
      <c r="A2201" s="129">
        <v>2201</v>
      </c>
    </row>
    <row r="2202" spans="1:1" ht="12.75" customHeight="1">
      <c r="A2202" s="129">
        <v>2202</v>
      </c>
    </row>
    <row r="2203" spans="1:1" ht="12.75" customHeight="1">
      <c r="A2203" s="129">
        <v>2203</v>
      </c>
    </row>
    <row r="2204" spans="1:1" ht="12.75" customHeight="1">
      <c r="A2204" s="129">
        <v>2204</v>
      </c>
    </row>
    <row r="2205" spans="1:1" ht="12.75" customHeight="1">
      <c r="A2205" s="129">
        <v>2205</v>
      </c>
    </row>
    <row r="2206" spans="1:1" ht="12.75" customHeight="1">
      <c r="A2206" s="129">
        <v>2206</v>
      </c>
    </row>
    <row r="2207" spans="1:1" ht="12.75" customHeight="1">
      <c r="A2207" s="129">
        <v>2207</v>
      </c>
    </row>
    <row r="2208" spans="1:1" ht="12.75" customHeight="1">
      <c r="A2208" s="129">
        <v>2208</v>
      </c>
    </row>
    <row r="2209" spans="1:1" ht="12.75" customHeight="1">
      <c r="A2209" s="129">
        <v>2209</v>
      </c>
    </row>
    <row r="2210" spans="1:1" ht="12.75" customHeight="1">
      <c r="A2210" s="129">
        <v>2210</v>
      </c>
    </row>
    <row r="2211" spans="1:1" ht="12.75" customHeight="1">
      <c r="A2211" s="129">
        <v>2211</v>
      </c>
    </row>
    <row r="2212" spans="1:1" ht="12.75" customHeight="1">
      <c r="A2212" s="129">
        <v>2212</v>
      </c>
    </row>
    <row r="2213" spans="1:1" ht="12.75" customHeight="1">
      <c r="A2213" s="129">
        <v>2213</v>
      </c>
    </row>
    <row r="2214" spans="1:1" ht="12.75" customHeight="1">
      <c r="A2214" s="129">
        <v>2214</v>
      </c>
    </row>
    <row r="2215" spans="1:1" ht="12.75" customHeight="1">
      <c r="A2215" s="129">
        <v>2215</v>
      </c>
    </row>
    <row r="2216" spans="1:1" ht="12.75" customHeight="1">
      <c r="A2216" s="129">
        <v>2216</v>
      </c>
    </row>
    <row r="2217" spans="1:1" ht="12.75" customHeight="1">
      <c r="A2217" s="129">
        <v>2217</v>
      </c>
    </row>
    <row r="2218" spans="1:1" ht="12.75" customHeight="1">
      <c r="A2218" s="129">
        <v>2218</v>
      </c>
    </row>
    <row r="2219" spans="1:1" ht="12.75" customHeight="1">
      <c r="A2219" s="129">
        <v>2219</v>
      </c>
    </row>
    <row r="2220" spans="1:1" ht="12.75" customHeight="1">
      <c r="A2220" s="129">
        <v>2220</v>
      </c>
    </row>
    <row r="2221" spans="1:1" ht="12.75" customHeight="1">
      <c r="A2221" s="129">
        <v>2221</v>
      </c>
    </row>
    <row r="2222" spans="1:1" ht="12.75" customHeight="1">
      <c r="A2222" s="129">
        <v>2222</v>
      </c>
    </row>
    <row r="2223" spans="1:1" ht="12.75" customHeight="1">
      <c r="A2223" s="129">
        <v>2223</v>
      </c>
    </row>
    <row r="2224" spans="1:1" ht="12.75" customHeight="1">
      <c r="A2224" s="129">
        <v>2224</v>
      </c>
    </row>
    <row r="2225" spans="1:1" ht="12.75" customHeight="1">
      <c r="A2225" s="129">
        <v>2225</v>
      </c>
    </row>
    <row r="2226" spans="1:1" ht="12.75" customHeight="1">
      <c r="A2226" s="129">
        <v>2226</v>
      </c>
    </row>
    <row r="2227" spans="1:1" ht="12.75" customHeight="1">
      <c r="A2227" s="129">
        <v>2227</v>
      </c>
    </row>
    <row r="2228" spans="1:1" ht="12.75" customHeight="1">
      <c r="A2228" s="129">
        <v>2228</v>
      </c>
    </row>
    <row r="2229" spans="1:1" ht="12.75" customHeight="1">
      <c r="A2229" s="129">
        <v>2229</v>
      </c>
    </row>
    <row r="2230" spans="1:1" ht="12.75" customHeight="1">
      <c r="A2230" s="129">
        <v>2230</v>
      </c>
    </row>
    <row r="2231" spans="1:1" ht="12.75" customHeight="1">
      <c r="A2231" s="129">
        <v>2231</v>
      </c>
    </row>
    <row r="2232" spans="1:1" ht="12.75" customHeight="1">
      <c r="A2232" s="129">
        <v>2232</v>
      </c>
    </row>
    <row r="2233" spans="1:1" ht="12.75" customHeight="1">
      <c r="A2233" s="129">
        <v>2233</v>
      </c>
    </row>
    <row r="2234" spans="1:1" ht="12.75" customHeight="1">
      <c r="A2234" s="129">
        <v>2234</v>
      </c>
    </row>
    <row r="2235" spans="1:1" ht="12.75" customHeight="1">
      <c r="A2235" s="129">
        <v>2235</v>
      </c>
    </row>
    <row r="2236" spans="1:1" ht="12.75" customHeight="1">
      <c r="A2236" s="129">
        <v>2236</v>
      </c>
    </row>
    <row r="2237" spans="1:1" ht="12.75" customHeight="1">
      <c r="A2237" s="129">
        <v>2237</v>
      </c>
    </row>
    <row r="2238" spans="1:1" ht="12.75" customHeight="1">
      <c r="A2238" s="129">
        <v>2238</v>
      </c>
    </row>
    <row r="2239" spans="1:1" ht="12.75" customHeight="1">
      <c r="A2239" s="129">
        <v>2239</v>
      </c>
    </row>
    <row r="2240" spans="1:1" ht="12.75" customHeight="1">
      <c r="A2240" s="129">
        <v>2240</v>
      </c>
    </row>
    <row r="2241" spans="1:1" ht="12.75" customHeight="1">
      <c r="A2241" s="129">
        <v>2241</v>
      </c>
    </row>
    <row r="2242" spans="1:1" ht="12.75" customHeight="1">
      <c r="A2242" s="129">
        <v>2242</v>
      </c>
    </row>
    <row r="2243" spans="1:1" ht="12.75" customHeight="1">
      <c r="A2243" s="129">
        <v>2243</v>
      </c>
    </row>
    <row r="2244" spans="1:1" ht="12.75" customHeight="1">
      <c r="A2244" s="129">
        <v>2244</v>
      </c>
    </row>
    <row r="2245" spans="1:1" ht="12.75" customHeight="1">
      <c r="A2245" s="129">
        <v>2245</v>
      </c>
    </row>
    <row r="2246" spans="1:1" ht="12.75" customHeight="1">
      <c r="A2246" s="129">
        <v>2246</v>
      </c>
    </row>
    <row r="2247" spans="1:1" ht="12.75" customHeight="1">
      <c r="A2247" s="129">
        <v>2247</v>
      </c>
    </row>
    <row r="2248" spans="1:1" ht="12.75" customHeight="1">
      <c r="A2248" s="129">
        <v>2248</v>
      </c>
    </row>
    <row r="2249" spans="1:1" ht="12.75" customHeight="1">
      <c r="A2249" s="129">
        <v>2249</v>
      </c>
    </row>
    <row r="2250" spans="1:1" ht="12.75" customHeight="1">
      <c r="A2250" s="129">
        <v>2250</v>
      </c>
    </row>
    <row r="2251" spans="1:1" ht="12.75" customHeight="1">
      <c r="A2251" s="129">
        <v>2251</v>
      </c>
    </row>
    <row r="2252" spans="1:1" ht="12.75" customHeight="1">
      <c r="A2252" s="129">
        <v>2252</v>
      </c>
    </row>
    <row r="2253" spans="1:1" ht="12.75" customHeight="1">
      <c r="A2253" s="129">
        <v>2253</v>
      </c>
    </row>
    <row r="2254" spans="1:1" ht="12.75" customHeight="1">
      <c r="A2254" s="129">
        <v>2254</v>
      </c>
    </row>
    <row r="2255" spans="1:1" ht="12.75" customHeight="1">
      <c r="A2255" s="129">
        <v>2255</v>
      </c>
    </row>
    <row r="2256" spans="1:1" ht="12.75" customHeight="1">
      <c r="A2256" s="129">
        <v>2256</v>
      </c>
    </row>
    <row r="2257" spans="1:1" ht="12.75" customHeight="1">
      <c r="A2257" s="129">
        <v>2257</v>
      </c>
    </row>
    <row r="2258" spans="1:1" ht="12.75" customHeight="1">
      <c r="A2258" s="129">
        <v>2258</v>
      </c>
    </row>
    <row r="2259" spans="1:1" ht="12.75" customHeight="1">
      <c r="A2259" s="129">
        <v>2259</v>
      </c>
    </row>
    <row r="2260" spans="1:1" ht="12.75" customHeight="1">
      <c r="A2260" s="129">
        <v>2260</v>
      </c>
    </row>
    <row r="2261" spans="1:1" ht="12.75" customHeight="1">
      <c r="A2261" s="129">
        <v>2261</v>
      </c>
    </row>
    <row r="2262" spans="1:1" ht="12.75" customHeight="1">
      <c r="A2262" s="129">
        <v>2262</v>
      </c>
    </row>
    <row r="2263" spans="1:1" ht="12.75" customHeight="1">
      <c r="A2263" s="129">
        <v>2263</v>
      </c>
    </row>
    <row r="2264" spans="1:1" ht="12.75" customHeight="1">
      <c r="A2264" s="129">
        <v>2264</v>
      </c>
    </row>
    <row r="2265" spans="1:1" ht="12.75" customHeight="1">
      <c r="A2265" s="129">
        <v>2265</v>
      </c>
    </row>
    <row r="2266" spans="1:1" ht="12.75" customHeight="1">
      <c r="A2266" s="129">
        <v>2266</v>
      </c>
    </row>
    <row r="2267" spans="1:1" ht="12.75" customHeight="1">
      <c r="A2267" s="129">
        <v>2267</v>
      </c>
    </row>
    <row r="2268" spans="1:1" ht="12.75" customHeight="1">
      <c r="A2268" s="129">
        <v>2268</v>
      </c>
    </row>
    <row r="2269" spans="1:1" ht="12.75" customHeight="1">
      <c r="A2269" s="129">
        <v>2269</v>
      </c>
    </row>
    <row r="2270" spans="1:1" ht="12.75" customHeight="1">
      <c r="A2270" s="129">
        <v>2270</v>
      </c>
    </row>
    <row r="2271" spans="1:1" ht="12.75" customHeight="1">
      <c r="A2271" s="129">
        <v>2271</v>
      </c>
    </row>
    <row r="2272" spans="1:1" ht="12.75" customHeight="1">
      <c r="A2272" s="129">
        <v>2272</v>
      </c>
    </row>
    <row r="2273" spans="1:1" ht="12.75" customHeight="1">
      <c r="A2273" s="129">
        <v>2273</v>
      </c>
    </row>
    <row r="2274" spans="1:1" ht="12.75" customHeight="1">
      <c r="A2274" s="129">
        <v>2274</v>
      </c>
    </row>
    <row r="2275" spans="1:1" ht="12.75" customHeight="1">
      <c r="A2275" s="129">
        <v>2275</v>
      </c>
    </row>
    <row r="2276" spans="1:1" ht="12.75" customHeight="1">
      <c r="A2276" s="129">
        <v>2276</v>
      </c>
    </row>
    <row r="2277" spans="1:1" ht="12.75" customHeight="1">
      <c r="A2277" s="129">
        <v>2277</v>
      </c>
    </row>
    <row r="2278" spans="1:1" ht="12.75" customHeight="1">
      <c r="A2278" s="129">
        <v>2278</v>
      </c>
    </row>
    <row r="2279" spans="1:1" ht="12.75" customHeight="1">
      <c r="A2279" s="129">
        <v>2279</v>
      </c>
    </row>
    <row r="2280" spans="1:1" ht="12.75" customHeight="1">
      <c r="A2280" s="129">
        <v>2280</v>
      </c>
    </row>
    <row r="2281" spans="1:1" ht="12.75" customHeight="1">
      <c r="A2281" s="129">
        <v>2281</v>
      </c>
    </row>
    <row r="2282" spans="1:1" ht="12.75" customHeight="1">
      <c r="A2282" s="129">
        <v>2282</v>
      </c>
    </row>
    <row r="2283" spans="1:1" ht="12.75" customHeight="1">
      <c r="A2283" s="129">
        <v>2283</v>
      </c>
    </row>
    <row r="2284" spans="1:1" ht="12.75" customHeight="1">
      <c r="A2284" s="129">
        <v>2284</v>
      </c>
    </row>
    <row r="2285" spans="1:1" ht="12.75" customHeight="1">
      <c r="A2285" s="129">
        <v>2285</v>
      </c>
    </row>
    <row r="2286" spans="1:1" ht="12.75" customHeight="1">
      <c r="A2286" s="129">
        <v>2286</v>
      </c>
    </row>
    <row r="2287" spans="1:1" ht="12.75" customHeight="1">
      <c r="A2287" s="129">
        <v>2287</v>
      </c>
    </row>
    <row r="2288" spans="1:1" ht="12.75" customHeight="1">
      <c r="A2288" s="129">
        <v>2288</v>
      </c>
    </row>
    <row r="2289" spans="1:1" ht="12.75" customHeight="1">
      <c r="A2289" s="129">
        <v>2289</v>
      </c>
    </row>
    <row r="2290" spans="1:1" ht="12.75" customHeight="1">
      <c r="A2290" s="129">
        <v>2290</v>
      </c>
    </row>
    <row r="2291" spans="1:1" ht="12.75" customHeight="1">
      <c r="A2291" s="129">
        <v>2291</v>
      </c>
    </row>
    <row r="2292" spans="1:1" ht="12.75" customHeight="1">
      <c r="A2292" s="129">
        <v>2292</v>
      </c>
    </row>
    <row r="2293" spans="1:1" ht="12.75" customHeight="1">
      <c r="A2293" s="129">
        <v>2293</v>
      </c>
    </row>
    <row r="2294" spans="1:1" ht="12.75" customHeight="1">
      <c r="A2294" s="129">
        <v>2294</v>
      </c>
    </row>
    <row r="2295" spans="1:1" ht="12.75" customHeight="1">
      <c r="A2295" s="129">
        <v>2295</v>
      </c>
    </row>
    <row r="2296" spans="1:1" ht="12.75" customHeight="1">
      <c r="A2296" s="129">
        <v>2296</v>
      </c>
    </row>
    <row r="2297" spans="1:1" ht="12.75" customHeight="1">
      <c r="A2297" s="129">
        <v>2297</v>
      </c>
    </row>
    <row r="2298" spans="1:1" ht="12.75" customHeight="1">
      <c r="A2298" s="129">
        <v>2298</v>
      </c>
    </row>
    <row r="2299" spans="1:1" ht="12.75" customHeight="1">
      <c r="A2299" s="129">
        <v>2299</v>
      </c>
    </row>
    <row r="2300" spans="1:1" ht="12.75" customHeight="1">
      <c r="A2300" s="129">
        <v>2300</v>
      </c>
    </row>
    <row r="2301" spans="1:1" ht="12.75" customHeight="1">
      <c r="A2301" s="129">
        <v>2301</v>
      </c>
    </row>
    <row r="2302" spans="1:1" ht="12.75" customHeight="1">
      <c r="A2302" s="129">
        <v>2302</v>
      </c>
    </row>
    <row r="2303" spans="1:1" ht="12.75" customHeight="1">
      <c r="A2303" s="129">
        <v>2303</v>
      </c>
    </row>
    <row r="2304" spans="1:1" ht="12.75" customHeight="1">
      <c r="A2304" s="129">
        <v>2304</v>
      </c>
    </row>
    <row r="2305" spans="1:1" ht="12.75" customHeight="1">
      <c r="A2305" s="129">
        <v>2305</v>
      </c>
    </row>
    <row r="2306" spans="1:1" ht="12.75" customHeight="1">
      <c r="A2306" s="129">
        <v>2306</v>
      </c>
    </row>
    <row r="2307" spans="1:1" ht="12.75" customHeight="1">
      <c r="A2307" s="129">
        <v>2307</v>
      </c>
    </row>
    <row r="2308" spans="1:1" ht="12.75" customHeight="1">
      <c r="A2308" s="129">
        <v>2308</v>
      </c>
    </row>
    <row r="2309" spans="1:1" ht="12.75" customHeight="1">
      <c r="A2309" s="129">
        <v>2309</v>
      </c>
    </row>
    <row r="2310" spans="1:1" ht="12.75" customHeight="1">
      <c r="A2310" s="129">
        <v>2310</v>
      </c>
    </row>
    <row r="2311" spans="1:1" ht="12.75" customHeight="1">
      <c r="A2311" s="129">
        <v>2311</v>
      </c>
    </row>
    <row r="2312" spans="1:1" ht="12.75" customHeight="1">
      <c r="A2312" s="129">
        <v>2312</v>
      </c>
    </row>
    <row r="2313" spans="1:1" ht="12.75" customHeight="1">
      <c r="A2313" s="129">
        <v>2313</v>
      </c>
    </row>
    <row r="2314" spans="1:1" ht="12.75" customHeight="1">
      <c r="A2314" s="129">
        <v>2314</v>
      </c>
    </row>
    <row r="2315" spans="1:1" ht="12.75" customHeight="1">
      <c r="A2315" s="129">
        <v>2315</v>
      </c>
    </row>
    <row r="2316" spans="1:1" ht="12.75" customHeight="1">
      <c r="A2316" s="129">
        <v>2316</v>
      </c>
    </row>
    <row r="2317" spans="1:1" ht="12.75" customHeight="1">
      <c r="A2317" s="129">
        <v>2317</v>
      </c>
    </row>
    <row r="2318" spans="1:1" ht="12.75" customHeight="1">
      <c r="A2318" s="129">
        <v>2318</v>
      </c>
    </row>
    <row r="2319" spans="1:1" ht="12.75" customHeight="1">
      <c r="A2319" s="129">
        <v>2319</v>
      </c>
    </row>
    <row r="2320" spans="1:1" ht="12.75" customHeight="1">
      <c r="A2320" s="129">
        <v>2320</v>
      </c>
    </row>
    <row r="2321" spans="1:1" ht="12.75" customHeight="1">
      <c r="A2321" s="129">
        <v>2321</v>
      </c>
    </row>
    <row r="2322" spans="1:1" ht="12.75" customHeight="1">
      <c r="A2322" s="129">
        <v>2322</v>
      </c>
    </row>
    <row r="2323" spans="1:1" ht="12.75" customHeight="1">
      <c r="A2323" s="129">
        <v>2323</v>
      </c>
    </row>
    <row r="2324" spans="1:1" ht="12.75" customHeight="1">
      <c r="A2324" s="129">
        <v>2324</v>
      </c>
    </row>
    <row r="2325" spans="1:1" ht="12.75" customHeight="1">
      <c r="A2325" s="129">
        <v>2325</v>
      </c>
    </row>
    <row r="2326" spans="1:1" ht="12.75" customHeight="1">
      <c r="A2326" s="129">
        <v>2326</v>
      </c>
    </row>
    <row r="2327" spans="1:1" ht="12.75" customHeight="1">
      <c r="A2327" s="129">
        <v>2327</v>
      </c>
    </row>
    <row r="2328" spans="1:1" ht="12.75" customHeight="1">
      <c r="A2328" s="129">
        <v>2328</v>
      </c>
    </row>
    <row r="2329" spans="1:1" ht="12.75" customHeight="1">
      <c r="A2329" s="129">
        <v>2329</v>
      </c>
    </row>
    <row r="2330" spans="1:1" ht="12.75" customHeight="1">
      <c r="A2330" s="129">
        <v>2330</v>
      </c>
    </row>
    <row r="2331" spans="1:1" ht="12.75" customHeight="1">
      <c r="A2331" s="129">
        <v>2331</v>
      </c>
    </row>
    <row r="2332" spans="1:1" ht="12.75" customHeight="1">
      <c r="A2332" s="129">
        <v>2332</v>
      </c>
    </row>
    <row r="2333" spans="1:1" ht="12.75" customHeight="1">
      <c r="A2333" s="129">
        <v>2333</v>
      </c>
    </row>
    <row r="2334" spans="1:1" ht="12.75" customHeight="1">
      <c r="A2334" s="129">
        <v>2334</v>
      </c>
    </row>
    <row r="2335" spans="1:1" ht="12.75" customHeight="1">
      <c r="A2335" s="129">
        <v>2335</v>
      </c>
    </row>
    <row r="2336" spans="1:1" ht="12.75" customHeight="1">
      <c r="A2336" s="129">
        <v>2336</v>
      </c>
    </row>
    <row r="2337" spans="1:1" ht="12.75" customHeight="1">
      <c r="A2337" s="129">
        <v>2337</v>
      </c>
    </row>
    <row r="2338" spans="1:1" ht="12.75" customHeight="1">
      <c r="A2338" s="129">
        <v>2338</v>
      </c>
    </row>
    <row r="2339" spans="1:1" ht="12.75" customHeight="1">
      <c r="A2339" s="129">
        <v>2339</v>
      </c>
    </row>
    <row r="2340" spans="1:1" ht="12.75" customHeight="1">
      <c r="A2340" s="129">
        <v>2340</v>
      </c>
    </row>
    <row r="2341" spans="1:1" ht="12.75" customHeight="1">
      <c r="A2341" s="129">
        <v>2341</v>
      </c>
    </row>
    <row r="2342" spans="1:1" ht="12.75" customHeight="1">
      <c r="A2342" s="129">
        <v>2342</v>
      </c>
    </row>
    <row r="2343" spans="1:1" ht="12.75" customHeight="1">
      <c r="A2343" s="129">
        <v>2343</v>
      </c>
    </row>
    <row r="2344" spans="1:1" ht="12.75" customHeight="1">
      <c r="A2344" s="129">
        <v>2344</v>
      </c>
    </row>
    <row r="2345" spans="1:1" ht="12.75" customHeight="1">
      <c r="A2345" s="129">
        <v>2345</v>
      </c>
    </row>
    <row r="2346" spans="1:1" ht="12.75" customHeight="1">
      <c r="A2346" s="129">
        <v>2346</v>
      </c>
    </row>
    <row r="2347" spans="1:1" ht="12.75" customHeight="1">
      <c r="A2347" s="129">
        <v>2347</v>
      </c>
    </row>
    <row r="2348" spans="1:1" ht="12.75" customHeight="1">
      <c r="A2348" s="129">
        <v>2348</v>
      </c>
    </row>
    <row r="2349" spans="1:1" ht="12.75" customHeight="1">
      <c r="A2349" s="129">
        <v>2349</v>
      </c>
    </row>
    <row r="2350" spans="1:1" ht="12.75" customHeight="1">
      <c r="A2350" s="129">
        <v>2350</v>
      </c>
    </row>
    <row r="2351" spans="1:1" ht="12.75" customHeight="1">
      <c r="A2351" s="129">
        <v>2351</v>
      </c>
    </row>
    <row r="2352" spans="1:1" ht="12.75" customHeight="1">
      <c r="A2352" s="129">
        <v>2352</v>
      </c>
    </row>
    <row r="2353" spans="1:1" ht="12.75" customHeight="1">
      <c r="A2353" s="129">
        <v>2353</v>
      </c>
    </row>
    <row r="2354" spans="1:1" ht="12.75" customHeight="1">
      <c r="A2354" s="129">
        <v>2354</v>
      </c>
    </row>
    <row r="2355" spans="1:1" ht="12.75" customHeight="1">
      <c r="A2355" s="129">
        <v>2355</v>
      </c>
    </row>
    <row r="2356" spans="1:1" ht="12.75" customHeight="1">
      <c r="A2356" s="129">
        <v>2356</v>
      </c>
    </row>
    <row r="2357" spans="1:1" ht="12.75" customHeight="1">
      <c r="A2357" s="129">
        <v>2357</v>
      </c>
    </row>
    <row r="2358" spans="1:1" ht="12.75" customHeight="1">
      <c r="A2358" s="129">
        <v>2358</v>
      </c>
    </row>
    <row r="2359" spans="1:1" ht="12.75" customHeight="1">
      <c r="A2359" s="129">
        <v>2359</v>
      </c>
    </row>
    <row r="2360" spans="1:1" ht="12.75" customHeight="1">
      <c r="A2360" s="129">
        <v>2360</v>
      </c>
    </row>
    <row r="2361" spans="1:1" ht="12.75" customHeight="1">
      <c r="A2361" s="129">
        <v>2361</v>
      </c>
    </row>
    <row r="2362" spans="1:1" ht="12.75" customHeight="1">
      <c r="A2362" s="129">
        <v>2362</v>
      </c>
    </row>
    <row r="2363" spans="1:1" ht="12.75" customHeight="1">
      <c r="A2363" s="129">
        <v>2363</v>
      </c>
    </row>
    <row r="2364" spans="1:1" ht="12.75" customHeight="1">
      <c r="A2364" s="129">
        <v>2364</v>
      </c>
    </row>
    <row r="2365" spans="1:1" ht="12.75" customHeight="1">
      <c r="A2365" s="129">
        <v>2365</v>
      </c>
    </row>
    <row r="2366" spans="1:1" ht="12.75" customHeight="1">
      <c r="A2366" s="129">
        <v>2366</v>
      </c>
    </row>
    <row r="2367" spans="1:1" ht="12.75" customHeight="1">
      <c r="A2367" s="129">
        <v>2367</v>
      </c>
    </row>
    <row r="2368" spans="1:1" ht="12.75" customHeight="1">
      <c r="A2368" s="129">
        <v>2368</v>
      </c>
    </row>
    <row r="2369" spans="1:1" ht="12.75" customHeight="1">
      <c r="A2369" s="129">
        <v>2369</v>
      </c>
    </row>
    <row r="2370" spans="1:1" ht="12.75" customHeight="1">
      <c r="A2370" s="129">
        <v>2370</v>
      </c>
    </row>
    <row r="2371" spans="1:1" ht="12.75" customHeight="1">
      <c r="A2371" s="129">
        <v>2371</v>
      </c>
    </row>
    <row r="2372" spans="1:1" ht="12.75" customHeight="1">
      <c r="A2372" s="129">
        <v>2372</v>
      </c>
    </row>
    <row r="2373" spans="1:1" ht="12.75" customHeight="1">
      <c r="A2373" s="129">
        <v>2373</v>
      </c>
    </row>
    <row r="2374" spans="1:1" ht="12.75" customHeight="1">
      <c r="A2374" s="129">
        <v>2374</v>
      </c>
    </row>
    <row r="2375" spans="1:1" ht="12.75" customHeight="1">
      <c r="A2375" s="129">
        <v>2375</v>
      </c>
    </row>
    <row r="2376" spans="1:1" ht="12.75" customHeight="1">
      <c r="A2376" s="129">
        <v>2376</v>
      </c>
    </row>
    <row r="2377" spans="1:1" ht="12.75" customHeight="1">
      <c r="A2377" s="129">
        <v>2377</v>
      </c>
    </row>
    <row r="2378" spans="1:1" ht="12.75" customHeight="1">
      <c r="A2378" s="129">
        <v>2378</v>
      </c>
    </row>
    <row r="2379" spans="1:1" ht="12.75" customHeight="1">
      <c r="A2379" s="129">
        <v>2379</v>
      </c>
    </row>
    <row r="2380" spans="1:1" ht="12.75" customHeight="1">
      <c r="A2380" s="129">
        <v>2380</v>
      </c>
    </row>
    <row r="2381" spans="1:1" ht="12.75" customHeight="1">
      <c r="A2381" s="129">
        <v>2381</v>
      </c>
    </row>
    <row r="2382" spans="1:1" ht="12.75" customHeight="1">
      <c r="A2382" s="129">
        <v>2382</v>
      </c>
    </row>
    <row r="2383" spans="1:1" ht="12.75" customHeight="1">
      <c r="A2383" s="129">
        <v>2383</v>
      </c>
    </row>
    <row r="2384" spans="1:1" ht="12.75" customHeight="1">
      <c r="A2384" s="129">
        <v>2384</v>
      </c>
    </row>
    <row r="2385" spans="1:1" ht="12.75" customHeight="1">
      <c r="A2385" s="129">
        <v>2385</v>
      </c>
    </row>
    <row r="2386" spans="1:1" ht="12.75" customHeight="1">
      <c r="A2386" s="129">
        <v>2386</v>
      </c>
    </row>
    <row r="2387" spans="1:1" ht="12.75" customHeight="1">
      <c r="A2387" s="129">
        <v>2387</v>
      </c>
    </row>
    <row r="2388" spans="1:1" ht="12.75" customHeight="1">
      <c r="A2388" s="129">
        <v>2388</v>
      </c>
    </row>
    <row r="2389" spans="1:1" ht="12.75" customHeight="1">
      <c r="A2389" s="129">
        <v>2389</v>
      </c>
    </row>
    <row r="2390" spans="1:1" ht="12.75" customHeight="1">
      <c r="A2390" s="129">
        <v>2390</v>
      </c>
    </row>
    <row r="2391" spans="1:1" ht="12.75" customHeight="1">
      <c r="A2391" s="129">
        <v>2391</v>
      </c>
    </row>
    <row r="2392" spans="1:1" ht="12.75" customHeight="1">
      <c r="A2392" s="129">
        <v>2392</v>
      </c>
    </row>
    <row r="2393" spans="1:1" ht="12.75" customHeight="1">
      <c r="A2393" s="129">
        <v>2393</v>
      </c>
    </row>
    <row r="2394" spans="1:1" ht="12.75" customHeight="1">
      <c r="A2394" s="129">
        <v>2394</v>
      </c>
    </row>
    <row r="2395" spans="1:1" ht="12.75" customHeight="1">
      <c r="A2395" s="129">
        <v>2395</v>
      </c>
    </row>
    <row r="2396" spans="1:1" ht="12.75" customHeight="1">
      <c r="A2396" s="129">
        <v>2396</v>
      </c>
    </row>
    <row r="2397" spans="1:1" ht="12.75" customHeight="1">
      <c r="A2397" s="129">
        <v>2397</v>
      </c>
    </row>
    <row r="2398" spans="1:1" ht="12.75" customHeight="1">
      <c r="A2398" s="129">
        <v>2398</v>
      </c>
    </row>
    <row r="2399" spans="1:1" ht="12.75" customHeight="1">
      <c r="A2399" s="129">
        <v>2399</v>
      </c>
    </row>
    <row r="2400" spans="1:1" ht="12.75" customHeight="1">
      <c r="A2400" s="129">
        <v>2400</v>
      </c>
    </row>
    <row r="2401" spans="1:1" ht="12.75" customHeight="1">
      <c r="A2401" s="129">
        <v>2401</v>
      </c>
    </row>
    <row r="2402" spans="1:1" ht="12.75" customHeight="1">
      <c r="A2402" s="129">
        <v>2402</v>
      </c>
    </row>
    <row r="2403" spans="1:1" ht="12.75" customHeight="1">
      <c r="A2403" s="129">
        <v>2403</v>
      </c>
    </row>
    <row r="2404" spans="1:1" ht="12.75" customHeight="1">
      <c r="A2404" s="129">
        <v>2404</v>
      </c>
    </row>
    <row r="2405" spans="1:1" ht="12.75" customHeight="1">
      <c r="A2405" s="129">
        <v>2405</v>
      </c>
    </row>
    <row r="2406" spans="1:1" ht="12.75" customHeight="1">
      <c r="A2406" s="129">
        <v>2406</v>
      </c>
    </row>
    <row r="2407" spans="1:1" ht="12.75" customHeight="1">
      <c r="A2407" s="129">
        <v>2407</v>
      </c>
    </row>
    <row r="2408" spans="1:1" ht="12.75" customHeight="1">
      <c r="A2408" s="129">
        <v>2408</v>
      </c>
    </row>
    <row r="2409" spans="1:1" ht="12.75" customHeight="1">
      <c r="A2409" s="129">
        <v>2409</v>
      </c>
    </row>
    <row r="2410" spans="1:1" ht="12.75" customHeight="1">
      <c r="A2410" s="129">
        <v>2410</v>
      </c>
    </row>
    <row r="2411" spans="1:1" ht="12.75" customHeight="1">
      <c r="A2411" s="129">
        <v>2411</v>
      </c>
    </row>
    <row r="2412" spans="1:1" ht="12.75" customHeight="1">
      <c r="A2412" s="129">
        <v>2412</v>
      </c>
    </row>
    <row r="2413" spans="1:1" ht="12.75" customHeight="1">
      <c r="A2413" s="129">
        <v>2413</v>
      </c>
    </row>
    <row r="2414" spans="1:1" ht="12.75" customHeight="1">
      <c r="A2414" s="129">
        <v>2414</v>
      </c>
    </row>
    <row r="2415" spans="1:1" ht="12.75" customHeight="1">
      <c r="A2415" s="129">
        <v>2415</v>
      </c>
    </row>
    <row r="2416" spans="1:1" ht="12.75" customHeight="1">
      <c r="A2416" s="129">
        <v>2416</v>
      </c>
    </row>
    <row r="2417" spans="1:1" ht="12.75" customHeight="1">
      <c r="A2417" s="129">
        <v>2417</v>
      </c>
    </row>
    <row r="2418" spans="1:1" ht="12.75" customHeight="1">
      <c r="A2418" s="129">
        <v>2418</v>
      </c>
    </row>
    <row r="2419" spans="1:1" ht="12.75" customHeight="1">
      <c r="A2419" s="129">
        <v>2419</v>
      </c>
    </row>
    <row r="2420" spans="1:1" ht="12.75" customHeight="1">
      <c r="A2420" s="129">
        <v>2420</v>
      </c>
    </row>
    <row r="2421" spans="1:1" ht="12.75" customHeight="1">
      <c r="A2421" s="129">
        <v>2421</v>
      </c>
    </row>
    <row r="2422" spans="1:1" ht="12.75" customHeight="1">
      <c r="A2422" s="129">
        <v>2422</v>
      </c>
    </row>
    <row r="2423" spans="1:1" ht="12.75" customHeight="1">
      <c r="A2423" s="129">
        <v>2423</v>
      </c>
    </row>
    <row r="2424" spans="1:1" ht="12.75" customHeight="1">
      <c r="A2424" s="129">
        <v>2424</v>
      </c>
    </row>
    <row r="2425" spans="1:1" ht="12.75" customHeight="1">
      <c r="A2425" s="129">
        <v>2425</v>
      </c>
    </row>
    <row r="2426" spans="1:1" ht="12.75" customHeight="1">
      <c r="A2426" s="129">
        <v>2426</v>
      </c>
    </row>
    <row r="2427" spans="1:1" ht="12.75" customHeight="1">
      <c r="A2427" s="129">
        <v>2427</v>
      </c>
    </row>
    <row r="2428" spans="1:1" ht="12.75" customHeight="1">
      <c r="A2428" s="129">
        <v>2428</v>
      </c>
    </row>
    <row r="2429" spans="1:1" ht="12.75" customHeight="1">
      <c r="A2429" s="129">
        <v>2429</v>
      </c>
    </row>
    <row r="2430" spans="1:1" ht="12.75" customHeight="1">
      <c r="A2430" s="129">
        <v>2430</v>
      </c>
    </row>
    <row r="2431" spans="1:1" ht="12.75" customHeight="1">
      <c r="A2431" s="129">
        <v>2431</v>
      </c>
    </row>
    <row r="2432" spans="1:1" ht="12.75" customHeight="1">
      <c r="A2432" s="129">
        <v>2432</v>
      </c>
    </row>
    <row r="2433" spans="1:1" ht="12.75" customHeight="1">
      <c r="A2433" s="129">
        <v>2433</v>
      </c>
    </row>
    <row r="2434" spans="1:1" ht="12.75" customHeight="1">
      <c r="A2434" s="129">
        <v>2434</v>
      </c>
    </row>
    <row r="2435" spans="1:1" ht="12.75" customHeight="1">
      <c r="A2435" s="129">
        <v>2435</v>
      </c>
    </row>
    <row r="2436" spans="1:1" ht="12.75" customHeight="1">
      <c r="A2436" s="129">
        <v>2436</v>
      </c>
    </row>
    <row r="2437" spans="1:1" ht="12.75" customHeight="1">
      <c r="A2437" s="129">
        <v>2437</v>
      </c>
    </row>
    <row r="2438" spans="1:1" ht="12.75" customHeight="1">
      <c r="A2438" s="129">
        <v>2438</v>
      </c>
    </row>
    <row r="2439" spans="1:1" ht="12.75" customHeight="1">
      <c r="A2439" s="129">
        <v>2439</v>
      </c>
    </row>
    <row r="2440" spans="1:1" ht="12.75" customHeight="1">
      <c r="A2440" s="129">
        <v>2440</v>
      </c>
    </row>
    <row r="2441" spans="1:1" ht="12.75" customHeight="1">
      <c r="A2441" s="129">
        <v>2441</v>
      </c>
    </row>
    <row r="2442" spans="1:1" ht="12.75" customHeight="1">
      <c r="A2442" s="129">
        <v>2442</v>
      </c>
    </row>
    <row r="2443" spans="1:1" ht="12.75" customHeight="1">
      <c r="A2443" s="129">
        <v>2443</v>
      </c>
    </row>
    <row r="2444" spans="1:1" ht="12.75" customHeight="1">
      <c r="A2444" s="129">
        <v>2444</v>
      </c>
    </row>
    <row r="2445" spans="1:1" ht="12.75" customHeight="1">
      <c r="A2445" s="129">
        <v>2445</v>
      </c>
    </row>
    <row r="2446" spans="1:1" ht="12.75" customHeight="1">
      <c r="A2446" s="129">
        <v>2446</v>
      </c>
    </row>
    <row r="2447" spans="1:1" ht="12.75" customHeight="1">
      <c r="A2447" s="129">
        <v>2447</v>
      </c>
    </row>
    <row r="2448" spans="1:1" ht="12.75" customHeight="1">
      <c r="A2448" s="129">
        <v>2448</v>
      </c>
    </row>
    <row r="2449" spans="1:1" ht="12.75" customHeight="1">
      <c r="A2449" s="129">
        <v>2449</v>
      </c>
    </row>
    <row r="2450" spans="1:1" ht="12.75" customHeight="1">
      <c r="A2450" s="129">
        <v>2450</v>
      </c>
    </row>
    <row r="2451" spans="1:1" ht="12.75" customHeight="1">
      <c r="A2451" s="129">
        <v>2451</v>
      </c>
    </row>
    <row r="2452" spans="1:1" ht="12.75" customHeight="1">
      <c r="A2452" s="129">
        <v>2452</v>
      </c>
    </row>
    <row r="2453" spans="1:1" ht="12.75" customHeight="1">
      <c r="A2453" s="129">
        <v>2453</v>
      </c>
    </row>
    <row r="2454" spans="1:1" ht="12.75" customHeight="1">
      <c r="A2454" s="129">
        <v>2454</v>
      </c>
    </row>
    <row r="2455" spans="1:1" ht="12.75" customHeight="1">
      <c r="A2455" s="129">
        <v>2455</v>
      </c>
    </row>
    <row r="2456" spans="1:1" ht="12.75" customHeight="1">
      <c r="A2456" s="129">
        <v>2456</v>
      </c>
    </row>
    <row r="2457" spans="1:1" ht="12.75" customHeight="1">
      <c r="A2457" s="129">
        <v>2457</v>
      </c>
    </row>
    <row r="2458" spans="1:1" ht="12.75" customHeight="1">
      <c r="A2458" s="129">
        <v>2458</v>
      </c>
    </row>
    <row r="2459" spans="1:1" ht="12.75" customHeight="1">
      <c r="A2459" s="129">
        <v>2459</v>
      </c>
    </row>
    <row r="2460" spans="1:1" ht="12.75" customHeight="1">
      <c r="A2460" s="129">
        <v>2460</v>
      </c>
    </row>
    <row r="2461" spans="1:1" ht="12.75" customHeight="1">
      <c r="A2461" s="129">
        <v>2461</v>
      </c>
    </row>
    <row r="2462" spans="1:1" ht="12.75" customHeight="1">
      <c r="A2462" s="129">
        <v>2462</v>
      </c>
    </row>
    <row r="2463" spans="1:1" ht="12.75" customHeight="1">
      <c r="A2463" s="129">
        <v>2463</v>
      </c>
    </row>
    <row r="2464" spans="1:1" ht="12.75" customHeight="1">
      <c r="A2464" s="129">
        <v>2464</v>
      </c>
    </row>
    <row r="2465" spans="1:1" ht="12.75" customHeight="1">
      <c r="A2465" s="129">
        <v>2465</v>
      </c>
    </row>
    <row r="2466" spans="1:1" ht="12.75" customHeight="1">
      <c r="A2466" s="129">
        <v>2466</v>
      </c>
    </row>
    <row r="2467" spans="1:1" ht="12.75" customHeight="1">
      <c r="A2467" s="129">
        <v>2467</v>
      </c>
    </row>
    <row r="2468" spans="1:1" ht="12.75" customHeight="1">
      <c r="A2468" s="129">
        <v>2468</v>
      </c>
    </row>
    <row r="2469" spans="1:1" ht="12.75" customHeight="1">
      <c r="A2469" s="129">
        <v>2469</v>
      </c>
    </row>
    <row r="2470" spans="1:1" ht="12.75" customHeight="1">
      <c r="A2470" s="129">
        <v>2470</v>
      </c>
    </row>
    <row r="2471" spans="1:1" ht="12.75" customHeight="1">
      <c r="A2471" s="129">
        <v>2471</v>
      </c>
    </row>
    <row r="2472" spans="1:1" ht="12.75" customHeight="1">
      <c r="A2472" s="129">
        <v>2472</v>
      </c>
    </row>
    <row r="2473" spans="1:1" ht="12.75" customHeight="1">
      <c r="A2473" s="129">
        <v>2473</v>
      </c>
    </row>
    <row r="2474" spans="1:1" ht="12.75" customHeight="1">
      <c r="A2474" s="129">
        <v>2474</v>
      </c>
    </row>
    <row r="2475" spans="1:1" ht="12.75" customHeight="1">
      <c r="A2475" s="129">
        <v>2475</v>
      </c>
    </row>
    <row r="2476" spans="1:1" ht="12.75" customHeight="1">
      <c r="A2476" s="129">
        <v>2476</v>
      </c>
    </row>
    <row r="2477" spans="1:1" ht="12.75" customHeight="1">
      <c r="A2477" s="129">
        <v>2477</v>
      </c>
    </row>
    <row r="2478" spans="1:1" ht="12.75" customHeight="1">
      <c r="A2478" s="129">
        <v>2478</v>
      </c>
    </row>
    <row r="2479" spans="1:1" ht="12.75" customHeight="1">
      <c r="A2479" s="129">
        <v>2479</v>
      </c>
    </row>
    <row r="2480" spans="1:1" ht="12.75" customHeight="1">
      <c r="A2480" s="129">
        <v>2480</v>
      </c>
    </row>
    <row r="2481" spans="1:1" ht="12.75" customHeight="1">
      <c r="A2481" s="129">
        <v>2481</v>
      </c>
    </row>
    <row r="2482" spans="1:1" ht="12.75" customHeight="1">
      <c r="A2482" s="129">
        <v>2482</v>
      </c>
    </row>
    <row r="2483" spans="1:1" ht="12.75" customHeight="1">
      <c r="A2483" s="129">
        <v>2483</v>
      </c>
    </row>
    <row r="2484" spans="1:1" ht="12.75" customHeight="1">
      <c r="A2484" s="129">
        <v>2484</v>
      </c>
    </row>
    <row r="2485" spans="1:1" ht="12.75" customHeight="1">
      <c r="A2485" s="129">
        <v>2485</v>
      </c>
    </row>
    <row r="2486" spans="1:1" ht="12.75" customHeight="1">
      <c r="A2486" s="129">
        <v>2486</v>
      </c>
    </row>
    <row r="2487" spans="1:1" ht="12.75" customHeight="1">
      <c r="A2487" s="129">
        <v>2487</v>
      </c>
    </row>
    <row r="2488" spans="1:1" ht="12.75" customHeight="1">
      <c r="A2488" s="129">
        <v>2488</v>
      </c>
    </row>
    <row r="2489" spans="1:1" ht="12.75" customHeight="1">
      <c r="A2489" s="129">
        <v>2489</v>
      </c>
    </row>
    <row r="2490" spans="1:1" ht="12.75" customHeight="1">
      <c r="A2490" s="129">
        <v>2490</v>
      </c>
    </row>
    <row r="2491" spans="1:1" ht="12.75" customHeight="1">
      <c r="A2491" s="129">
        <v>2491</v>
      </c>
    </row>
    <row r="2492" spans="1:1" ht="12.75" customHeight="1">
      <c r="A2492" s="129">
        <v>2492</v>
      </c>
    </row>
    <row r="2493" spans="1:1" ht="12.75" customHeight="1">
      <c r="A2493" s="129">
        <v>2493</v>
      </c>
    </row>
    <row r="2494" spans="1:1" ht="12.75" customHeight="1">
      <c r="A2494" s="129">
        <v>2494</v>
      </c>
    </row>
    <row r="2495" spans="1:1" ht="12.75" customHeight="1">
      <c r="A2495" s="129">
        <v>2495</v>
      </c>
    </row>
    <row r="2496" spans="1:1" ht="12.75" customHeight="1">
      <c r="A2496" s="129">
        <v>2496</v>
      </c>
    </row>
    <row r="2497" spans="1:1" ht="12.75" customHeight="1">
      <c r="A2497" s="129">
        <v>2497</v>
      </c>
    </row>
    <row r="2498" spans="1:1" ht="12.75" customHeight="1">
      <c r="A2498" s="129">
        <v>2498</v>
      </c>
    </row>
    <row r="2499" spans="1:1" ht="12.75" customHeight="1">
      <c r="A2499" s="129">
        <v>2499</v>
      </c>
    </row>
    <row r="2500" spans="1:1" ht="12.75" customHeight="1">
      <c r="A2500" s="129">
        <v>2500</v>
      </c>
    </row>
    <row r="2501" spans="1:1" ht="12.75" customHeight="1">
      <c r="A2501" s="129">
        <v>2501</v>
      </c>
    </row>
    <row r="2502" spans="1:1" ht="12.75" customHeight="1">
      <c r="A2502" s="129">
        <v>2502</v>
      </c>
    </row>
    <row r="2503" spans="1:1" ht="12.75" customHeight="1">
      <c r="A2503" s="129">
        <v>2503</v>
      </c>
    </row>
    <row r="2504" spans="1:1" ht="12.75" customHeight="1">
      <c r="A2504" s="129">
        <v>2504</v>
      </c>
    </row>
    <row r="2505" spans="1:1" ht="12.75" customHeight="1">
      <c r="A2505" s="129">
        <v>2505</v>
      </c>
    </row>
    <row r="2506" spans="1:1" ht="12.75" customHeight="1">
      <c r="A2506" s="129">
        <v>2506</v>
      </c>
    </row>
    <row r="2507" spans="1:1" ht="12.75" customHeight="1">
      <c r="A2507" s="129">
        <v>2507</v>
      </c>
    </row>
    <row r="2508" spans="1:1" ht="12.75" customHeight="1">
      <c r="A2508" s="129">
        <v>2508</v>
      </c>
    </row>
    <row r="2509" spans="1:1" ht="12.75" customHeight="1">
      <c r="A2509" s="129">
        <v>2509</v>
      </c>
    </row>
    <row r="2510" spans="1:1" ht="12.75" customHeight="1">
      <c r="A2510" s="129">
        <v>2510</v>
      </c>
    </row>
    <row r="2511" spans="1:1" ht="12.75" customHeight="1">
      <c r="A2511" s="129">
        <v>2511</v>
      </c>
    </row>
    <row r="2512" spans="1:1" ht="12.75" customHeight="1">
      <c r="A2512" s="129">
        <v>2512</v>
      </c>
    </row>
    <row r="2513" spans="1:1" ht="12.75" customHeight="1">
      <c r="A2513" s="129">
        <v>2513</v>
      </c>
    </row>
    <row r="2514" spans="1:1" ht="12.75" customHeight="1">
      <c r="A2514" s="129">
        <v>2514</v>
      </c>
    </row>
    <row r="2515" spans="1:1" ht="12.75" customHeight="1">
      <c r="A2515" s="129">
        <v>2515</v>
      </c>
    </row>
    <row r="2516" spans="1:1" ht="12.75" customHeight="1">
      <c r="A2516" s="129">
        <v>2516</v>
      </c>
    </row>
    <row r="2517" spans="1:1" ht="12.75" customHeight="1">
      <c r="A2517" s="129">
        <v>2517</v>
      </c>
    </row>
    <row r="2518" spans="1:1" ht="12.75" customHeight="1">
      <c r="A2518" s="129">
        <v>2518</v>
      </c>
    </row>
    <row r="2519" spans="1:1" ht="12.75" customHeight="1">
      <c r="A2519" s="129">
        <v>2519</v>
      </c>
    </row>
    <row r="2520" spans="1:1" ht="12.75" customHeight="1">
      <c r="A2520" s="129">
        <v>2520</v>
      </c>
    </row>
    <row r="2521" spans="1:1" ht="12.75" customHeight="1">
      <c r="A2521" s="129">
        <v>2521</v>
      </c>
    </row>
    <row r="2522" spans="1:1" ht="12.75" customHeight="1">
      <c r="A2522" s="129">
        <v>2522</v>
      </c>
    </row>
    <row r="2523" spans="1:1" ht="12.75" customHeight="1">
      <c r="A2523" s="129">
        <v>2523</v>
      </c>
    </row>
    <row r="2524" spans="1:1" ht="12.75" customHeight="1">
      <c r="A2524" s="129">
        <v>2524</v>
      </c>
    </row>
    <row r="2525" spans="1:1" ht="12.75" customHeight="1">
      <c r="A2525" s="129">
        <v>2525</v>
      </c>
    </row>
    <row r="2526" spans="1:1" ht="12.75" customHeight="1">
      <c r="A2526" s="129">
        <v>2526</v>
      </c>
    </row>
    <row r="2527" spans="1:1" ht="12.75" customHeight="1">
      <c r="A2527" s="129">
        <v>2527</v>
      </c>
    </row>
    <row r="2528" spans="1:1" ht="12.75" customHeight="1">
      <c r="A2528" s="129">
        <v>2528</v>
      </c>
    </row>
    <row r="2529" spans="1:1" ht="12.75" customHeight="1">
      <c r="A2529" s="129">
        <v>2529</v>
      </c>
    </row>
    <row r="2530" spans="1:1" ht="12.75" customHeight="1">
      <c r="A2530" s="129">
        <v>2530</v>
      </c>
    </row>
    <row r="2531" spans="1:1" ht="12.75" customHeight="1">
      <c r="A2531" s="129">
        <v>2531</v>
      </c>
    </row>
    <row r="2532" spans="1:1" ht="12.75" customHeight="1">
      <c r="A2532" s="129">
        <v>2532</v>
      </c>
    </row>
    <row r="2533" spans="1:1" ht="12.75" customHeight="1">
      <c r="A2533" s="129">
        <v>2533</v>
      </c>
    </row>
    <row r="2534" spans="1:1" ht="12.75" customHeight="1">
      <c r="A2534" s="129">
        <v>2534</v>
      </c>
    </row>
    <row r="2535" spans="1:1" ht="12.75" customHeight="1">
      <c r="A2535" s="129">
        <v>2535</v>
      </c>
    </row>
    <row r="2536" spans="1:1" ht="12.75" customHeight="1">
      <c r="A2536" s="129">
        <v>2536</v>
      </c>
    </row>
    <row r="2537" spans="1:1" ht="12.75" customHeight="1">
      <c r="A2537" s="129">
        <v>2537</v>
      </c>
    </row>
    <row r="2538" spans="1:1" ht="12.75" customHeight="1">
      <c r="A2538" s="129">
        <v>2538</v>
      </c>
    </row>
    <row r="2539" spans="1:1" ht="12.75" customHeight="1">
      <c r="A2539" s="129">
        <v>2539</v>
      </c>
    </row>
    <row r="2540" spans="1:1" ht="12.75" customHeight="1">
      <c r="A2540" s="129">
        <v>2540</v>
      </c>
    </row>
    <row r="2541" spans="1:1" ht="12.75" customHeight="1">
      <c r="A2541" s="129">
        <v>2541</v>
      </c>
    </row>
    <row r="2542" spans="1:1" ht="12.75" customHeight="1">
      <c r="A2542" s="129">
        <v>2542</v>
      </c>
    </row>
    <row r="2543" spans="1:1" ht="12.75" customHeight="1">
      <c r="A2543" s="129">
        <v>2543</v>
      </c>
    </row>
    <row r="2544" spans="1:1" ht="12.75" customHeight="1">
      <c r="A2544" s="129">
        <v>2544</v>
      </c>
    </row>
    <row r="2545" spans="1:1" ht="12.75" customHeight="1">
      <c r="A2545" s="129">
        <v>2545</v>
      </c>
    </row>
    <row r="2546" spans="1:1" ht="12.75" customHeight="1">
      <c r="A2546" s="129">
        <v>2546</v>
      </c>
    </row>
    <row r="2547" spans="1:1" ht="12.75" customHeight="1">
      <c r="A2547" s="129">
        <v>2547</v>
      </c>
    </row>
    <row r="2548" spans="1:1" ht="12.75" customHeight="1">
      <c r="A2548" s="129">
        <v>2548</v>
      </c>
    </row>
    <row r="2549" spans="1:1" ht="12.75" customHeight="1">
      <c r="A2549" s="129">
        <v>2549</v>
      </c>
    </row>
    <row r="2550" spans="1:1" ht="12.75" customHeight="1">
      <c r="A2550" s="129">
        <v>2550</v>
      </c>
    </row>
    <row r="2551" spans="1:1" ht="12.75" customHeight="1">
      <c r="A2551" s="129">
        <v>2551</v>
      </c>
    </row>
    <row r="2552" spans="1:1" ht="12.75" customHeight="1">
      <c r="A2552" s="129">
        <v>2552</v>
      </c>
    </row>
    <row r="2553" spans="1:1" ht="12.75" customHeight="1">
      <c r="A2553" s="129">
        <v>2553</v>
      </c>
    </row>
    <row r="2554" spans="1:1" ht="12.75" customHeight="1">
      <c r="A2554" s="129">
        <v>2554</v>
      </c>
    </row>
    <row r="2555" spans="1:1" ht="12.75" customHeight="1">
      <c r="A2555" s="129">
        <v>2555</v>
      </c>
    </row>
    <row r="2556" spans="1:1" ht="12.75" customHeight="1">
      <c r="A2556" s="129">
        <v>2556</v>
      </c>
    </row>
    <row r="2557" spans="1:1" ht="12.75" customHeight="1">
      <c r="A2557" s="129">
        <v>2557</v>
      </c>
    </row>
    <row r="2558" spans="1:1" ht="12.75" customHeight="1">
      <c r="A2558" s="129">
        <v>2558</v>
      </c>
    </row>
    <row r="2559" spans="1:1" ht="12.75" customHeight="1">
      <c r="A2559" s="129">
        <v>2559</v>
      </c>
    </row>
    <row r="2560" spans="1:1" ht="12.75" customHeight="1">
      <c r="A2560" s="129">
        <v>2560</v>
      </c>
    </row>
    <row r="2561" spans="1:1" ht="12.75" customHeight="1">
      <c r="A2561" s="129">
        <v>2561</v>
      </c>
    </row>
    <row r="2562" spans="1:1" ht="12.75" customHeight="1">
      <c r="A2562" s="129">
        <v>2562</v>
      </c>
    </row>
    <row r="2563" spans="1:1" ht="12.75" customHeight="1">
      <c r="A2563" s="129">
        <v>2563</v>
      </c>
    </row>
    <row r="2564" spans="1:1" ht="12.75" customHeight="1">
      <c r="A2564" s="129">
        <v>2564</v>
      </c>
    </row>
    <row r="2565" spans="1:1" ht="12.75" customHeight="1">
      <c r="A2565" s="129">
        <v>2565</v>
      </c>
    </row>
    <row r="2566" spans="1:1" ht="12.75" customHeight="1">
      <c r="A2566" s="129">
        <v>2566</v>
      </c>
    </row>
    <row r="2567" spans="1:1" ht="12.75" customHeight="1">
      <c r="A2567" s="129">
        <v>2567</v>
      </c>
    </row>
    <row r="2568" spans="1:1" ht="12.75" customHeight="1">
      <c r="A2568" s="129">
        <v>2568</v>
      </c>
    </row>
    <row r="2569" spans="1:1" ht="12.75" customHeight="1">
      <c r="A2569" s="129">
        <v>2569</v>
      </c>
    </row>
    <row r="2570" spans="1:1" ht="12.75" customHeight="1">
      <c r="A2570" s="129">
        <v>2570</v>
      </c>
    </row>
    <row r="2571" spans="1:1" ht="12.75" customHeight="1">
      <c r="A2571" s="129">
        <v>2571</v>
      </c>
    </row>
    <row r="2572" spans="1:1" ht="12.75" customHeight="1">
      <c r="A2572" s="129">
        <v>2572</v>
      </c>
    </row>
    <row r="2573" spans="1:1" ht="12.75" customHeight="1">
      <c r="A2573" s="129">
        <v>2573</v>
      </c>
    </row>
    <row r="2574" spans="1:1" ht="12.75" customHeight="1">
      <c r="A2574" s="129">
        <v>2574</v>
      </c>
    </row>
    <row r="2575" spans="1:1" ht="12.75" customHeight="1">
      <c r="A2575" s="129">
        <v>2575</v>
      </c>
    </row>
    <row r="2576" spans="1:1" ht="12.75" customHeight="1">
      <c r="A2576" s="129">
        <v>2576</v>
      </c>
    </row>
    <row r="2577" spans="1:1" ht="12.75" customHeight="1">
      <c r="A2577" s="129">
        <v>2577</v>
      </c>
    </row>
    <row r="2578" spans="1:1" ht="12.75" customHeight="1">
      <c r="A2578" s="129">
        <v>2578</v>
      </c>
    </row>
    <row r="2579" spans="1:1" ht="12.75" customHeight="1">
      <c r="A2579" s="129">
        <v>2579</v>
      </c>
    </row>
    <row r="2580" spans="1:1" ht="12.75" customHeight="1">
      <c r="A2580" s="129">
        <v>2580</v>
      </c>
    </row>
    <row r="2581" spans="1:1" ht="12.75" customHeight="1">
      <c r="A2581" s="129">
        <v>2581</v>
      </c>
    </row>
    <row r="2582" spans="1:1" ht="12.75" customHeight="1">
      <c r="A2582" s="129">
        <v>2582</v>
      </c>
    </row>
    <row r="2583" spans="1:1" ht="12.75" customHeight="1">
      <c r="A2583" s="129">
        <v>2583</v>
      </c>
    </row>
    <row r="2584" spans="1:1" ht="12.75" customHeight="1">
      <c r="A2584" s="129">
        <v>2584</v>
      </c>
    </row>
    <row r="2585" spans="1:1" ht="12.75" customHeight="1">
      <c r="A2585" s="129">
        <v>2585</v>
      </c>
    </row>
    <row r="2586" spans="1:1" ht="12.75" customHeight="1">
      <c r="A2586" s="129">
        <v>2586</v>
      </c>
    </row>
    <row r="2587" spans="1:1" ht="12.75" customHeight="1">
      <c r="A2587" s="129">
        <v>2587</v>
      </c>
    </row>
    <row r="2588" spans="1:1" ht="12.75" customHeight="1">
      <c r="A2588" s="129">
        <v>2588</v>
      </c>
    </row>
    <row r="2589" spans="1:1" ht="12.75" customHeight="1">
      <c r="A2589" s="129">
        <v>2589</v>
      </c>
    </row>
    <row r="2590" spans="1:1" ht="12.75" customHeight="1">
      <c r="A2590" s="129">
        <v>2590</v>
      </c>
    </row>
    <row r="2591" spans="1:1" ht="12.75" customHeight="1">
      <c r="A2591" s="129">
        <v>2591</v>
      </c>
    </row>
    <row r="2592" spans="1:1" ht="12.75" customHeight="1">
      <c r="A2592" s="129">
        <v>2592</v>
      </c>
    </row>
    <row r="2593" spans="1:1" ht="12.75" customHeight="1">
      <c r="A2593" s="129">
        <v>2593</v>
      </c>
    </row>
    <row r="2594" spans="1:1" ht="12.75" customHeight="1">
      <c r="A2594" s="129">
        <v>2594</v>
      </c>
    </row>
    <row r="2595" spans="1:1" ht="12.75" customHeight="1">
      <c r="A2595" s="129">
        <v>2595</v>
      </c>
    </row>
    <row r="2596" spans="1:1" ht="12.75" customHeight="1">
      <c r="A2596" s="129">
        <v>2596</v>
      </c>
    </row>
    <row r="2597" spans="1:1" ht="12.75" customHeight="1">
      <c r="A2597" s="129">
        <v>2597</v>
      </c>
    </row>
    <row r="2598" spans="1:1" ht="12.75" customHeight="1">
      <c r="A2598" s="129">
        <v>2598</v>
      </c>
    </row>
    <row r="2599" spans="1:1" ht="12.75" customHeight="1">
      <c r="A2599" s="129">
        <v>2599</v>
      </c>
    </row>
    <row r="2600" spans="1:1" ht="12.75" customHeight="1">
      <c r="A2600" s="129">
        <v>2600</v>
      </c>
    </row>
    <row r="2601" spans="1:1" ht="12.75" customHeight="1">
      <c r="A2601" s="129">
        <v>2601</v>
      </c>
    </row>
    <row r="2602" spans="1:1" ht="12.75" customHeight="1">
      <c r="A2602" s="129">
        <v>2602</v>
      </c>
    </row>
    <row r="2603" spans="1:1" ht="12.75" customHeight="1">
      <c r="A2603" s="129">
        <v>2603</v>
      </c>
    </row>
    <row r="2604" spans="1:1" ht="12.75" customHeight="1">
      <c r="A2604" s="129">
        <v>2604</v>
      </c>
    </row>
    <row r="2605" spans="1:1" ht="12.75" customHeight="1">
      <c r="A2605" s="129">
        <v>2605</v>
      </c>
    </row>
    <row r="2606" spans="1:1" ht="12.75" customHeight="1">
      <c r="A2606" s="129">
        <v>2606</v>
      </c>
    </row>
    <row r="2607" spans="1:1" ht="12.75" customHeight="1">
      <c r="A2607" s="129">
        <v>2607</v>
      </c>
    </row>
    <row r="2608" spans="1:1" ht="12.75" customHeight="1">
      <c r="A2608" s="129">
        <v>2608</v>
      </c>
    </row>
    <row r="2609" spans="1:1" ht="12.75" customHeight="1">
      <c r="A2609" s="129">
        <v>2609</v>
      </c>
    </row>
    <row r="2610" spans="1:1" ht="12.75" customHeight="1">
      <c r="A2610" s="129">
        <v>2610</v>
      </c>
    </row>
    <row r="2611" spans="1:1" ht="12.75" customHeight="1">
      <c r="A2611" s="129">
        <v>2611</v>
      </c>
    </row>
    <row r="2612" spans="1:1" ht="12.75" customHeight="1">
      <c r="A2612" s="129">
        <v>2612</v>
      </c>
    </row>
    <row r="2613" spans="1:1" ht="12.75" customHeight="1">
      <c r="A2613" s="129">
        <v>2613</v>
      </c>
    </row>
    <row r="2614" spans="1:1" ht="12.75" customHeight="1">
      <c r="A2614" s="129">
        <v>2614</v>
      </c>
    </row>
    <row r="2615" spans="1:1" ht="12.75" customHeight="1">
      <c r="A2615" s="129">
        <v>2615</v>
      </c>
    </row>
    <row r="2616" spans="1:1" ht="12.75" customHeight="1">
      <c r="A2616" s="129">
        <v>2616</v>
      </c>
    </row>
    <row r="2617" spans="1:1" ht="12.75" customHeight="1">
      <c r="A2617" s="129">
        <v>2617</v>
      </c>
    </row>
    <row r="2618" spans="1:1" ht="12.75" customHeight="1">
      <c r="A2618" s="129">
        <v>2618</v>
      </c>
    </row>
    <row r="2619" spans="1:1" ht="12.75" customHeight="1">
      <c r="A2619" s="129">
        <v>2619</v>
      </c>
    </row>
    <row r="2620" spans="1:1" ht="12.75" customHeight="1">
      <c r="A2620" s="129">
        <v>2620</v>
      </c>
    </row>
    <row r="2621" spans="1:1" ht="12.75" customHeight="1">
      <c r="A2621" s="129">
        <v>2621</v>
      </c>
    </row>
    <row r="2622" spans="1:1" ht="12.75" customHeight="1">
      <c r="A2622" s="129">
        <v>2622</v>
      </c>
    </row>
    <row r="2623" spans="1:1" ht="12.75" customHeight="1">
      <c r="A2623" s="129">
        <v>2623</v>
      </c>
    </row>
    <row r="2624" spans="1:1" ht="12.75" customHeight="1">
      <c r="A2624" s="129">
        <v>2624</v>
      </c>
    </row>
    <row r="2625" spans="1:1" ht="12.75" customHeight="1">
      <c r="A2625" s="129">
        <v>2625</v>
      </c>
    </row>
    <row r="2626" spans="1:1" ht="12.75" customHeight="1">
      <c r="A2626" s="129">
        <v>2626</v>
      </c>
    </row>
    <row r="2627" spans="1:1" ht="12.75" customHeight="1">
      <c r="A2627" s="129">
        <v>2627</v>
      </c>
    </row>
    <row r="2628" spans="1:1" ht="12.75" customHeight="1">
      <c r="A2628" s="129">
        <v>2628</v>
      </c>
    </row>
    <row r="2629" spans="1:1" ht="12.75" customHeight="1">
      <c r="A2629" s="129">
        <v>2629</v>
      </c>
    </row>
    <row r="2630" spans="1:1" ht="12.75" customHeight="1">
      <c r="A2630" s="129">
        <v>2630</v>
      </c>
    </row>
    <row r="2631" spans="1:1" ht="12.75" customHeight="1">
      <c r="A2631" s="129">
        <v>2631</v>
      </c>
    </row>
    <row r="2632" spans="1:1" ht="12.75" customHeight="1">
      <c r="A2632" s="129">
        <v>2632</v>
      </c>
    </row>
    <row r="2633" spans="1:1" ht="12.75" customHeight="1">
      <c r="A2633" s="129">
        <v>2633</v>
      </c>
    </row>
    <row r="2634" spans="1:1" ht="12.75" customHeight="1">
      <c r="A2634" s="129">
        <v>2634</v>
      </c>
    </row>
    <row r="2635" spans="1:1" ht="12.75" customHeight="1">
      <c r="A2635" s="129">
        <v>2635</v>
      </c>
    </row>
    <row r="2636" spans="1:1" ht="12.75" customHeight="1">
      <c r="A2636" s="129">
        <v>2636</v>
      </c>
    </row>
    <row r="2637" spans="1:1" ht="12.75" customHeight="1">
      <c r="A2637" s="129">
        <v>2637</v>
      </c>
    </row>
    <row r="2638" spans="1:1" ht="12.75" customHeight="1">
      <c r="A2638" s="129">
        <v>2638</v>
      </c>
    </row>
    <row r="2639" spans="1:1" ht="12.75" customHeight="1">
      <c r="A2639" s="129">
        <v>2639</v>
      </c>
    </row>
    <row r="2640" spans="1:1" ht="12.75" customHeight="1">
      <c r="A2640" s="129">
        <v>2640</v>
      </c>
    </row>
    <row r="2641" spans="1:1" ht="12.75" customHeight="1">
      <c r="A2641" s="129">
        <v>2641</v>
      </c>
    </row>
    <row r="2642" spans="1:1" ht="12.75" customHeight="1">
      <c r="A2642" s="129">
        <v>2642</v>
      </c>
    </row>
    <row r="2643" spans="1:1" ht="12.75" customHeight="1">
      <c r="A2643" s="129">
        <v>2643</v>
      </c>
    </row>
    <row r="2644" spans="1:1" ht="12.75" customHeight="1">
      <c r="A2644" s="129">
        <v>2644</v>
      </c>
    </row>
    <row r="2645" spans="1:1" ht="12.75" customHeight="1">
      <c r="A2645" s="129">
        <v>2645</v>
      </c>
    </row>
    <row r="2646" spans="1:1" ht="12.75" customHeight="1">
      <c r="A2646" s="129">
        <v>2646</v>
      </c>
    </row>
    <row r="2647" spans="1:1" ht="12.75" customHeight="1">
      <c r="A2647" s="129">
        <v>2647</v>
      </c>
    </row>
    <row r="2648" spans="1:1" ht="12.75" customHeight="1">
      <c r="A2648" s="129">
        <v>2648</v>
      </c>
    </row>
    <row r="2649" spans="1:1" ht="12.75" customHeight="1">
      <c r="A2649" s="129">
        <v>2649</v>
      </c>
    </row>
    <row r="2650" spans="1:1" ht="12.75" customHeight="1">
      <c r="A2650" s="129">
        <v>2650</v>
      </c>
    </row>
    <row r="2651" spans="1:1" ht="12.75" customHeight="1">
      <c r="A2651" s="129">
        <v>2651</v>
      </c>
    </row>
    <row r="2652" spans="1:1" ht="12.75" customHeight="1">
      <c r="A2652" s="129">
        <v>2652</v>
      </c>
    </row>
    <row r="2653" spans="1:1" ht="12.75" customHeight="1">
      <c r="A2653" s="129">
        <v>2653</v>
      </c>
    </row>
    <row r="2654" spans="1:1" ht="12.75" customHeight="1">
      <c r="A2654" s="129">
        <v>2654</v>
      </c>
    </row>
    <row r="2655" spans="1:1" ht="12.75" customHeight="1">
      <c r="A2655" s="129">
        <v>2655</v>
      </c>
    </row>
    <row r="2656" spans="1:1" ht="12.75" customHeight="1">
      <c r="A2656" s="129">
        <v>2656</v>
      </c>
    </row>
    <row r="2657" spans="1:1" ht="12.75" customHeight="1">
      <c r="A2657" s="129">
        <v>2657</v>
      </c>
    </row>
    <row r="2658" spans="1:1" ht="12.75" customHeight="1">
      <c r="A2658" s="129">
        <v>2658</v>
      </c>
    </row>
    <row r="2659" spans="1:1" ht="12.75" customHeight="1">
      <c r="A2659" s="129">
        <v>2659</v>
      </c>
    </row>
    <row r="2660" spans="1:1" ht="12.75" customHeight="1">
      <c r="A2660" s="129">
        <v>2660</v>
      </c>
    </row>
    <row r="2661" spans="1:1" ht="12.75" customHeight="1">
      <c r="A2661" s="129">
        <v>2661</v>
      </c>
    </row>
    <row r="2662" spans="1:1" ht="12.75" customHeight="1">
      <c r="A2662" s="129">
        <v>2662</v>
      </c>
    </row>
    <row r="2663" spans="1:1" ht="12.75" customHeight="1">
      <c r="A2663" s="129">
        <v>2663</v>
      </c>
    </row>
    <row r="2664" spans="1:1" ht="12.75" customHeight="1">
      <c r="A2664" s="129">
        <v>2664</v>
      </c>
    </row>
    <row r="2665" spans="1:1" ht="12.75" customHeight="1">
      <c r="A2665" s="129">
        <v>2665</v>
      </c>
    </row>
    <row r="2666" spans="1:1" ht="12.75" customHeight="1">
      <c r="A2666" s="129">
        <v>2666</v>
      </c>
    </row>
    <row r="2667" spans="1:1" ht="12.75" customHeight="1">
      <c r="A2667" s="129">
        <v>2667</v>
      </c>
    </row>
    <row r="2668" spans="1:1" ht="12.75" customHeight="1">
      <c r="A2668" s="129">
        <v>2668</v>
      </c>
    </row>
    <row r="2669" spans="1:1" ht="12.75" customHeight="1">
      <c r="A2669" s="129">
        <v>2669</v>
      </c>
    </row>
    <row r="2670" spans="1:1" ht="12.75" customHeight="1">
      <c r="A2670" s="129">
        <v>2670</v>
      </c>
    </row>
    <row r="2671" spans="1:1" ht="12.75" customHeight="1">
      <c r="A2671" s="129">
        <v>2671</v>
      </c>
    </row>
    <row r="2672" spans="1:1" ht="12.75" customHeight="1">
      <c r="A2672" s="129">
        <v>2672</v>
      </c>
    </row>
    <row r="2673" spans="1:1" ht="12.75" customHeight="1">
      <c r="A2673" s="129">
        <v>2673</v>
      </c>
    </row>
    <row r="2674" spans="1:1" ht="12.75" customHeight="1">
      <c r="A2674" s="129">
        <v>2674</v>
      </c>
    </row>
    <row r="2675" spans="1:1" ht="12.75" customHeight="1">
      <c r="A2675" s="129">
        <v>2675</v>
      </c>
    </row>
    <row r="2676" spans="1:1" ht="12.75" customHeight="1">
      <c r="A2676" s="129">
        <v>2676</v>
      </c>
    </row>
    <row r="2677" spans="1:1" ht="12.75" customHeight="1">
      <c r="A2677" s="129">
        <v>2677</v>
      </c>
    </row>
    <row r="2678" spans="1:1" ht="12.75" customHeight="1">
      <c r="A2678" s="129">
        <v>2678</v>
      </c>
    </row>
    <row r="2679" spans="1:1" ht="12.75" customHeight="1">
      <c r="A2679" s="129">
        <v>2679</v>
      </c>
    </row>
    <row r="2680" spans="1:1" ht="12.75" customHeight="1">
      <c r="A2680" s="129">
        <v>2680</v>
      </c>
    </row>
    <row r="2681" spans="1:1" ht="12.75" customHeight="1">
      <c r="A2681" s="129">
        <v>2681</v>
      </c>
    </row>
    <row r="2682" spans="1:1" ht="12.75" customHeight="1">
      <c r="A2682" s="129">
        <v>2682</v>
      </c>
    </row>
    <row r="2683" spans="1:1" ht="12.75" customHeight="1">
      <c r="A2683" s="129">
        <v>2683</v>
      </c>
    </row>
    <row r="2684" spans="1:1" ht="12.75" customHeight="1">
      <c r="A2684" s="129">
        <v>2684</v>
      </c>
    </row>
    <row r="2685" spans="1:1" ht="12.75" customHeight="1">
      <c r="A2685" s="129">
        <v>2685</v>
      </c>
    </row>
    <row r="2686" spans="1:1" ht="12.75" customHeight="1">
      <c r="A2686" s="129">
        <v>2686</v>
      </c>
    </row>
    <row r="2687" spans="1:1" ht="12.75" customHeight="1">
      <c r="A2687" s="129">
        <v>2687</v>
      </c>
    </row>
    <row r="2688" spans="1:1" ht="12.75" customHeight="1">
      <c r="A2688" s="129">
        <v>2688</v>
      </c>
    </row>
    <row r="2689" spans="1:1" ht="12.75" customHeight="1">
      <c r="A2689" s="129">
        <v>2689</v>
      </c>
    </row>
    <row r="2690" spans="1:1" ht="12.75" customHeight="1">
      <c r="A2690" s="129">
        <v>2690</v>
      </c>
    </row>
    <row r="2691" spans="1:1" ht="12.75" customHeight="1">
      <c r="A2691" s="129">
        <v>2691</v>
      </c>
    </row>
    <row r="2692" spans="1:1" ht="12.75" customHeight="1">
      <c r="A2692" s="129">
        <v>2692</v>
      </c>
    </row>
    <row r="2693" spans="1:1" ht="12.75" customHeight="1">
      <c r="A2693" s="129">
        <v>2693</v>
      </c>
    </row>
    <row r="2694" spans="1:1" ht="12.75" customHeight="1">
      <c r="A2694" s="129">
        <v>2694</v>
      </c>
    </row>
    <row r="2695" spans="1:1" ht="12.75" customHeight="1">
      <c r="A2695" s="129">
        <v>2695</v>
      </c>
    </row>
    <row r="2696" spans="1:1" ht="12.75" customHeight="1">
      <c r="A2696" s="129">
        <v>2696</v>
      </c>
    </row>
    <row r="2697" spans="1:1" ht="12.75" customHeight="1">
      <c r="A2697" s="129">
        <v>2697</v>
      </c>
    </row>
    <row r="2698" spans="1:1" ht="12.75" customHeight="1">
      <c r="A2698" s="129">
        <v>2698</v>
      </c>
    </row>
    <row r="2699" spans="1:1" ht="12.75" customHeight="1">
      <c r="A2699" s="129">
        <v>2699</v>
      </c>
    </row>
    <row r="2700" spans="1:1" ht="12.75" customHeight="1">
      <c r="A2700" s="129">
        <v>2700</v>
      </c>
    </row>
    <row r="2701" spans="1:1" ht="12.75" customHeight="1">
      <c r="A2701" s="129">
        <v>2701</v>
      </c>
    </row>
    <row r="2702" spans="1:1" ht="12.75" customHeight="1">
      <c r="A2702" s="129">
        <v>2702</v>
      </c>
    </row>
    <row r="2703" spans="1:1" ht="12.75" customHeight="1">
      <c r="A2703" s="129">
        <v>2703</v>
      </c>
    </row>
    <row r="2704" spans="1:1" ht="12.75" customHeight="1">
      <c r="A2704" s="129">
        <v>2704</v>
      </c>
    </row>
    <row r="2705" spans="1:1" ht="12.75" customHeight="1">
      <c r="A2705" s="129">
        <v>2705</v>
      </c>
    </row>
    <row r="2706" spans="1:1" ht="12.75" customHeight="1">
      <c r="A2706" s="129">
        <v>2706</v>
      </c>
    </row>
    <row r="2707" spans="1:1" ht="12.75" customHeight="1">
      <c r="A2707" s="129">
        <v>2707</v>
      </c>
    </row>
    <row r="2708" spans="1:1" ht="12.75" customHeight="1">
      <c r="A2708" s="129">
        <v>2708</v>
      </c>
    </row>
    <row r="2709" spans="1:1" ht="12.75" customHeight="1">
      <c r="A2709" s="129">
        <v>2709</v>
      </c>
    </row>
    <row r="2710" spans="1:1" ht="12.75" customHeight="1">
      <c r="A2710" s="129">
        <v>2710</v>
      </c>
    </row>
    <row r="2711" spans="1:1" ht="12.75" customHeight="1">
      <c r="A2711" s="129">
        <v>2711</v>
      </c>
    </row>
    <row r="2712" spans="1:1" ht="12.75" customHeight="1">
      <c r="A2712" s="129">
        <v>2712</v>
      </c>
    </row>
    <row r="2713" spans="1:1" ht="12.75" customHeight="1">
      <c r="A2713" s="129">
        <v>2713</v>
      </c>
    </row>
    <row r="2714" spans="1:1" ht="12.75" customHeight="1">
      <c r="A2714" s="129">
        <v>2714</v>
      </c>
    </row>
    <row r="2715" spans="1:1" ht="12.75" customHeight="1">
      <c r="A2715" s="129">
        <v>2715</v>
      </c>
    </row>
    <row r="2716" spans="1:1" ht="12.75" customHeight="1">
      <c r="A2716" s="129">
        <v>2716</v>
      </c>
    </row>
    <row r="2717" spans="1:1" ht="12.75" customHeight="1">
      <c r="A2717" s="129">
        <v>2717</v>
      </c>
    </row>
    <row r="2718" spans="1:1" ht="12.75" customHeight="1">
      <c r="A2718" s="129">
        <v>2718</v>
      </c>
    </row>
    <row r="2719" spans="1:1" ht="12.75" customHeight="1">
      <c r="A2719" s="129">
        <v>2719</v>
      </c>
    </row>
    <row r="2720" spans="1:1" ht="12.75" customHeight="1">
      <c r="A2720" s="129">
        <v>2720</v>
      </c>
    </row>
    <row r="2721" spans="1:1" ht="12.75" customHeight="1">
      <c r="A2721" s="129">
        <v>2721</v>
      </c>
    </row>
    <row r="2722" spans="1:1" ht="12.75" customHeight="1">
      <c r="A2722" s="129">
        <v>2722</v>
      </c>
    </row>
    <row r="2723" spans="1:1" ht="12.75" customHeight="1">
      <c r="A2723" s="129">
        <v>2723</v>
      </c>
    </row>
    <row r="2724" spans="1:1" ht="12.75" customHeight="1">
      <c r="A2724" s="129">
        <v>2724</v>
      </c>
    </row>
    <row r="2725" spans="1:1" ht="12.75" customHeight="1">
      <c r="A2725" s="129">
        <v>2725</v>
      </c>
    </row>
    <row r="2726" spans="1:1" ht="12.75" customHeight="1">
      <c r="A2726" s="129">
        <v>2726</v>
      </c>
    </row>
    <row r="2727" spans="1:1" ht="12.75" customHeight="1">
      <c r="A2727" s="129">
        <v>2727</v>
      </c>
    </row>
    <row r="2728" spans="1:1" ht="12.75" customHeight="1">
      <c r="A2728" s="129">
        <v>2728</v>
      </c>
    </row>
    <row r="2729" spans="1:1" ht="12.75" customHeight="1">
      <c r="A2729" s="129">
        <v>2729</v>
      </c>
    </row>
    <row r="2730" spans="1:1" ht="12.75" customHeight="1">
      <c r="A2730" s="129">
        <v>2730</v>
      </c>
    </row>
    <row r="2731" spans="1:1" ht="12.75" customHeight="1">
      <c r="A2731" s="129">
        <v>2731</v>
      </c>
    </row>
    <row r="2732" spans="1:1" ht="12.75" customHeight="1">
      <c r="A2732" s="129">
        <v>2732</v>
      </c>
    </row>
    <row r="2733" spans="1:1" ht="12.75" customHeight="1">
      <c r="A2733" s="129">
        <v>2733</v>
      </c>
    </row>
    <row r="2734" spans="1:1" ht="12.75" customHeight="1">
      <c r="A2734" s="129">
        <v>2734</v>
      </c>
    </row>
    <row r="2735" spans="1:1" ht="12.75" customHeight="1">
      <c r="A2735" s="129">
        <v>2735</v>
      </c>
    </row>
    <row r="2736" spans="1:1" ht="12.75" customHeight="1">
      <c r="A2736" s="129">
        <v>2736</v>
      </c>
    </row>
    <row r="2737" spans="1:1" ht="12.75" customHeight="1">
      <c r="A2737" s="129">
        <v>2737</v>
      </c>
    </row>
    <row r="2738" spans="1:1" ht="12.75" customHeight="1">
      <c r="A2738" s="129">
        <v>2738</v>
      </c>
    </row>
    <row r="2739" spans="1:1" ht="12.75" customHeight="1">
      <c r="A2739" s="129">
        <v>2739</v>
      </c>
    </row>
    <row r="2740" spans="1:1" ht="12.75" customHeight="1">
      <c r="A2740" s="129">
        <v>2740</v>
      </c>
    </row>
    <row r="2741" spans="1:1" ht="12.75" customHeight="1">
      <c r="A2741" s="129">
        <v>2741</v>
      </c>
    </row>
    <row r="2742" spans="1:1" ht="12.75" customHeight="1">
      <c r="A2742" s="129">
        <v>2742</v>
      </c>
    </row>
    <row r="2743" spans="1:1" ht="12.75" customHeight="1">
      <c r="A2743" s="129">
        <v>2743</v>
      </c>
    </row>
    <row r="2744" spans="1:1" ht="12.75" customHeight="1">
      <c r="A2744" s="129">
        <v>2744</v>
      </c>
    </row>
    <row r="2745" spans="1:1" ht="12.75" customHeight="1">
      <c r="A2745" s="129">
        <v>2745</v>
      </c>
    </row>
    <row r="2746" spans="1:1" ht="12.75" customHeight="1">
      <c r="A2746" s="129">
        <v>2746</v>
      </c>
    </row>
    <row r="2747" spans="1:1" ht="12.75" customHeight="1">
      <c r="A2747" s="129">
        <v>2747</v>
      </c>
    </row>
    <row r="2748" spans="1:1" ht="12.75" customHeight="1">
      <c r="A2748" s="129">
        <v>2748</v>
      </c>
    </row>
    <row r="2749" spans="1:1" ht="12.75" customHeight="1">
      <c r="A2749" s="129">
        <v>2749</v>
      </c>
    </row>
    <row r="2750" spans="1:1" ht="12.75" customHeight="1">
      <c r="A2750" s="129">
        <v>2750</v>
      </c>
    </row>
    <row r="2751" spans="1:1" ht="12.75" customHeight="1">
      <c r="A2751" s="129">
        <v>2751</v>
      </c>
    </row>
    <row r="2752" spans="1:1" ht="12.75" customHeight="1">
      <c r="A2752" s="129">
        <v>2752</v>
      </c>
    </row>
    <row r="2753" spans="1:1" ht="12.75" customHeight="1">
      <c r="A2753" s="129">
        <v>2753</v>
      </c>
    </row>
    <row r="2754" spans="1:1" ht="12.75" customHeight="1">
      <c r="A2754" s="129">
        <v>2754</v>
      </c>
    </row>
    <row r="2755" spans="1:1" ht="12.75" customHeight="1">
      <c r="A2755" s="129">
        <v>2755</v>
      </c>
    </row>
    <row r="2756" spans="1:1" ht="12.75" customHeight="1">
      <c r="A2756" s="129">
        <v>2756</v>
      </c>
    </row>
    <row r="2757" spans="1:1" ht="12.75" customHeight="1">
      <c r="A2757" s="129">
        <v>2757</v>
      </c>
    </row>
    <row r="2758" spans="1:1" ht="12.75" customHeight="1">
      <c r="A2758" s="129">
        <v>2758</v>
      </c>
    </row>
    <row r="2759" spans="1:1" ht="12.75" customHeight="1">
      <c r="A2759" s="129">
        <v>2759</v>
      </c>
    </row>
    <row r="2760" spans="1:1" ht="12.75" customHeight="1">
      <c r="A2760" s="129">
        <v>2760</v>
      </c>
    </row>
    <row r="2761" spans="1:1" ht="12.75" customHeight="1">
      <c r="A2761" s="129">
        <v>2761</v>
      </c>
    </row>
    <row r="2762" spans="1:1" ht="12.75" customHeight="1">
      <c r="A2762" s="129">
        <v>2762</v>
      </c>
    </row>
    <row r="2763" spans="1:1" ht="12.75" customHeight="1">
      <c r="A2763" s="129">
        <v>2763</v>
      </c>
    </row>
    <row r="2764" spans="1:1" ht="12.75" customHeight="1">
      <c r="A2764" s="129">
        <v>2764</v>
      </c>
    </row>
    <row r="2765" spans="1:1" ht="12.75" customHeight="1">
      <c r="A2765" s="129">
        <v>2765</v>
      </c>
    </row>
    <row r="2766" spans="1:1" ht="12.75" customHeight="1">
      <c r="A2766" s="129">
        <v>2766</v>
      </c>
    </row>
    <row r="2767" spans="1:1" ht="12.75" customHeight="1">
      <c r="A2767" s="129">
        <v>2767</v>
      </c>
    </row>
    <row r="2768" spans="1:1" ht="12.75" customHeight="1">
      <c r="A2768" s="129">
        <v>2768</v>
      </c>
    </row>
    <row r="2769" spans="1:1" ht="12.75" customHeight="1">
      <c r="A2769" s="129">
        <v>2769</v>
      </c>
    </row>
    <row r="2770" spans="1:1" ht="12.75" customHeight="1">
      <c r="A2770" s="129">
        <v>2770</v>
      </c>
    </row>
    <row r="2771" spans="1:1" ht="12.75" customHeight="1">
      <c r="A2771" s="129">
        <v>2771</v>
      </c>
    </row>
    <row r="2772" spans="1:1" ht="12.75" customHeight="1">
      <c r="A2772" s="129">
        <v>2772</v>
      </c>
    </row>
    <row r="2773" spans="1:1" ht="12.75" customHeight="1">
      <c r="A2773" s="129">
        <v>2773</v>
      </c>
    </row>
    <row r="2774" spans="1:1" ht="12.75" customHeight="1">
      <c r="A2774" s="129">
        <v>2774</v>
      </c>
    </row>
    <row r="2775" spans="1:1" ht="12.75" customHeight="1">
      <c r="A2775" s="129">
        <v>2775</v>
      </c>
    </row>
    <row r="2776" spans="1:1" ht="12.75" customHeight="1">
      <c r="A2776" s="129">
        <v>2776</v>
      </c>
    </row>
    <row r="2777" spans="1:1" ht="12.75" customHeight="1">
      <c r="A2777" s="129">
        <v>2777</v>
      </c>
    </row>
    <row r="2778" spans="1:1" ht="12.75" customHeight="1">
      <c r="A2778" s="129">
        <v>2778</v>
      </c>
    </row>
    <row r="2779" spans="1:1" ht="12.75" customHeight="1">
      <c r="A2779" s="129">
        <v>2779</v>
      </c>
    </row>
    <row r="2780" spans="1:1" ht="12.75" customHeight="1">
      <c r="A2780" s="129">
        <v>2780</v>
      </c>
    </row>
    <row r="2781" spans="1:1" ht="12.75" customHeight="1">
      <c r="A2781" s="129">
        <v>2781</v>
      </c>
    </row>
    <row r="2782" spans="1:1" ht="12.75" customHeight="1">
      <c r="A2782" s="129">
        <v>2782</v>
      </c>
    </row>
    <row r="2783" spans="1:1" ht="12.75" customHeight="1">
      <c r="A2783" s="129">
        <v>2783</v>
      </c>
    </row>
    <row r="2784" spans="1:1" ht="12.75" customHeight="1">
      <c r="A2784" s="129">
        <v>2784</v>
      </c>
    </row>
    <row r="2785" spans="1:1" ht="12.75" customHeight="1">
      <c r="A2785" s="129">
        <v>2785</v>
      </c>
    </row>
    <row r="2786" spans="1:1" ht="12.75" customHeight="1">
      <c r="A2786" s="129">
        <v>2786</v>
      </c>
    </row>
    <row r="2787" spans="1:1" ht="12.75" customHeight="1">
      <c r="A2787" s="129">
        <v>2787</v>
      </c>
    </row>
    <row r="2788" spans="1:1" ht="12.75" customHeight="1">
      <c r="A2788" s="129">
        <v>2788</v>
      </c>
    </row>
    <row r="2789" spans="1:1" ht="12.75" customHeight="1">
      <c r="A2789" s="129">
        <v>2789</v>
      </c>
    </row>
    <row r="2790" spans="1:1" ht="12.75" customHeight="1">
      <c r="A2790" s="129">
        <v>2790</v>
      </c>
    </row>
    <row r="2791" spans="1:1" ht="12.75" customHeight="1">
      <c r="A2791" s="129">
        <v>2791</v>
      </c>
    </row>
    <row r="2792" spans="1:1" ht="12.75" customHeight="1">
      <c r="A2792" s="129">
        <v>2792</v>
      </c>
    </row>
    <row r="2793" spans="1:1" ht="12.75" customHeight="1">
      <c r="A2793" s="129">
        <v>2793</v>
      </c>
    </row>
    <row r="2794" spans="1:1" ht="12.75" customHeight="1">
      <c r="A2794" s="129">
        <v>2794</v>
      </c>
    </row>
    <row r="2795" spans="1:1" ht="12.75" customHeight="1">
      <c r="A2795" s="129">
        <v>2795</v>
      </c>
    </row>
    <row r="2796" spans="1:1" ht="12.75" customHeight="1">
      <c r="A2796" s="129">
        <v>2796</v>
      </c>
    </row>
    <row r="2797" spans="1:1" ht="12.75" customHeight="1">
      <c r="A2797" s="129">
        <v>2797</v>
      </c>
    </row>
    <row r="2798" spans="1:1" ht="12.75" customHeight="1">
      <c r="A2798" s="129">
        <v>2798</v>
      </c>
    </row>
    <row r="2799" spans="1:1" ht="12.75" customHeight="1">
      <c r="A2799" s="129">
        <v>2799</v>
      </c>
    </row>
    <row r="2800" spans="1:1" ht="12.75" customHeight="1">
      <c r="A2800" s="129">
        <v>2800</v>
      </c>
    </row>
    <row r="2801" spans="1:1" ht="12.75" customHeight="1">
      <c r="A2801" s="129">
        <v>2801</v>
      </c>
    </row>
    <row r="2802" spans="1:1" ht="12.75" customHeight="1">
      <c r="A2802" s="129">
        <v>2802</v>
      </c>
    </row>
    <row r="2803" spans="1:1" ht="12.75" customHeight="1">
      <c r="A2803" s="129">
        <v>2803</v>
      </c>
    </row>
    <row r="2804" spans="1:1" ht="12.75" customHeight="1">
      <c r="A2804" s="129">
        <v>2804</v>
      </c>
    </row>
    <row r="2805" spans="1:1" ht="12.75" customHeight="1">
      <c r="A2805" s="129">
        <v>2805</v>
      </c>
    </row>
    <row r="2806" spans="1:1" ht="12.75" customHeight="1">
      <c r="A2806" s="129">
        <v>2806</v>
      </c>
    </row>
    <row r="2807" spans="1:1" ht="12.75" customHeight="1">
      <c r="A2807" s="129">
        <v>2807</v>
      </c>
    </row>
    <row r="2808" spans="1:1" ht="12.75" customHeight="1">
      <c r="A2808" s="129">
        <v>2808</v>
      </c>
    </row>
    <row r="2809" spans="1:1" ht="12.75" customHeight="1">
      <c r="A2809" s="129">
        <v>2809</v>
      </c>
    </row>
    <row r="2810" spans="1:1" ht="12.75" customHeight="1">
      <c r="A2810" s="129">
        <v>2810</v>
      </c>
    </row>
    <row r="2811" spans="1:1" ht="12.75" customHeight="1">
      <c r="A2811" s="129">
        <v>2811</v>
      </c>
    </row>
    <row r="2812" spans="1:1" ht="12.75" customHeight="1">
      <c r="A2812" s="129">
        <v>2812</v>
      </c>
    </row>
    <row r="2813" spans="1:1" ht="12.75" customHeight="1">
      <c r="A2813" s="129">
        <v>2813</v>
      </c>
    </row>
    <row r="2814" spans="1:1" ht="12.75" customHeight="1">
      <c r="A2814" s="129">
        <v>2814</v>
      </c>
    </row>
    <row r="2815" spans="1:1" ht="12.75" customHeight="1">
      <c r="A2815" s="129">
        <v>2815</v>
      </c>
    </row>
    <row r="2816" spans="1:1" ht="12.75" customHeight="1">
      <c r="A2816" s="129">
        <v>2816</v>
      </c>
    </row>
    <row r="2817" spans="1:1" ht="12.75" customHeight="1">
      <c r="A2817" s="129">
        <v>2817</v>
      </c>
    </row>
    <row r="2818" spans="1:1" ht="12.75" customHeight="1">
      <c r="A2818" s="129">
        <v>2818</v>
      </c>
    </row>
    <row r="2819" spans="1:1" ht="12.75" customHeight="1">
      <c r="A2819" s="129">
        <v>2819</v>
      </c>
    </row>
    <row r="2820" spans="1:1" ht="12.75" customHeight="1">
      <c r="A2820" s="129">
        <v>2820</v>
      </c>
    </row>
    <row r="2821" spans="1:1" ht="12.75" customHeight="1">
      <c r="A2821" s="129">
        <v>2821</v>
      </c>
    </row>
    <row r="2822" spans="1:1" ht="12.75" customHeight="1">
      <c r="A2822" s="129">
        <v>2822</v>
      </c>
    </row>
    <row r="2823" spans="1:1" ht="12.75" customHeight="1">
      <c r="A2823" s="129">
        <v>2823</v>
      </c>
    </row>
    <row r="2824" spans="1:1" ht="12.75" customHeight="1">
      <c r="A2824" s="129">
        <v>2824</v>
      </c>
    </row>
    <row r="2825" spans="1:1" ht="12.75" customHeight="1">
      <c r="A2825" s="129">
        <v>2825</v>
      </c>
    </row>
    <row r="2826" spans="1:1" ht="12.75" customHeight="1">
      <c r="A2826" s="129">
        <v>2826</v>
      </c>
    </row>
    <row r="2827" spans="1:1" ht="12.75" customHeight="1">
      <c r="A2827" s="129">
        <v>2827</v>
      </c>
    </row>
    <row r="2828" spans="1:1" ht="12.75" customHeight="1">
      <c r="A2828" s="129">
        <v>2828</v>
      </c>
    </row>
    <row r="2829" spans="1:1" ht="12.75" customHeight="1">
      <c r="A2829" s="129">
        <v>2829</v>
      </c>
    </row>
    <row r="2830" spans="1:1" ht="12.75" customHeight="1">
      <c r="A2830" s="129">
        <v>2830</v>
      </c>
    </row>
    <row r="2831" spans="1:1" ht="12.75" customHeight="1">
      <c r="A2831" s="129">
        <v>2831</v>
      </c>
    </row>
    <row r="2832" spans="1:1" ht="12.75" customHeight="1">
      <c r="A2832" s="129">
        <v>2832</v>
      </c>
    </row>
    <row r="2833" spans="1:1" ht="12.75" customHeight="1">
      <c r="A2833" s="129">
        <v>2833</v>
      </c>
    </row>
    <row r="2834" spans="1:1" ht="12.75" customHeight="1">
      <c r="A2834" s="129">
        <v>2834</v>
      </c>
    </row>
    <row r="2835" spans="1:1" ht="12.75" customHeight="1">
      <c r="A2835" s="129">
        <v>2835</v>
      </c>
    </row>
    <row r="2836" spans="1:1" ht="12.75" customHeight="1">
      <c r="A2836" s="129">
        <v>2836</v>
      </c>
    </row>
    <row r="2837" spans="1:1" ht="12.75" customHeight="1">
      <c r="A2837" s="129">
        <v>2837</v>
      </c>
    </row>
    <row r="2838" spans="1:1" ht="12.75" customHeight="1">
      <c r="A2838" s="129">
        <v>2838</v>
      </c>
    </row>
    <row r="2839" spans="1:1" ht="12.75" customHeight="1">
      <c r="A2839" s="129">
        <v>2839</v>
      </c>
    </row>
    <row r="2840" spans="1:1" ht="12.75" customHeight="1">
      <c r="A2840" s="129">
        <v>2840</v>
      </c>
    </row>
    <row r="2841" spans="1:1" ht="12.75" customHeight="1">
      <c r="A2841" s="129">
        <v>2841</v>
      </c>
    </row>
    <row r="2842" spans="1:1" ht="12.75" customHeight="1">
      <c r="A2842" s="129">
        <v>2842</v>
      </c>
    </row>
    <row r="2843" spans="1:1" ht="12.75" customHeight="1">
      <c r="A2843" s="129">
        <v>2843</v>
      </c>
    </row>
    <row r="2844" spans="1:1" ht="12.75" customHeight="1">
      <c r="A2844" s="129">
        <v>2844</v>
      </c>
    </row>
    <row r="2845" spans="1:1" ht="12.75" customHeight="1">
      <c r="A2845" s="129">
        <v>2845</v>
      </c>
    </row>
    <row r="2846" spans="1:1" ht="12.75" customHeight="1">
      <c r="A2846" s="129">
        <v>2846</v>
      </c>
    </row>
    <row r="2847" spans="1:1" ht="12.75" customHeight="1">
      <c r="A2847" s="129">
        <v>2847</v>
      </c>
    </row>
    <row r="2848" spans="1:1" ht="12.75" customHeight="1">
      <c r="A2848" s="129">
        <v>2848</v>
      </c>
    </row>
    <row r="2849" spans="1:1" ht="12.75" customHeight="1">
      <c r="A2849" s="129">
        <v>2849</v>
      </c>
    </row>
    <row r="2850" spans="1:1" ht="12.75" customHeight="1">
      <c r="A2850" s="129">
        <v>2850</v>
      </c>
    </row>
    <row r="2851" spans="1:1" ht="12.75" customHeight="1">
      <c r="A2851" s="129">
        <v>2851</v>
      </c>
    </row>
    <row r="2852" spans="1:1" ht="12.75" customHeight="1">
      <c r="A2852" s="129">
        <v>2852</v>
      </c>
    </row>
    <row r="2853" spans="1:1" ht="12.75" customHeight="1">
      <c r="A2853" s="129">
        <v>2853</v>
      </c>
    </row>
    <row r="2854" spans="1:1" ht="12.75" customHeight="1">
      <c r="A2854" s="129">
        <v>2854</v>
      </c>
    </row>
    <row r="2855" spans="1:1" ht="12.75" customHeight="1">
      <c r="A2855" s="129">
        <v>2855</v>
      </c>
    </row>
    <row r="2856" spans="1:1" ht="12.75" customHeight="1">
      <c r="A2856" s="129">
        <v>2856</v>
      </c>
    </row>
    <row r="2857" spans="1:1" ht="12.75" customHeight="1">
      <c r="A2857" s="129">
        <v>2857</v>
      </c>
    </row>
    <row r="2858" spans="1:1" ht="12.75" customHeight="1">
      <c r="A2858" s="129">
        <v>2858</v>
      </c>
    </row>
    <row r="2859" spans="1:1" ht="12.75" customHeight="1">
      <c r="A2859" s="129">
        <v>2859</v>
      </c>
    </row>
    <row r="2860" spans="1:1" ht="12.75" customHeight="1">
      <c r="A2860" s="129">
        <v>2860</v>
      </c>
    </row>
    <row r="2861" spans="1:1" ht="12.75" customHeight="1">
      <c r="A2861" s="129">
        <v>2861</v>
      </c>
    </row>
    <row r="2862" spans="1:1" ht="12.75" customHeight="1">
      <c r="A2862" s="129">
        <v>2862</v>
      </c>
    </row>
    <row r="2863" spans="1:1" ht="12.75" customHeight="1">
      <c r="A2863" s="129">
        <v>2863</v>
      </c>
    </row>
    <row r="2864" spans="1:1" ht="12.75" customHeight="1">
      <c r="A2864" s="129">
        <v>2864</v>
      </c>
    </row>
    <row r="2865" spans="1:1" ht="12.75" customHeight="1">
      <c r="A2865" s="129">
        <v>2865</v>
      </c>
    </row>
    <row r="2866" spans="1:1" ht="12.75" customHeight="1">
      <c r="A2866" s="129">
        <v>2866</v>
      </c>
    </row>
    <row r="2867" spans="1:1" ht="12.75" customHeight="1">
      <c r="A2867" s="129">
        <v>2867</v>
      </c>
    </row>
    <row r="2868" spans="1:1" ht="12.75" customHeight="1">
      <c r="A2868" s="129">
        <v>2868</v>
      </c>
    </row>
    <row r="2869" spans="1:1" ht="12.75" customHeight="1">
      <c r="A2869" s="129">
        <v>2869</v>
      </c>
    </row>
    <row r="2870" spans="1:1" ht="12.75" customHeight="1">
      <c r="A2870" s="129">
        <v>2870</v>
      </c>
    </row>
    <row r="2871" spans="1:1" ht="12.75" customHeight="1">
      <c r="A2871" s="129">
        <v>2871</v>
      </c>
    </row>
    <row r="2872" spans="1:1" ht="12.75" customHeight="1">
      <c r="A2872" s="129">
        <v>2872</v>
      </c>
    </row>
    <row r="2873" spans="1:1" ht="12.75" customHeight="1">
      <c r="A2873" s="129">
        <v>2873</v>
      </c>
    </row>
    <row r="2874" spans="1:1" ht="12.75" customHeight="1">
      <c r="A2874" s="129">
        <v>2874</v>
      </c>
    </row>
    <row r="2875" spans="1:1" ht="12.75" customHeight="1">
      <c r="A2875" s="129">
        <v>2875</v>
      </c>
    </row>
    <row r="2876" spans="1:1" ht="12.75" customHeight="1">
      <c r="A2876" s="129">
        <v>2876</v>
      </c>
    </row>
    <row r="2877" spans="1:1" ht="12.75" customHeight="1">
      <c r="A2877" s="129">
        <v>2877</v>
      </c>
    </row>
    <row r="2878" spans="1:1" ht="12.75" customHeight="1">
      <c r="A2878" s="129">
        <v>2878</v>
      </c>
    </row>
    <row r="2879" spans="1:1" ht="12.75" customHeight="1">
      <c r="A2879" s="129">
        <v>2879</v>
      </c>
    </row>
    <row r="2880" spans="1:1" ht="12.75" customHeight="1">
      <c r="A2880" s="129">
        <v>2880</v>
      </c>
    </row>
    <row r="2881" spans="1:1" ht="12.75" customHeight="1">
      <c r="A2881" s="129">
        <v>2881</v>
      </c>
    </row>
    <row r="2882" spans="1:1" ht="12.75" customHeight="1">
      <c r="A2882" s="129">
        <v>2882</v>
      </c>
    </row>
    <row r="2883" spans="1:1" ht="12.75" customHeight="1">
      <c r="A2883" s="129">
        <v>2883</v>
      </c>
    </row>
    <row r="2884" spans="1:1" ht="12.75" customHeight="1">
      <c r="A2884" s="129">
        <v>2884</v>
      </c>
    </row>
    <row r="2885" spans="1:1" ht="12.75" customHeight="1">
      <c r="A2885" s="129">
        <v>2885</v>
      </c>
    </row>
    <row r="2886" spans="1:1" ht="12.75" customHeight="1">
      <c r="A2886" s="129">
        <v>2886</v>
      </c>
    </row>
    <row r="2887" spans="1:1" ht="12.75" customHeight="1">
      <c r="A2887" s="129">
        <v>2887</v>
      </c>
    </row>
    <row r="2888" spans="1:1" ht="12.75" customHeight="1">
      <c r="A2888" s="129">
        <v>2888</v>
      </c>
    </row>
    <row r="2889" spans="1:1" ht="12.75" customHeight="1">
      <c r="A2889" s="129">
        <v>2889</v>
      </c>
    </row>
    <row r="2890" spans="1:1" ht="12.75" customHeight="1">
      <c r="A2890" s="129">
        <v>2890</v>
      </c>
    </row>
    <row r="2891" spans="1:1" ht="12.75" customHeight="1">
      <c r="A2891" s="129">
        <v>2891</v>
      </c>
    </row>
    <row r="2892" spans="1:1" ht="12.75" customHeight="1">
      <c r="A2892" s="129">
        <v>2892</v>
      </c>
    </row>
    <row r="2893" spans="1:1" ht="12.75" customHeight="1">
      <c r="A2893" s="129">
        <v>2893</v>
      </c>
    </row>
    <row r="2894" spans="1:1" ht="12.75" customHeight="1">
      <c r="A2894" s="129">
        <v>2894</v>
      </c>
    </row>
    <row r="2895" spans="1:1" ht="12.75" customHeight="1">
      <c r="A2895" s="129">
        <v>2895</v>
      </c>
    </row>
    <row r="2896" spans="1:1" ht="12.75" customHeight="1">
      <c r="A2896" s="129">
        <v>2896</v>
      </c>
    </row>
    <row r="2897" spans="1:1" ht="12.75" customHeight="1">
      <c r="A2897" s="129">
        <v>2897</v>
      </c>
    </row>
    <row r="2898" spans="1:1" ht="12.75" customHeight="1">
      <c r="A2898" s="129">
        <v>2898</v>
      </c>
    </row>
    <row r="2899" spans="1:1" ht="12.75" customHeight="1">
      <c r="A2899" s="129">
        <v>2899</v>
      </c>
    </row>
    <row r="2900" spans="1:1" ht="12.75" customHeight="1">
      <c r="A2900" s="129">
        <v>2900</v>
      </c>
    </row>
    <row r="2901" spans="1:1" ht="12.75" customHeight="1">
      <c r="A2901" s="129">
        <v>2901</v>
      </c>
    </row>
    <row r="2902" spans="1:1" ht="12.75" customHeight="1">
      <c r="A2902" s="129">
        <v>2902</v>
      </c>
    </row>
    <row r="2903" spans="1:1" ht="12.75" customHeight="1">
      <c r="A2903" s="129">
        <v>2903</v>
      </c>
    </row>
    <row r="2904" spans="1:1" ht="12.75" customHeight="1">
      <c r="A2904" s="129">
        <v>2904</v>
      </c>
    </row>
    <row r="2905" spans="1:1" ht="12.75" customHeight="1">
      <c r="A2905" s="129">
        <v>2905</v>
      </c>
    </row>
    <row r="2906" spans="1:1" ht="12.75" customHeight="1">
      <c r="A2906" s="129">
        <v>2906</v>
      </c>
    </row>
    <row r="2907" spans="1:1" ht="12.75" customHeight="1">
      <c r="A2907" s="129">
        <v>2907</v>
      </c>
    </row>
    <row r="2908" spans="1:1" ht="12.75" customHeight="1">
      <c r="A2908" s="129">
        <v>2908</v>
      </c>
    </row>
    <row r="2909" spans="1:1" ht="12.75" customHeight="1">
      <c r="A2909" s="129">
        <v>2909</v>
      </c>
    </row>
    <row r="2910" spans="1:1" ht="12.75" customHeight="1">
      <c r="A2910" s="129">
        <v>2910</v>
      </c>
    </row>
    <row r="2911" spans="1:1" ht="12.75" customHeight="1">
      <c r="A2911" s="129">
        <v>2911</v>
      </c>
    </row>
    <row r="2912" spans="1:1" ht="12.75" customHeight="1">
      <c r="A2912" s="129">
        <v>2912</v>
      </c>
    </row>
    <row r="2913" spans="1:1" ht="12.75" customHeight="1">
      <c r="A2913" s="129">
        <v>2913</v>
      </c>
    </row>
    <row r="2914" spans="1:1" ht="12.75" customHeight="1">
      <c r="A2914" s="129">
        <v>2914</v>
      </c>
    </row>
    <row r="2915" spans="1:1" ht="12.75" customHeight="1">
      <c r="A2915" s="129">
        <v>2915</v>
      </c>
    </row>
    <row r="2916" spans="1:1" ht="12.75" customHeight="1">
      <c r="A2916" s="129">
        <v>2916</v>
      </c>
    </row>
    <row r="2917" spans="1:1" ht="12.75" customHeight="1">
      <c r="A2917" s="129">
        <v>2917</v>
      </c>
    </row>
    <row r="2918" spans="1:1" ht="12.75" customHeight="1">
      <c r="A2918" s="129">
        <v>2918</v>
      </c>
    </row>
    <row r="2919" spans="1:1" ht="12.75" customHeight="1">
      <c r="A2919" s="129">
        <v>2919</v>
      </c>
    </row>
    <row r="2920" spans="1:1" ht="12.75" customHeight="1">
      <c r="A2920" s="129">
        <v>2920</v>
      </c>
    </row>
    <row r="2921" spans="1:1" ht="12.75" customHeight="1">
      <c r="A2921" s="129">
        <v>2921</v>
      </c>
    </row>
    <row r="2922" spans="1:1" ht="12.75" customHeight="1">
      <c r="A2922" s="129">
        <v>2922</v>
      </c>
    </row>
    <row r="2923" spans="1:1" ht="12.75" customHeight="1">
      <c r="A2923" s="129">
        <v>2923</v>
      </c>
    </row>
    <row r="2924" spans="1:1" ht="12.75" customHeight="1">
      <c r="A2924" s="129">
        <v>2924</v>
      </c>
    </row>
    <row r="2925" spans="1:1" ht="12.75" customHeight="1">
      <c r="A2925" s="129">
        <v>2925</v>
      </c>
    </row>
    <row r="2926" spans="1:1" ht="12.75" customHeight="1">
      <c r="A2926" s="129">
        <v>2926</v>
      </c>
    </row>
    <row r="2927" spans="1:1" ht="12.75" customHeight="1">
      <c r="A2927" s="129">
        <v>2927</v>
      </c>
    </row>
    <row r="2928" spans="1:1" ht="12.75" customHeight="1">
      <c r="A2928" s="129">
        <v>2928</v>
      </c>
    </row>
    <row r="2929" spans="1:1" ht="12.75" customHeight="1">
      <c r="A2929" s="129">
        <v>2929</v>
      </c>
    </row>
    <row r="2930" spans="1:1" ht="12.75" customHeight="1">
      <c r="A2930" s="129">
        <v>2930</v>
      </c>
    </row>
    <row r="2931" spans="1:1" ht="12.75" customHeight="1">
      <c r="A2931" s="129">
        <v>2931</v>
      </c>
    </row>
    <row r="2932" spans="1:1" ht="12.75" customHeight="1">
      <c r="A2932" s="129">
        <v>2932</v>
      </c>
    </row>
    <row r="2933" spans="1:1" ht="12.75" customHeight="1">
      <c r="A2933" s="129">
        <v>2933</v>
      </c>
    </row>
    <row r="2934" spans="1:1" ht="12.75" customHeight="1">
      <c r="A2934" s="129">
        <v>2934</v>
      </c>
    </row>
    <row r="2935" spans="1:1" ht="12.75" customHeight="1">
      <c r="A2935" s="129">
        <v>2935</v>
      </c>
    </row>
    <row r="2936" spans="1:1" ht="12.75" customHeight="1">
      <c r="A2936" s="129">
        <v>2936</v>
      </c>
    </row>
    <row r="2937" spans="1:1" ht="12.75" customHeight="1">
      <c r="A2937" s="129">
        <v>2937</v>
      </c>
    </row>
    <row r="2938" spans="1:1" ht="12.75" customHeight="1">
      <c r="A2938" s="129">
        <v>2938</v>
      </c>
    </row>
    <row r="2939" spans="1:1" ht="12.75" customHeight="1">
      <c r="A2939" s="129">
        <v>2939</v>
      </c>
    </row>
    <row r="2940" spans="1:1" ht="12.75" customHeight="1">
      <c r="A2940" s="129">
        <v>2940</v>
      </c>
    </row>
    <row r="2941" spans="1:1" ht="12.75" customHeight="1">
      <c r="A2941" s="129">
        <v>2941</v>
      </c>
    </row>
    <row r="2942" spans="1:1" ht="12.75" customHeight="1">
      <c r="A2942" s="129">
        <v>2942</v>
      </c>
    </row>
    <row r="2943" spans="1:1" ht="12.75" customHeight="1">
      <c r="A2943" s="129">
        <v>2943</v>
      </c>
    </row>
    <row r="2944" spans="1:1" ht="12.75" customHeight="1">
      <c r="A2944" s="129">
        <v>2944</v>
      </c>
    </row>
    <row r="2945" spans="1:1" ht="12.75" customHeight="1">
      <c r="A2945" s="129">
        <v>2945</v>
      </c>
    </row>
    <row r="2946" spans="1:1" ht="12.75" customHeight="1">
      <c r="A2946" s="129">
        <v>2946</v>
      </c>
    </row>
    <row r="2947" spans="1:1" ht="12.75" customHeight="1">
      <c r="A2947" s="129">
        <v>2947</v>
      </c>
    </row>
    <row r="2948" spans="1:1" ht="12.75" customHeight="1">
      <c r="A2948" s="129">
        <v>2948</v>
      </c>
    </row>
    <row r="2949" spans="1:1" ht="12.75" customHeight="1">
      <c r="A2949" s="129">
        <v>2949</v>
      </c>
    </row>
    <row r="2950" spans="1:1" ht="12.75" customHeight="1">
      <c r="A2950" s="129">
        <v>2950</v>
      </c>
    </row>
    <row r="2951" spans="1:1" ht="12.75" customHeight="1">
      <c r="A2951" s="129">
        <v>2951</v>
      </c>
    </row>
    <row r="2952" spans="1:1" ht="12.75" customHeight="1">
      <c r="A2952" s="129">
        <v>2952</v>
      </c>
    </row>
    <row r="2953" spans="1:1" ht="12.75" customHeight="1">
      <c r="A2953" s="129">
        <v>2953</v>
      </c>
    </row>
    <row r="2954" spans="1:1" ht="12.75" customHeight="1">
      <c r="A2954" s="129">
        <v>2954</v>
      </c>
    </row>
    <row r="2955" spans="1:1" ht="12.75" customHeight="1">
      <c r="A2955" s="129">
        <v>2955</v>
      </c>
    </row>
    <row r="2956" spans="1:1" ht="12.75" customHeight="1">
      <c r="A2956" s="129">
        <v>2956</v>
      </c>
    </row>
    <row r="2957" spans="1:1" ht="12.75" customHeight="1">
      <c r="A2957" s="129">
        <v>2957</v>
      </c>
    </row>
    <row r="2958" spans="1:1" ht="12.75" customHeight="1">
      <c r="A2958" s="129">
        <v>2958</v>
      </c>
    </row>
    <row r="2959" spans="1:1" ht="12.75" customHeight="1">
      <c r="A2959" s="129">
        <v>2959</v>
      </c>
    </row>
    <row r="2960" spans="1:1" ht="12.75" customHeight="1">
      <c r="A2960" s="129">
        <v>2960</v>
      </c>
    </row>
    <row r="2961" spans="1:1" ht="12.75" customHeight="1">
      <c r="A2961" s="129">
        <v>2961</v>
      </c>
    </row>
    <row r="2962" spans="1:1" ht="12.75" customHeight="1">
      <c r="A2962" s="129">
        <v>2962</v>
      </c>
    </row>
    <row r="2963" spans="1:1" ht="12.75" customHeight="1">
      <c r="A2963" s="129">
        <v>2963</v>
      </c>
    </row>
    <row r="2964" spans="1:1" ht="12.75" customHeight="1">
      <c r="A2964" s="129">
        <v>2964</v>
      </c>
    </row>
    <row r="2965" spans="1:1" ht="12.75" customHeight="1">
      <c r="A2965" s="129">
        <v>2965</v>
      </c>
    </row>
    <row r="2966" spans="1:1" ht="12.75" customHeight="1">
      <c r="A2966" s="129">
        <v>2966</v>
      </c>
    </row>
    <row r="2967" spans="1:1" ht="12.75" customHeight="1">
      <c r="A2967" s="129">
        <v>2967</v>
      </c>
    </row>
    <row r="2968" spans="1:1" ht="12.75" customHeight="1">
      <c r="A2968" s="129">
        <v>2968</v>
      </c>
    </row>
    <row r="2969" spans="1:1" ht="12.75" customHeight="1">
      <c r="A2969" s="129">
        <v>2969</v>
      </c>
    </row>
    <row r="2970" spans="1:1" ht="12.75" customHeight="1">
      <c r="A2970" s="129">
        <v>2970</v>
      </c>
    </row>
    <row r="2971" spans="1:1" ht="12.75" customHeight="1">
      <c r="A2971" s="129">
        <v>2971</v>
      </c>
    </row>
    <row r="2972" spans="1:1" ht="12.75" customHeight="1">
      <c r="A2972" s="129">
        <v>2972</v>
      </c>
    </row>
    <row r="2973" spans="1:1" ht="12.75" customHeight="1">
      <c r="A2973" s="129">
        <v>2973</v>
      </c>
    </row>
    <row r="2974" spans="1:1" ht="12.75" customHeight="1">
      <c r="A2974" s="129">
        <v>2974</v>
      </c>
    </row>
    <row r="2975" spans="1:1" ht="12.75" customHeight="1">
      <c r="A2975" s="129">
        <v>2975</v>
      </c>
    </row>
    <row r="2976" spans="1:1" ht="12.75" customHeight="1">
      <c r="A2976" s="129">
        <v>2976</v>
      </c>
    </row>
    <row r="2977" spans="1:1" ht="12.75" customHeight="1">
      <c r="A2977" s="129">
        <v>2977</v>
      </c>
    </row>
    <row r="2978" spans="1:1" ht="12.75" customHeight="1">
      <c r="A2978" s="129">
        <v>2978</v>
      </c>
    </row>
    <row r="2979" spans="1:1" ht="12.75" customHeight="1">
      <c r="A2979" s="129">
        <v>2979</v>
      </c>
    </row>
    <row r="2980" spans="1:1" ht="12.75" customHeight="1">
      <c r="A2980" s="129">
        <v>2980</v>
      </c>
    </row>
    <row r="2981" spans="1:1" ht="12.75" customHeight="1">
      <c r="A2981" s="129">
        <v>2981</v>
      </c>
    </row>
    <row r="2982" spans="1:1" ht="12.75" customHeight="1">
      <c r="A2982" s="129">
        <v>2982</v>
      </c>
    </row>
    <row r="2983" spans="1:1" ht="12.75" customHeight="1">
      <c r="A2983" s="129">
        <v>2983</v>
      </c>
    </row>
    <row r="2984" spans="1:1" ht="12.75" customHeight="1">
      <c r="A2984" s="129">
        <v>2984</v>
      </c>
    </row>
    <row r="2985" spans="1:1" ht="12.75" customHeight="1">
      <c r="A2985" s="129">
        <v>2985</v>
      </c>
    </row>
    <row r="2986" spans="1:1" ht="12.75" customHeight="1">
      <c r="A2986" s="129">
        <v>2986</v>
      </c>
    </row>
    <row r="2987" spans="1:1" ht="12.75" customHeight="1">
      <c r="A2987" s="129">
        <v>2987</v>
      </c>
    </row>
    <row r="2988" spans="1:1" ht="12.75" customHeight="1">
      <c r="A2988" s="129">
        <v>2988</v>
      </c>
    </row>
    <row r="2989" spans="1:1" ht="12.75" customHeight="1">
      <c r="A2989" s="129">
        <v>2989</v>
      </c>
    </row>
    <row r="2990" spans="1:1" ht="12.75" customHeight="1">
      <c r="A2990" s="129">
        <v>2990</v>
      </c>
    </row>
    <row r="2991" spans="1:1" ht="12.75" customHeight="1">
      <c r="A2991" s="129">
        <v>2991</v>
      </c>
    </row>
    <row r="2992" spans="1:1" ht="12.75" customHeight="1">
      <c r="A2992" s="129">
        <v>2992</v>
      </c>
    </row>
    <row r="2993" spans="1:1" ht="12.75" customHeight="1">
      <c r="A2993" s="129">
        <v>2993</v>
      </c>
    </row>
    <row r="2994" spans="1:1" ht="12.75" customHeight="1">
      <c r="A2994" s="129">
        <v>2994</v>
      </c>
    </row>
    <row r="2995" spans="1:1" ht="12.75" customHeight="1">
      <c r="A2995" s="129">
        <v>2995</v>
      </c>
    </row>
    <row r="2996" spans="1:1" ht="12.75" customHeight="1">
      <c r="A2996" s="129">
        <v>2996</v>
      </c>
    </row>
    <row r="2997" spans="1:1" ht="12.75" customHeight="1">
      <c r="A2997" s="129">
        <v>2997</v>
      </c>
    </row>
    <row r="2998" spans="1:1" ht="12.75" customHeight="1">
      <c r="A2998" s="129">
        <v>2998</v>
      </c>
    </row>
    <row r="2999" spans="1:1" ht="12.75" customHeight="1">
      <c r="A2999" s="129">
        <v>2999</v>
      </c>
    </row>
    <row r="3000" spans="1:1" ht="12.75" customHeight="1">
      <c r="A3000" s="129">
        <v>3000</v>
      </c>
    </row>
    <row r="3001" spans="1:1" ht="12.75" customHeight="1">
      <c r="A3001" s="129">
        <v>3001</v>
      </c>
    </row>
    <row r="3002" spans="1:1" ht="12.75" customHeight="1">
      <c r="A3002" s="129">
        <v>3002</v>
      </c>
    </row>
    <row r="3003" spans="1:1" ht="12.75" customHeight="1">
      <c r="A3003" s="129">
        <v>3003</v>
      </c>
    </row>
    <row r="3004" spans="1:1" ht="12.75" customHeight="1">
      <c r="A3004" s="129">
        <v>3004</v>
      </c>
    </row>
    <row r="3005" spans="1:1" ht="12.75" customHeight="1">
      <c r="A3005" s="129">
        <v>3005</v>
      </c>
    </row>
    <row r="3006" spans="1:1" ht="12.75" customHeight="1">
      <c r="A3006" s="129">
        <v>3006</v>
      </c>
    </row>
    <row r="3007" spans="1:1" ht="12.75" customHeight="1">
      <c r="A3007" s="129">
        <v>3007</v>
      </c>
    </row>
    <row r="3008" spans="1:1" ht="12.75" customHeight="1">
      <c r="A3008" s="129">
        <v>3008</v>
      </c>
    </row>
    <row r="3009" spans="1:1" ht="12.75" customHeight="1">
      <c r="A3009" s="129">
        <v>3009</v>
      </c>
    </row>
    <row r="3010" spans="1:1" ht="12.75" customHeight="1">
      <c r="A3010" s="129">
        <v>3010</v>
      </c>
    </row>
    <row r="3011" spans="1:1" ht="12.75" customHeight="1">
      <c r="A3011" s="129">
        <v>3011</v>
      </c>
    </row>
    <row r="3012" spans="1:1" ht="12.75" customHeight="1">
      <c r="A3012" s="129">
        <v>3012</v>
      </c>
    </row>
    <row r="3013" spans="1:1" ht="12.75" customHeight="1">
      <c r="A3013" s="129">
        <v>3013</v>
      </c>
    </row>
    <row r="3014" spans="1:1" ht="12.75" customHeight="1">
      <c r="A3014" s="129">
        <v>3014</v>
      </c>
    </row>
    <row r="3015" spans="1:1" ht="12.75" customHeight="1">
      <c r="A3015" s="129">
        <v>3015</v>
      </c>
    </row>
    <row r="3016" spans="1:1" ht="12.75" customHeight="1">
      <c r="A3016" s="129">
        <v>3016</v>
      </c>
    </row>
    <row r="3017" spans="1:1" ht="12.75" customHeight="1">
      <c r="A3017" s="129">
        <v>3017</v>
      </c>
    </row>
    <row r="3018" spans="1:1" ht="12.75" customHeight="1">
      <c r="A3018" s="129">
        <v>3018</v>
      </c>
    </row>
    <row r="3019" spans="1:1" ht="12.75" customHeight="1">
      <c r="A3019" s="129">
        <v>3019</v>
      </c>
    </row>
    <row r="3020" spans="1:1" ht="12.75" customHeight="1">
      <c r="A3020" s="129">
        <v>3020</v>
      </c>
    </row>
    <row r="3021" spans="1:1" ht="12.75" customHeight="1">
      <c r="A3021" s="129">
        <v>3021</v>
      </c>
    </row>
    <row r="3022" spans="1:1" ht="12.75" customHeight="1">
      <c r="A3022" s="129">
        <v>3022</v>
      </c>
    </row>
    <row r="3023" spans="1:1" ht="12.75" customHeight="1">
      <c r="A3023" s="129">
        <v>3023</v>
      </c>
    </row>
    <row r="3024" spans="1:1" ht="12.75" customHeight="1">
      <c r="A3024" s="129">
        <v>3024</v>
      </c>
    </row>
    <row r="3025" spans="1:1" ht="12.75" customHeight="1">
      <c r="A3025" s="129">
        <v>3025</v>
      </c>
    </row>
    <row r="3026" spans="1:1" ht="12.75" customHeight="1">
      <c r="A3026" s="129">
        <v>3026</v>
      </c>
    </row>
    <row r="3027" spans="1:1" ht="12.75" customHeight="1">
      <c r="A3027" s="129">
        <v>3027</v>
      </c>
    </row>
    <row r="3028" spans="1:1" ht="12.75" customHeight="1">
      <c r="A3028" s="129">
        <v>3028</v>
      </c>
    </row>
    <row r="3029" spans="1:1" ht="12.75" customHeight="1">
      <c r="A3029" s="129">
        <v>3029</v>
      </c>
    </row>
    <row r="3030" spans="1:1" ht="12.75" customHeight="1">
      <c r="A3030" s="129">
        <v>3030</v>
      </c>
    </row>
    <row r="3031" spans="1:1" ht="12.75" customHeight="1">
      <c r="A3031" s="129">
        <v>3031</v>
      </c>
    </row>
    <row r="3032" spans="1:1" ht="12.75" customHeight="1">
      <c r="A3032" s="129">
        <v>3032</v>
      </c>
    </row>
    <row r="3033" spans="1:1" ht="12.75" customHeight="1">
      <c r="A3033" s="129">
        <v>3033</v>
      </c>
    </row>
    <row r="3034" spans="1:1" ht="12.75" customHeight="1">
      <c r="A3034" s="129">
        <v>3034</v>
      </c>
    </row>
    <row r="3035" spans="1:1" ht="12.75" customHeight="1">
      <c r="A3035" s="129">
        <v>3035</v>
      </c>
    </row>
    <row r="3036" spans="1:1" ht="12.75" customHeight="1">
      <c r="A3036" s="129">
        <v>3036</v>
      </c>
    </row>
    <row r="3037" spans="1:1" ht="12.75" customHeight="1">
      <c r="A3037" s="129">
        <v>3037</v>
      </c>
    </row>
    <row r="3038" spans="1:1" ht="12.75" customHeight="1">
      <c r="A3038" s="129">
        <v>3038</v>
      </c>
    </row>
    <row r="3039" spans="1:1" ht="12.75" customHeight="1">
      <c r="A3039" s="129">
        <v>3039</v>
      </c>
    </row>
    <row r="3040" spans="1:1" ht="12.75" customHeight="1">
      <c r="A3040" s="129">
        <v>3040</v>
      </c>
    </row>
    <row r="3041" spans="1:1" ht="12.75" customHeight="1">
      <c r="A3041" s="129">
        <v>3041</v>
      </c>
    </row>
    <row r="3042" spans="1:1" ht="12.75" customHeight="1">
      <c r="A3042" s="129">
        <v>3042</v>
      </c>
    </row>
    <row r="3043" spans="1:1" ht="12.75" customHeight="1">
      <c r="A3043" s="129">
        <v>3043</v>
      </c>
    </row>
    <row r="3044" spans="1:1" ht="12.75" customHeight="1">
      <c r="A3044" s="129">
        <v>3044</v>
      </c>
    </row>
    <row r="3045" spans="1:1" ht="12.75" customHeight="1">
      <c r="A3045" s="129">
        <v>3045</v>
      </c>
    </row>
    <row r="3046" spans="1:1" ht="12.75" customHeight="1">
      <c r="A3046" s="129">
        <v>3046</v>
      </c>
    </row>
    <row r="3047" spans="1:1" ht="12.75" customHeight="1">
      <c r="A3047" s="129">
        <v>3047</v>
      </c>
    </row>
    <row r="3048" spans="1:1" ht="12.75" customHeight="1">
      <c r="A3048" s="129">
        <v>3048</v>
      </c>
    </row>
    <row r="3049" spans="1:1" ht="12.75" customHeight="1">
      <c r="A3049" s="129">
        <v>3049</v>
      </c>
    </row>
    <row r="3050" spans="1:1" ht="12.75" customHeight="1">
      <c r="A3050" s="129">
        <v>3050</v>
      </c>
    </row>
    <row r="3051" spans="1:1" ht="12.75" customHeight="1">
      <c r="A3051" s="129">
        <v>3051</v>
      </c>
    </row>
    <row r="3052" spans="1:1" ht="12.75" customHeight="1">
      <c r="A3052" s="129">
        <v>3052</v>
      </c>
    </row>
    <row r="3053" spans="1:1" ht="12.75" customHeight="1">
      <c r="A3053" s="129">
        <v>3053</v>
      </c>
    </row>
    <row r="3054" spans="1:1" ht="12.75" customHeight="1">
      <c r="A3054" s="129">
        <v>3054</v>
      </c>
    </row>
    <row r="3055" spans="1:1" ht="12.75" customHeight="1">
      <c r="A3055" s="129">
        <v>3055</v>
      </c>
    </row>
    <row r="3056" spans="1:1" ht="12.75" customHeight="1">
      <c r="A3056" s="129">
        <v>3056</v>
      </c>
    </row>
    <row r="3057" spans="1:1" ht="12.75" customHeight="1">
      <c r="A3057" s="129">
        <v>3057</v>
      </c>
    </row>
    <row r="3058" spans="1:1" ht="12.75" customHeight="1">
      <c r="A3058" s="129">
        <v>3058</v>
      </c>
    </row>
    <row r="3059" spans="1:1" ht="12.75" customHeight="1">
      <c r="A3059" s="129">
        <v>3059</v>
      </c>
    </row>
    <row r="3060" spans="1:1" ht="12.75" customHeight="1">
      <c r="A3060" s="129">
        <v>3060</v>
      </c>
    </row>
    <row r="3061" spans="1:1" ht="12.75" customHeight="1">
      <c r="A3061" s="129">
        <v>3061</v>
      </c>
    </row>
    <row r="3062" spans="1:1" ht="12.75" customHeight="1">
      <c r="A3062" s="129">
        <v>3062</v>
      </c>
    </row>
    <row r="3063" spans="1:1" ht="12.75" customHeight="1">
      <c r="A3063" s="129">
        <v>3063</v>
      </c>
    </row>
    <row r="3064" spans="1:1" ht="12.75" customHeight="1">
      <c r="A3064" s="129">
        <v>3064</v>
      </c>
    </row>
    <row r="3065" spans="1:1" ht="12.75" customHeight="1">
      <c r="A3065" s="129">
        <v>3065</v>
      </c>
    </row>
    <row r="3066" spans="1:1" ht="12.75" customHeight="1">
      <c r="A3066" s="129">
        <v>3066</v>
      </c>
    </row>
    <row r="3067" spans="1:1" ht="12.75" customHeight="1">
      <c r="A3067" s="129">
        <v>3067</v>
      </c>
    </row>
    <row r="3068" spans="1:1" ht="12.75" customHeight="1">
      <c r="A3068" s="129">
        <v>3068</v>
      </c>
    </row>
    <row r="3069" spans="1:1" ht="12.75" customHeight="1">
      <c r="A3069" s="129">
        <v>3069</v>
      </c>
    </row>
    <row r="3070" spans="1:1" ht="12.75" customHeight="1">
      <c r="A3070" s="129">
        <v>3070</v>
      </c>
    </row>
    <row r="3071" spans="1:1" ht="12.75" customHeight="1">
      <c r="A3071" s="129">
        <v>3071</v>
      </c>
    </row>
    <row r="3072" spans="1:1" ht="12.75" customHeight="1">
      <c r="A3072" s="129">
        <v>3072</v>
      </c>
    </row>
    <row r="3073" spans="1:1" ht="12.75" customHeight="1">
      <c r="A3073" s="129">
        <v>3073</v>
      </c>
    </row>
    <row r="3074" spans="1:1" ht="12.75" customHeight="1">
      <c r="A3074" s="129">
        <v>3074</v>
      </c>
    </row>
    <row r="3075" spans="1:1" ht="12.75" customHeight="1">
      <c r="A3075" s="129">
        <v>3075</v>
      </c>
    </row>
    <row r="3076" spans="1:1" ht="12.75" customHeight="1">
      <c r="A3076" s="129">
        <v>3076</v>
      </c>
    </row>
    <row r="3077" spans="1:1" ht="12.75" customHeight="1">
      <c r="A3077" s="129">
        <v>3077</v>
      </c>
    </row>
    <row r="3078" spans="1:1" ht="12.75" customHeight="1">
      <c r="A3078" s="129">
        <v>3078</v>
      </c>
    </row>
    <row r="3079" spans="1:1" ht="12.75" customHeight="1">
      <c r="A3079" s="129">
        <v>3079</v>
      </c>
    </row>
    <row r="3080" spans="1:1" ht="12.75" customHeight="1">
      <c r="A3080" s="129">
        <v>3080</v>
      </c>
    </row>
    <row r="3081" spans="1:1" ht="12.75" customHeight="1">
      <c r="A3081" s="129">
        <v>3081</v>
      </c>
    </row>
    <row r="3082" spans="1:1" ht="12.75" customHeight="1">
      <c r="A3082" s="129">
        <v>3082</v>
      </c>
    </row>
    <row r="3083" spans="1:1" ht="12.75" customHeight="1">
      <c r="A3083" s="129">
        <v>3083</v>
      </c>
    </row>
    <row r="3084" spans="1:1" ht="12.75" customHeight="1">
      <c r="A3084" s="129">
        <v>3084</v>
      </c>
    </row>
    <row r="3085" spans="1:1" ht="12.75" customHeight="1">
      <c r="A3085" s="129">
        <v>3085</v>
      </c>
    </row>
    <row r="3086" spans="1:1" ht="12.75" customHeight="1">
      <c r="A3086" s="129">
        <v>3086</v>
      </c>
    </row>
    <row r="3087" spans="1:1" ht="12.75" customHeight="1">
      <c r="A3087" s="129">
        <v>3087</v>
      </c>
    </row>
    <row r="3088" spans="1:1" ht="12.75" customHeight="1">
      <c r="A3088" s="129">
        <v>3088</v>
      </c>
    </row>
    <row r="3089" spans="1:1" ht="12.75" customHeight="1">
      <c r="A3089" s="129">
        <v>3089</v>
      </c>
    </row>
    <row r="3090" spans="1:1" ht="12.75" customHeight="1">
      <c r="A3090" s="129">
        <v>3090</v>
      </c>
    </row>
    <row r="3091" spans="1:1" ht="12.75" customHeight="1">
      <c r="A3091" s="129">
        <v>3091</v>
      </c>
    </row>
    <row r="3092" spans="1:1" ht="12.75" customHeight="1">
      <c r="A3092" s="129">
        <v>3092</v>
      </c>
    </row>
    <row r="3093" spans="1:1" ht="12.75" customHeight="1">
      <c r="A3093" s="129">
        <v>3093</v>
      </c>
    </row>
    <row r="3094" spans="1:1" ht="12.75" customHeight="1">
      <c r="A3094" s="129">
        <v>3094</v>
      </c>
    </row>
    <row r="3095" spans="1:1" ht="12.75" customHeight="1">
      <c r="A3095" s="129">
        <v>3095</v>
      </c>
    </row>
    <row r="3096" spans="1:1" ht="12.75" customHeight="1">
      <c r="A3096" s="129">
        <v>3096</v>
      </c>
    </row>
    <row r="3097" spans="1:1" ht="12.75" customHeight="1">
      <c r="A3097" s="129">
        <v>3097</v>
      </c>
    </row>
    <row r="3098" spans="1:1" ht="12.75" customHeight="1">
      <c r="A3098" s="129">
        <v>3098</v>
      </c>
    </row>
    <row r="3099" spans="1:1" ht="12.75" customHeight="1">
      <c r="A3099" s="129">
        <v>3099</v>
      </c>
    </row>
    <row r="3100" spans="1:1" ht="12.75" customHeight="1">
      <c r="A3100" s="129">
        <v>3100</v>
      </c>
    </row>
    <row r="3101" spans="1:1" ht="12.75" customHeight="1">
      <c r="A3101" s="129">
        <v>3101</v>
      </c>
    </row>
    <row r="3102" spans="1:1" ht="12.75" customHeight="1">
      <c r="A3102" s="129">
        <v>3102</v>
      </c>
    </row>
    <row r="3103" spans="1:1" ht="12.75" customHeight="1">
      <c r="A3103" s="129">
        <v>3103</v>
      </c>
    </row>
    <row r="3104" spans="1:1" ht="12.75" customHeight="1">
      <c r="A3104" s="129">
        <v>3104</v>
      </c>
    </row>
    <row r="3105" spans="1:1" ht="12.75" customHeight="1">
      <c r="A3105" s="129">
        <v>3105</v>
      </c>
    </row>
    <row r="3106" spans="1:1" ht="12.75" customHeight="1">
      <c r="A3106" s="129">
        <v>3106</v>
      </c>
    </row>
    <row r="3107" spans="1:1" ht="12.75" customHeight="1">
      <c r="A3107" s="129">
        <v>3107</v>
      </c>
    </row>
    <row r="3108" spans="1:1" ht="12.75" customHeight="1">
      <c r="A3108" s="129">
        <v>3108</v>
      </c>
    </row>
    <row r="3109" spans="1:1" ht="12.75" customHeight="1">
      <c r="A3109" s="129">
        <v>3109</v>
      </c>
    </row>
    <row r="3110" spans="1:1" ht="12.75" customHeight="1">
      <c r="A3110" s="129">
        <v>3110</v>
      </c>
    </row>
    <row r="3111" spans="1:1" ht="12.75" customHeight="1">
      <c r="A3111" s="129">
        <v>3111</v>
      </c>
    </row>
    <row r="3112" spans="1:1" ht="12.75" customHeight="1">
      <c r="A3112" s="129">
        <v>3112</v>
      </c>
    </row>
    <row r="3113" spans="1:1" ht="12.75" customHeight="1">
      <c r="A3113" s="129">
        <v>3113</v>
      </c>
    </row>
    <row r="3114" spans="1:1" ht="12.75" customHeight="1">
      <c r="A3114" s="129">
        <v>3114</v>
      </c>
    </row>
    <row r="3115" spans="1:1" ht="12.75" customHeight="1">
      <c r="A3115" s="129">
        <v>3115</v>
      </c>
    </row>
    <row r="3116" spans="1:1" ht="12.75" customHeight="1">
      <c r="A3116" s="129">
        <v>3116</v>
      </c>
    </row>
    <row r="3117" spans="1:1" ht="12.75" customHeight="1">
      <c r="A3117" s="129">
        <v>3117</v>
      </c>
    </row>
    <row r="3118" spans="1:1" ht="12.75" customHeight="1">
      <c r="A3118" s="129">
        <v>3118</v>
      </c>
    </row>
    <row r="3119" spans="1:1" ht="12.75" customHeight="1">
      <c r="A3119" s="129">
        <v>3119</v>
      </c>
    </row>
    <row r="3120" spans="1:1" ht="12.75" customHeight="1">
      <c r="A3120" s="129">
        <v>3120</v>
      </c>
    </row>
    <row r="3121" spans="1:1" ht="12.75" customHeight="1">
      <c r="A3121" s="129">
        <v>3121</v>
      </c>
    </row>
    <row r="3122" spans="1:1" ht="12.75" customHeight="1">
      <c r="A3122" s="129">
        <v>3122</v>
      </c>
    </row>
    <row r="3123" spans="1:1" ht="12.75" customHeight="1">
      <c r="A3123" s="129">
        <v>3123</v>
      </c>
    </row>
    <row r="3124" spans="1:1" ht="12.75" customHeight="1">
      <c r="A3124" s="129">
        <v>3124</v>
      </c>
    </row>
    <row r="3125" spans="1:1" ht="12.75" customHeight="1">
      <c r="A3125" s="129">
        <v>3125</v>
      </c>
    </row>
    <row r="3126" spans="1:1" ht="12.75" customHeight="1">
      <c r="A3126" s="129">
        <v>3126</v>
      </c>
    </row>
    <row r="3127" spans="1:1" ht="12.75" customHeight="1">
      <c r="A3127" s="129">
        <v>3127</v>
      </c>
    </row>
    <row r="3128" spans="1:1" ht="12.75" customHeight="1">
      <c r="A3128" s="129">
        <v>3128</v>
      </c>
    </row>
    <row r="3129" spans="1:1" ht="12.75" customHeight="1">
      <c r="A3129" s="129">
        <v>3129</v>
      </c>
    </row>
    <row r="3130" spans="1:1" ht="12.75" customHeight="1">
      <c r="A3130" s="129">
        <v>3130</v>
      </c>
    </row>
    <row r="3131" spans="1:1" ht="12.75" customHeight="1">
      <c r="A3131" s="129">
        <v>3131</v>
      </c>
    </row>
    <row r="3132" spans="1:1" ht="12.75" customHeight="1">
      <c r="A3132" s="129">
        <v>3132</v>
      </c>
    </row>
    <row r="3133" spans="1:1" ht="12.75" customHeight="1">
      <c r="A3133" s="129">
        <v>3133</v>
      </c>
    </row>
    <row r="3134" spans="1:1" ht="12.75" customHeight="1">
      <c r="A3134" s="129">
        <v>3134</v>
      </c>
    </row>
    <row r="3135" spans="1:1" ht="12.75" customHeight="1">
      <c r="A3135" s="129">
        <v>3135</v>
      </c>
    </row>
    <row r="3136" spans="1:1" ht="12.75" customHeight="1">
      <c r="A3136" s="129">
        <v>3136</v>
      </c>
    </row>
    <row r="3137" spans="1:1" ht="12.75" customHeight="1">
      <c r="A3137" s="129">
        <v>3137</v>
      </c>
    </row>
    <row r="3138" spans="1:1" ht="12.75" customHeight="1">
      <c r="A3138" s="129">
        <v>3138</v>
      </c>
    </row>
    <row r="3139" spans="1:1" ht="12.75" customHeight="1">
      <c r="A3139" s="129">
        <v>3139</v>
      </c>
    </row>
    <row r="3140" spans="1:1" ht="12.75" customHeight="1">
      <c r="A3140" s="129">
        <v>3140</v>
      </c>
    </row>
    <row r="3141" spans="1:1" ht="12.75" customHeight="1">
      <c r="A3141" s="129">
        <v>3141</v>
      </c>
    </row>
    <row r="3142" spans="1:1" ht="12.75" customHeight="1">
      <c r="A3142" s="129">
        <v>3142</v>
      </c>
    </row>
    <row r="3143" spans="1:1" ht="12.75" customHeight="1">
      <c r="A3143" s="129">
        <v>3143</v>
      </c>
    </row>
    <row r="3144" spans="1:1" ht="12.75" customHeight="1">
      <c r="A3144" s="129">
        <v>3144</v>
      </c>
    </row>
    <row r="3145" spans="1:1" ht="12.75" customHeight="1">
      <c r="A3145" s="129">
        <v>3145</v>
      </c>
    </row>
    <row r="3146" spans="1:1" ht="12.75" customHeight="1">
      <c r="A3146" s="129">
        <v>3146</v>
      </c>
    </row>
    <row r="3147" spans="1:1" ht="12.75" customHeight="1">
      <c r="A3147" s="129">
        <v>3147</v>
      </c>
    </row>
    <row r="3148" spans="1:1" ht="12.75" customHeight="1">
      <c r="A3148" s="129">
        <v>3148</v>
      </c>
    </row>
    <row r="3149" spans="1:1" ht="12.75" customHeight="1">
      <c r="A3149" s="129">
        <v>3149</v>
      </c>
    </row>
    <row r="3150" spans="1:1" ht="12.75" customHeight="1">
      <c r="A3150" s="129">
        <v>3150</v>
      </c>
    </row>
    <row r="3151" spans="1:1" ht="12.75" customHeight="1">
      <c r="A3151" s="129">
        <v>3151</v>
      </c>
    </row>
    <row r="3152" spans="1:1" ht="12.75" customHeight="1">
      <c r="A3152" s="129">
        <v>3152</v>
      </c>
    </row>
    <row r="3153" spans="1:1" ht="12.75" customHeight="1">
      <c r="A3153" s="129">
        <v>3153</v>
      </c>
    </row>
    <row r="3154" spans="1:1" ht="12.75" customHeight="1">
      <c r="A3154" s="129">
        <v>3154</v>
      </c>
    </row>
    <row r="3155" spans="1:1" ht="12.75" customHeight="1">
      <c r="A3155" s="129">
        <v>3155</v>
      </c>
    </row>
    <row r="3156" spans="1:1" ht="12.75" customHeight="1">
      <c r="A3156" s="129">
        <v>3156</v>
      </c>
    </row>
    <row r="3157" spans="1:1" ht="12.75" customHeight="1">
      <c r="A3157" s="129">
        <v>3157</v>
      </c>
    </row>
    <row r="3158" spans="1:1" ht="12.75" customHeight="1">
      <c r="A3158" s="129">
        <v>3158</v>
      </c>
    </row>
    <row r="3159" spans="1:1" ht="12.75" customHeight="1">
      <c r="A3159" s="129">
        <v>3159</v>
      </c>
    </row>
    <row r="3160" spans="1:1" ht="12.75" customHeight="1">
      <c r="A3160" s="129">
        <v>3160</v>
      </c>
    </row>
    <row r="3161" spans="1:1" ht="12.75" customHeight="1">
      <c r="A3161" s="129">
        <v>3161</v>
      </c>
    </row>
    <row r="3162" spans="1:1" ht="12.75" customHeight="1">
      <c r="A3162" s="129">
        <v>3162</v>
      </c>
    </row>
    <row r="3163" spans="1:1" ht="12.75" customHeight="1">
      <c r="A3163" s="129">
        <v>3163</v>
      </c>
    </row>
    <row r="3164" spans="1:1" ht="12.75" customHeight="1">
      <c r="A3164" s="129">
        <v>3164</v>
      </c>
    </row>
    <row r="3165" spans="1:1" ht="12.75" customHeight="1">
      <c r="A3165" s="129">
        <v>3165</v>
      </c>
    </row>
    <row r="3166" spans="1:1" ht="12.75" customHeight="1">
      <c r="A3166" s="129">
        <v>3166</v>
      </c>
    </row>
    <row r="3167" spans="1:1" ht="12.75" customHeight="1">
      <c r="A3167" s="129">
        <v>3167</v>
      </c>
    </row>
    <row r="3168" spans="1:1" ht="12.75" customHeight="1">
      <c r="A3168" s="129">
        <v>3168</v>
      </c>
    </row>
    <row r="3169" spans="1:1" ht="12.75" customHeight="1">
      <c r="A3169" s="129">
        <v>3169</v>
      </c>
    </row>
    <row r="3170" spans="1:1" ht="12.75" customHeight="1">
      <c r="A3170" s="129">
        <v>3170</v>
      </c>
    </row>
    <row r="3171" spans="1:1" ht="12.75" customHeight="1">
      <c r="A3171" s="129">
        <v>3171</v>
      </c>
    </row>
    <row r="3172" spans="1:1" ht="12.75" customHeight="1">
      <c r="A3172" s="129">
        <v>3172</v>
      </c>
    </row>
    <row r="3173" spans="1:1" ht="12.75" customHeight="1">
      <c r="A3173" s="129">
        <v>3173</v>
      </c>
    </row>
    <row r="3174" spans="1:1" ht="12.75" customHeight="1">
      <c r="A3174" s="129">
        <v>3174</v>
      </c>
    </row>
    <row r="3175" spans="1:1" ht="12.75" customHeight="1">
      <c r="A3175" s="129">
        <v>3175</v>
      </c>
    </row>
    <row r="3176" spans="1:1" ht="12.75" customHeight="1">
      <c r="A3176" s="129">
        <v>3176</v>
      </c>
    </row>
    <row r="3177" spans="1:1" ht="12.75" customHeight="1">
      <c r="A3177" s="129">
        <v>3177</v>
      </c>
    </row>
    <row r="3178" spans="1:1" ht="12.75" customHeight="1">
      <c r="A3178" s="129">
        <v>3178</v>
      </c>
    </row>
    <row r="3179" spans="1:1" ht="12.75" customHeight="1">
      <c r="A3179" s="129">
        <v>3179</v>
      </c>
    </row>
    <row r="3180" spans="1:1" ht="12.75" customHeight="1">
      <c r="A3180" s="129">
        <v>3180</v>
      </c>
    </row>
    <row r="3181" spans="1:1" ht="12.75" customHeight="1">
      <c r="A3181" s="129">
        <v>3181</v>
      </c>
    </row>
    <row r="3182" spans="1:1" ht="12.75" customHeight="1">
      <c r="A3182" s="129">
        <v>3182</v>
      </c>
    </row>
    <row r="3183" spans="1:1" ht="12.75" customHeight="1">
      <c r="A3183" s="129">
        <v>3183</v>
      </c>
    </row>
    <row r="3184" spans="1:1" ht="12.75" customHeight="1">
      <c r="A3184" s="129">
        <v>3184</v>
      </c>
    </row>
    <row r="3185" spans="1:1" ht="12.75" customHeight="1">
      <c r="A3185" s="129">
        <v>3185</v>
      </c>
    </row>
    <row r="3186" spans="1:1" ht="12.75" customHeight="1">
      <c r="A3186" s="129">
        <v>3186</v>
      </c>
    </row>
    <row r="3187" spans="1:1" ht="12.75" customHeight="1">
      <c r="A3187" s="129">
        <v>3187</v>
      </c>
    </row>
    <row r="3188" spans="1:1" ht="12.75" customHeight="1">
      <c r="A3188" s="129">
        <v>3188</v>
      </c>
    </row>
    <row r="3189" spans="1:1" ht="12.75" customHeight="1">
      <c r="A3189" s="129">
        <v>3189</v>
      </c>
    </row>
    <row r="3190" spans="1:1" ht="12.75" customHeight="1">
      <c r="A3190" s="129">
        <v>3190</v>
      </c>
    </row>
    <row r="3191" spans="1:1" ht="12.75" customHeight="1">
      <c r="A3191" s="129">
        <v>3191</v>
      </c>
    </row>
    <row r="3192" spans="1:1" ht="12.75" customHeight="1">
      <c r="A3192" s="129">
        <v>3192</v>
      </c>
    </row>
    <row r="3193" spans="1:1" ht="12.75" customHeight="1">
      <c r="A3193" s="129">
        <v>3193</v>
      </c>
    </row>
    <row r="3194" spans="1:1" ht="12.75" customHeight="1">
      <c r="A3194" s="129">
        <v>3194</v>
      </c>
    </row>
    <row r="3195" spans="1:1" ht="12.75" customHeight="1">
      <c r="A3195" s="129">
        <v>3195</v>
      </c>
    </row>
    <row r="3196" spans="1:1" ht="12.75" customHeight="1">
      <c r="A3196" s="129">
        <v>3196</v>
      </c>
    </row>
    <row r="3197" spans="1:1" ht="12.75" customHeight="1">
      <c r="A3197" s="129">
        <v>3197</v>
      </c>
    </row>
    <row r="3198" spans="1:1" ht="12.75" customHeight="1">
      <c r="A3198" s="129">
        <v>3198</v>
      </c>
    </row>
    <row r="3199" spans="1:1" ht="12.75" customHeight="1">
      <c r="A3199" s="129">
        <v>3199</v>
      </c>
    </row>
    <row r="3200" spans="1:1" ht="12.75" customHeight="1">
      <c r="A3200" s="129">
        <v>3200</v>
      </c>
    </row>
    <row r="3201" spans="1:1" ht="12.75" customHeight="1">
      <c r="A3201" s="129">
        <v>3201</v>
      </c>
    </row>
    <row r="3202" spans="1:1" ht="12.75" customHeight="1">
      <c r="A3202" s="129">
        <v>3202</v>
      </c>
    </row>
    <row r="3203" spans="1:1" ht="12.75" customHeight="1">
      <c r="A3203" s="129">
        <v>3203</v>
      </c>
    </row>
    <row r="3204" spans="1:1" ht="12.75" customHeight="1">
      <c r="A3204" s="129">
        <v>3204</v>
      </c>
    </row>
    <row r="3205" spans="1:1" ht="12.75" customHeight="1">
      <c r="A3205" s="129">
        <v>3205</v>
      </c>
    </row>
    <row r="3206" spans="1:1" ht="12.75" customHeight="1">
      <c r="A3206" s="129">
        <v>3206</v>
      </c>
    </row>
    <row r="3207" spans="1:1" ht="12.75" customHeight="1">
      <c r="A3207" s="129">
        <v>3207</v>
      </c>
    </row>
    <row r="3208" spans="1:1" ht="12.75" customHeight="1">
      <c r="A3208" s="129">
        <v>3208</v>
      </c>
    </row>
    <row r="3209" spans="1:1" ht="12.75" customHeight="1">
      <c r="A3209" s="129">
        <v>3209</v>
      </c>
    </row>
    <row r="3210" spans="1:1" ht="12.75" customHeight="1">
      <c r="A3210" s="129">
        <v>3210</v>
      </c>
    </row>
    <row r="3211" spans="1:1" ht="12.75" customHeight="1">
      <c r="A3211" s="129">
        <v>3211</v>
      </c>
    </row>
    <row r="3212" spans="1:1" ht="12.75" customHeight="1">
      <c r="A3212" s="129">
        <v>3212</v>
      </c>
    </row>
    <row r="3213" spans="1:1" ht="12.75" customHeight="1">
      <c r="A3213" s="129">
        <v>3213</v>
      </c>
    </row>
    <row r="3214" spans="1:1" ht="12.75" customHeight="1">
      <c r="A3214" s="129">
        <v>3214</v>
      </c>
    </row>
    <row r="3215" spans="1:1" ht="12.75" customHeight="1">
      <c r="A3215" s="129">
        <v>3215</v>
      </c>
    </row>
    <row r="3216" spans="1:1" ht="12.75" customHeight="1">
      <c r="A3216" s="129">
        <v>3216</v>
      </c>
    </row>
    <row r="3217" spans="1:1" ht="12.75" customHeight="1">
      <c r="A3217" s="129">
        <v>3217</v>
      </c>
    </row>
    <row r="3218" spans="1:1" ht="12.75" customHeight="1">
      <c r="A3218" s="129">
        <v>3218</v>
      </c>
    </row>
    <row r="3219" spans="1:1" ht="12.75" customHeight="1">
      <c r="A3219" s="129">
        <v>3219</v>
      </c>
    </row>
    <row r="3220" spans="1:1" ht="12.75" customHeight="1">
      <c r="A3220" s="129">
        <v>3220</v>
      </c>
    </row>
    <row r="3221" spans="1:1" ht="12.75" customHeight="1">
      <c r="A3221" s="129">
        <v>3221</v>
      </c>
    </row>
    <row r="3222" spans="1:1" ht="12.75" customHeight="1">
      <c r="A3222" s="129">
        <v>3222</v>
      </c>
    </row>
    <row r="3223" spans="1:1" ht="12.75" customHeight="1">
      <c r="A3223" s="129">
        <v>3223</v>
      </c>
    </row>
    <row r="3224" spans="1:1" ht="12.75" customHeight="1">
      <c r="A3224" s="129">
        <v>3224</v>
      </c>
    </row>
    <row r="3225" spans="1:1" ht="12.75" customHeight="1">
      <c r="A3225" s="129">
        <v>3225</v>
      </c>
    </row>
    <row r="3226" spans="1:1" ht="12.75" customHeight="1">
      <c r="A3226" s="129">
        <v>3226</v>
      </c>
    </row>
    <row r="3227" spans="1:1" ht="12.75" customHeight="1">
      <c r="A3227" s="129">
        <v>3227</v>
      </c>
    </row>
    <row r="3228" spans="1:1" ht="12.75" customHeight="1">
      <c r="A3228" s="129">
        <v>3228</v>
      </c>
    </row>
    <row r="3229" spans="1:1" ht="12.75" customHeight="1">
      <c r="A3229" s="129">
        <v>3229</v>
      </c>
    </row>
    <row r="3230" spans="1:1" ht="12.75" customHeight="1">
      <c r="A3230" s="129">
        <v>3230</v>
      </c>
    </row>
    <row r="3231" spans="1:1" ht="12.75" customHeight="1">
      <c r="A3231" s="129">
        <v>3231</v>
      </c>
    </row>
    <row r="3232" spans="1:1" ht="12.75" customHeight="1">
      <c r="A3232" s="129">
        <v>3232</v>
      </c>
    </row>
    <row r="3233" spans="1:1" ht="12.75" customHeight="1">
      <c r="A3233" s="129">
        <v>3233</v>
      </c>
    </row>
    <row r="3234" spans="1:1" ht="12.75" customHeight="1">
      <c r="A3234" s="129">
        <v>3234</v>
      </c>
    </row>
    <row r="3235" spans="1:1" ht="12.75" customHeight="1">
      <c r="A3235" s="129">
        <v>3235</v>
      </c>
    </row>
    <row r="3236" spans="1:1" ht="12.75" customHeight="1">
      <c r="A3236" s="129">
        <v>3236</v>
      </c>
    </row>
    <row r="3237" spans="1:1" ht="12.75" customHeight="1">
      <c r="A3237" s="129">
        <v>3237</v>
      </c>
    </row>
    <row r="3238" spans="1:1" ht="12.75" customHeight="1">
      <c r="A3238" s="129">
        <v>3238</v>
      </c>
    </row>
    <row r="3239" spans="1:1" ht="12.75" customHeight="1">
      <c r="A3239" s="129">
        <v>3239</v>
      </c>
    </row>
    <row r="3240" spans="1:1" ht="12.75" customHeight="1">
      <c r="A3240" s="129">
        <v>3240</v>
      </c>
    </row>
    <row r="3241" spans="1:1" ht="12.75" customHeight="1">
      <c r="A3241" s="129">
        <v>3241</v>
      </c>
    </row>
    <row r="3242" spans="1:1" ht="12.75" customHeight="1">
      <c r="A3242" s="129">
        <v>3242</v>
      </c>
    </row>
    <row r="3243" spans="1:1" ht="12.75" customHeight="1">
      <c r="A3243" s="129">
        <v>3243</v>
      </c>
    </row>
    <row r="3244" spans="1:1" ht="12.75" customHeight="1">
      <c r="A3244" s="129">
        <v>3244</v>
      </c>
    </row>
    <row r="3245" spans="1:1" ht="12.75" customHeight="1">
      <c r="A3245" s="129">
        <v>3245</v>
      </c>
    </row>
    <row r="3246" spans="1:1" ht="12.75" customHeight="1">
      <c r="A3246" s="129">
        <v>3246</v>
      </c>
    </row>
    <row r="3247" spans="1:1" ht="12.75" customHeight="1">
      <c r="A3247" s="129">
        <v>3247</v>
      </c>
    </row>
    <row r="3248" spans="1:1" ht="12.75" customHeight="1">
      <c r="A3248" s="129">
        <v>3248</v>
      </c>
    </row>
    <row r="3249" spans="1:1" ht="12.75" customHeight="1">
      <c r="A3249" s="129">
        <v>3249</v>
      </c>
    </row>
    <row r="3250" spans="1:1" ht="12.75" customHeight="1">
      <c r="A3250" s="129">
        <v>3250</v>
      </c>
    </row>
    <row r="3251" spans="1:1" ht="12.75" customHeight="1">
      <c r="A3251" s="129">
        <v>3251</v>
      </c>
    </row>
    <row r="3252" spans="1:1" ht="12.75" customHeight="1">
      <c r="A3252" s="129">
        <v>3252</v>
      </c>
    </row>
    <row r="3253" spans="1:1" ht="12.75" customHeight="1">
      <c r="A3253" s="129">
        <v>3253</v>
      </c>
    </row>
    <row r="3254" spans="1:1" ht="12.75" customHeight="1">
      <c r="A3254" s="129">
        <v>3254</v>
      </c>
    </row>
    <row r="3255" spans="1:1" ht="12.75" customHeight="1">
      <c r="A3255" s="129">
        <v>3255</v>
      </c>
    </row>
    <row r="3256" spans="1:1" ht="12.75" customHeight="1">
      <c r="A3256" s="129">
        <v>3256</v>
      </c>
    </row>
    <row r="3257" spans="1:1" ht="12.75" customHeight="1">
      <c r="A3257" s="129">
        <v>3257</v>
      </c>
    </row>
    <row r="3258" spans="1:1" ht="12.75" customHeight="1">
      <c r="A3258" s="129">
        <v>3258</v>
      </c>
    </row>
    <row r="3259" spans="1:1" ht="12.75" customHeight="1">
      <c r="A3259" s="129">
        <v>3259</v>
      </c>
    </row>
    <row r="3260" spans="1:1" ht="12.75" customHeight="1">
      <c r="A3260" s="129">
        <v>3260</v>
      </c>
    </row>
    <row r="3261" spans="1:1" ht="12.75" customHeight="1">
      <c r="A3261" s="129">
        <v>3261</v>
      </c>
    </row>
    <row r="3262" spans="1:1" ht="12.75" customHeight="1">
      <c r="A3262" s="129">
        <v>3262</v>
      </c>
    </row>
    <row r="3263" spans="1:1" ht="12.75" customHeight="1">
      <c r="A3263" s="129">
        <v>3263</v>
      </c>
    </row>
    <row r="3264" spans="1:1" ht="12.75" customHeight="1">
      <c r="A3264" s="129">
        <v>3264</v>
      </c>
    </row>
    <row r="3265" spans="1:1" ht="12.75" customHeight="1">
      <c r="A3265" s="129">
        <v>3265</v>
      </c>
    </row>
    <row r="3266" spans="1:1" ht="12.75" customHeight="1">
      <c r="A3266" s="129">
        <v>3266</v>
      </c>
    </row>
    <row r="3267" spans="1:1" ht="12.75" customHeight="1">
      <c r="A3267" s="129">
        <v>3267</v>
      </c>
    </row>
    <row r="3268" spans="1:1" ht="12.75" customHeight="1">
      <c r="A3268" s="129">
        <v>3268</v>
      </c>
    </row>
    <row r="3269" spans="1:1" ht="12.75" customHeight="1">
      <c r="A3269" s="129">
        <v>3269</v>
      </c>
    </row>
    <row r="3270" spans="1:1" ht="12.75" customHeight="1">
      <c r="A3270" s="129">
        <v>3270</v>
      </c>
    </row>
    <row r="3271" spans="1:1" ht="12.75" customHeight="1">
      <c r="A3271" s="129">
        <v>3271</v>
      </c>
    </row>
    <row r="3272" spans="1:1" ht="12.75" customHeight="1">
      <c r="A3272" s="129">
        <v>3272</v>
      </c>
    </row>
    <row r="3273" spans="1:1" ht="12.75" customHeight="1">
      <c r="A3273" s="129">
        <v>3273</v>
      </c>
    </row>
    <row r="3274" spans="1:1" ht="12.75" customHeight="1">
      <c r="A3274" s="129">
        <v>3274</v>
      </c>
    </row>
    <row r="3275" spans="1:1" ht="12.75" customHeight="1">
      <c r="A3275" s="129">
        <v>3275</v>
      </c>
    </row>
    <row r="3276" spans="1:1" ht="12.75" customHeight="1">
      <c r="A3276" s="129">
        <v>3276</v>
      </c>
    </row>
    <row r="3277" spans="1:1" ht="12.75" customHeight="1">
      <c r="A3277" s="129">
        <v>3277</v>
      </c>
    </row>
    <row r="3278" spans="1:1" ht="12.75" customHeight="1">
      <c r="A3278" s="129">
        <v>3278</v>
      </c>
    </row>
    <row r="3279" spans="1:1" ht="12.75" customHeight="1">
      <c r="A3279" s="129">
        <v>3279</v>
      </c>
    </row>
    <row r="3280" spans="1:1" ht="12.75" customHeight="1">
      <c r="A3280" s="129">
        <v>3280</v>
      </c>
    </row>
    <row r="3281" spans="1:1" ht="12.75" customHeight="1">
      <c r="A3281" s="129">
        <v>3281</v>
      </c>
    </row>
    <row r="3282" spans="1:1" ht="12.75" customHeight="1">
      <c r="A3282" s="129">
        <v>3282</v>
      </c>
    </row>
    <row r="3283" spans="1:1" ht="12.75" customHeight="1">
      <c r="A3283" s="129">
        <v>3283</v>
      </c>
    </row>
    <row r="3284" spans="1:1" ht="12.75" customHeight="1">
      <c r="A3284" s="129">
        <v>3284</v>
      </c>
    </row>
    <row r="3285" spans="1:1" ht="12.75" customHeight="1">
      <c r="A3285" s="129">
        <v>3285</v>
      </c>
    </row>
    <row r="3286" spans="1:1" ht="12.75" customHeight="1">
      <c r="A3286" s="129">
        <v>3286</v>
      </c>
    </row>
    <row r="3287" spans="1:1" ht="12.75" customHeight="1">
      <c r="A3287" s="129">
        <v>3287</v>
      </c>
    </row>
    <row r="3288" spans="1:1" ht="12.75" customHeight="1">
      <c r="A3288" s="129">
        <v>3288</v>
      </c>
    </row>
    <row r="3289" spans="1:1" ht="12.75" customHeight="1">
      <c r="A3289" s="129">
        <v>3289</v>
      </c>
    </row>
    <row r="3290" spans="1:1" ht="12.75" customHeight="1">
      <c r="A3290" s="129">
        <v>3290</v>
      </c>
    </row>
    <row r="3291" spans="1:1" ht="12.75" customHeight="1">
      <c r="A3291" s="129">
        <v>3291</v>
      </c>
    </row>
    <row r="3292" spans="1:1" ht="12.75" customHeight="1">
      <c r="A3292" s="129">
        <v>3292</v>
      </c>
    </row>
    <row r="3293" spans="1:1" ht="12.75" customHeight="1">
      <c r="A3293" s="129">
        <v>3293</v>
      </c>
    </row>
    <row r="3294" spans="1:1" ht="12.75" customHeight="1">
      <c r="A3294" s="129">
        <v>3294</v>
      </c>
    </row>
    <row r="3295" spans="1:1" ht="12.75" customHeight="1">
      <c r="A3295" s="129">
        <v>3295</v>
      </c>
    </row>
    <row r="3296" spans="1:1" ht="12.75" customHeight="1">
      <c r="A3296" s="129">
        <v>3296</v>
      </c>
    </row>
    <row r="3297" spans="1:1" ht="12.75" customHeight="1">
      <c r="A3297" s="129">
        <v>3297</v>
      </c>
    </row>
    <row r="3298" spans="1:1" ht="12.75" customHeight="1">
      <c r="A3298" s="129">
        <v>3298</v>
      </c>
    </row>
    <row r="3299" spans="1:1" ht="12.75" customHeight="1">
      <c r="A3299" s="129">
        <v>3299</v>
      </c>
    </row>
    <row r="3300" spans="1:1" ht="12.75" customHeight="1">
      <c r="A3300" s="129">
        <v>3300</v>
      </c>
    </row>
    <row r="3301" spans="1:1" ht="12.75" customHeight="1">
      <c r="A3301" s="129">
        <v>3301</v>
      </c>
    </row>
    <row r="3302" spans="1:1" ht="12.75" customHeight="1">
      <c r="A3302" s="129">
        <v>3302</v>
      </c>
    </row>
    <row r="3303" spans="1:1" ht="12.75" customHeight="1">
      <c r="A3303" s="129">
        <v>3303</v>
      </c>
    </row>
    <row r="3304" spans="1:1" ht="12.75" customHeight="1">
      <c r="A3304" s="129">
        <v>3304</v>
      </c>
    </row>
    <row r="3305" spans="1:1" ht="12.75" customHeight="1">
      <c r="A3305" s="129">
        <v>3305</v>
      </c>
    </row>
    <row r="3306" spans="1:1" ht="12.75" customHeight="1">
      <c r="A3306" s="129">
        <v>3306</v>
      </c>
    </row>
    <row r="3307" spans="1:1" ht="12.75" customHeight="1">
      <c r="A3307" s="129">
        <v>3307</v>
      </c>
    </row>
    <row r="3308" spans="1:1" ht="12.75" customHeight="1">
      <c r="A3308" s="129">
        <v>3308</v>
      </c>
    </row>
    <row r="3309" spans="1:1" ht="12.75" customHeight="1">
      <c r="A3309" s="129">
        <v>3309</v>
      </c>
    </row>
    <row r="3310" spans="1:1" ht="12.75" customHeight="1">
      <c r="A3310" s="129">
        <v>3310</v>
      </c>
    </row>
    <row r="3311" spans="1:1" ht="12.75" customHeight="1">
      <c r="A3311" s="129">
        <v>3311</v>
      </c>
    </row>
    <row r="3312" spans="1:1" ht="12.75" customHeight="1">
      <c r="A3312" s="129">
        <v>3312</v>
      </c>
    </row>
    <row r="3313" spans="1:1" ht="12.75" customHeight="1">
      <c r="A3313" s="129">
        <v>3313</v>
      </c>
    </row>
    <row r="3314" spans="1:1" ht="12.75" customHeight="1">
      <c r="A3314" s="129">
        <v>3314</v>
      </c>
    </row>
    <row r="3315" spans="1:1" ht="12.75" customHeight="1">
      <c r="A3315" s="129">
        <v>3315</v>
      </c>
    </row>
    <row r="3316" spans="1:1" ht="12.75" customHeight="1">
      <c r="A3316" s="129">
        <v>3316</v>
      </c>
    </row>
    <row r="3317" spans="1:1" ht="12.75" customHeight="1">
      <c r="A3317" s="129">
        <v>3317</v>
      </c>
    </row>
    <row r="3318" spans="1:1" ht="12.75" customHeight="1">
      <c r="A3318" s="129">
        <v>3318</v>
      </c>
    </row>
    <row r="3319" spans="1:1" ht="12.75" customHeight="1">
      <c r="A3319" s="129">
        <v>3319</v>
      </c>
    </row>
    <row r="3320" spans="1:1" ht="12.75" customHeight="1">
      <c r="A3320" s="129">
        <v>3320</v>
      </c>
    </row>
    <row r="3321" spans="1:1" ht="12.75" customHeight="1">
      <c r="A3321" s="129">
        <v>3321</v>
      </c>
    </row>
    <row r="3322" spans="1:1" ht="12.75" customHeight="1">
      <c r="A3322" s="129">
        <v>3322</v>
      </c>
    </row>
    <row r="3323" spans="1:1" ht="12.75" customHeight="1">
      <c r="A3323" s="129">
        <v>3323</v>
      </c>
    </row>
    <row r="3324" spans="1:1" ht="12.75" customHeight="1">
      <c r="A3324" s="129">
        <v>3324</v>
      </c>
    </row>
    <row r="3325" spans="1:1" ht="12.75" customHeight="1">
      <c r="A3325" s="129">
        <v>3325</v>
      </c>
    </row>
    <row r="3326" spans="1:1" ht="12.75" customHeight="1">
      <c r="A3326" s="129">
        <v>3326</v>
      </c>
    </row>
    <row r="3327" spans="1:1" ht="12.75" customHeight="1">
      <c r="A3327" s="129">
        <v>3327</v>
      </c>
    </row>
    <row r="3328" spans="1:1" ht="12.75" customHeight="1">
      <c r="A3328" s="129">
        <v>3328</v>
      </c>
    </row>
    <row r="3329" spans="1:1" ht="12.75" customHeight="1">
      <c r="A3329" s="129">
        <v>3329</v>
      </c>
    </row>
    <row r="3330" spans="1:1" ht="12.75" customHeight="1">
      <c r="A3330" s="129">
        <v>3330</v>
      </c>
    </row>
    <row r="3331" spans="1:1" ht="12.75" customHeight="1">
      <c r="A3331" s="129">
        <v>3331</v>
      </c>
    </row>
    <row r="3332" spans="1:1" ht="12.75" customHeight="1">
      <c r="A3332" s="129">
        <v>3332</v>
      </c>
    </row>
    <row r="3333" spans="1:1" ht="12.75" customHeight="1">
      <c r="A3333" s="129">
        <v>3333</v>
      </c>
    </row>
    <row r="3334" spans="1:1" ht="12.75" customHeight="1">
      <c r="A3334" s="129">
        <v>3334</v>
      </c>
    </row>
    <row r="3335" spans="1:1" ht="12.75" customHeight="1">
      <c r="A3335" s="129">
        <v>3335</v>
      </c>
    </row>
    <row r="3336" spans="1:1" ht="12.75" customHeight="1">
      <c r="A3336" s="129">
        <v>3336</v>
      </c>
    </row>
    <row r="3337" spans="1:1" ht="12.75" customHeight="1">
      <c r="A3337" s="129">
        <v>3337</v>
      </c>
    </row>
    <row r="3338" spans="1:1" ht="12.75" customHeight="1">
      <c r="A3338" s="129">
        <v>3338</v>
      </c>
    </row>
    <row r="3339" spans="1:1" ht="12.75" customHeight="1">
      <c r="A3339" s="129">
        <v>3339</v>
      </c>
    </row>
    <row r="3340" spans="1:1" ht="12.75" customHeight="1">
      <c r="A3340" s="129">
        <v>3340</v>
      </c>
    </row>
    <row r="3341" spans="1:1" ht="12.75" customHeight="1">
      <c r="A3341" s="129">
        <v>3341</v>
      </c>
    </row>
    <row r="3342" spans="1:1" ht="12.75" customHeight="1">
      <c r="A3342" s="129">
        <v>3342</v>
      </c>
    </row>
    <row r="3343" spans="1:1" ht="12.75" customHeight="1">
      <c r="A3343" s="129">
        <v>3343</v>
      </c>
    </row>
    <row r="3344" spans="1:1" ht="12.75" customHeight="1">
      <c r="A3344" s="129">
        <v>3344</v>
      </c>
    </row>
    <row r="3345" spans="1:1" ht="12.75" customHeight="1">
      <c r="A3345" s="129">
        <v>3345</v>
      </c>
    </row>
    <row r="3346" spans="1:1" ht="12.75" customHeight="1">
      <c r="A3346" s="129">
        <v>3346</v>
      </c>
    </row>
    <row r="3347" spans="1:1" ht="12.75" customHeight="1">
      <c r="A3347" s="129">
        <v>3347</v>
      </c>
    </row>
    <row r="3348" spans="1:1" ht="12.75" customHeight="1">
      <c r="A3348" s="129">
        <v>3348</v>
      </c>
    </row>
    <row r="3349" spans="1:1" ht="12.75" customHeight="1">
      <c r="A3349" s="129">
        <v>3349</v>
      </c>
    </row>
    <row r="3350" spans="1:1" ht="12.75" customHeight="1">
      <c r="A3350" s="129">
        <v>3350</v>
      </c>
    </row>
    <row r="3351" spans="1:1" ht="12.75" customHeight="1">
      <c r="A3351" s="129">
        <v>3351</v>
      </c>
    </row>
    <row r="3352" spans="1:1" ht="12.75" customHeight="1">
      <c r="A3352" s="129">
        <v>3352</v>
      </c>
    </row>
    <row r="3353" spans="1:1" ht="12.75" customHeight="1">
      <c r="A3353" s="129">
        <v>3353</v>
      </c>
    </row>
    <row r="3354" spans="1:1" ht="12.75" customHeight="1">
      <c r="A3354" s="129">
        <v>3354</v>
      </c>
    </row>
    <row r="3355" spans="1:1" ht="12.75" customHeight="1">
      <c r="A3355" s="129">
        <v>3355</v>
      </c>
    </row>
    <row r="3356" spans="1:1" ht="12.75" customHeight="1">
      <c r="A3356" s="129">
        <v>3356</v>
      </c>
    </row>
    <row r="3357" spans="1:1" ht="12.75" customHeight="1">
      <c r="A3357" s="129">
        <v>3357</v>
      </c>
    </row>
    <row r="3358" spans="1:1" ht="12.75" customHeight="1">
      <c r="A3358" s="129">
        <v>3358</v>
      </c>
    </row>
    <row r="3359" spans="1:1" ht="12.75" customHeight="1">
      <c r="A3359" s="129">
        <v>3359</v>
      </c>
    </row>
    <row r="3360" spans="1:1" ht="12.75" customHeight="1">
      <c r="A3360" s="129">
        <v>3360</v>
      </c>
    </row>
    <row r="3361" spans="1:1" ht="12.75" customHeight="1">
      <c r="A3361" s="129">
        <v>3361</v>
      </c>
    </row>
    <row r="3362" spans="1:1" ht="12.75" customHeight="1">
      <c r="A3362" s="129">
        <v>3362</v>
      </c>
    </row>
    <row r="3363" spans="1:1" ht="12.75" customHeight="1">
      <c r="A3363" s="129">
        <v>3363</v>
      </c>
    </row>
    <row r="3364" spans="1:1" ht="12.75" customHeight="1">
      <c r="A3364" s="129">
        <v>3364</v>
      </c>
    </row>
    <row r="3365" spans="1:1" ht="12.75" customHeight="1">
      <c r="A3365" s="129">
        <v>3365</v>
      </c>
    </row>
    <row r="3366" spans="1:1" ht="12.75" customHeight="1">
      <c r="A3366" s="129">
        <v>3366</v>
      </c>
    </row>
    <row r="3367" spans="1:1" ht="12.75" customHeight="1">
      <c r="A3367" s="129">
        <v>3367</v>
      </c>
    </row>
    <row r="3368" spans="1:1" ht="12.75" customHeight="1">
      <c r="A3368" s="129">
        <v>3368</v>
      </c>
    </row>
    <row r="3369" spans="1:1" ht="12.75" customHeight="1">
      <c r="A3369" s="129">
        <v>3369</v>
      </c>
    </row>
    <row r="3370" spans="1:1" ht="12.75" customHeight="1">
      <c r="A3370" s="129">
        <v>3370</v>
      </c>
    </row>
    <row r="3371" spans="1:1" ht="12.75" customHeight="1">
      <c r="A3371" s="129">
        <v>3371</v>
      </c>
    </row>
    <row r="3372" spans="1:1" ht="12.75" customHeight="1">
      <c r="A3372" s="129">
        <v>3372</v>
      </c>
    </row>
    <row r="3373" spans="1:1" ht="12.75" customHeight="1">
      <c r="A3373" s="129">
        <v>3373</v>
      </c>
    </row>
    <row r="3374" spans="1:1" ht="12.75" customHeight="1">
      <c r="A3374" s="129">
        <v>3374</v>
      </c>
    </row>
    <row r="3375" spans="1:1" ht="12.75" customHeight="1">
      <c r="A3375" s="129">
        <v>3375</v>
      </c>
    </row>
    <row r="3376" spans="1:1" ht="12.75" customHeight="1">
      <c r="A3376" s="129">
        <v>3376</v>
      </c>
    </row>
    <row r="3377" spans="1:1" ht="12.75" customHeight="1">
      <c r="A3377" s="129">
        <v>3377</v>
      </c>
    </row>
    <row r="3378" spans="1:1" ht="12.75" customHeight="1">
      <c r="A3378" s="129">
        <v>3378</v>
      </c>
    </row>
    <row r="3379" spans="1:1" ht="12.75" customHeight="1">
      <c r="A3379" s="129">
        <v>3379</v>
      </c>
    </row>
    <row r="3380" spans="1:1" ht="12.75" customHeight="1">
      <c r="A3380" s="129">
        <v>3380</v>
      </c>
    </row>
    <row r="3381" spans="1:1" ht="12.75" customHeight="1">
      <c r="A3381" s="129">
        <v>3381</v>
      </c>
    </row>
    <row r="3382" spans="1:1" ht="12.75" customHeight="1">
      <c r="A3382" s="129">
        <v>3382</v>
      </c>
    </row>
    <row r="3383" spans="1:1" ht="12.75" customHeight="1">
      <c r="A3383" s="129">
        <v>3383</v>
      </c>
    </row>
    <row r="3384" spans="1:1" ht="12.75" customHeight="1">
      <c r="A3384" s="129">
        <v>3384</v>
      </c>
    </row>
    <row r="3385" spans="1:1" ht="12.75" customHeight="1">
      <c r="A3385" s="129">
        <v>3385</v>
      </c>
    </row>
    <row r="3386" spans="1:1" ht="12.75" customHeight="1">
      <c r="A3386" s="129">
        <v>3386</v>
      </c>
    </row>
    <row r="3387" spans="1:1" ht="12.75" customHeight="1">
      <c r="A3387" s="129">
        <v>3387</v>
      </c>
    </row>
    <row r="3388" spans="1:1" ht="12.75" customHeight="1">
      <c r="A3388" s="129">
        <v>3388</v>
      </c>
    </row>
    <row r="3389" spans="1:1" ht="12.75" customHeight="1">
      <c r="A3389" s="129">
        <v>3389</v>
      </c>
    </row>
    <row r="3390" spans="1:1" ht="12.75" customHeight="1">
      <c r="A3390" s="129">
        <v>3390</v>
      </c>
    </row>
    <row r="3391" spans="1:1" ht="12.75" customHeight="1">
      <c r="A3391" s="129">
        <v>3391</v>
      </c>
    </row>
    <row r="3392" spans="1:1" ht="12.75" customHeight="1">
      <c r="A3392" s="129">
        <v>3392</v>
      </c>
    </row>
    <row r="3393" spans="1:1" ht="12.75" customHeight="1">
      <c r="A3393" s="129">
        <v>3393</v>
      </c>
    </row>
    <row r="3394" spans="1:1" ht="12.75" customHeight="1">
      <c r="A3394" s="129">
        <v>3394</v>
      </c>
    </row>
    <row r="3395" spans="1:1" ht="12.75" customHeight="1">
      <c r="A3395" s="129">
        <v>3395</v>
      </c>
    </row>
    <row r="3396" spans="1:1" ht="12.75" customHeight="1">
      <c r="A3396" s="129">
        <v>3396</v>
      </c>
    </row>
    <row r="3397" spans="1:1" ht="12.75" customHeight="1">
      <c r="A3397" s="129">
        <v>3397</v>
      </c>
    </row>
    <row r="3398" spans="1:1" ht="12.75" customHeight="1">
      <c r="A3398" s="129">
        <v>3398</v>
      </c>
    </row>
    <row r="3399" spans="1:1" ht="12.75" customHeight="1">
      <c r="A3399" s="129">
        <v>3399</v>
      </c>
    </row>
    <row r="3400" spans="1:1" ht="12.75" customHeight="1">
      <c r="A3400" s="129">
        <v>3400</v>
      </c>
    </row>
    <row r="3401" spans="1:1" ht="12.75" customHeight="1">
      <c r="A3401" s="129">
        <v>3401</v>
      </c>
    </row>
    <row r="3402" spans="1:1" ht="12.75" customHeight="1">
      <c r="A3402" s="129">
        <v>3402</v>
      </c>
    </row>
    <row r="3403" spans="1:1" ht="12.75" customHeight="1">
      <c r="A3403" s="129">
        <v>3403</v>
      </c>
    </row>
    <row r="3404" spans="1:1" ht="12.75" customHeight="1">
      <c r="A3404" s="129">
        <v>3404</v>
      </c>
    </row>
    <row r="3405" spans="1:1" ht="12.75" customHeight="1">
      <c r="A3405" s="129">
        <v>3405</v>
      </c>
    </row>
    <row r="3406" spans="1:1" ht="12.75" customHeight="1">
      <c r="A3406" s="129">
        <v>3406</v>
      </c>
    </row>
    <row r="3407" spans="1:1" ht="12.75" customHeight="1">
      <c r="A3407" s="129">
        <v>3407</v>
      </c>
    </row>
    <row r="3408" spans="1:1" ht="12.75" customHeight="1">
      <c r="A3408" s="129">
        <v>3408</v>
      </c>
    </row>
    <row r="3409" spans="1:1" ht="12.75" customHeight="1">
      <c r="A3409" s="129">
        <v>3409</v>
      </c>
    </row>
    <row r="3410" spans="1:1" ht="12.75" customHeight="1">
      <c r="A3410" s="129">
        <v>3410</v>
      </c>
    </row>
    <row r="3411" spans="1:1" ht="12.75" customHeight="1">
      <c r="A3411" s="129">
        <v>3411</v>
      </c>
    </row>
    <row r="3412" spans="1:1" ht="12.75" customHeight="1">
      <c r="A3412" s="129">
        <v>3412</v>
      </c>
    </row>
    <row r="3413" spans="1:1" ht="12.75" customHeight="1">
      <c r="A3413" s="129">
        <v>3413</v>
      </c>
    </row>
    <row r="3414" spans="1:1" ht="12.75" customHeight="1">
      <c r="A3414" s="129">
        <v>3414</v>
      </c>
    </row>
    <row r="3415" spans="1:1" ht="12.75" customHeight="1">
      <c r="A3415" s="129">
        <v>3415</v>
      </c>
    </row>
    <row r="3416" spans="1:1" ht="12.75" customHeight="1">
      <c r="A3416" s="129">
        <v>3416</v>
      </c>
    </row>
    <row r="3417" spans="1:1" ht="12.75" customHeight="1">
      <c r="A3417" s="129">
        <v>3417</v>
      </c>
    </row>
    <row r="3418" spans="1:1" ht="12.75" customHeight="1">
      <c r="A3418" s="129">
        <v>3418</v>
      </c>
    </row>
    <row r="3419" spans="1:1" ht="12.75" customHeight="1">
      <c r="A3419" s="129">
        <v>3419</v>
      </c>
    </row>
    <row r="3420" spans="1:1" ht="12.75" customHeight="1">
      <c r="A3420" s="129">
        <v>3420</v>
      </c>
    </row>
    <row r="3421" spans="1:1" ht="12.75" customHeight="1">
      <c r="A3421" s="129">
        <v>3421</v>
      </c>
    </row>
    <row r="3422" spans="1:1" ht="12.75" customHeight="1">
      <c r="A3422" s="129">
        <v>3422</v>
      </c>
    </row>
    <row r="3423" spans="1:1" ht="12.75" customHeight="1">
      <c r="A3423" s="129">
        <v>3423</v>
      </c>
    </row>
    <row r="3424" spans="1:1" ht="12.75" customHeight="1">
      <c r="A3424" s="129">
        <v>3424</v>
      </c>
    </row>
    <row r="3425" spans="1:1" ht="12.75" customHeight="1">
      <c r="A3425" s="129">
        <v>3425</v>
      </c>
    </row>
    <row r="3426" spans="1:1" ht="12.75" customHeight="1">
      <c r="A3426" s="129">
        <v>3426</v>
      </c>
    </row>
    <row r="3427" spans="1:1" ht="12.75" customHeight="1">
      <c r="A3427" s="129">
        <v>3427</v>
      </c>
    </row>
    <row r="3428" spans="1:1" ht="12.75" customHeight="1">
      <c r="A3428" s="129">
        <v>3428</v>
      </c>
    </row>
    <row r="3429" spans="1:1" ht="12.75" customHeight="1">
      <c r="A3429" s="129">
        <v>3429</v>
      </c>
    </row>
    <row r="3430" spans="1:1" ht="12.75" customHeight="1">
      <c r="A3430" s="129">
        <v>3430</v>
      </c>
    </row>
    <row r="3431" spans="1:1" ht="12.75" customHeight="1">
      <c r="A3431" s="129">
        <v>3431</v>
      </c>
    </row>
    <row r="3432" spans="1:1" ht="12.75" customHeight="1">
      <c r="A3432" s="129">
        <v>3432</v>
      </c>
    </row>
    <row r="3433" spans="1:1" ht="12.75" customHeight="1">
      <c r="A3433" s="129">
        <v>3433</v>
      </c>
    </row>
    <row r="3434" spans="1:1" ht="12.75" customHeight="1">
      <c r="A3434" s="129">
        <v>3434</v>
      </c>
    </row>
    <row r="3435" spans="1:1" ht="12.75" customHeight="1">
      <c r="A3435" s="129">
        <v>3435</v>
      </c>
    </row>
    <row r="3436" spans="1:1" ht="12.75" customHeight="1">
      <c r="A3436" s="129">
        <v>3436</v>
      </c>
    </row>
    <row r="3437" spans="1:1" ht="12.75" customHeight="1">
      <c r="A3437" s="129">
        <v>3437</v>
      </c>
    </row>
    <row r="3438" spans="1:1" ht="12.75" customHeight="1">
      <c r="A3438" s="129">
        <v>3438</v>
      </c>
    </row>
    <row r="3439" spans="1:1" ht="12.75" customHeight="1">
      <c r="A3439" s="129">
        <v>3439</v>
      </c>
    </row>
    <row r="3440" spans="1:1" ht="12.75" customHeight="1">
      <c r="A3440" s="129">
        <v>3440</v>
      </c>
    </row>
    <row r="3441" spans="1:1" ht="12.75" customHeight="1">
      <c r="A3441" s="129">
        <v>3441</v>
      </c>
    </row>
    <row r="3442" spans="1:1" ht="12.75" customHeight="1">
      <c r="A3442" s="129">
        <v>3442</v>
      </c>
    </row>
    <row r="3443" spans="1:1" ht="12.75" customHeight="1">
      <c r="A3443" s="129">
        <v>3443</v>
      </c>
    </row>
    <row r="3444" spans="1:1" ht="12.75" customHeight="1">
      <c r="A3444" s="129">
        <v>3444</v>
      </c>
    </row>
    <row r="3445" spans="1:1" ht="12.75" customHeight="1">
      <c r="A3445" s="129">
        <v>3445</v>
      </c>
    </row>
    <row r="3446" spans="1:1" ht="12.75" customHeight="1">
      <c r="A3446" s="129">
        <v>3446</v>
      </c>
    </row>
    <row r="3447" spans="1:1" ht="12.75" customHeight="1">
      <c r="A3447" s="129">
        <v>3447</v>
      </c>
    </row>
    <row r="3448" spans="1:1" ht="12.75" customHeight="1">
      <c r="A3448" s="129">
        <v>3448</v>
      </c>
    </row>
    <row r="3449" spans="1:1" ht="12.75" customHeight="1">
      <c r="A3449" s="129">
        <v>3449</v>
      </c>
    </row>
    <row r="3450" spans="1:1" ht="12.75" customHeight="1">
      <c r="A3450" s="129">
        <v>3450</v>
      </c>
    </row>
    <row r="3451" spans="1:1" ht="12.75" customHeight="1">
      <c r="A3451" s="129">
        <v>3451</v>
      </c>
    </row>
    <row r="3452" spans="1:1" ht="12.75" customHeight="1">
      <c r="A3452" s="129">
        <v>3452</v>
      </c>
    </row>
    <row r="3453" spans="1:1" ht="12.75" customHeight="1">
      <c r="A3453" s="129">
        <v>3453</v>
      </c>
    </row>
    <row r="3454" spans="1:1" ht="12.75" customHeight="1">
      <c r="A3454" s="129">
        <v>3454</v>
      </c>
    </row>
    <row r="3455" spans="1:1" ht="12.75" customHeight="1">
      <c r="A3455" s="129">
        <v>3455</v>
      </c>
    </row>
    <row r="3456" spans="1:1" ht="12.75" customHeight="1">
      <c r="A3456" s="129">
        <v>3456</v>
      </c>
    </row>
    <row r="3457" spans="1:1" ht="12.75" customHeight="1">
      <c r="A3457" s="129">
        <v>3457</v>
      </c>
    </row>
    <row r="3458" spans="1:1" ht="12.75" customHeight="1">
      <c r="A3458" s="129">
        <v>3458</v>
      </c>
    </row>
    <row r="3459" spans="1:1" ht="12.75" customHeight="1">
      <c r="A3459" s="129">
        <v>3459</v>
      </c>
    </row>
    <row r="3460" spans="1:1" ht="12.75" customHeight="1">
      <c r="A3460" s="129">
        <v>3460</v>
      </c>
    </row>
    <row r="3461" spans="1:1" ht="12.75" customHeight="1">
      <c r="A3461" s="129">
        <v>3461</v>
      </c>
    </row>
    <row r="3462" spans="1:1" ht="12.75" customHeight="1">
      <c r="A3462" s="129">
        <v>3462</v>
      </c>
    </row>
    <row r="3463" spans="1:1" ht="12.75" customHeight="1">
      <c r="A3463" s="129">
        <v>3463</v>
      </c>
    </row>
    <row r="3464" spans="1:1" ht="12.75" customHeight="1">
      <c r="A3464" s="129">
        <v>3464</v>
      </c>
    </row>
    <row r="3465" spans="1:1" ht="12.75" customHeight="1">
      <c r="A3465" s="129">
        <v>3465</v>
      </c>
    </row>
    <row r="3466" spans="1:1" ht="12.75" customHeight="1">
      <c r="A3466" s="129">
        <v>3466</v>
      </c>
    </row>
    <row r="3467" spans="1:1" ht="12.75" customHeight="1">
      <c r="A3467" s="129">
        <v>3467</v>
      </c>
    </row>
    <row r="3468" spans="1:1" ht="12.75" customHeight="1">
      <c r="A3468" s="129">
        <v>3468</v>
      </c>
    </row>
    <row r="3469" spans="1:1" ht="12.75" customHeight="1">
      <c r="A3469" s="129">
        <v>3469</v>
      </c>
    </row>
    <row r="3470" spans="1:1" ht="12.75" customHeight="1">
      <c r="A3470" s="129">
        <v>3470</v>
      </c>
    </row>
    <row r="3471" spans="1:1" ht="12.75" customHeight="1">
      <c r="A3471" s="129">
        <v>3471</v>
      </c>
    </row>
    <row r="3472" spans="1:1" ht="12.75" customHeight="1">
      <c r="A3472" s="129">
        <v>3472</v>
      </c>
    </row>
    <row r="3473" spans="1:1" ht="12.75" customHeight="1">
      <c r="A3473" s="129">
        <v>3473</v>
      </c>
    </row>
    <row r="3474" spans="1:1" ht="12.75" customHeight="1">
      <c r="A3474" s="129">
        <v>3474</v>
      </c>
    </row>
    <row r="3475" spans="1:1" ht="12.75" customHeight="1">
      <c r="A3475" s="129">
        <v>3475</v>
      </c>
    </row>
    <row r="3476" spans="1:1" ht="12.75" customHeight="1">
      <c r="A3476" s="129">
        <v>3476</v>
      </c>
    </row>
    <row r="3477" spans="1:1" ht="12.75" customHeight="1">
      <c r="A3477" s="129">
        <v>3477</v>
      </c>
    </row>
    <row r="3478" spans="1:1" ht="12.75" customHeight="1">
      <c r="A3478" s="129">
        <v>3478</v>
      </c>
    </row>
    <row r="3479" spans="1:1" ht="12.75" customHeight="1">
      <c r="A3479" s="129">
        <v>3479</v>
      </c>
    </row>
    <row r="3480" spans="1:1" ht="12.75" customHeight="1">
      <c r="A3480" s="129">
        <v>3480</v>
      </c>
    </row>
    <row r="3481" spans="1:1" ht="12.75" customHeight="1">
      <c r="A3481" s="129">
        <v>3481</v>
      </c>
    </row>
    <row r="3482" spans="1:1" ht="12.75" customHeight="1">
      <c r="A3482" s="129">
        <v>3482</v>
      </c>
    </row>
    <row r="3483" spans="1:1" ht="12.75" customHeight="1">
      <c r="A3483" s="129">
        <v>3483</v>
      </c>
    </row>
    <row r="3484" spans="1:1" ht="12.75" customHeight="1">
      <c r="A3484" s="129">
        <v>3484</v>
      </c>
    </row>
    <row r="3485" spans="1:1" ht="12.75" customHeight="1">
      <c r="A3485" s="129">
        <v>3485</v>
      </c>
    </row>
    <row r="3486" spans="1:1" ht="12.75" customHeight="1">
      <c r="A3486" s="129">
        <v>3486</v>
      </c>
    </row>
    <row r="3487" spans="1:1" ht="12.75" customHeight="1">
      <c r="A3487" s="129">
        <v>3487</v>
      </c>
    </row>
    <row r="3488" spans="1:1" ht="12.75" customHeight="1">
      <c r="A3488" s="129">
        <v>3488</v>
      </c>
    </row>
    <row r="3489" spans="1:1" ht="12.75" customHeight="1">
      <c r="A3489" s="129">
        <v>3489</v>
      </c>
    </row>
    <row r="3490" spans="1:1" ht="12.75" customHeight="1">
      <c r="A3490" s="129">
        <v>3490</v>
      </c>
    </row>
    <row r="3491" spans="1:1" ht="12.75" customHeight="1">
      <c r="A3491" s="129">
        <v>3491</v>
      </c>
    </row>
    <row r="3492" spans="1:1" ht="12.75" customHeight="1">
      <c r="A3492" s="129">
        <v>3492</v>
      </c>
    </row>
    <row r="3493" spans="1:1" ht="12.75" customHeight="1">
      <c r="A3493" s="129">
        <v>3493</v>
      </c>
    </row>
    <row r="3494" spans="1:1" ht="12.75" customHeight="1">
      <c r="A3494" s="129">
        <v>3494</v>
      </c>
    </row>
    <row r="3495" spans="1:1" ht="12.75" customHeight="1">
      <c r="A3495" s="129">
        <v>3495</v>
      </c>
    </row>
    <row r="3496" spans="1:1" ht="12.75" customHeight="1">
      <c r="A3496" s="129">
        <v>3496</v>
      </c>
    </row>
    <row r="3497" spans="1:1" ht="12.75" customHeight="1">
      <c r="A3497" s="129">
        <v>3497</v>
      </c>
    </row>
    <row r="3498" spans="1:1" ht="12.75" customHeight="1">
      <c r="A3498" s="129">
        <v>3498</v>
      </c>
    </row>
    <row r="3499" spans="1:1" ht="12.75" customHeight="1">
      <c r="A3499" s="129">
        <v>3499</v>
      </c>
    </row>
    <row r="3500" spans="1:1" ht="12.75" customHeight="1">
      <c r="A3500" s="129">
        <v>3500</v>
      </c>
    </row>
    <row r="3501" spans="1:1" ht="12.75" customHeight="1">
      <c r="A3501" s="129">
        <v>3501</v>
      </c>
    </row>
    <row r="3502" spans="1:1" ht="12.75" customHeight="1">
      <c r="A3502" s="129">
        <v>3502</v>
      </c>
    </row>
    <row r="3503" spans="1:1" ht="12.75" customHeight="1">
      <c r="A3503" s="129">
        <v>3503</v>
      </c>
    </row>
    <row r="3504" spans="1:1" ht="12.75" customHeight="1">
      <c r="A3504" s="129">
        <v>3504</v>
      </c>
    </row>
    <row r="3505" spans="1:1" ht="12.75" customHeight="1">
      <c r="A3505" s="129">
        <v>3505</v>
      </c>
    </row>
    <row r="3506" spans="1:1" ht="12.75" customHeight="1">
      <c r="A3506" s="129">
        <v>3506</v>
      </c>
    </row>
    <row r="3507" spans="1:1" ht="12.75" customHeight="1">
      <c r="A3507" s="129">
        <v>3507</v>
      </c>
    </row>
    <row r="3508" spans="1:1" ht="12.75" customHeight="1">
      <c r="A3508" s="129">
        <v>3508</v>
      </c>
    </row>
    <row r="3509" spans="1:1" ht="12.75" customHeight="1">
      <c r="A3509" s="129">
        <v>3509</v>
      </c>
    </row>
    <row r="3510" spans="1:1" ht="12.75" customHeight="1">
      <c r="A3510" s="129">
        <v>3510</v>
      </c>
    </row>
    <row r="3511" spans="1:1" ht="12.75" customHeight="1">
      <c r="A3511" s="129">
        <v>3511</v>
      </c>
    </row>
    <row r="3512" spans="1:1" ht="12.75" customHeight="1">
      <c r="A3512" s="129">
        <v>3512</v>
      </c>
    </row>
    <row r="3513" spans="1:1" ht="12.75" customHeight="1">
      <c r="A3513" s="129">
        <v>3513</v>
      </c>
    </row>
    <row r="3514" spans="1:1" ht="12.75" customHeight="1">
      <c r="A3514" s="129">
        <v>3514</v>
      </c>
    </row>
    <row r="3515" spans="1:1" ht="12.75" customHeight="1">
      <c r="A3515" s="129">
        <v>3515</v>
      </c>
    </row>
    <row r="3516" spans="1:1" ht="12.75" customHeight="1">
      <c r="A3516" s="129">
        <v>3516</v>
      </c>
    </row>
    <row r="3517" spans="1:1" ht="12.75" customHeight="1">
      <c r="A3517" s="129">
        <v>3517</v>
      </c>
    </row>
    <row r="3518" spans="1:1" ht="12.75" customHeight="1">
      <c r="A3518" s="129">
        <v>3518</v>
      </c>
    </row>
    <row r="3519" spans="1:1" ht="12.75" customHeight="1">
      <c r="A3519" s="129">
        <v>3519</v>
      </c>
    </row>
    <row r="3520" spans="1:1" ht="12.75" customHeight="1">
      <c r="A3520" s="129">
        <v>3520</v>
      </c>
    </row>
    <row r="3521" spans="1:1" ht="12.75" customHeight="1">
      <c r="A3521" s="129">
        <v>3521</v>
      </c>
    </row>
    <row r="3522" spans="1:1" ht="12.75" customHeight="1">
      <c r="A3522" s="129">
        <v>3522</v>
      </c>
    </row>
    <row r="3523" spans="1:1" ht="12.75" customHeight="1">
      <c r="A3523" s="129">
        <v>3523</v>
      </c>
    </row>
    <row r="3524" spans="1:1" ht="12.75" customHeight="1">
      <c r="A3524" s="129">
        <v>3524</v>
      </c>
    </row>
    <row r="3525" spans="1:1" ht="12.75" customHeight="1">
      <c r="A3525" s="129">
        <v>3525</v>
      </c>
    </row>
    <row r="3526" spans="1:1" ht="12.75" customHeight="1">
      <c r="A3526" s="129">
        <v>3526</v>
      </c>
    </row>
    <row r="3527" spans="1:1" ht="12.75" customHeight="1">
      <c r="A3527" s="129">
        <v>3527</v>
      </c>
    </row>
    <row r="3528" spans="1:1" ht="12.75" customHeight="1">
      <c r="A3528" s="129">
        <v>3528</v>
      </c>
    </row>
    <row r="3529" spans="1:1" ht="12.75" customHeight="1">
      <c r="A3529" s="129">
        <v>3529</v>
      </c>
    </row>
    <row r="3530" spans="1:1" ht="12.75" customHeight="1">
      <c r="A3530" s="129">
        <v>3530</v>
      </c>
    </row>
    <row r="3531" spans="1:1" ht="12.75" customHeight="1">
      <c r="A3531" s="129">
        <v>3531</v>
      </c>
    </row>
    <row r="3532" spans="1:1" ht="12.75" customHeight="1">
      <c r="A3532" s="129">
        <v>3532</v>
      </c>
    </row>
    <row r="3533" spans="1:1" ht="12.75" customHeight="1">
      <c r="A3533" s="129">
        <v>3533</v>
      </c>
    </row>
    <row r="3534" spans="1:1" ht="12.75" customHeight="1">
      <c r="A3534" s="129">
        <v>3534</v>
      </c>
    </row>
    <row r="3535" spans="1:1" ht="12.75" customHeight="1">
      <c r="A3535" s="129">
        <v>3535</v>
      </c>
    </row>
    <row r="3536" spans="1:1" ht="12.75" customHeight="1">
      <c r="A3536" s="129">
        <v>3536</v>
      </c>
    </row>
    <row r="3537" spans="1:1" ht="12.75" customHeight="1">
      <c r="A3537" s="129">
        <v>3537</v>
      </c>
    </row>
    <row r="3538" spans="1:1" ht="12.75" customHeight="1">
      <c r="A3538" s="129">
        <v>3538</v>
      </c>
    </row>
    <row r="3539" spans="1:1" ht="12.75" customHeight="1">
      <c r="A3539" s="129">
        <v>3539</v>
      </c>
    </row>
    <row r="3540" spans="1:1" ht="12.75" customHeight="1">
      <c r="A3540" s="129">
        <v>3540</v>
      </c>
    </row>
    <row r="3541" spans="1:1" ht="12.75" customHeight="1">
      <c r="A3541" s="129">
        <v>3541</v>
      </c>
    </row>
    <row r="3542" spans="1:1" ht="12.75" customHeight="1">
      <c r="A3542" s="129">
        <v>3542</v>
      </c>
    </row>
    <row r="3543" spans="1:1" ht="12.75" customHeight="1">
      <c r="A3543" s="129">
        <v>3543</v>
      </c>
    </row>
    <row r="3544" spans="1:1" ht="12.75" customHeight="1">
      <c r="A3544" s="129">
        <v>3544</v>
      </c>
    </row>
    <row r="3545" spans="1:1" ht="12.75" customHeight="1">
      <c r="A3545" s="129">
        <v>3545</v>
      </c>
    </row>
    <row r="3546" spans="1:1" ht="12.75" customHeight="1">
      <c r="A3546" s="129">
        <v>3546</v>
      </c>
    </row>
    <row r="3547" spans="1:1" ht="12.75" customHeight="1">
      <c r="A3547" s="129">
        <v>3547</v>
      </c>
    </row>
    <row r="3548" spans="1:1" ht="12.75" customHeight="1">
      <c r="A3548" s="129">
        <v>3548</v>
      </c>
    </row>
    <row r="3549" spans="1:1" ht="12.75" customHeight="1">
      <c r="A3549" s="129">
        <v>3549</v>
      </c>
    </row>
    <row r="3550" spans="1:1" ht="12.75" customHeight="1">
      <c r="A3550" s="129">
        <v>3550</v>
      </c>
    </row>
    <row r="3551" spans="1:1" ht="12.75" customHeight="1">
      <c r="A3551" s="129">
        <v>3551</v>
      </c>
    </row>
    <row r="3552" spans="1:1" ht="12.75" customHeight="1">
      <c r="A3552" s="129">
        <v>3552</v>
      </c>
    </row>
    <row r="3553" spans="1:1" ht="12.75" customHeight="1">
      <c r="A3553" s="129">
        <v>3553</v>
      </c>
    </row>
    <row r="3554" spans="1:1" ht="12.75" customHeight="1">
      <c r="A3554" s="129">
        <v>3554</v>
      </c>
    </row>
    <row r="3555" spans="1:1" ht="12.75" customHeight="1">
      <c r="A3555" s="129">
        <v>3555</v>
      </c>
    </row>
    <row r="3556" spans="1:1" ht="12.75" customHeight="1">
      <c r="A3556" s="129">
        <v>3556</v>
      </c>
    </row>
    <row r="3557" spans="1:1" ht="12.75" customHeight="1">
      <c r="A3557" s="129">
        <v>3557</v>
      </c>
    </row>
    <row r="3558" spans="1:1" ht="12.75" customHeight="1">
      <c r="A3558" s="129">
        <v>3558</v>
      </c>
    </row>
    <row r="3559" spans="1:1" ht="12.75" customHeight="1">
      <c r="A3559" s="129">
        <v>3559</v>
      </c>
    </row>
    <row r="3560" spans="1:1" ht="12.75" customHeight="1">
      <c r="A3560" s="129">
        <v>3560</v>
      </c>
    </row>
    <row r="3561" spans="1:1" ht="12.75" customHeight="1">
      <c r="A3561" s="129">
        <v>3561</v>
      </c>
    </row>
    <row r="3562" spans="1:1" ht="12.75" customHeight="1">
      <c r="A3562" s="129">
        <v>3562</v>
      </c>
    </row>
    <row r="3563" spans="1:1" ht="12.75" customHeight="1">
      <c r="A3563" s="129">
        <v>3563</v>
      </c>
    </row>
    <row r="3564" spans="1:1" ht="12.75" customHeight="1">
      <c r="A3564" s="129">
        <v>3564</v>
      </c>
    </row>
    <row r="3565" spans="1:1" ht="12.75" customHeight="1">
      <c r="A3565" s="129">
        <v>3565</v>
      </c>
    </row>
    <row r="3566" spans="1:1" ht="12.75" customHeight="1">
      <c r="A3566" s="129">
        <v>3566</v>
      </c>
    </row>
    <row r="3567" spans="1:1" ht="12.75" customHeight="1">
      <c r="A3567" s="129">
        <v>3567</v>
      </c>
    </row>
    <row r="3568" spans="1:1" ht="12.75" customHeight="1">
      <c r="A3568" s="129">
        <v>3568</v>
      </c>
    </row>
    <row r="3569" spans="1:1" ht="12.75" customHeight="1">
      <c r="A3569" s="129">
        <v>3569</v>
      </c>
    </row>
    <row r="3570" spans="1:1" ht="12.75" customHeight="1">
      <c r="A3570" s="129">
        <v>3570</v>
      </c>
    </row>
    <row r="3571" spans="1:1" ht="12.75" customHeight="1">
      <c r="A3571" s="129">
        <v>3571</v>
      </c>
    </row>
    <row r="3572" spans="1:1" ht="12.75" customHeight="1">
      <c r="A3572" s="129">
        <v>3572</v>
      </c>
    </row>
    <row r="3573" spans="1:1" ht="12.75" customHeight="1">
      <c r="A3573" s="129">
        <v>3573</v>
      </c>
    </row>
    <row r="3574" spans="1:1" ht="12.75" customHeight="1">
      <c r="A3574" s="129">
        <v>3574</v>
      </c>
    </row>
    <row r="3575" spans="1:1" ht="12.75" customHeight="1">
      <c r="A3575" s="129">
        <v>3575</v>
      </c>
    </row>
    <row r="3576" spans="1:1" ht="12.75" customHeight="1">
      <c r="A3576" s="129">
        <v>3576</v>
      </c>
    </row>
    <row r="3577" spans="1:1" ht="12.75" customHeight="1">
      <c r="A3577" s="129">
        <v>3577</v>
      </c>
    </row>
    <row r="3578" spans="1:1" ht="12.75" customHeight="1">
      <c r="A3578" s="129">
        <v>3578</v>
      </c>
    </row>
    <row r="3579" spans="1:1" ht="12.75" customHeight="1">
      <c r="A3579" s="129">
        <v>3579</v>
      </c>
    </row>
    <row r="3580" spans="1:1" ht="12.75" customHeight="1">
      <c r="A3580" s="129">
        <v>3580</v>
      </c>
    </row>
    <row r="3581" spans="1:1" ht="12.75" customHeight="1">
      <c r="A3581" s="129">
        <v>3581</v>
      </c>
    </row>
    <row r="3582" spans="1:1" ht="12.75" customHeight="1">
      <c r="A3582" s="129">
        <v>3582</v>
      </c>
    </row>
    <row r="3583" spans="1:1" ht="12.75" customHeight="1">
      <c r="A3583" s="129">
        <v>3583</v>
      </c>
    </row>
    <row r="3584" spans="1:1" ht="12.75" customHeight="1">
      <c r="A3584" s="129">
        <v>3584</v>
      </c>
    </row>
    <row r="3585" spans="1:1" ht="12.75" customHeight="1">
      <c r="A3585" s="129">
        <v>3585</v>
      </c>
    </row>
    <row r="3586" spans="1:1" ht="12.75" customHeight="1">
      <c r="A3586" s="129">
        <v>3586</v>
      </c>
    </row>
    <row r="3587" spans="1:1" ht="12.75" customHeight="1">
      <c r="A3587" s="129">
        <v>3587</v>
      </c>
    </row>
    <row r="3588" spans="1:1" ht="12.75" customHeight="1">
      <c r="A3588" s="129">
        <v>3588</v>
      </c>
    </row>
    <row r="3589" spans="1:1" ht="12.75" customHeight="1">
      <c r="A3589" s="129">
        <v>3589</v>
      </c>
    </row>
    <row r="3590" spans="1:1" ht="12.75" customHeight="1">
      <c r="A3590" s="129">
        <v>3590</v>
      </c>
    </row>
    <row r="3591" spans="1:1" ht="12.75" customHeight="1">
      <c r="A3591" s="129">
        <v>3591</v>
      </c>
    </row>
    <row r="3592" spans="1:1" ht="12.75" customHeight="1">
      <c r="A3592" s="129">
        <v>3592</v>
      </c>
    </row>
    <row r="3593" spans="1:1" ht="12.75" customHeight="1">
      <c r="A3593" s="129">
        <v>3593</v>
      </c>
    </row>
    <row r="3594" spans="1:1" ht="12.75" customHeight="1">
      <c r="A3594" s="129">
        <v>3594</v>
      </c>
    </row>
    <row r="3595" spans="1:1" ht="12.75" customHeight="1">
      <c r="A3595" s="129">
        <v>3595</v>
      </c>
    </row>
    <row r="3596" spans="1:1" ht="12.75" customHeight="1">
      <c r="A3596" s="129">
        <v>3596</v>
      </c>
    </row>
    <row r="3597" spans="1:1" ht="12.75" customHeight="1">
      <c r="A3597" s="129">
        <v>3597</v>
      </c>
    </row>
    <row r="3598" spans="1:1" ht="12.75" customHeight="1">
      <c r="A3598" s="129">
        <v>3598</v>
      </c>
    </row>
    <row r="3599" spans="1:1" ht="12.75" customHeight="1">
      <c r="A3599" s="129">
        <v>3599</v>
      </c>
    </row>
    <row r="3600" spans="1:1" ht="12.75" customHeight="1">
      <c r="A3600" s="129">
        <v>3600</v>
      </c>
    </row>
    <row r="3601" spans="1:1" ht="12.75" customHeight="1">
      <c r="A3601" s="129">
        <v>3601</v>
      </c>
    </row>
    <row r="3602" spans="1:1" ht="12.75" customHeight="1">
      <c r="A3602" s="129">
        <v>3602</v>
      </c>
    </row>
    <row r="3603" spans="1:1" ht="12.75" customHeight="1">
      <c r="A3603" s="129">
        <v>3603</v>
      </c>
    </row>
    <row r="3604" spans="1:1" ht="12.75" customHeight="1">
      <c r="A3604" s="129">
        <v>3604</v>
      </c>
    </row>
    <row r="3605" spans="1:1" ht="12.75" customHeight="1">
      <c r="A3605" s="129">
        <v>3605</v>
      </c>
    </row>
    <row r="3606" spans="1:1" ht="12.75" customHeight="1">
      <c r="A3606" s="129">
        <v>3606</v>
      </c>
    </row>
    <row r="3607" spans="1:1" ht="12.75" customHeight="1">
      <c r="A3607" s="129">
        <v>3607</v>
      </c>
    </row>
    <row r="3608" spans="1:1" ht="12.75" customHeight="1">
      <c r="A3608" s="129">
        <v>3608</v>
      </c>
    </row>
    <row r="3609" spans="1:1" ht="12.75" customHeight="1">
      <c r="A3609" s="129">
        <v>3609</v>
      </c>
    </row>
    <row r="3610" spans="1:1" ht="12.75" customHeight="1">
      <c r="A3610" s="129">
        <v>3610</v>
      </c>
    </row>
    <row r="3611" spans="1:1" ht="12.75" customHeight="1">
      <c r="A3611" s="129">
        <v>3611</v>
      </c>
    </row>
    <row r="3612" spans="1:1" ht="12.75" customHeight="1">
      <c r="A3612" s="129">
        <v>3612</v>
      </c>
    </row>
    <row r="3613" spans="1:1" ht="12.75" customHeight="1">
      <c r="A3613" s="129">
        <v>3613</v>
      </c>
    </row>
    <row r="3614" spans="1:1" ht="12.75" customHeight="1">
      <c r="A3614" s="129">
        <v>3614</v>
      </c>
    </row>
    <row r="3615" spans="1:1" ht="12.75" customHeight="1">
      <c r="A3615" s="129">
        <v>3615</v>
      </c>
    </row>
    <row r="3616" spans="1:1" ht="12.75" customHeight="1">
      <c r="A3616" s="129">
        <v>3616</v>
      </c>
    </row>
    <row r="3617" spans="1:1" ht="12.75" customHeight="1">
      <c r="A3617" s="129">
        <v>3617</v>
      </c>
    </row>
    <row r="3618" spans="1:1" ht="12.75" customHeight="1">
      <c r="A3618" s="129">
        <v>3618</v>
      </c>
    </row>
    <row r="3619" spans="1:1" ht="12.75" customHeight="1">
      <c r="A3619" s="129">
        <v>3619</v>
      </c>
    </row>
    <row r="3620" spans="1:1" ht="12.75" customHeight="1">
      <c r="A3620" s="129">
        <v>3620</v>
      </c>
    </row>
    <row r="3621" spans="1:1" ht="12.75" customHeight="1">
      <c r="A3621" s="129">
        <v>3621</v>
      </c>
    </row>
    <row r="3622" spans="1:1" ht="12.75" customHeight="1">
      <c r="A3622" s="129">
        <v>3622</v>
      </c>
    </row>
    <row r="3623" spans="1:1" ht="12.75" customHeight="1">
      <c r="A3623" s="129">
        <v>3623</v>
      </c>
    </row>
    <row r="3624" spans="1:1" ht="12.75" customHeight="1">
      <c r="A3624" s="129">
        <v>3624</v>
      </c>
    </row>
    <row r="3625" spans="1:1" ht="12.75" customHeight="1">
      <c r="A3625" s="129">
        <v>3625</v>
      </c>
    </row>
    <row r="3626" spans="1:1" ht="12.75" customHeight="1">
      <c r="A3626" s="129">
        <v>3626</v>
      </c>
    </row>
    <row r="3627" spans="1:1" ht="12.75" customHeight="1">
      <c r="A3627" s="129">
        <v>3627</v>
      </c>
    </row>
    <row r="3628" spans="1:1" ht="12.75" customHeight="1">
      <c r="A3628" s="129">
        <v>3628</v>
      </c>
    </row>
    <row r="3629" spans="1:1" ht="12.75" customHeight="1">
      <c r="A3629" s="129">
        <v>3629</v>
      </c>
    </row>
    <row r="3630" spans="1:1" ht="12.75" customHeight="1">
      <c r="A3630" s="129">
        <v>3630</v>
      </c>
    </row>
    <row r="3631" spans="1:1" ht="12.75" customHeight="1">
      <c r="A3631" s="129">
        <v>3631</v>
      </c>
    </row>
    <row r="3632" spans="1:1" ht="12.75" customHeight="1">
      <c r="A3632" s="129">
        <v>3632</v>
      </c>
    </row>
    <row r="3633" spans="1:1" ht="12.75" customHeight="1">
      <c r="A3633" s="129">
        <v>3633</v>
      </c>
    </row>
    <row r="3634" spans="1:1" ht="12.75" customHeight="1">
      <c r="A3634" s="129">
        <v>3634</v>
      </c>
    </row>
    <row r="3635" spans="1:1" ht="12.75" customHeight="1">
      <c r="A3635" s="129">
        <v>3635</v>
      </c>
    </row>
    <row r="3636" spans="1:1" ht="12.75" customHeight="1">
      <c r="A3636" s="129">
        <v>3636</v>
      </c>
    </row>
    <row r="3637" spans="1:1" ht="12.75" customHeight="1">
      <c r="A3637" s="129">
        <v>3637</v>
      </c>
    </row>
    <row r="3638" spans="1:1" ht="12.75" customHeight="1">
      <c r="A3638" s="129">
        <v>3638</v>
      </c>
    </row>
    <row r="3639" spans="1:1" ht="12.75" customHeight="1">
      <c r="A3639" s="129">
        <v>3639</v>
      </c>
    </row>
    <row r="3640" spans="1:1" ht="12.75" customHeight="1">
      <c r="A3640" s="129">
        <v>3640</v>
      </c>
    </row>
    <row r="3641" spans="1:1" ht="12.75" customHeight="1">
      <c r="A3641" s="129">
        <v>3641</v>
      </c>
    </row>
    <row r="3642" spans="1:1" ht="12.75" customHeight="1">
      <c r="A3642" s="129">
        <v>3642</v>
      </c>
    </row>
    <row r="3643" spans="1:1" ht="12.75" customHeight="1">
      <c r="A3643" s="129">
        <v>3643</v>
      </c>
    </row>
    <row r="3644" spans="1:1" ht="12.75" customHeight="1">
      <c r="A3644" s="129">
        <v>3644</v>
      </c>
    </row>
    <row r="3645" spans="1:1" ht="12.75" customHeight="1">
      <c r="A3645" s="129">
        <v>3645</v>
      </c>
    </row>
    <row r="3646" spans="1:1" ht="12.75" customHeight="1">
      <c r="A3646" s="129">
        <v>3646</v>
      </c>
    </row>
    <row r="3647" spans="1:1" ht="12.75" customHeight="1">
      <c r="A3647" s="129">
        <v>3647</v>
      </c>
    </row>
    <row r="3648" spans="1:1" ht="12.75" customHeight="1">
      <c r="A3648" s="129">
        <v>3648</v>
      </c>
    </row>
    <row r="3649" spans="1:1" ht="12.75" customHeight="1">
      <c r="A3649" s="129">
        <v>3649</v>
      </c>
    </row>
    <row r="3650" spans="1:1" ht="12.75" customHeight="1">
      <c r="A3650" s="129">
        <v>3650</v>
      </c>
    </row>
    <row r="3651" spans="1:1" ht="12.75" customHeight="1">
      <c r="A3651" s="129">
        <v>3651</v>
      </c>
    </row>
    <row r="3652" spans="1:1" ht="12.75" customHeight="1">
      <c r="A3652" s="129">
        <v>3652</v>
      </c>
    </row>
    <row r="3653" spans="1:1" ht="12.75" customHeight="1">
      <c r="A3653" s="129">
        <v>3653</v>
      </c>
    </row>
    <row r="3654" spans="1:1" ht="12.75" customHeight="1">
      <c r="A3654" s="129">
        <v>3654</v>
      </c>
    </row>
    <row r="3655" spans="1:1" ht="12.75" customHeight="1">
      <c r="A3655" s="129">
        <v>3655</v>
      </c>
    </row>
    <row r="3656" spans="1:1" ht="12.75" customHeight="1">
      <c r="A3656" s="129">
        <v>3656</v>
      </c>
    </row>
    <row r="3657" spans="1:1" ht="12.75" customHeight="1">
      <c r="A3657" s="129">
        <v>3657</v>
      </c>
    </row>
    <row r="3658" spans="1:1" ht="12.75" customHeight="1">
      <c r="A3658" s="129">
        <v>3658</v>
      </c>
    </row>
    <row r="3659" spans="1:1" ht="12.75" customHeight="1">
      <c r="A3659" s="129">
        <v>3659</v>
      </c>
    </row>
    <row r="3660" spans="1:1" ht="12.75" customHeight="1">
      <c r="A3660" s="129">
        <v>3660</v>
      </c>
    </row>
    <row r="3661" spans="1:1" ht="12.75" customHeight="1">
      <c r="A3661" s="129">
        <v>3661</v>
      </c>
    </row>
    <row r="3662" spans="1:1" ht="12.75" customHeight="1">
      <c r="A3662" s="129">
        <v>3662</v>
      </c>
    </row>
    <row r="3663" spans="1:1" ht="12.75" customHeight="1">
      <c r="A3663" s="129">
        <v>3663</v>
      </c>
    </row>
    <row r="3664" spans="1:1" ht="12.75" customHeight="1">
      <c r="A3664" s="129">
        <v>3664</v>
      </c>
    </row>
    <row r="3665" spans="1:1" ht="12.75" customHeight="1">
      <c r="A3665" s="129">
        <v>3665</v>
      </c>
    </row>
    <row r="3666" spans="1:1" ht="12.75" customHeight="1">
      <c r="A3666" s="129">
        <v>3666</v>
      </c>
    </row>
    <row r="3667" spans="1:1" ht="12.75" customHeight="1">
      <c r="A3667" s="129">
        <v>3667</v>
      </c>
    </row>
    <row r="3668" spans="1:1" ht="12.75" customHeight="1">
      <c r="A3668" s="129">
        <v>3668</v>
      </c>
    </row>
    <row r="3669" spans="1:1" ht="12.75" customHeight="1">
      <c r="A3669" s="129">
        <v>3669</v>
      </c>
    </row>
    <row r="3670" spans="1:1" ht="12.75" customHeight="1">
      <c r="A3670" s="129">
        <v>3670</v>
      </c>
    </row>
    <row r="3671" spans="1:1" ht="12.75" customHeight="1">
      <c r="A3671" s="129">
        <v>3671</v>
      </c>
    </row>
    <row r="3672" spans="1:1" ht="12.75" customHeight="1">
      <c r="A3672" s="129">
        <v>3672</v>
      </c>
    </row>
    <row r="3673" spans="1:1" ht="12.75" customHeight="1">
      <c r="A3673" s="129">
        <v>3673</v>
      </c>
    </row>
    <row r="3674" spans="1:1" ht="12.75" customHeight="1">
      <c r="A3674" s="129">
        <v>3674</v>
      </c>
    </row>
    <row r="3675" spans="1:1" ht="12.75" customHeight="1">
      <c r="A3675" s="129">
        <v>3675</v>
      </c>
    </row>
    <row r="3676" spans="1:1" ht="12.75" customHeight="1">
      <c r="A3676" s="129">
        <v>3676</v>
      </c>
    </row>
    <row r="3677" spans="1:1" ht="12.75" customHeight="1">
      <c r="A3677" s="129">
        <v>3677</v>
      </c>
    </row>
    <row r="3678" spans="1:1" ht="12.75" customHeight="1">
      <c r="A3678" s="129">
        <v>3678</v>
      </c>
    </row>
    <row r="3679" spans="1:1" ht="12.75" customHeight="1">
      <c r="A3679" s="129">
        <v>3679</v>
      </c>
    </row>
    <row r="3680" spans="1:1" ht="12.75" customHeight="1">
      <c r="A3680" s="129">
        <v>3680</v>
      </c>
    </row>
    <row r="3681" spans="1:1" ht="12.75" customHeight="1">
      <c r="A3681" s="129">
        <v>3681</v>
      </c>
    </row>
    <row r="3682" spans="1:1" ht="12.75" customHeight="1">
      <c r="A3682" s="129">
        <v>3682</v>
      </c>
    </row>
    <row r="3683" spans="1:1" ht="12.75" customHeight="1">
      <c r="A3683" s="129">
        <v>3683</v>
      </c>
    </row>
    <row r="3684" spans="1:1" ht="12.75" customHeight="1">
      <c r="A3684" s="129">
        <v>3684</v>
      </c>
    </row>
    <row r="3685" spans="1:1" ht="12.75" customHeight="1">
      <c r="A3685" s="129">
        <v>3685</v>
      </c>
    </row>
    <row r="3686" spans="1:1" ht="12.75" customHeight="1">
      <c r="A3686" s="129">
        <v>3686</v>
      </c>
    </row>
    <row r="3687" spans="1:1" ht="12.75" customHeight="1">
      <c r="A3687" s="129">
        <v>3687</v>
      </c>
    </row>
    <row r="3688" spans="1:1" ht="12.75" customHeight="1">
      <c r="A3688" s="129">
        <v>3688</v>
      </c>
    </row>
    <row r="3689" spans="1:1" ht="12.75" customHeight="1">
      <c r="A3689" s="129">
        <v>3689</v>
      </c>
    </row>
    <row r="3690" spans="1:1" ht="12.75" customHeight="1">
      <c r="A3690" s="129">
        <v>3690</v>
      </c>
    </row>
    <row r="3691" spans="1:1" ht="12.75" customHeight="1">
      <c r="A3691" s="129">
        <v>3691</v>
      </c>
    </row>
    <row r="3692" spans="1:1" ht="12.75" customHeight="1">
      <c r="A3692" s="129">
        <v>3692</v>
      </c>
    </row>
    <row r="3693" spans="1:1" ht="12.75" customHeight="1">
      <c r="A3693" s="129">
        <v>3693</v>
      </c>
    </row>
    <row r="3694" spans="1:1" ht="12.75" customHeight="1">
      <c r="A3694" s="129">
        <v>3694</v>
      </c>
    </row>
    <row r="3695" spans="1:1" ht="12.75" customHeight="1">
      <c r="A3695" s="129">
        <v>3695</v>
      </c>
    </row>
    <row r="3696" spans="1:1" ht="12.75" customHeight="1">
      <c r="A3696" s="129">
        <v>3696</v>
      </c>
    </row>
    <row r="3697" spans="1:1" ht="12.75" customHeight="1">
      <c r="A3697" s="129">
        <v>3697</v>
      </c>
    </row>
    <row r="3698" spans="1:1" ht="12.75" customHeight="1">
      <c r="A3698" s="129">
        <v>3698</v>
      </c>
    </row>
    <row r="3699" spans="1:1" ht="12.75" customHeight="1">
      <c r="A3699" s="129">
        <v>3699</v>
      </c>
    </row>
    <row r="3700" spans="1:1" ht="12.75" customHeight="1">
      <c r="A3700" s="129">
        <v>3700</v>
      </c>
    </row>
    <row r="3701" spans="1:1" ht="12.75" customHeight="1">
      <c r="A3701" s="129">
        <v>3701</v>
      </c>
    </row>
    <row r="3702" spans="1:1" ht="12.75" customHeight="1">
      <c r="A3702" s="129">
        <v>3702</v>
      </c>
    </row>
    <row r="3703" spans="1:1" ht="12.75" customHeight="1">
      <c r="A3703" s="129">
        <v>3703</v>
      </c>
    </row>
    <row r="3704" spans="1:1" ht="12.75" customHeight="1">
      <c r="A3704" s="129">
        <v>3704</v>
      </c>
    </row>
    <row r="3705" spans="1:1" ht="12.75" customHeight="1">
      <c r="A3705" s="129">
        <v>3705</v>
      </c>
    </row>
    <row r="3706" spans="1:1" ht="12.75" customHeight="1">
      <c r="A3706" s="129">
        <v>3706</v>
      </c>
    </row>
    <row r="3707" spans="1:1" ht="12.75" customHeight="1">
      <c r="A3707" s="129">
        <v>3707</v>
      </c>
    </row>
    <row r="3708" spans="1:1" ht="12.75" customHeight="1">
      <c r="A3708" s="129">
        <v>3708</v>
      </c>
    </row>
    <row r="3709" spans="1:1" ht="12.75" customHeight="1">
      <c r="A3709" s="129">
        <v>3709</v>
      </c>
    </row>
    <row r="3710" spans="1:1" ht="12.75" customHeight="1">
      <c r="A3710" s="129">
        <v>3710</v>
      </c>
    </row>
    <row r="3711" spans="1:1" ht="12.75" customHeight="1">
      <c r="A3711" s="129">
        <v>3711</v>
      </c>
    </row>
    <row r="3712" spans="1:1" ht="12.75" customHeight="1">
      <c r="A3712" s="129">
        <v>3712</v>
      </c>
    </row>
    <row r="3713" spans="1:1" ht="12.75" customHeight="1">
      <c r="A3713" s="129">
        <v>3713</v>
      </c>
    </row>
    <row r="3714" spans="1:1" ht="12.75" customHeight="1">
      <c r="A3714" s="129">
        <v>3714</v>
      </c>
    </row>
    <row r="3715" spans="1:1" ht="12.75" customHeight="1">
      <c r="A3715" s="129">
        <v>3715</v>
      </c>
    </row>
    <row r="3716" spans="1:1" ht="12.75" customHeight="1">
      <c r="A3716" s="129">
        <v>3716</v>
      </c>
    </row>
    <row r="3717" spans="1:1" ht="12.75" customHeight="1">
      <c r="A3717" s="129">
        <v>3717</v>
      </c>
    </row>
    <row r="3718" spans="1:1" ht="12.75" customHeight="1">
      <c r="A3718" s="129">
        <v>3718</v>
      </c>
    </row>
    <row r="3719" spans="1:1" ht="12.75" customHeight="1">
      <c r="A3719" s="129">
        <v>3719</v>
      </c>
    </row>
    <row r="3720" spans="1:1" ht="12.75" customHeight="1">
      <c r="A3720" s="129">
        <v>3720</v>
      </c>
    </row>
    <row r="3721" spans="1:1" ht="12.75" customHeight="1">
      <c r="A3721" s="129">
        <v>3721</v>
      </c>
    </row>
    <row r="3722" spans="1:1" ht="12.75" customHeight="1">
      <c r="A3722" s="129">
        <v>3722</v>
      </c>
    </row>
    <row r="3723" spans="1:1" ht="12.75" customHeight="1">
      <c r="A3723" s="129">
        <v>3723</v>
      </c>
    </row>
    <row r="3724" spans="1:1" ht="12.75" customHeight="1">
      <c r="A3724" s="129">
        <v>3724</v>
      </c>
    </row>
    <row r="3725" spans="1:1" ht="12.75" customHeight="1">
      <c r="A3725" s="129">
        <v>3725</v>
      </c>
    </row>
    <row r="3726" spans="1:1" ht="12.75" customHeight="1">
      <c r="A3726" s="129">
        <v>3726</v>
      </c>
    </row>
    <row r="3727" spans="1:1" ht="12.75" customHeight="1">
      <c r="A3727" s="129">
        <v>3727</v>
      </c>
    </row>
    <row r="3728" spans="1:1" ht="12.75" customHeight="1">
      <c r="A3728" s="129">
        <v>3728</v>
      </c>
    </row>
    <row r="3729" spans="1:1" ht="12.75" customHeight="1">
      <c r="A3729" s="129">
        <v>3729</v>
      </c>
    </row>
    <row r="3730" spans="1:1" ht="12.75" customHeight="1">
      <c r="A3730" s="129">
        <v>3730</v>
      </c>
    </row>
    <row r="3731" spans="1:1" ht="12.75" customHeight="1">
      <c r="A3731" s="129">
        <v>3731</v>
      </c>
    </row>
    <row r="3732" spans="1:1" ht="12.75" customHeight="1">
      <c r="A3732" s="129">
        <v>3732</v>
      </c>
    </row>
    <row r="3733" spans="1:1" ht="12.75" customHeight="1">
      <c r="A3733" s="129">
        <v>3733</v>
      </c>
    </row>
    <row r="3734" spans="1:1" ht="12.75" customHeight="1">
      <c r="A3734" s="129">
        <v>3734</v>
      </c>
    </row>
    <row r="3735" spans="1:1" ht="12.75" customHeight="1">
      <c r="A3735" s="129">
        <v>3735</v>
      </c>
    </row>
    <row r="3736" spans="1:1" ht="12.75" customHeight="1">
      <c r="A3736" s="129">
        <v>3736</v>
      </c>
    </row>
    <row r="3737" spans="1:1" ht="12.75" customHeight="1">
      <c r="A3737" s="129">
        <v>3737</v>
      </c>
    </row>
    <row r="3738" spans="1:1" ht="12.75" customHeight="1">
      <c r="A3738" s="129">
        <v>3738</v>
      </c>
    </row>
    <row r="3739" spans="1:1" ht="12.75" customHeight="1">
      <c r="A3739" s="129">
        <v>3739</v>
      </c>
    </row>
    <row r="3740" spans="1:1" ht="12.75" customHeight="1">
      <c r="A3740" s="129">
        <v>3740</v>
      </c>
    </row>
    <row r="3741" spans="1:1" ht="12.75" customHeight="1">
      <c r="A3741" s="129">
        <v>3741</v>
      </c>
    </row>
    <row r="3742" spans="1:1" ht="12.75" customHeight="1">
      <c r="A3742" s="129">
        <v>3742</v>
      </c>
    </row>
    <row r="3743" spans="1:1" ht="12.75" customHeight="1">
      <c r="A3743" s="129">
        <v>3743</v>
      </c>
    </row>
    <row r="3744" spans="1:1" ht="12.75" customHeight="1">
      <c r="A3744" s="129">
        <v>3744</v>
      </c>
    </row>
    <row r="3745" spans="1:1" ht="12.75" customHeight="1">
      <c r="A3745" s="129">
        <v>3745</v>
      </c>
    </row>
    <row r="3746" spans="1:1" ht="12.75" customHeight="1">
      <c r="A3746" s="129">
        <v>3746</v>
      </c>
    </row>
    <row r="3747" spans="1:1" ht="12.75" customHeight="1">
      <c r="A3747" s="129">
        <v>3747</v>
      </c>
    </row>
    <row r="3748" spans="1:1" ht="12.75" customHeight="1">
      <c r="A3748" s="129">
        <v>3748</v>
      </c>
    </row>
    <row r="3749" spans="1:1" ht="12.75" customHeight="1">
      <c r="A3749" s="129">
        <v>3749</v>
      </c>
    </row>
    <row r="3750" spans="1:1" ht="12.75" customHeight="1">
      <c r="A3750" s="129">
        <v>3750</v>
      </c>
    </row>
    <row r="3751" spans="1:1" ht="12.75" customHeight="1">
      <c r="A3751" s="129">
        <v>3751</v>
      </c>
    </row>
    <row r="3752" spans="1:1" ht="12.75" customHeight="1">
      <c r="A3752" s="129">
        <v>3752</v>
      </c>
    </row>
    <row r="3753" spans="1:1" ht="12.75" customHeight="1">
      <c r="A3753" s="129">
        <v>3753</v>
      </c>
    </row>
    <row r="3754" spans="1:1" ht="12.75" customHeight="1">
      <c r="A3754" s="129">
        <v>3754</v>
      </c>
    </row>
    <row r="3755" spans="1:1" ht="12.75" customHeight="1">
      <c r="A3755" s="129">
        <v>3755</v>
      </c>
    </row>
    <row r="3756" spans="1:1" ht="12.75" customHeight="1">
      <c r="A3756" s="129">
        <v>3756</v>
      </c>
    </row>
    <row r="3757" spans="1:1" ht="12.75" customHeight="1">
      <c r="A3757" s="129">
        <v>3757</v>
      </c>
    </row>
    <row r="3758" spans="1:1" ht="12.75" customHeight="1">
      <c r="A3758" s="129">
        <v>3758</v>
      </c>
    </row>
    <row r="3759" spans="1:1" ht="12.75" customHeight="1">
      <c r="A3759" s="129">
        <v>3759</v>
      </c>
    </row>
    <row r="3760" spans="1:1" ht="12.75" customHeight="1">
      <c r="A3760" s="129">
        <v>3760</v>
      </c>
    </row>
    <row r="3761" spans="1:1" ht="12.75" customHeight="1">
      <c r="A3761" s="129">
        <v>3761</v>
      </c>
    </row>
    <row r="3762" spans="1:1" ht="12.75" customHeight="1">
      <c r="A3762" s="129">
        <v>3762</v>
      </c>
    </row>
    <row r="3763" spans="1:1" ht="12.75" customHeight="1">
      <c r="A3763" s="129">
        <v>3763</v>
      </c>
    </row>
    <row r="3764" spans="1:1" ht="12.75" customHeight="1">
      <c r="A3764" s="129">
        <v>3764</v>
      </c>
    </row>
    <row r="3765" spans="1:1" ht="12.75" customHeight="1">
      <c r="A3765" s="129">
        <v>3765</v>
      </c>
    </row>
    <row r="3766" spans="1:1" ht="12.75" customHeight="1">
      <c r="A3766" s="129">
        <v>3766</v>
      </c>
    </row>
    <row r="3767" spans="1:1" ht="12.75" customHeight="1">
      <c r="A3767" s="129">
        <v>3767</v>
      </c>
    </row>
    <row r="3768" spans="1:1" ht="12.75" customHeight="1">
      <c r="A3768" s="129">
        <v>3768</v>
      </c>
    </row>
    <row r="3769" spans="1:1" ht="12.75" customHeight="1">
      <c r="A3769" s="129">
        <v>3769</v>
      </c>
    </row>
    <row r="3770" spans="1:1" ht="12.75" customHeight="1">
      <c r="A3770" s="129">
        <v>3770</v>
      </c>
    </row>
    <row r="3771" spans="1:1" ht="12.75" customHeight="1">
      <c r="A3771" s="129">
        <v>3771</v>
      </c>
    </row>
    <row r="3772" spans="1:1" ht="12.75" customHeight="1">
      <c r="A3772" s="129">
        <v>3772</v>
      </c>
    </row>
    <row r="3773" spans="1:1" ht="12.75" customHeight="1">
      <c r="A3773" s="129">
        <v>3773</v>
      </c>
    </row>
    <row r="3774" spans="1:1" ht="12.75" customHeight="1">
      <c r="A3774" s="129">
        <v>3774</v>
      </c>
    </row>
    <row r="3775" spans="1:1" ht="12.75" customHeight="1">
      <c r="A3775" s="129">
        <v>3775</v>
      </c>
    </row>
    <row r="3776" spans="1:1" ht="12.75" customHeight="1">
      <c r="A3776" s="129">
        <v>3776</v>
      </c>
    </row>
    <row r="3777" spans="1:1" ht="12.75" customHeight="1">
      <c r="A3777" s="129">
        <v>3777</v>
      </c>
    </row>
    <row r="3778" spans="1:1" ht="12.75" customHeight="1">
      <c r="A3778" s="129">
        <v>3778</v>
      </c>
    </row>
    <row r="3779" spans="1:1" ht="12.75" customHeight="1">
      <c r="A3779" s="129">
        <v>3779</v>
      </c>
    </row>
    <row r="3780" spans="1:1" ht="12.75" customHeight="1">
      <c r="A3780" s="129">
        <v>3780</v>
      </c>
    </row>
    <row r="3781" spans="1:1" ht="12.75" customHeight="1">
      <c r="A3781" s="129">
        <v>3781</v>
      </c>
    </row>
    <row r="3782" spans="1:1" ht="12.75" customHeight="1">
      <c r="A3782" s="129">
        <v>3782</v>
      </c>
    </row>
    <row r="3783" spans="1:1" ht="12.75" customHeight="1">
      <c r="A3783" s="129">
        <v>3783</v>
      </c>
    </row>
    <row r="3784" spans="1:1" ht="12.75" customHeight="1">
      <c r="A3784" s="129">
        <v>3784</v>
      </c>
    </row>
    <row r="3785" spans="1:1" ht="12.75" customHeight="1">
      <c r="A3785" s="129">
        <v>3785</v>
      </c>
    </row>
    <row r="3786" spans="1:1" ht="12.75" customHeight="1">
      <c r="A3786" s="129">
        <v>3786</v>
      </c>
    </row>
    <row r="3787" spans="1:1" ht="12.75" customHeight="1">
      <c r="A3787" s="129">
        <v>3787</v>
      </c>
    </row>
    <row r="3788" spans="1:1" ht="12.75" customHeight="1">
      <c r="A3788" s="129">
        <v>3788</v>
      </c>
    </row>
    <row r="3789" spans="1:1" ht="12.75" customHeight="1">
      <c r="A3789" s="129">
        <v>3789</v>
      </c>
    </row>
    <row r="3790" spans="1:1" ht="12.75" customHeight="1">
      <c r="A3790" s="129">
        <v>3790</v>
      </c>
    </row>
    <row r="3791" spans="1:1" ht="12.75" customHeight="1">
      <c r="A3791" s="129">
        <v>3791</v>
      </c>
    </row>
    <row r="3792" spans="1:1" ht="12.75" customHeight="1">
      <c r="A3792" s="129">
        <v>3792</v>
      </c>
    </row>
    <row r="3793" spans="1:1" ht="12.75" customHeight="1">
      <c r="A3793" s="129">
        <v>3793</v>
      </c>
    </row>
    <row r="3794" spans="1:1" ht="12.75" customHeight="1">
      <c r="A3794" s="129">
        <v>3794</v>
      </c>
    </row>
    <row r="3795" spans="1:1" ht="12.75" customHeight="1">
      <c r="A3795" s="129">
        <v>3795</v>
      </c>
    </row>
    <row r="3796" spans="1:1" ht="12.75" customHeight="1">
      <c r="A3796" s="129">
        <v>3796</v>
      </c>
    </row>
    <row r="3797" spans="1:1" ht="12.75" customHeight="1">
      <c r="A3797" s="129">
        <v>3797</v>
      </c>
    </row>
    <row r="3798" spans="1:1" ht="12.75" customHeight="1">
      <c r="A3798" s="129">
        <v>3798</v>
      </c>
    </row>
    <row r="3799" spans="1:1" ht="12.75" customHeight="1">
      <c r="A3799" s="129">
        <v>3799</v>
      </c>
    </row>
    <row r="3800" spans="1:1" ht="12.75" customHeight="1">
      <c r="A3800" s="129">
        <v>3800</v>
      </c>
    </row>
    <row r="3801" spans="1:1" ht="12.75" customHeight="1">
      <c r="A3801" s="129">
        <v>3801</v>
      </c>
    </row>
    <row r="3802" spans="1:1" ht="12.75" customHeight="1">
      <c r="A3802" s="129">
        <v>3802</v>
      </c>
    </row>
    <row r="3803" spans="1:1" ht="12.75" customHeight="1">
      <c r="A3803" s="129">
        <v>3803</v>
      </c>
    </row>
    <row r="3804" spans="1:1" ht="12.75" customHeight="1">
      <c r="A3804" s="129">
        <v>3804</v>
      </c>
    </row>
    <row r="3805" spans="1:1" ht="12.75" customHeight="1">
      <c r="A3805" s="129">
        <v>3805</v>
      </c>
    </row>
    <row r="3806" spans="1:1" ht="12.75" customHeight="1">
      <c r="A3806" s="129">
        <v>3806</v>
      </c>
    </row>
    <row r="3807" spans="1:1" ht="12.75" customHeight="1">
      <c r="A3807" s="129">
        <v>3807</v>
      </c>
    </row>
    <row r="3808" spans="1:1" ht="12.75" customHeight="1">
      <c r="A3808" s="129">
        <v>3808</v>
      </c>
    </row>
    <row r="3809" spans="1:1" ht="12.75" customHeight="1">
      <c r="A3809" s="129">
        <v>3809</v>
      </c>
    </row>
    <row r="3810" spans="1:1" ht="12.75" customHeight="1">
      <c r="A3810" s="129">
        <v>3810</v>
      </c>
    </row>
    <row r="3811" spans="1:1" ht="12.75" customHeight="1">
      <c r="A3811" s="129">
        <v>3811</v>
      </c>
    </row>
    <row r="3812" spans="1:1" ht="12.75" customHeight="1">
      <c r="A3812" s="129">
        <v>3812</v>
      </c>
    </row>
    <row r="3813" spans="1:1" ht="12.75" customHeight="1">
      <c r="A3813" s="129">
        <v>3813</v>
      </c>
    </row>
    <row r="3814" spans="1:1" ht="12.75" customHeight="1">
      <c r="A3814" s="129">
        <v>3814</v>
      </c>
    </row>
    <row r="3815" spans="1:1" ht="12.75" customHeight="1">
      <c r="A3815" s="129">
        <v>3815</v>
      </c>
    </row>
    <row r="3816" spans="1:1" ht="12.75" customHeight="1">
      <c r="A3816" s="129">
        <v>3816</v>
      </c>
    </row>
    <row r="3817" spans="1:1" ht="12.75" customHeight="1">
      <c r="A3817" s="129">
        <v>3817</v>
      </c>
    </row>
    <row r="3818" spans="1:1" ht="12.75" customHeight="1">
      <c r="A3818" s="129">
        <v>3818</v>
      </c>
    </row>
    <row r="3819" spans="1:1" ht="12.75" customHeight="1">
      <c r="A3819" s="129">
        <v>3819</v>
      </c>
    </row>
    <row r="3820" spans="1:1" ht="12.75" customHeight="1">
      <c r="A3820" s="129">
        <v>3820</v>
      </c>
    </row>
    <row r="3821" spans="1:1" ht="12.75" customHeight="1">
      <c r="A3821" s="129">
        <v>3821</v>
      </c>
    </row>
    <row r="3822" spans="1:1" ht="12.75" customHeight="1">
      <c r="A3822" s="129">
        <v>3822</v>
      </c>
    </row>
    <row r="3823" spans="1:1" ht="12.75" customHeight="1">
      <c r="A3823" s="129">
        <v>3823</v>
      </c>
    </row>
    <row r="3824" spans="1:1" ht="12.75" customHeight="1">
      <c r="A3824" s="129">
        <v>3824</v>
      </c>
    </row>
    <row r="3825" spans="1:1" ht="12.75" customHeight="1">
      <c r="A3825" s="129">
        <v>3825</v>
      </c>
    </row>
    <row r="3826" spans="1:1" ht="12.75" customHeight="1">
      <c r="A3826" s="129">
        <v>3826</v>
      </c>
    </row>
    <row r="3827" spans="1:1" ht="12.75" customHeight="1">
      <c r="A3827" s="129">
        <v>3827</v>
      </c>
    </row>
    <row r="3828" spans="1:1" ht="12.75" customHeight="1">
      <c r="A3828" s="129">
        <v>3828</v>
      </c>
    </row>
    <row r="3829" spans="1:1" ht="12.75" customHeight="1">
      <c r="A3829" s="129">
        <v>3829</v>
      </c>
    </row>
    <row r="3830" spans="1:1" ht="12.75" customHeight="1">
      <c r="A3830" s="129">
        <v>3830</v>
      </c>
    </row>
    <row r="3831" spans="1:1" ht="12.75" customHeight="1">
      <c r="A3831" s="129">
        <v>3831</v>
      </c>
    </row>
    <row r="3832" spans="1:1" ht="12.75" customHeight="1">
      <c r="A3832" s="129">
        <v>3832</v>
      </c>
    </row>
    <row r="3833" spans="1:1" ht="12.75" customHeight="1">
      <c r="A3833" s="129">
        <v>3833</v>
      </c>
    </row>
    <row r="3834" spans="1:1" ht="12.75" customHeight="1">
      <c r="A3834" s="129">
        <v>3834</v>
      </c>
    </row>
    <row r="3835" spans="1:1" ht="12.75" customHeight="1">
      <c r="A3835" s="129">
        <v>3835</v>
      </c>
    </row>
    <row r="3836" spans="1:1" ht="12.75" customHeight="1">
      <c r="A3836" s="129">
        <v>3836</v>
      </c>
    </row>
    <row r="3837" spans="1:1" ht="12.75" customHeight="1">
      <c r="A3837" s="129">
        <v>3837</v>
      </c>
    </row>
    <row r="3838" spans="1:1" ht="12.75" customHeight="1">
      <c r="A3838" s="129">
        <v>3838</v>
      </c>
    </row>
    <row r="3839" spans="1:1" ht="12.75" customHeight="1">
      <c r="A3839" s="129">
        <v>3839</v>
      </c>
    </row>
    <row r="3840" spans="1:1" ht="12.75" customHeight="1">
      <c r="A3840" s="129">
        <v>3840</v>
      </c>
    </row>
    <row r="3841" spans="1:1" ht="12.75" customHeight="1">
      <c r="A3841" s="129">
        <v>3841</v>
      </c>
    </row>
    <row r="3842" spans="1:1" ht="12.75" customHeight="1">
      <c r="A3842" s="129">
        <v>3842</v>
      </c>
    </row>
    <row r="3843" spans="1:1" ht="12.75" customHeight="1">
      <c r="A3843" s="129">
        <v>3843</v>
      </c>
    </row>
    <row r="3844" spans="1:1" ht="12.75" customHeight="1">
      <c r="A3844" s="129">
        <v>3844</v>
      </c>
    </row>
    <row r="3845" spans="1:1" ht="12.75" customHeight="1">
      <c r="A3845" s="129">
        <v>3845</v>
      </c>
    </row>
    <row r="3846" spans="1:1" ht="12.75" customHeight="1">
      <c r="A3846" s="129">
        <v>3846</v>
      </c>
    </row>
    <row r="3847" spans="1:1" ht="12.75" customHeight="1">
      <c r="A3847" s="129">
        <v>3847</v>
      </c>
    </row>
    <row r="3848" spans="1:1" ht="12.75" customHeight="1">
      <c r="A3848" s="129">
        <v>3848</v>
      </c>
    </row>
    <row r="3849" spans="1:1" ht="12.75" customHeight="1">
      <c r="A3849" s="129">
        <v>3849</v>
      </c>
    </row>
    <row r="3850" spans="1:1" ht="12.75" customHeight="1">
      <c r="A3850" s="129">
        <v>3850</v>
      </c>
    </row>
    <row r="3851" spans="1:1" ht="12.75" customHeight="1">
      <c r="A3851" s="129">
        <v>3851</v>
      </c>
    </row>
    <row r="3852" spans="1:1" ht="12.75" customHeight="1">
      <c r="A3852" s="129">
        <v>3852</v>
      </c>
    </row>
    <row r="3853" spans="1:1" ht="12.75" customHeight="1">
      <c r="A3853" s="129">
        <v>3853</v>
      </c>
    </row>
    <row r="3854" spans="1:1" ht="12.75" customHeight="1">
      <c r="A3854" s="129">
        <v>3854</v>
      </c>
    </row>
    <row r="3855" spans="1:1" ht="12.75" customHeight="1">
      <c r="A3855" s="129">
        <v>3855</v>
      </c>
    </row>
    <row r="3856" spans="1:1" ht="12.75" customHeight="1">
      <c r="A3856" s="129">
        <v>3856</v>
      </c>
    </row>
    <row r="3857" spans="1:1" ht="12.75" customHeight="1">
      <c r="A3857" s="129">
        <v>3857</v>
      </c>
    </row>
    <row r="3858" spans="1:1" ht="12.75" customHeight="1">
      <c r="A3858" s="129">
        <v>3858</v>
      </c>
    </row>
    <row r="3859" spans="1:1" ht="12.75" customHeight="1">
      <c r="A3859" s="129">
        <v>3859</v>
      </c>
    </row>
    <row r="3860" spans="1:1" ht="12.75" customHeight="1">
      <c r="A3860" s="129">
        <v>3860</v>
      </c>
    </row>
    <row r="3861" spans="1:1" ht="12.75" customHeight="1">
      <c r="A3861" s="129">
        <v>3861</v>
      </c>
    </row>
    <row r="3862" spans="1:1" ht="12.75" customHeight="1">
      <c r="A3862" s="129">
        <v>3862</v>
      </c>
    </row>
    <row r="3863" spans="1:1" ht="12.75" customHeight="1">
      <c r="A3863" s="129">
        <v>3863</v>
      </c>
    </row>
    <row r="3864" spans="1:1" ht="12.75" customHeight="1">
      <c r="A3864" s="129">
        <v>3864</v>
      </c>
    </row>
    <row r="3865" spans="1:1" ht="12.75" customHeight="1">
      <c r="A3865" s="129">
        <v>3865</v>
      </c>
    </row>
    <row r="3866" spans="1:1" ht="12.75" customHeight="1">
      <c r="A3866" s="129">
        <v>3866</v>
      </c>
    </row>
    <row r="3867" spans="1:1" ht="12.75" customHeight="1">
      <c r="A3867" s="129">
        <v>3867</v>
      </c>
    </row>
    <row r="3868" spans="1:1" ht="12.75" customHeight="1">
      <c r="A3868" s="129">
        <v>3868</v>
      </c>
    </row>
    <row r="3869" spans="1:1" ht="12.75" customHeight="1">
      <c r="A3869" s="129">
        <v>3869</v>
      </c>
    </row>
    <row r="3870" spans="1:1" ht="12.75" customHeight="1">
      <c r="A3870" s="129">
        <v>3870</v>
      </c>
    </row>
    <row r="3871" spans="1:1" ht="12.75" customHeight="1">
      <c r="A3871" s="129">
        <v>3871</v>
      </c>
    </row>
    <row r="3872" spans="1:1" ht="12.75" customHeight="1">
      <c r="A3872" s="129">
        <v>3872</v>
      </c>
    </row>
    <row r="3873" spans="1:1" ht="12.75" customHeight="1">
      <c r="A3873" s="129">
        <v>3873</v>
      </c>
    </row>
    <row r="3874" spans="1:1" ht="12.75" customHeight="1">
      <c r="A3874" s="129">
        <v>3874</v>
      </c>
    </row>
    <row r="3875" spans="1:1" ht="12.75" customHeight="1">
      <c r="A3875" s="129">
        <v>3875</v>
      </c>
    </row>
    <row r="3876" spans="1:1" ht="12.75" customHeight="1">
      <c r="A3876" s="129">
        <v>3876</v>
      </c>
    </row>
    <row r="3877" spans="1:1" ht="12.75" customHeight="1">
      <c r="A3877" s="129">
        <v>3877</v>
      </c>
    </row>
    <row r="3878" spans="1:1" ht="12.75" customHeight="1">
      <c r="A3878" s="129">
        <v>3878</v>
      </c>
    </row>
    <row r="3879" spans="1:1" ht="12.75" customHeight="1">
      <c r="A3879" s="129">
        <v>3879</v>
      </c>
    </row>
    <row r="3880" spans="1:1" ht="12.75" customHeight="1">
      <c r="A3880" s="129">
        <v>3880</v>
      </c>
    </row>
    <row r="3881" spans="1:1" ht="12.75" customHeight="1">
      <c r="A3881" s="129">
        <v>3881</v>
      </c>
    </row>
    <row r="3882" spans="1:1" ht="12.75" customHeight="1">
      <c r="A3882" s="129">
        <v>3882</v>
      </c>
    </row>
    <row r="3883" spans="1:1" ht="12.75" customHeight="1">
      <c r="A3883" s="129">
        <v>3883</v>
      </c>
    </row>
    <row r="3884" spans="1:1" ht="12.75" customHeight="1">
      <c r="A3884" s="129">
        <v>3884</v>
      </c>
    </row>
    <row r="3885" spans="1:1" ht="12.75" customHeight="1">
      <c r="A3885" s="129">
        <v>3885</v>
      </c>
    </row>
    <row r="3886" spans="1:1" ht="12.75" customHeight="1">
      <c r="A3886" s="129">
        <v>3886</v>
      </c>
    </row>
    <row r="3887" spans="1:1" ht="12.75" customHeight="1">
      <c r="A3887" s="129">
        <v>3887</v>
      </c>
    </row>
    <row r="3888" spans="1:1" ht="12.75" customHeight="1">
      <c r="A3888" s="129">
        <v>3888</v>
      </c>
    </row>
    <row r="3889" spans="1:1" ht="12.75" customHeight="1">
      <c r="A3889" s="129">
        <v>3889</v>
      </c>
    </row>
    <row r="3890" spans="1:1" ht="12.75" customHeight="1">
      <c r="A3890" s="129">
        <v>3890</v>
      </c>
    </row>
    <row r="3891" spans="1:1" ht="12.75" customHeight="1">
      <c r="A3891" s="129">
        <v>3891</v>
      </c>
    </row>
    <row r="3892" spans="1:1" ht="12.75" customHeight="1">
      <c r="A3892" s="129">
        <v>3892</v>
      </c>
    </row>
    <row r="3893" spans="1:1" ht="12.75" customHeight="1">
      <c r="A3893" s="129">
        <v>3893</v>
      </c>
    </row>
    <row r="3894" spans="1:1" ht="12.75" customHeight="1">
      <c r="A3894" s="129">
        <v>3894</v>
      </c>
    </row>
    <row r="3895" spans="1:1" ht="12.75" customHeight="1">
      <c r="A3895" s="129">
        <v>3895</v>
      </c>
    </row>
    <row r="3896" spans="1:1" ht="12.75" customHeight="1">
      <c r="A3896" s="129">
        <v>3896</v>
      </c>
    </row>
    <row r="3897" spans="1:1" ht="12.75" customHeight="1">
      <c r="A3897" s="129">
        <v>3897</v>
      </c>
    </row>
    <row r="3898" spans="1:1" ht="12.75" customHeight="1">
      <c r="A3898" s="129">
        <v>3898</v>
      </c>
    </row>
    <row r="3899" spans="1:1" ht="12.75" customHeight="1">
      <c r="A3899" s="129">
        <v>3899</v>
      </c>
    </row>
    <row r="3900" spans="1:1" ht="12.75" customHeight="1">
      <c r="A3900" s="129">
        <v>3900</v>
      </c>
    </row>
    <row r="3901" spans="1:1" ht="12.75" customHeight="1">
      <c r="A3901" s="129">
        <v>3901</v>
      </c>
    </row>
    <row r="3902" spans="1:1" ht="12.75" customHeight="1">
      <c r="A3902" s="129">
        <v>3902</v>
      </c>
    </row>
    <row r="3903" spans="1:1" ht="12.75" customHeight="1">
      <c r="A3903" s="129">
        <v>3903</v>
      </c>
    </row>
    <row r="3904" spans="1:1" ht="12.75" customHeight="1">
      <c r="A3904" s="129">
        <v>3904</v>
      </c>
    </row>
    <row r="3905" spans="1:1" ht="12.75" customHeight="1">
      <c r="A3905" s="129">
        <v>3905</v>
      </c>
    </row>
    <row r="3906" spans="1:1" ht="12.75" customHeight="1">
      <c r="A3906" s="129">
        <v>3906</v>
      </c>
    </row>
    <row r="3907" spans="1:1" ht="12.75" customHeight="1">
      <c r="A3907" s="129">
        <v>3907</v>
      </c>
    </row>
    <row r="3908" spans="1:1" ht="12.75" customHeight="1">
      <c r="A3908" s="129">
        <v>3908</v>
      </c>
    </row>
    <row r="3909" spans="1:1" ht="12.75" customHeight="1">
      <c r="A3909" s="129">
        <v>3909</v>
      </c>
    </row>
    <row r="3910" spans="1:1" ht="12.75" customHeight="1">
      <c r="A3910" s="129">
        <v>3910</v>
      </c>
    </row>
    <row r="3911" spans="1:1" ht="12.75" customHeight="1">
      <c r="A3911" s="129">
        <v>3911</v>
      </c>
    </row>
    <row r="3912" spans="1:1" ht="12.75" customHeight="1">
      <c r="A3912" s="129">
        <v>3912</v>
      </c>
    </row>
    <row r="3913" spans="1:1" ht="12.75" customHeight="1">
      <c r="A3913" s="129">
        <v>3913</v>
      </c>
    </row>
    <row r="3914" spans="1:1" ht="12.75" customHeight="1">
      <c r="A3914" s="129">
        <v>3914</v>
      </c>
    </row>
    <row r="3915" spans="1:1" ht="12.75" customHeight="1">
      <c r="A3915" s="129">
        <v>3915</v>
      </c>
    </row>
    <row r="3916" spans="1:1" ht="12.75" customHeight="1">
      <c r="A3916" s="129">
        <v>3916</v>
      </c>
    </row>
    <row r="3917" spans="1:1" ht="12.75" customHeight="1">
      <c r="A3917" s="129">
        <v>3917</v>
      </c>
    </row>
    <row r="3918" spans="1:1" ht="12.75" customHeight="1">
      <c r="A3918" s="129">
        <v>3918</v>
      </c>
    </row>
    <row r="3919" spans="1:1" ht="12.75" customHeight="1">
      <c r="A3919" s="129">
        <v>3919</v>
      </c>
    </row>
    <row r="3920" spans="1:1" ht="12.75" customHeight="1">
      <c r="A3920" s="129">
        <v>3920</v>
      </c>
    </row>
    <row r="3921" spans="1:1" ht="12.75" customHeight="1">
      <c r="A3921" s="129">
        <v>3921</v>
      </c>
    </row>
    <row r="3922" spans="1:1" ht="12.75" customHeight="1">
      <c r="A3922" s="129">
        <v>3922</v>
      </c>
    </row>
    <row r="3923" spans="1:1" ht="12.75" customHeight="1">
      <c r="A3923" s="129">
        <v>3923</v>
      </c>
    </row>
    <row r="3924" spans="1:1" ht="12.75" customHeight="1">
      <c r="A3924" s="129">
        <v>3924</v>
      </c>
    </row>
    <row r="3925" spans="1:1" ht="12.75" customHeight="1">
      <c r="A3925" s="129">
        <v>3925</v>
      </c>
    </row>
    <row r="3926" spans="1:1" ht="12.75" customHeight="1">
      <c r="A3926" s="129">
        <v>3926</v>
      </c>
    </row>
    <row r="3927" spans="1:1" ht="12.75" customHeight="1">
      <c r="A3927" s="129">
        <v>3927</v>
      </c>
    </row>
    <row r="3928" spans="1:1" ht="12.75" customHeight="1">
      <c r="A3928" s="129">
        <v>3928</v>
      </c>
    </row>
    <row r="3929" spans="1:1" ht="12.75" customHeight="1">
      <c r="A3929" s="129">
        <v>3929</v>
      </c>
    </row>
    <row r="3930" spans="1:1" ht="12.75" customHeight="1">
      <c r="A3930" s="129">
        <v>3930</v>
      </c>
    </row>
    <row r="3931" spans="1:1" ht="12.75" customHeight="1">
      <c r="A3931" s="129">
        <v>3931</v>
      </c>
    </row>
    <row r="3932" spans="1:1" ht="12.75" customHeight="1">
      <c r="A3932" s="129">
        <v>3932</v>
      </c>
    </row>
    <row r="3933" spans="1:1" ht="12.75" customHeight="1">
      <c r="A3933" s="129">
        <v>3933</v>
      </c>
    </row>
    <row r="3934" spans="1:1" ht="12.75" customHeight="1">
      <c r="A3934" s="129">
        <v>3934</v>
      </c>
    </row>
    <row r="3935" spans="1:1" ht="12.75" customHeight="1">
      <c r="A3935" s="129">
        <v>3935</v>
      </c>
    </row>
    <row r="3936" spans="1:1" ht="12.75" customHeight="1">
      <c r="A3936" s="129">
        <v>3936</v>
      </c>
    </row>
    <row r="3937" spans="1:1" ht="12.75" customHeight="1">
      <c r="A3937" s="129">
        <v>3937</v>
      </c>
    </row>
    <row r="3938" spans="1:1" ht="12.75" customHeight="1">
      <c r="A3938" s="129">
        <v>3938</v>
      </c>
    </row>
    <row r="3939" spans="1:1" ht="12.75" customHeight="1">
      <c r="A3939" s="129">
        <v>3939</v>
      </c>
    </row>
    <row r="3940" spans="1:1" ht="12.75" customHeight="1">
      <c r="A3940" s="129">
        <v>3940</v>
      </c>
    </row>
    <row r="3941" spans="1:1" ht="12.75" customHeight="1">
      <c r="A3941" s="129">
        <v>3941</v>
      </c>
    </row>
    <row r="3942" spans="1:1" ht="12.75" customHeight="1">
      <c r="A3942" s="129">
        <v>3942</v>
      </c>
    </row>
    <row r="3943" spans="1:1" ht="12.75" customHeight="1">
      <c r="A3943" s="129">
        <v>3943</v>
      </c>
    </row>
    <row r="3944" spans="1:1" ht="12.75" customHeight="1">
      <c r="A3944" s="129">
        <v>3944</v>
      </c>
    </row>
    <row r="3945" spans="1:1" ht="12.75" customHeight="1">
      <c r="A3945" s="129">
        <v>3945</v>
      </c>
    </row>
    <row r="3946" spans="1:1" ht="12.75" customHeight="1">
      <c r="A3946" s="129">
        <v>3946</v>
      </c>
    </row>
    <row r="3947" spans="1:1" ht="12.75" customHeight="1">
      <c r="A3947" s="129">
        <v>3947</v>
      </c>
    </row>
    <row r="3948" spans="1:1" ht="12.75" customHeight="1">
      <c r="A3948" s="129">
        <v>3948</v>
      </c>
    </row>
    <row r="3949" spans="1:1" ht="12.75" customHeight="1">
      <c r="A3949" s="129">
        <v>3949</v>
      </c>
    </row>
    <row r="3950" spans="1:1" ht="12.75" customHeight="1">
      <c r="A3950" s="129">
        <v>3950</v>
      </c>
    </row>
    <row r="3951" spans="1:1" ht="12.75" customHeight="1">
      <c r="A3951" s="129">
        <v>3951</v>
      </c>
    </row>
    <row r="3952" spans="1:1" ht="12.75" customHeight="1">
      <c r="A3952" s="129">
        <v>3952</v>
      </c>
    </row>
    <row r="3953" spans="1:1" ht="12.75" customHeight="1">
      <c r="A3953" s="129">
        <v>3953</v>
      </c>
    </row>
    <row r="3954" spans="1:1" ht="12.75" customHeight="1">
      <c r="A3954" s="129">
        <v>3954</v>
      </c>
    </row>
    <row r="3955" spans="1:1" ht="12.75" customHeight="1">
      <c r="A3955" s="129">
        <v>3955</v>
      </c>
    </row>
    <row r="3956" spans="1:1" ht="12.75" customHeight="1">
      <c r="A3956" s="129">
        <v>3956</v>
      </c>
    </row>
    <row r="3957" spans="1:1" ht="12.75" customHeight="1">
      <c r="A3957" s="129">
        <v>3957</v>
      </c>
    </row>
    <row r="3958" spans="1:1" ht="12.75" customHeight="1">
      <c r="A3958" s="129">
        <v>3958</v>
      </c>
    </row>
    <row r="3959" spans="1:1" ht="12.75" customHeight="1">
      <c r="A3959" s="129">
        <v>3959</v>
      </c>
    </row>
    <row r="3960" spans="1:1" ht="12.75" customHeight="1">
      <c r="A3960" s="129">
        <v>3960</v>
      </c>
    </row>
    <row r="3961" spans="1:1" ht="12.75" customHeight="1">
      <c r="A3961" s="129">
        <v>3961</v>
      </c>
    </row>
    <row r="3962" spans="1:1" ht="12.75" customHeight="1">
      <c r="A3962" s="129">
        <v>3962</v>
      </c>
    </row>
    <row r="3963" spans="1:1" ht="12.75" customHeight="1">
      <c r="A3963" s="129">
        <v>3963</v>
      </c>
    </row>
    <row r="3964" spans="1:1" ht="12.75" customHeight="1">
      <c r="A3964" s="129">
        <v>3964</v>
      </c>
    </row>
    <row r="3965" spans="1:1" ht="12.75" customHeight="1">
      <c r="A3965" s="129">
        <v>3965</v>
      </c>
    </row>
    <row r="3966" spans="1:1" ht="12.75" customHeight="1">
      <c r="A3966" s="129">
        <v>3966</v>
      </c>
    </row>
    <row r="3967" spans="1:1" ht="12.75" customHeight="1">
      <c r="A3967" s="129">
        <v>3967</v>
      </c>
    </row>
    <row r="3968" spans="1:1" ht="12.75" customHeight="1">
      <c r="A3968" s="129">
        <v>3968</v>
      </c>
    </row>
    <row r="3969" spans="1:1" ht="12.75" customHeight="1">
      <c r="A3969" s="129">
        <v>3969</v>
      </c>
    </row>
    <row r="3970" spans="1:1" ht="12.75" customHeight="1">
      <c r="A3970" s="129">
        <v>3970</v>
      </c>
    </row>
    <row r="3971" spans="1:1" ht="12.75" customHeight="1">
      <c r="A3971" s="129">
        <v>3971</v>
      </c>
    </row>
    <row r="3972" spans="1:1" ht="12.75" customHeight="1">
      <c r="A3972" s="129">
        <v>3972</v>
      </c>
    </row>
    <row r="3973" spans="1:1" ht="12.75" customHeight="1">
      <c r="A3973" s="129">
        <v>3973</v>
      </c>
    </row>
    <row r="3974" spans="1:1" ht="12.75" customHeight="1">
      <c r="A3974" s="129">
        <v>3974</v>
      </c>
    </row>
    <row r="3975" spans="1:1" ht="12.75" customHeight="1">
      <c r="A3975" s="129">
        <v>3975</v>
      </c>
    </row>
    <row r="3976" spans="1:1" ht="12.75" customHeight="1">
      <c r="A3976" s="129">
        <v>3976</v>
      </c>
    </row>
    <row r="3977" spans="1:1" ht="12.75" customHeight="1">
      <c r="A3977" s="129">
        <v>3977</v>
      </c>
    </row>
    <row r="3978" spans="1:1" ht="12.75" customHeight="1">
      <c r="A3978" s="129">
        <v>3978</v>
      </c>
    </row>
    <row r="3979" spans="1:1" ht="12.75" customHeight="1">
      <c r="A3979" s="129">
        <v>3979</v>
      </c>
    </row>
    <row r="3980" spans="1:1" ht="12.75" customHeight="1">
      <c r="A3980" s="129">
        <v>3980</v>
      </c>
    </row>
    <row r="3981" spans="1:1" ht="12.75" customHeight="1">
      <c r="A3981" s="129">
        <v>3981</v>
      </c>
    </row>
    <row r="3982" spans="1:1" ht="12.75" customHeight="1">
      <c r="A3982" s="129">
        <v>3982</v>
      </c>
    </row>
    <row r="3983" spans="1:1" ht="12.75" customHeight="1">
      <c r="A3983" s="129">
        <v>3983</v>
      </c>
    </row>
    <row r="3984" spans="1:1" ht="12.75" customHeight="1">
      <c r="A3984" s="129">
        <v>3984</v>
      </c>
    </row>
    <row r="3985" spans="1:1" ht="12.75" customHeight="1">
      <c r="A3985" s="129">
        <v>3985</v>
      </c>
    </row>
    <row r="3986" spans="1:1" ht="12.75" customHeight="1">
      <c r="A3986" s="129">
        <v>3986</v>
      </c>
    </row>
    <row r="3987" spans="1:1" ht="12.75" customHeight="1">
      <c r="A3987" s="129">
        <v>3987</v>
      </c>
    </row>
    <row r="3988" spans="1:1" ht="12.75" customHeight="1">
      <c r="A3988" s="129">
        <v>3988</v>
      </c>
    </row>
    <row r="3989" spans="1:1" ht="12.75" customHeight="1">
      <c r="A3989" s="129">
        <v>3989</v>
      </c>
    </row>
    <row r="3990" spans="1:1" ht="12.75" customHeight="1">
      <c r="A3990" s="129">
        <v>3990</v>
      </c>
    </row>
    <row r="3991" spans="1:1" ht="12.75" customHeight="1">
      <c r="A3991" s="129">
        <v>3991</v>
      </c>
    </row>
    <row r="3992" spans="1:1" ht="12.75" customHeight="1">
      <c r="A3992" s="129">
        <v>3992</v>
      </c>
    </row>
    <row r="3993" spans="1:1" ht="12.75" customHeight="1">
      <c r="A3993" s="129">
        <v>3993</v>
      </c>
    </row>
    <row r="3994" spans="1:1" ht="12.75" customHeight="1">
      <c r="A3994" s="129">
        <v>3994</v>
      </c>
    </row>
    <row r="3995" spans="1:1" ht="12.75" customHeight="1">
      <c r="A3995" s="129">
        <v>3995</v>
      </c>
    </row>
    <row r="3996" spans="1:1" ht="12.75" customHeight="1">
      <c r="A3996" s="129">
        <v>3996</v>
      </c>
    </row>
    <row r="3997" spans="1:1" ht="12.75" customHeight="1">
      <c r="A3997" s="129">
        <v>3997</v>
      </c>
    </row>
    <row r="3998" spans="1:1" ht="12.75" customHeight="1">
      <c r="A3998" s="129">
        <v>3998</v>
      </c>
    </row>
    <row r="3999" spans="1:1" ht="12.75" customHeight="1">
      <c r="A3999" s="129">
        <v>3999</v>
      </c>
    </row>
    <row r="4000" spans="1:1" ht="12.75" customHeight="1">
      <c r="A4000" s="129">
        <v>4000</v>
      </c>
    </row>
    <row r="4001" spans="1:1" ht="12.75" customHeight="1">
      <c r="A4001" s="129">
        <v>4001</v>
      </c>
    </row>
    <row r="4002" spans="1:1" ht="12.75" customHeight="1">
      <c r="A4002" s="129">
        <v>4002</v>
      </c>
    </row>
    <row r="4003" spans="1:1" ht="12.75" customHeight="1">
      <c r="A4003" s="129">
        <v>4003</v>
      </c>
    </row>
    <row r="4004" spans="1:1" ht="12.75" customHeight="1">
      <c r="A4004" s="129">
        <v>4004</v>
      </c>
    </row>
    <row r="4005" spans="1:1" ht="12.75" customHeight="1">
      <c r="A4005" s="129">
        <v>4005</v>
      </c>
    </row>
    <row r="4006" spans="1:1" ht="12.75" customHeight="1">
      <c r="A4006" s="129">
        <v>4006</v>
      </c>
    </row>
    <row r="4007" spans="1:1" ht="12.75" customHeight="1">
      <c r="A4007" s="129">
        <v>4007</v>
      </c>
    </row>
    <row r="4008" spans="1:1" ht="12.75" customHeight="1">
      <c r="A4008" s="129">
        <v>4008</v>
      </c>
    </row>
    <row r="4009" spans="1:1" ht="12.75" customHeight="1">
      <c r="A4009" s="129">
        <v>4009</v>
      </c>
    </row>
    <row r="4010" spans="1:1" ht="12.75" customHeight="1">
      <c r="A4010" s="129">
        <v>4010</v>
      </c>
    </row>
    <row r="4011" spans="1:1" ht="12.75" customHeight="1">
      <c r="A4011" s="129">
        <v>4011</v>
      </c>
    </row>
    <row r="4012" spans="1:1" ht="12.75" customHeight="1">
      <c r="A4012" s="129">
        <v>4012</v>
      </c>
    </row>
    <row r="4013" spans="1:1" ht="12.75" customHeight="1">
      <c r="A4013" s="129">
        <v>4013</v>
      </c>
    </row>
    <row r="4014" spans="1:1" ht="12.75" customHeight="1">
      <c r="A4014" s="129">
        <v>4014</v>
      </c>
    </row>
    <row r="4015" spans="1:1" ht="12.75" customHeight="1">
      <c r="A4015" s="129">
        <v>4015</v>
      </c>
    </row>
    <row r="4016" spans="1:1" ht="12.75" customHeight="1">
      <c r="A4016" s="129">
        <v>4016</v>
      </c>
    </row>
    <row r="4017" spans="1:1" ht="12.75" customHeight="1">
      <c r="A4017" s="129">
        <v>4017</v>
      </c>
    </row>
    <row r="4018" spans="1:1" ht="12.75" customHeight="1">
      <c r="A4018" s="129">
        <v>4018</v>
      </c>
    </row>
    <row r="4019" spans="1:1" ht="12.75" customHeight="1">
      <c r="A4019" s="129">
        <v>4019</v>
      </c>
    </row>
    <row r="4020" spans="1:1" ht="12.75" customHeight="1">
      <c r="A4020" s="129">
        <v>4020</v>
      </c>
    </row>
    <row r="4021" spans="1:1" ht="12.75" customHeight="1">
      <c r="A4021" s="129">
        <v>4021</v>
      </c>
    </row>
    <row r="4022" spans="1:1" ht="12.75" customHeight="1">
      <c r="A4022" s="129">
        <v>4022</v>
      </c>
    </row>
    <row r="4023" spans="1:1" ht="12.75" customHeight="1">
      <c r="A4023" s="129">
        <v>4023</v>
      </c>
    </row>
    <row r="4024" spans="1:1" ht="12.75" customHeight="1">
      <c r="A4024" s="129">
        <v>4024</v>
      </c>
    </row>
    <row r="4025" spans="1:1" ht="12.75" customHeight="1">
      <c r="A4025" s="129">
        <v>4025</v>
      </c>
    </row>
    <row r="4026" spans="1:1" ht="12.75" customHeight="1">
      <c r="A4026" s="129">
        <v>4026</v>
      </c>
    </row>
    <row r="4027" spans="1:1" ht="12.75" customHeight="1">
      <c r="A4027" s="129">
        <v>4027</v>
      </c>
    </row>
    <row r="4028" spans="1:1" ht="12.75" customHeight="1">
      <c r="A4028" s="129">
        <v>4028</v>
      </c>
    </row>
    <row r="4029" spans="1:1" ht="12.75" customHeight="1">
      <c r="A4029" s="129">
        <v>4029</v>
      </c>
    </row>
    <row r="4030" spans="1:1" ht="12.75" customHeight="1">
      <c r="A4030" s="129">
        <v>4030</v>
      </c>
    </row>
    <row r="4031" spans="1:1" ht="12.75" customHeight="1">
      <c r="A4031" s="129">
        <v>4031</v>
      </c>
    </row>
    <row r="4032" spans="1:1" ht="12.75" customHeight="1">
      <c r="A4032" s="129">
        <v>4032</v>
      </c>
    </row>
    <row r="4033" spans="1:1" ht="12.75" customHeight="1">
      <c r="A4033" s="129">
        <v>4033</v>
      </c>
    </row>
    <row r="4034" spans="1:1" ht="12.75" customHeight="1">
      <c r="A4034" s="129">
        <v>4034</v>
      </c>
    </row>
    <row r="4035" spans="1:1" ht="12.75" customHeight="1">
      <c r="A4035" s="129">
        <v>4035</v>
      </c>
    </row>
    <row r="4036" spans="1:1" ht="12.75" customHeight="1">
      <c r="A4036" s="129">
        <v>4036</v>
      </c>
    </row>
    <row r="4037" spans="1:1" ht="12.75" customHeight="1">
      <c r="A4037" s="129">
        <v>4037</v>
      </c>
    </row>
    <row r="4038" spans="1:1" ht="12.75" customHeight="1">
      <c r="A4038" s="129">
        <v>4038</v>
      </c>
    </row>
    <row r="4039" spans="1:1" ht="12.75" customHeight="1">
      <c r="A4039" s="129">
        <v>4039</v>
      </c>
    </row>
    <row r="4040" spans="1:1" ht="12.75" customHeight="1">
      <c r="A4040" s="129">
        <v>4040</v>
      </c>
    </row>
    <row r="4041" spans="1:1" ht="12.75" customHeight="1">
      <c r="A4041" s="129">
        <v>4041</v>
      </c>
    </row>
    <row r="4042" spans="1:1" ht="12.75" customHeight="1">
      <c r="A4042" s="129">
        <v>4042</v>
      </c>
    </row>
    <row r="4043" spans="1:1" ht="12.75" customHeight="1">
      <c r="A4043" s="129">
        <v>4043</v>
      </c>
    </row>
    <row r="4044" spans="1:1" ht="12.75" customHeight="1">
      <c r="A4044" s="129">
        <v>4044</v>
      </c>
    </row>
    <row r="4045" spans="1:1" ht="12.75" customHeight="1">
      <c r="A4045" s="129">
        <v>4045</v>
      </c>
    </row>
    <row r="4046" spans="1:1" ht="12.75" customHeight="1">
      <c r="A4046" s="129">
        <v>4046</v>
      </c>
    </row>
    <row r="4047" spans="1:1" ht="12.75" customHeight="1">
      <c r="A4047" s="129">
        <v>4047</v>
      </c>
    </row>
    <row r="4048" spans="1:1" ht="12.75" customHeight="1">
      <c r="A4048" s="129">
        <v>4048</v>
      </c>
    </row>
    <row r="4049" spans="1:1" ht="12.75" customHeight="1">
      <c r="A4049" s="129">
        <v>4049</v>
      </c>
    </row>
    <row r="4050" spans="1:1" ht="12.75" customHeight="1">
      <c r="A4050" s="129">
        <v>4050</v>
      </c>
    </row>
    <row r="4051" spans="1:1" ht="12.75" customHeight="1">
      <c r="A4051" s="129">
        <v>4051</v>
      </c>
    </row>
    <row r="4052" spans="1:1" ht="12.75" customHeight="1">
      <c r="A4052" s="129">
        <v>4052</v>
      </c>
    </row>
    <row r="4053" spans="1:1" ht="12.75" customHeight="1">
      <c r="A4053" s="129">
        <v>4053</v>
      </c>
    </row>
    <row r="4054" spans="1:1" ht="12.75" customHeight="1">
      <c r="A4054" s="129">
        <v>4054</v>
      </c>
    </row>
    <row r="4055" spans="1:1" ht="12.75" customHeight="1">
      <c r="A4055" s="129">
        <v>4055</v>
      </c>
    </row>
    <row r="4056" spans="1:1" ht="12.75" customHeight="1">
      <c r="A4056" s="129">
        <v>4056</v>
      </c>
    </row>
    <row r="4057" spans="1:1" ht="12.75" customHeight="1">
      <c r="A4057" s="129">
        <v>4057</v>
      </c>
    </row>
    <row r="4058" spans="1:1" ht="12.75" customHeight="1">
      <c r="A4058" s="129">
        <v>4058</v>
      </c>
    </row>
    <row r="4059" spans="1:1" ht="12.75" customHeight="1">
      <c r="A4059" s="129">
        <v>4059</v>
      </c>
    </row>
    <row r="4060" spans="1:1" ht="12.75" customHeight="1">
      <c r="A4060" s="129">
        <v>4060</v>
      </c>
    </row>
    <row r="4061" spans="1:1" ht="12.75" customHeight="1">
      <c r="A4061" s="129">
        <v>4061</v>
      </c>
    </row>
    <row r="4062" spans="1:1" ht="12.75" customHeight="1">
      <c r="A4062" s="129">
        <v>4062</v>
      </c>
    </row>
    <row r="4063" spans="1:1" ht="12.75" customHeight="1">
      <c r="A4063" s="129">
        <v>4063</v>
      </c>
    </row>
    <row r="4064" spans="1:1" ht="12.75" customHeight="1">
      <c r="A4064" s="129">
        <v>4064</v>
      </c>
    </row>
    <row r="4065" spans="1:1" ht="12.75" customHeight="1">
      <c r="A4065" s="129">
        <v>4065</v>
      </c>
    </row>
    <row r="4066" spans="1:1" ht="12.75" customHeight="1">
      <c r="A4066" s="129">
        <v>4066</v>
      </c>
    </row>
    <row r="4067" spans="1:1" ht="12.75" customHeight="1">
      <c r="A4067" s="129">
        <v>4067</v>
      </c>
    </row>
    <row r="4068" spans="1:1" ht="12.75" customHeight="1">
      <c r="A4068" s="129">
        <v>4068</v>
      </c>
    </row>
    <row r="4069" spans="1:1" ht="12.75" customHeight="1">
      <c r="A4069" s="129">
        <v>4069</v>
      </c>
    </row>
    <row r="4070" spans="1:1" ht="12.75" customHeight="1">
      <c r="A4070" s="129">
        <v>4070</v>
      </c>
    </row>
    <row r="4071" spans="1:1" ht="12.75" customHeight="1">
      <c r="A4071" s="129">
        <v>4071</v>
      </c>
    </row>
    <row r="4072" spans="1:1" ht="12.75" customHeight="1">
      <c r="A4072" s="129">
        <v>4072</v>
      </c>
    </row>
    <row r="4073" spans="1:1" ht="12.75" customHeight="1">
      <c r="A4073" s="129">
        <v>4073</v>
      </c>
    </row>
    <row r="4074" spans="1:1" ht="12.75" customHeight="1">
      <c r="A4074" s="129">
        <v>4074</v>
      </c>
    </row>
    <row r="4075" spans="1:1" ht="12.75" customHeight="1">
      <c r="A4075" s="129">
        <v>4075</v>
      </c>
    </row>
    <row r="4076" spans="1:1" ht="12.75" customHeight="1">
      <c r="A4076" s="129">
        <v>4076</v>
      </c>
    </row>
    <row r="4077" spans="1:1" ht="12.75" customHeight="1">
      <c r="A4077" s="129">
        <v>4077</v>
      </c>
    </row>
    <row r="4078" spans="1:1" ht="12.75" customHeight="1">
      <c r="A4078" s="129">
        <v>4078</v>
      </c>
    </row>
    <row r="4079" spans="1:1" ht="12.75" customHeight="1">
      <c r="A4079" s="129">
        <v>4079</v>
      </c>
    </row>
    <row r="4080" spans="1:1" ht="12.75" customHeight="1">
      <c r="A4080" s="129">
        <v>4080</v>
      </c>
    </row>
    <row r="4081" spans="1:1" ht="12.75" customHeight="1">
      <c r="A4081" s="129">
        <v>4081</v>
      </c>
    </row>
    <row r="4082" spans="1:1" ht="12.75" customHeight="1">
      <c r="A4082" s="129">
        <v>4082</v>
      </c>
    </row>
    <row r="4083" spans="1:1" ht="12.75" customHeight="1">
      <c r="A4083" s="129">
        <v>4083</v>
      </c>
    </row>
    <row r="4084" spans="1:1" ht="12.75" customHeight="1">
      <c r="A4084" s="129">
        <v>4084</v>
      </c>
    </row>
    <row r="4085" spans="1:1" ht="12.75" customHeight="1">
      <c r="A4085" s="129">
        <v>4085</v>
      </c>
    </row>
    <row r="4086" spans="1:1" ht="12.75" customHeight="1">
      <c r="A4086" s="129">
        <v>4086</v>
      </c>
    </row>
    <row r="4087" spans="1:1" ht="12.75" customHeight="1">
      <c r="A4087" s="129">
        <v>4087</v>
      </c>
    </row>
    <row r="4088" spans="1:1" ht="12.75" customHeight="1">
      <c r="A4088" s="129">
        <v>4088</v>
      </c>
    </row>
    <row r="4089" spans="1:1" ht="12.75" customHeight="1">
      <c r="A4089" s="129">
        <v>4089</v>
      </c>
    </row>
    <row r="4090" spans="1:1" ht="12.75" customHeight="1">
      <c r="A4090" s="129">
        <v>4090</v>
      </c>
    </row>
    <row r="4091" spans="1:1" ht="12.75" customHeight="1">
      <c r="A4091" s="129">
        <v>4091</v>
      </c>
    </row>
    <row r="4092" spans="1:1" ht="12.75" customHeight="1">
      <c r="A4092" s="129">
        <v>4092</v>
      </c>
    </row>
    <row r="4093" spans="1:1" ht="12.75" customHeight="1">
      <c r="A4093" s="129">
        <v>4093</v>
      </c>
    </row>
    <row r="4094" spans="1:1" ht="12.75" customHeight="1">
      <c r="A4094" s="129">
        <v>4094</v>
      </c>
    </row>
    <row r="4095" spans="1:1" ht="12.75" customHeight="1">
      <c r="A4095" s="129">
        <v>4095</v>
      </c>
    </row>
    <row r="4096" spans="1:1" ht="12.75" customHeight="1">
      <c r="A4096" s="129">
        <v>4096</v>
      </c>
    </row>
    <row r="4097" spans="1:1" ht="12.75" customHeight="1">
      <c r="A4097" s="129">
        <v>4097</v>
      </c>
    </row>
    <row r="4098" spans="1:1" ht="12.75" customHeight="1">
      <c r="A4098" s="129">
        <v>4098</v>
      </c>
    </row>
    <row r="4099" spans="1:1" ht="12.75" customHeight="1">
      <c r="A4099" s="129">
        <v>4099</v>
      </c>
    </row>
    <row r="4100" spans="1:1" ht="12.75" customHeight="1">
      <c r="A4100" s="129">
        <v>4100</v>
      </c>
    </row>
    <row r="4101" spans="1:1" ht="12.75" customHeight="1">
      <c r="A4101" s="129">
        <v>4101</v>
      </c>
    </row>
    <row r="4102" spans="1:1" ht="12.75" customHeight="1">
      <c r="A4102" s="129">
        <v>4102</v>
      </c>
    </row>
    <row r="4103" spans="1:1" ht="12.75" customHeight="1">
      <c r="A4103" s="129">
        <v>4103</v>
      </c>
    </row>
    <row r="4104" spans="1:1" ht="12.75" customHeight="1">
      <c r="A4104" s="129">
        <v>4104</v>
      </c>
    </row>
    <row r="4105" spans="1:1" ht="12.75" customHeight="1">
      <c r="A4105" s="129">
        <v>4105</v>
      </c>
    </row>
    <row r="4106" spans="1:1" ht="12.75" customHeight="1">
      <c r="A4106" s="129">
        <v>4106</v>
      </c>
    </row>
    <row r="4107" spans="1:1" ht="12.75" customHeight="1">
      <c r="A4107" s="129">
        <v>4107</v>
      </c>
    </row>
    <row r="4108" spans="1:1" ht="12.75" customHeight="1">
      <c r="A4108" s="129">
        <v>4108</v>
      </c>
    </row>
    <row r="4109" spans="1:1" ht="12.75" customHeight="1">
      <c r="A4109" s="129">
        <v>4109</v>
      </c>
    </row>
    <row r="4110" spans="1:1" ht="12.75" customHeight="1">
      <c r="A4110" s="129">
        <v>4110</v>
      </c>
    </row>
    <row r="4111" spans="1:1" ht="12.75" customHeight="1">
      <c r="A4111" s="129">
        <v>4111</v>
      </c>
    </row>
    <row r="4112" spans="1:1" ht="12.75" customHeight="1">
      <c r="A4112" s="129">
        <v>4112</v>
      </c>
    </row>
    <row r="4113" spans="1:1" ht="12.75" customHeight="1">
      <c r="A4113" s="129">
        <v>4113</v>
      </c>
    </row>
    <row r="4114" spans="1:1" ht="12.75" customHeight="1">
      <c r="A4114" s="129">
        <v>4114</v>
      </c>
    </row>
    <row r="4115" spans="1:1" ht="12.75" customHeight="1">
      <c r="A4115" s="129">
        <v>4115</v>
      </c>
    </row>
    <row r="4116" spans="1:1" ht="12.75" customHeight="1">
      <c r="A4116" s="129">
        <v>4116</v>
      </c>
    </row>
    <row r="4117" spans="1:1" ht="12.75" customHeight="1">
      <c r="A4117" s="129">
        <v>4117</v>
      </c>
    </row>
    <row r="4118" spans="1:1" ht="12.75" customHeight="1">
      <c r="A4118" s="129">
        <v>4118</v>
      </c>
    </row>
    <row r="4119" spans="1:1" ht="12.75" customHeight="1">
      <c r="A4119" s="129">
        <v>4119</v>
      </c>
    </row>
    <row r="4120" spans="1:1" ht="12.75" customHeight="1">
      <c r="A4120" s="129">
        <v>4120</v>
      </c>
    </row>
    <row r="4121" spans="1:1" ht="12.75" customHeight="1">
      <c r="A4121" s="129">
        <v>4121</v>
      </c>
    </row>
    <row r="4122" spans="1:1" ht="12.75" customHeight="1">
      <c r="A4122" s="129">
        <v>4122</v>
      </c>
    </row>
    <row r="4123" spans="1:1" ht="12.75" customHeight="1">
      <c r="A4123" s="129">
        <v>4123</v>
      </c>
    </row>
    <row r="4124" spans="1:1" ht="12.75" customHeight="1">
      <c r="A4124" s="129">
        <v>4124</v>
      </c>
    </row>
    <row r="4125" spans="1:1" ht="12.75" customHeight="1">
      <c r="A4125" s="129">
        <v>4125</v>
      </c>
    </row>
    <row r="4126" spans="1:1" ht="12.75" customHeight="1">
      <c r="A4126" s="129">
        <v>4126</v>
      </c>
    </row>
    <row r="4127" spans="1:1" ht="12.75" customHeight="1">
      <c r="A4127" s="129">
        <v>4127</v>
      </c>
    </row>
    <row r="4128" spans="1:1" ht="12.75" customHeight="1">
      <c r="A4128" s="129">
        <v>4128</v>
      </c>
    </row>
    <row r="4129" spans="1:1" ht="12.75" customHeight="1">
      <c r="A4129" s="129">
        <v>4129</v>
      </c>
    </row>
    <row r="4130" spans="1:1" ht="12.75" customHeight="1">
      <c r="A4130" s="129">
        <v>4130</v>
      </c>
    </row>
    <row r="4131" spans="1:1" ht="12.75" customHeight="1">
      <c r="A4131" s="129">
        <v>4131</v>
      </c>
    </row>
    <row r="4132" spans="1:1" ht="12.75" customHeight="1">
      <c r="A4132" s="129">
        <v>4132</v>
      </c>
    </row>
    <row r="4133" spans="1:1" ht="12.75" customHeight="1">
      <c r="A4133" s="129">
        <v>4133</v>
      </c>
    </row>
    <row r="4134" spans="1:1" ht="12.75" customHeight="1">
      <c r="A4134" s="129">
        <v>4134</v>
      </c>
    </row>
    <row r="4135" spans="1:1" ht="12.75" customHeight="1">
      <c r="A4135" s="129">
        <v>4135</v>
      </c>
    </row>
    <row r="4136" spans="1:1" ht="12.75" customHeight="1">
      <c r="A4136" s="129">
        <v>4136</v>
      </c>
    </row>
    <row r="4137" spans="1:1" ht="12.75" customHeight="1">
      <c r="A4137" s="129">
        <v>4137</v>
      </c>
    </row>
    <row r="4138" spans="1:1" ht="12.75" customHeight="1">
      <c r="A4138" s="129">
        <v>4138</v>
      </c>
    </row>
    <row r="4139" spans="1:1" ht="12.75" customHeight="1">
      <c r="A4139" s="129">
        <v>4139</v>
      </c>
    </row>
    <row r="4140" spans="1:1" ht="12.75" customHeight="1">
      <c r="A4140" s="129">
        <v>4140</v>
      </c>
    </row>
    <row r="4141" spans="1:1" ht="12.75" customHeight="1">
      <c r="A4141" s="129">
        <v>4141</v>
      </c>
    </row>
    <row r="4142" spans="1:1" ht="12.75" customHeight="1">
      <c r="A4142" s="129">
        <v>4142</v>
      </c>
    </row>
    <row r="4143" spans="1:1" ht="12.75" customHeight="1">
      <c r="A4143" s="129">
        <v>4143</v>
      </c>
    </row>
    <row r="4144" spans="1:1" ht="12.75" customHeight="1">
      <c r="A4144" s="129">
        <v>4144</v>
      </c>
    </row>
    <row r="4145" spans="1:1" ht="12.75" customHeight="1">
      <c r="A4145" s="129">
        <v>4145</v>
      </c>
    </row>
    <row r="4146" spans="1:1" ht="12.75" customHeight="1">
      <c r="A4146" s="129">
        <v>4146</v>
      </c>
    </row>
    <row r="4147" spans="1:1" ht="12.75" customHeight="1">
      <c r="A4147" s="129">
        <v>4147</v>
      </c>
    </row>
    <row r="4148" spans="1:1" ht="12.75" customHeight="1">
      <c r="A4148" s="129">
        <v>4148</v>
      </c>
    </row>
    <row r="4149" spans="1:1" ht="12.75" customHeight="1">
      <c r="A4149" s="129">
        <v>4149</v>
      </c>
    </row>
    <row r="4150" spans="1:1" ht="12.75" customHeight="1">
      <c r="A4150" s="129">
        <v>4150</v>
      </c>
    </row>
    <row r="4151" spans="1:1" ht="12.75" customHeight="1">
      <c r="A4151" s="129">
        <v>4151</v>
      </c>
    </row>
    <row r="4152" spans="1:1" ht="12.75" customHeight="1">
      <c r="A4152" s="129">
        <v>4152</v>
      </c>
    </row>
    <row r="4153" spans="1:1" ht="12.75" customHeight="1">
      <c r="A4153" s="129">
        <v>4153</v>
      </c>
    </row>
    <row r="4154" spans="1:1" ht="12.75" customHeight="1">
      <c r="A4154" s="129">
        <v>4154</v>
      </c>
    </row>
    <row r="4155" spans="1:1" ht="12.75" customHeight="1">
      <c r="A4155" s="129">
        <v>4155</v>
      </c>
    </row>
    <row r="4156" spans="1:1" ht="12.75" customHeight="1">
      <c r="A4156" s="129">
        <v>4156</v>
      </c>
    </row>
    <row r="4157" spans="1:1" ht="12.75" customHeight="1">
      <c r="A4157" s="129">
        <v>4157</v>
      </c>
    </row>
    <row r="4158" spans="1:1" ht="12.75" customHeight="1">
      <c r="A4158" s="129">
        <v>4158</v>
      </c>
    </row>
    <row r="4159" spans="1:1" ht="12.75" customHeight="1">
      <c r="A4159" s="129">
        <v>4159</v>
      </c>
    </row>
    <row r="4160" spans="1:1" ht="12.75" customHeight="1">
      <c r="A4160" s="129">
        <v>4160</v>
      </c>
    </row>
    <row r="4161" spans="1:1" ht="12.75" customHeight="1">
      <c r="A4161" s="129">
        <v>4161</v>
      </c>
    </row>
    <row r="4162" spans="1:1" ht="12.75" customHeight="1">
      <c r="A4162" s="129">
        <v>4162</v>
      </c>
    </row>
    <row r="4163" spans="1:1" ht="12.75" customHeight="1">
      <c r="A4163" s="129">
        <v>4163</v>
      </c>
    </row>
    <row r="4164" spans="1:1" ht="12.75" customHeight="1">
      <c r="A4164" s="129">
        <v>4164</v>
      </c>
    </row>
    <row r="4165" spans="1:1" ht="12.75" customHeight="1">
      <c r="A4165" s="129">
        <v>4165</v>
      </c>
    </row>
    <row r="4166" spans="1:1" ht="12.75" customHeight="1">
      <c r="A4166" s="129">
        <v>4166</v>
      </c>
    </row>
    <row r="4167" spans="1:1" ht="12.75" customHeight="1">
      <c r="A4167" s="129">
        <v>4167</v>
      </c>
    </row>
    <row r="4168" spans="1:1" ht="12.75" customHeight="1">
      <c r="A4168" s="129">
        <v>4168</v>
      </c>
    </row>
    <row r="4169" spans="1:1" ht="12.75" customHeight="1">
      <c r="A4169" s="129">
        <v>4169</v>
      </c>
    </row>
    <row r="4170" spans="1:1" ht="12.75" customHeight="1">
      <c r="A4170" s="129">
        <v>4170</v>
      </c>
    </row>
    <row r="4171" spans="1:1" ht="12.75" customHeight="1">
      <c r="A4171" s="129">
        <v>4171</v>
      </c>
    </row>
    <row r="4172" spans="1:1" ht="12.75" customHeight="1">
      <c r="A4172" s="129">
        <v>4172</v>
      </c>
    </row>
    <row r="4173" spans="1:1" ht="12.75" customHeight="1">
      <c r="A4173" s="129">
        <v>4173</v>
      </c>
    </row>
    <row r="4174" spans="1:1" ht="12.75" customHeight="1">
      <c r="A4174" s="129">
        <v>4174</v>
      </c>
    </row>
    <row r="4175" spans="1:1" ht="12.75" customHeight="1">
      <c r="A4175" s="129">
        <v>4175</v>
      </c>
    </row>
    <row r="4176" spans="1:1" ht="12.75" customHeight="1">
      <c r="A4176" s="129">
        <v>4176</v>
      </c>
    </row>
    <row r="4177" spans="1:1" ht="12.75" customHeight="1">
      <c r="A4177" s="129">
        <v>4177</v>
      </c>
    </row>
    <row r="4178" spans="1:1" ht="12.75" customHeight="1">
      <c r="A4178" s="129">
        <v>4178</v>
      </c>
    </row>
    <row r="4179" spans="1:1" ht="12.75" customHeight="1">
      <c r="A4179" s="129">
        <v>4179</v>
      </c>
    </row>
    <row r="4180" spans="1:1" ht="12.75" customHeight="1">
      <c r="A4180" s="129">
        <v>4180</v>
      </c>
    </row>
    <row r="4181" spans="1:1" ht="12.75" customHeight="1">
      <c r="A4181" s="129">
        <v>4181</v>
      </c>
    </row>
    <row r="4182" spans="1:1" ht="12.75" customHeight="1">
      <c r="A4182" s="129">
        <v>4182</v>
      </c>
    </row>
    <row r="4183" spans="1:1" ht="12.75" customHeight="1">
      <c r="A4183" s="129">
        <v>4183</v>
      </c>
    </row>
    <row r="4184" spans="1:1" ht="12.75" customHeight="1">
      <c r="A4184" s="129">
        <v>4184</v>
      </c>
    </row>
    <row r="4185" spans="1:1" ht="12.75" customHeight="1">
      <c r="A4185" s="129">
        <v>4185</v>
      </c>
    </row>
    <row r="4186" spans="1:1" ht="12.75" customHeight="1">
      <c r="A4186" s="129">
        <v>4186</v>
      </c>
    </row>
    <row r="4187" spans="1:1" ht="12.75" customHeight="1">
      <c r="A4187" s="129">
        <v>4187</v>
      </c>
    </row>
    <row r="4188" spans="1:1" ht="12.75" customHeight="1">
      <c r="A4188" s="129">
        <v>4188</v>
      </c>
    </row>
    <row r="4189" spans="1:1" ht="12.75" customHeight="1">
      <c r="A4189" s="129">
        <v>4189</v>
      </c>
    </row>
    <row r="4190" spans="1:1" ht="12.75" customHeight="1">
      <c r="A4190" s="129">
        <v>4190</v>
      </c>
    </row>
    <row r="4191" spans="1:1" ht="12.75" customHeight="1">
      <c r="A4191" s="129">
        <v>4191</v>
      </c>
    </row>
    <row r="4192" spans="1:1" ht="12.75" customHeight="1">
      <c r="A4192" s="129">
        <v>4192</v>
      </c>
    </row>
    <row r="4193" spans="1:1" ht="12.75" customHeight="1">
      <c r="A4193" s="129">
        <v>4193</v>
      </c>
    </row>
    <row r="4194" spans="1:1" ht="12.75" customHeight="1">
      <c r="A4194" s="129">
        <v>4194</v>
      </c>
    </row>
    <row r="4195" spans="1:1" ht="12.75" customHeight="1">
      <c r="A4195" s="129">
        <v>4195</v>
      </c>
    </row>
    <row r="4196" spans="1:1" ht="12.75" customHeight="1">
      <c r="A4196" s="129">
        <v>4196</v>
      </c>
    </row>
    <row r="4197" spans="1:1" ht="12.75" customHeight="1">
      <c r="A4197" s="129">
        <v>4197</v>
      </c>
    </row>
    <row r="4198" spans="1:1" ht="12.75" customHeight="1">
      <c r="A4198" s="129">
        <v>4198</v>
      </c>
    </row>
    <row r="4199" spans="1:1" ht="12.75" customHeight="1">
      <c r="A4199" s="129">
        <v>4199</v>
      </c>
    </row>
    <row r="4200" spans="1:1" ht="12.75" customHeight="1">
      <c r="A4200" s="129">
        <v>4200</v>
      </c>
    </row>
    <row r="4201" spans="1:1" ht="12.75" customHeight="1">
      <c r="A4201" s="129">
        <v>4201</v>
      </c>
    </row>
    <row r="4202" spans="1:1" ht="12.75" customHeight="1">
      <c r="A4202" s="129">
        <v>4202</v>
      </c>
    </row>
    <row r="4203" spans="1:1" ht="12.75" customHeight="1">
      <c r="A4203" s="129">
        <v>4203</v>
      </c>
    </row>
    <row r="4204" spans="1:1" ht="12.75" customHeight="1">
      <c r="A4204" s="129">
        <v>4204</v>
      </c>
    </row>
    <row r="4205" spans="1:1" ht="12.75" customHeight="1">
      <c r="A4205" s="129">
        <v>4205</v>
      </c>
    </row>
    <row r="4206" spans="1:1" ht="12.75" customHeight="1">
      <c r="A4206" s="129">
        <v>4206</v>
      </c>
    </row>
    <row r="4207" spans="1:1" ht="12.75" customHeight="1">
      <c r="A4207" s="129">
        <v>4207</v>
      </c>
    </row>
    <row r="4208" spans="1:1" ht="12.75" customHeight="1">
      <c r="A4208" s="129">
        <v>4208</v>
      </c>
    </row>
    <row r="4209" spans="1:1" ht="12.75" customHeight="1">
      <c r="A4209" s="129">
        <v>4209</v>
      </c>
    </row>
    <row r="4210" spans="1:1" ht="12.75" customHeight="1">
      <c r="A4210" s="129">
        <v>4210</v>
      </c>
    </row>
    <row r="4211" spans="1:1" ht="12.75" customHeight="1">
      <c r="A4211" s="129">
        <v>4211</v>
      </c>
    </row>
    <row r="4212" spans="1:1" ht="12.75" customHeight="1">
      <c r="A4212" s="129">
        <v>4212</v>
      </c>
    </row>
    <row r="4213" spans="1:1" ht="12.75" customHeight="1">
      <c r="A4213" s="129">
        <v>4213</v>
      </c>
    </row>
    <row r="4214" spans="1:1" ht="12.75" customHeight="1">
      <c r="A4214" s="129">
        <v>4214</v>
      </c>
    </row>
    <row r="4215" spans="1:1" ht="12.75" customHeight="1">
      <c r="A4215" s="129">
        <v>4215</v>
      </c>
    </row>
    <row r="4216" spans="1:1" ht="12.75" customHeight="1">
      <c r="A4216" s="129">
        <v>4216</v>
      </c>
    </row>
    <row r="4217" spans="1:1" ht="12.75" customHeight="1">
      <c r="A4217" s="129">
        <v>4217</v>
      </c>
    </row>
    <row r="4218" spans="1:1" ht="12.75" customHeight="1">
      <c r="A4218" s="129">
        <v>4218</v>
      </c>
    </row>
    <row r="4219" spans="1:1" ht="12.75" customHeight="1">
      <c r="A4219" s="129">
        <v>4219</v>
      </c>
    </row>
    <row r="4220" spans="1:1" ht="12.75" customHeight="1">
      <c r="A4220" s="129">
        <v>4220</v>
      </c>
    </row>
    <row r="4221" spans="1:1" ht="12.75" customHeight="1">
      <c r="A4221" s="129">
        <v>4221</v>
      </c>
    </row>
    <row r="4222" spans="1:1" ht="12.75" customHeight="1">
      <c r="A4222" s="129">
        <v>4222</v>
      </c>
    </row>
    <row r="4223" spans="1:1" ht="12.75" customHeight="1">
      <c r="A4223" s="129">
        <v>4223</v>
      </c>
    </row>
    <row r="4224" spans="1:1" ht="12.75" customHeight="1">
      <c r="A4224" s="129">
        <v>4224</v>
      </c>
    </row>
    <row r="4225" spans="1:1" ht="12.75" customHeight="1">
      <c r="A4225" s="129">
        <v>4225</v>
      </c>
    </row>
    <row r="4226" spans="1:1" ht="12.75" customHeight="1">
      <c r="A4226" s="129">
        <v>4226</v>
      </c>
    </row>
    <row r="4227" spans="1:1" ht="12.75" customHeight="1">
      <c r="A4227" s="129">
        <v>4227</v>
      </c>
    </row>
    <row r="4228" spans="1:1" ht="12.75" customHeight="1">
      <c r="A4228" s="129">
        <v>4228</v>
      </c>
    </row>
    <row r="4229" spans="1:1" ht="12.75" customHeight="1">
      <c r="A4229" s="129">
        <v>4229</v>
      </c>
    </row>
    <row r="4230" spans="1:1" ht="12.75" customHeight="1">
      <c r="A4230" s="129">
        <v>4230</v>
      </c>
    </row>
    <row r="4231" spans="1:1" ht="12.75" customHeight="1">
      <c r="A4231" s="129">
        <v>4231</v>
      </c>
    </row>
    <row r="4232" spans="1:1" ht="12.75" customHeight="1">
      <c r="A4232" s="129">
        <v>4232</v>
      </c>
    </row>
    <row r="4233" spans="1:1" ht="12.75" customHeight="1">
      <c r="A4233" s="129">
        <v>4233</v>
      </c>
    </row>
    <row r="4234" spans="1:1" ht="12.75" customHeight="1">
      <c r="A4234" s="129">
        <v>4234</v>
      </c>
    </row>
    <row r="4235" spans="1:1" ht="12.75" customHeight="1">
      <c r="A4235" s="129">
        <v>4235</v>
      </c>
    </row>
    <row r="4236" spans="1:1" ht="12.75" customHeight="1">
      <c r="A4236" s="129">
        <v>4236</v>
      </c>
    </row>
    <row r="4237" spans="1:1" ht="12.75" customHeight="1">
      <c r="A4237" s="129">
        <v>4237</v>
      </c>
    </row>
    <row r="4238" spans="1:1" ht="12.75" customHeight="1">
      <c r="A4238" s="129">
        <v>4238</v>
      </c>
    </row>
    <row r="4239" spans="1:1" ht="12.75" customHeight="1">
      <c r="A4239" s="129">
        <v>4239</v>
      </c>
    </row>
    <row r="4240" spans="1:1" ht="12.75" customHeight="1">
      <c r="A4240" s="129">
        <v>4240</v>
      </c>
    </row>
    <row r="4241" spans="1:1" ht="12.75" customHeight="1">
      <c r="A4241" s="129">
        <v>4241</v>
      </c>
    </row>
    <row r="4242" spans="1:1" ht="12.75" customHeight="1">
      <c r="A4242" s="129">
        <v>4242</v>
      </c>
    </row>
    <row r="4243" spans="1:1" ht="12.75" customHeight="1">
      <c r="A4243" s="129">
        <v>4243</v>
      </c>
    </row>
    <row r="4244" spans="1:1" ht="12.75" customHeight="1">
      <c r="A4244" s="129">
        <v>4244</v>
      </c>
    </row>
    <row r="4245" spans="1:1" ht="12.75" customHeight="1">
      <c r="A4245" s="129">
        <v>4245</v>
      </c>
    </row>
    <row r="4246" spans="1:1" ht="12.75" customHeight="1">
      <c r="A4246" s="129">
        <v>4246</v>
      </c>
    </row>
    <row r="4247" spans="1:1" ht="12.75" customHeight="1">
      <c r="A4247" s="129">
        <v>4247</v>
      </c>
    </row>
    <row r="4248" spans="1:1" ht="12.75" customHeight="1">
      <c r="A4248" s="129">
        <v>4248</v>
      </c>
    </row>
    <row r="4249" spans="1:1" ht="12.75" customHeight="1">
      <c r="A4249" s="129">
        <v>4249</v>
      </c>
    </row>
    <row r="4250" spans="1:1" ht="12.75" customHeight="1">
      <c r="A4250" s="129">
        <v>4250</v>
      </c>
    </row>
    <row r="4251" spans="1:1" ht="12.75" customHeight="1">
      <c r="A4251" s="129">
        <v>4251</v>
      </c>
    </row>
    <row r="4252" spans="1:1" ht="12.75" customHeight="1">
      <c r="A4252" s="129">
        <v>4252</v>
      </c>
    </row>
    <row r="4253" spans="1:1" ht="12.75" customHeight="1">
      <c r="A4253" s="129">
        <v>4253</v>
      </c>
    </row>
    <row r="4254" spans="1:1" ht="12.75" customHeight="1">
      <c r="A4254" s="129">
        <v>4254</v>
      </c>
    </row>
    <row r="4255" spans="1:1" ht="12.75" customHeight="1">
      <c r="A4255" s="129">
        <v>4255</v>
      </c>
    </row>
    <row r="4256" spans="1:1" ht="12.75" customHeight="1">
      <c r="A4256" s="129">
        <v>4256</v>
      </c>
    </row>
    <row r="4257" spans="1:1" ht="12.75" customHeight="1">
      <c r="A4257" s="129">
        <v>4257</v>
      </c>
    </row>
    <row r="4258" spans="1:1" ht="12.75" customHeight="1">
      <c r="A4258" s="129">
        <v>4258</v>
      </c>
    </row>
    <row r="4259" spans="1:1" ht="12.75" customHeight="1">
      <c r="A4259" s="129">
        <v>4259</v>
      </c>
    </row>
    <row r="4260" spans="1:1" ht="12.75" customHeight="1">
      <c r="A4260" s="129">
        <v>4260</v>
      </c>
    </row>
    <row r="4261" spans="1:1" ht="12.75" customHeight="1">
      <c r="A4261" s="129">
        <v>4261</v>
      </c>
    </row>
    <row r="4262" spans="1:1" ht="12.75" customHeight="1">
      <c r="A4262" s="129">
        <v>4262</v>
      </c>
    </row>
    <row r="4263" spans="1:1" ht="12.75" customHeight="1">
      <c r="A4263" s="129">
        <v>4263</v>
      </c>
    </row>
    <row r="4264" spans="1:1" ht="12.75" customHeight="1">
      <c r="A4264" s="129">
        <v>4264</v>
      </c>
    </row>
    <row r="4265" spans="1:1" ht="12.75" customHeight="1">
      <c r="A4265" s="129">
        <v>4265</v>
      </c>
    </row>
    <row r="4266" spans="1:1" ht="12.75" customHeight="1">
      <c r="A4266" s="129">
        <v>4266</v>
      </c>
    </row>
    <row r="4267" spans="1:1" ht="12.75" customHeight="1">
      <c r="A4267" s="129">
        <v>4267</v>
      </c>
    </row>
    <row r="4268" spans="1:1" ht="12.75" customHeight="1">
      <c r="A4268" s="129">
        <v>4268</v>
      </c>
    </row>
    <row r="4269" spans="1:1" ht="12.75" customHeight="1">
      <c r="A4269" s="129">
        <v>4269</v>
      </c>
    </row>
    <row r="4270" spans="1:1" ht="12.75" customHeight="1">
      <c r="A4270" s="129">
        <v>4270</v>
      </c>
    </row>
    <row r="4271" spans="1:1" ht="12.75" customHeight="1">
      <c r="A4271" s="129">
        <v>4271</v>
      </c>
    </row>
    <row r="4272" spans="1:1" ht="12.75" customHeight="1">
      <c r="A4272" s="129">
        <v>4272</v>
      </c>
    </row>
    <row r="4273" spans="1:1" ht="12.75" customHeight="1">
      <c r="A4273" s="129">
        <v>4273</v>
      </c>
    </row>
    <row r="4274" spans="1:1" ht="12.75" customHeight="1">
      <c r="A4274" s="129">
        <v>4274</v>
      </c>
    </row>
    <row r="4275" spans="1:1" ht="12.75" customHeight="1">
      <c r="A4275" s="129">
        <v>4275</v>
      </c>
    </row>
    <row r="4276" spans="1:1" ht="12.75" customHeight="1">
      <c r="A4276" s="129">
        <v>4276</v>
      </c>
    </row>
    <row r="4277" spans="1:1" ht="12.75" customHeight="1">
      <c r="A4277" s="129">
        <v>4277</v>
      </c>
    </row>
    <row r="4278" spans="1:1" ht="12.75" customHeight="1">
      <c r="A4278" s="129">
        <v>4278</v>
      </c>
    </row>
    <row r="4279" spans="1:1" ht="12.75" customHeight="1">
      <c r="A4279" s="129">
        <v>4279</v>
      </c>
    </row>
    <row r="4280" spans="1:1" ht="12.75" customHeight="1">
      <c r="A4280" s="129">
        <v>4280</v>
      </c>
    </row>
    <row r="4281" spans="1:1" ht="12.75" customHeight="1">
      <c r="A4281" s="129">
        <v>4281</v>
      </c>
    </row>
    <row r="4282" spans="1:1" ht="12.75" customHeight="1">
      <c r="A4282" s="129">
        <v>4282</v>
      </c>
    </row>
    <row r="4283" spans="1:1" ht="12.75" customHeight="1">
      <c r="A4283" s="129">
        <v>4283</v>
      </c>
    </row>
    <row r="4284" spans="1:1" ht="12.75" customHeight="1">
      <c r="A4284" s="129">
        <v>4284</v>
      </c>
    </row>
    <row r="4285" spans="1:1" ht="12.75" customHeight="1">
      <c r="A4285" s="129">
        <v>4285</v>
      </c>
    </row>
    <row r="4286" spans="1:1" ht="12.75" customHeight="1">
      <c r="A4286" s="129">
        <v>4286</v>
      </c>
    </row>
    <row r="4287" spans="1:1" ht="12.75" customHeight="1">
      <c r="A4287" s="129">
        <v>4287</v>
      </c>
    </row>
    <row r="4288" spans="1:1" ht="12.75" customHeight="1">
      <c r="A4288" s="129">
        <v>4288</v>
      </c>
    </row>
    <row r="4289" spans="1:1" ht="12.75" customHeight="1">
      <c r="A4289" s="129">
        <v>4289</v>
      </c>
    </row>
    <row r="4290" spans="1:1" ht="12.75" customHeight="1">
      <c r="A4290" s="129">
        <v>4290</v>
      </c>
    </row>
    <row r="4291" spans="1:1" ht="12.75" customHeight="1">
      <c r="A4291" s="129">
        <v>4291</v>
      </c>
    </row>
    <row r="4292" spans="1:1" ht="12.75" customHeight="1">
      <c r="A4292" s="129">
        <v>4292</v>
      </c>
    </row>
    <row r="4293" spans="1:1" ht="12.75" customHeight="1">
      <c r="A4293" s="129">
        <v>4293</v>
      </c>
    </row>
    <row r="4294" spans="1:1" ht="12.75" customHeight="1">
      <c r="A4294" s="129">
        <v>4294</v>
      </c>
    </row>
    <row r="4295" spans="1:1" ht="12.75" customHeight="1">
      <c r="A4295" s="129">
        <v>4295</v>
      </c>
    </row>
    <row r="4296" spans="1:1" ht="12.75" customHeight="1">
      <c r="A4296" s="129">
        <v>4296</v>
      </c>
    </row>
    <row r="4297" spans="1:1" ht="12.75" customHeight="1">
      <c r="A4297" s="129">
        <v>4297</v>
      </c>
    </row>
    <row r="4298" spans="1:1" ht="12.75" customHeight="1">
      <c r="A4298" s="129">
        <v>4298</v>
      </c>
    </row>
    <row r="4299" spans="1:1" ht="12.75" customHeight="1">
      <c r="A4299" s="129">
        <v>4299</v>
      </c>
    </row>
    <row r="4300" spans="1:1" ht="12.75" customHeight="1">
      <c r="A4300" s="129">
        <v>4300</v>
      </c>
    </row>
    <row r="4301" spans="1:1" ht="12.75" customHeight="1">
      <c r="A4301" s="129">
        <v>4301</v>
      </c>
    </row>
    <row r="4302" spans="1:1" ht="12.75" customHeight="1">
      <c r="A4302" s="129">
        <v>4302</v>
      </c>
    </row>
    <row r="4303" spans="1:1" ht="12.75" customHeight="1">
      <c r="A4303" s="129">
        <v>4303</v>
      </c>
    </row>
    <row r="4304" spans="1:1" ht="12.75" customHeight="1">
      <c r="A4304" s="129">
        <v>4304</v>
      </c>
    </row>
    <row r="4305" spans="1:1" ht="12.75" customHeight="1">
      <c r="A4305" s="129">
        <v>4305</v>
      </c>
    </row>
    <row r="4306" spans="1:1" ht="12.75" customHeight="1">
      <c r="A4306" s="129">
        <v>4306</v>
      </c>
    </row>
    <row r="4307" spans="1:1" ht="12.75" customHeight="1">
      <c r="A4307" s="129">
        <v>4307</v>
      </c>
    </row>
    <row r="4308" spans="1:1" ht="12.75" customHeight="1">
      <c r="A4308" s="129">
        <v>4308</v>
      </c>
    </row>
    <row r="4309" spans="1:1" ht="12.75" customHeight="1">
      <c r="A4309" s="129">
        <v>4309</v>
      </c>
    </row>
    <row r="4310" spans="1:1" ht="12.75" customHeight="1">
      <c r="A4310" s="129">
        <v>4310</v>
      </c>
    </row>
    <row r="4311" spans="1:1" ht="12.75" customHeight="1">
      <c r="A4311" s="129">
        <v>4311</v>
      </c>
    </row>
    <row r="4312" spans="1:1" ht="12.75" customHeight="1">
      <c r="A4312" s="129">
        <v>4312</v>
      </c>
    </row>
    <row r="4313" spans="1:1" ht="12.75" customHeight="1">
      <c r="A4313" s="129">
        <v>4313</v>
      </c>
    </row>
    <row r="4314" spans="1:1" ht="12.75" customHeight="1">
      <c r="A4314" s="129">
        <v>4314</v>
      </c>
    </row>
    <row r="4315" spans="1:1" ht="12.75" customHeight="1">
      <c r="A4315" s="129">
        <v>4315</v>
      </c>
    </row>
    <row r="4316" spans="1:1" ht="12.75" customHeight="1">
      <c r="A4316" s="129">
        <v>4316</v>
      </c>
    </row>
    <row r="4317" spans="1:1" ht="12.75" customHeight="1">
      <c r="A4317" s="129">
        <v>4317</v>
      </c>
    </row>
    <row r="4318" spans="1:1" ht="12.75" customHeight="1">
      <c r="A4318" s="129">
        <v>4318</v>
      </c>
    </row>
    <row r="4319" spans="1:1" ht="12.75" customHeight="1">
      <c r="A4319" s="129">
        <v>4319</v>
      </c>
    </row>
    <row r="4320" spans="1:1" ht="12.75" customHeight="1">
      <c r="A4320" s="129">
        <v>4320</v>
      </c>
    </row>
    <row r="4321" spans="1:1" ht="12.75" customHeight="1">
      <c r="A4321" s="129">
        <v>4321</v>
      </c>
    </row>
    <row r="4322" spans="1:1" ht="12.75" customHeight="1">
      <c r="A4322" s="129">
        <v>4322</v>
      </c>
    </row>
    <row r="4323" spans="1:1" ht="12.75" customHeight="1">
      <c r="A4323" s="129">
        <v>4323</v>
      </c>
    </row>
    <row r="4324" spans="1:1" ht="12.75" customHeight="1">
      <c r="A4324" s="129">
        <v>4324</v>
      </c>
    </row>
    <row r="4325" spans="1:1" ht="12.75" customHeight="1">
      <c r="A4325" s="129">
        <v>4325</v>
      </c>
    </row>
    <row r="4326" spans="1:1" ht="12.75" customHeight="1">
      <c r="A4326" s="129">
        <v>4326</v>
      </c>
    </row>
    <row r="4327" spans="1:1" ht="12.75" customHeight="1">
      <c r="A4327" s="129">
        <v>4327</v>
      </c>
    </row>
    <row r="4328" spans="1:1" ht="12.75" customHeight="1">
      <c r="A4328" s="129">
        <v>4328</v>
      </c>
    </row>
    <row r="4329" spans="1:1" ht="12.75" customHeight="1">
      <c r="A4329" s="129">
        <v>4329</v>
      </c>
    </row>
    <row r="4330" spans="1:1" ht="12.75" customHeight="1">
      <c r="A4330" s="129">
        <v>4330</v>
      </c>
    </row>
    <row r="4331" spans="1:1" ht="12.75" customHeight="1">
      <c r="A4331" s="129">
        <v>4331</v>
      </c>
    </row>
    <row r="4332" spans="1:1" ht="12.75" customHeight="1">
      <c r="A4332" s="129">
        <v>4332</v>
      </c>
    </row>
    <row r="4333" spans="1:1" ht="12.75" customHeight="1">
      <c r="A4333" s="129">
        <v>4333</v>
      </c>
    </row>
    <row r="4334" spans="1:1" ht="12.75" customHeight="1">
      <c r="A4334" s="129">
        <v>4334</v>
      </c>
    </row>
    <row r="4335" spans="1:1" ht="12.75" customHeight="1">
      <c r="A4335" s="129">
        <v>4335</v>
      </c>
    </row>
    <row r="4336" spans="1:1" ht="12.75" customHeight="1">
      <c r="A4336" s="129">
        <v>4336</v>
      </c>
    </row>
    <row r="4337" spans="1:1" ht="12.75" customHeight="1">
      <c r="A4337" s="129">
        <v>4337</v>
      </c>
    </row>
    <row r="4338" spans="1:1" ht="12.75" customHeight="1">
      <c r="A4338" s="129">
        <v>4338</v>
      </c>
    </row>
    <row r="4339" spans="1:1" ht="12.75" customHeight="1">
      <c r="A4339" s="129">
        <v>4339</v>
      </c>
    </row>
    <row r="4340" spans="1:1" ht="12.75" customHeight="1">
      <c r="A4340" s="129">
        <v>4340</v>
      </c>
    </row>
    <row r="4341" spans="1:1" ht="12.75" customHeight="1">
      <c r="A4341" s="129">
        <v>4341</v>
      </c>
    </row>
    <row r="4342" spans="1:1" ht="12.75" customHeight="1">
      <c r="A4342" s="129">
        <v>4342</v>
      </c>
    </row>
    <row r="4343" spans="1:1" ht="12.75" customHeight="1">
      <c r="A4343" s="129">
        <v>4343</v>
      </c>
    </row>
    <row r="4344" spans="1:1" ht="12.75" customHeight="1">
      <c r="A4344" s="129">
        <v>4344</v>
      </c>
    </row>
    <row r="4345" spans="1:1" ht="12.75" customHeight="1">
      <c r="A4345" s="129">
        <v>4345</v>
      </c>
    </row>
    <row r="4346" spans="1:1" ht="12.75" customHeight="1">
      <c r="A4346" s="129">
        <v>4346</v>
      </c>
    </row>
    <row r="4347" spans="1:1" ht="12.75" customHeight="1">
      <c r="A4347" s="129">
        <v>4347</v>
      </c>
    </row>
    <row r="4348" spans="1:1" ht="12.75" customHeight="1">
      <c r="A4348" s="129">
        <v>4348</v>
      </c>
    </row>
    <row r="4349" spans="1:1" ht="12.75" customHeight="1">
      <c r="A4349" s="129">
        <v>4349</v>
      </c>
    </row>
    <row r="4350" spans="1:1" ht="12.75" customHeight="1">
      <c r="A4350" s="129">
        <v>4350</v>
      </c>
    </row>
    <row r="4351" spans="1:1" ht="12.75" customHeight="1">
      <c r="A4351" s="129">
        <v>4351</v>
      </c>
    </row>
    <row r="4352" spans="1:1" ht="12.75" customHeight="1">
      <c r="A4352" s="129">
        <v>4352</v>
      </c>
    </row>
    <row r="4353" spans="1:1" ht="12.75" customHeight="1">
      <c r="A4353" s="129">
        <v>4353</v>
      </c>
    </row>
    <row r="4354" spans="1:1" ht="12.75" customHeight="1">
      <c r="A4354" s="129">
        <v>4354</v>
      </c>
    </row>
    <row r="4355" spans="1:1" ht="12.75" customHeight="1">
      <c r="A4355" s="129">
        <v>4355</v>
      </c>
    </row>
    <row r="4356" spans="1:1" ht="12.75" customHeight="1">
      <c r="A4356" s="129">
        <v>4356</v>
      </c>
    </row>
    <row r="4357" spans="1:1" ht="12.75" customHeight="1">
      <c r="A4357" s="129">
        <v>4357</v>
      </c>
    </row>
    <row r="4358" spans="1:1" ht="12.75" customHeight="1">
      <c r="A4358" s="129">
        <v>4358</v>
      </c>
    </row>
    <row r="4359" spans="1:1" ht="12.75" customHeight="1">
      <c r="A4359" s="129">
        <v>4359</v>
      </c>
    </row>
    <row r="4360" spans="1:1" ht="12.75" customHeight="1">
      <c r="A4360" s="129">
        <v>4360</v>
      </c>
    </row>
    <row r="4361" spans="1:1" ht="12.75" customHeight="1">
      <c r="A4361" s="129">
        <v>4361</v>
      </c>
    </row>
    <row r="4362" spans="1:1" ht="12.75" customHeight="1">
      <c r="A4362" s="129">
        <v>4362</v>
      </c>
    </row>
    <row r="4363" spans="1:1" ht="12.75" customHeight="1">
      <c r="A4363" s="129">
        <v>4363</v>
      </c>
    </row>
    <row r="4364" spans="1:1" ht="12.75" customHeight="1">
      <c r="A4364" s="129">
        <v>4364</v>
      </c>
    </row>
    <row r="4365" spans="1:1" ht="12.75" customHeight="1">
      <c r="A4365" s="129">
        <v>4365</v>
      </c>
    </row>
    <row r="4366" spans="1:1" ht="12.75" customHeight="1">
      <c r="A4366" s="129">
        <v>4366</v>
      </c>
    </row>
    <row r="4367" spans="1:1" ht="12.75" customHeight="1">
      <c r="A4367" s="129">
        <v>4367</v>
      </c>
    </row>
    <row r="4368" spans="1:1" ht="12.75" customHeight="1">
      <c r="A4368" s="129">
        <v>4368</v>
      </c>
    </row>
    <row r="4369" spans="1:1" ht="12.75" customHeight="1">
      <c r="A4369" s="129">
        <v>4369</v>
      </c>
    </row>
    <row r="4370" spans="1:1" ht="12.75" customHeight="1">
      <c r="A4370" s="129">
        <v>4370</v>
      </c>
    </row>
    <row r="4371" spans="1:1" ht="12.75" customHeight="1">
      <c r="A4371" s="129">
        <v>4371</v>
      </c>
    </row>
    <row r="4372" spans="1:1" ht="12.75" customHeight="1">
      <c r="A4372" s="129">
        <v>4372</v>
      </c>
    </row>
    <row r="4373" spans="1:1" ht="12.75" customHeight="1">
      <c r="A4373" s="129">
        <v>4373</v>
      </c>
    </row>
    <row r="4374" spans="1:1" ht="12.75" customHeight="1">
      <c r="A4374" s="129">
        <v>4374</v>
      </c>
    </row>
    <row r="4375" spans="1:1" ht="12.75" customHeight="1">
      <c r="A4375" s="129">
        <v>4375</v>
      </c>
    </row>
    <row r="4376" spans="1:1" ht="12.75" customHeight="1">
      <c r="A4376" s="129">
        <v>4376</v>
      </c>
    </row>
    <row r="4377" spans="1:1" ht="12.75" customHeight="1">
      <c r="A4377" s="129">
        <v>4377</v>
      </c>
    </row>
    <row r="4378" spans="1:1" ht="12.75" customHeight="1">
      <c r="A4378" s="129">
        <v>4378</v>
      </c>
    </row>
    <row r="4379" spans="1:1" ht="12.75" customHeight="1">
      <c r="A4379" s="129">
        <v>4379</v>
      </c>
    </row>
    <row r="4380" spans="1:1" ht="12.75" customHeight="1">
      <c r="A4380" s="129">
        <v>4380</v>
      </c>
    </row>
    <row r="4381" spans="1:1" ht="12.75" customHeight="1">
      <c r="A4381" s="129">
        <v>4381</v>
      </c>
    </row>
    <row r="4382" spans="1:1" ht="12.75" customHeight="1">
      <c r="A4382" s="129">
        <v>4382</v>
      </c>
    </row>
    <row r="4383" spans="1:1" ht="12.75" customHeight="1">
      <c r="A4383" s="129">
        <v>4383</v>
      </c>
    </row>
    <row r="4384" spans="1:1" ht="12.75" customHeight="1">
      <c r="A4384" s="129">
        <v>4384</v>
      </c>
    </row>
    <row r="4385" spans="1:1" ht="12.75" customHeight="1">
      <c r="A4385" s="129">
        <v>4385</v>
      </c>
    </row>
    <row r="4386" spans="1:1" ht="12.75" customHeight="1">
      <c r="A4386" s="129">
        <v>4386</v>
      </c>
    </row>
    <row r="4387" spans="1:1" ht="12.75" customHeight="1">
      <c r="A4387" s="129">
        <v>4387</v>
      </c>
    </row>
    <row r="4388" spans="1:1" ht="12.75" customHeight="1">
      <c r="A4388" s="129">
        <v>4388</v>
      </c>
    </row>
    <row r="4389" spans="1:1" ht="12.75" customHeight="1">
      <c r="A4389" s="129">
        <v>4389</v>
      </c>
    </row>
    <row r="4390" spans="1:1" ht="12.75" customHeight="1">
      <c r="A4390" s="129">
        <v>4390</v>
      </c>
    </row>
    <row r="4391" spans="1:1" ht="12.75" customHeight="1">
      <c r="A4391" s="129">
        <v>4391</v>
      </c>
    </row>
    <row r="4392" spans="1:1" ht="12.75" customHeight="1">
      <c r="A4392" s="129">
        <v>4392</v>
      </c>
    </row>
    <row r="4393" spans="1:1" ht="12.75" customHeight="1">
      <c r="A4393" s="129">
        <v>4393</v>
      </c>
    </row>
    <row r="4394" spans="1:1" ht="12.75" customHeight="1">
      <c r="A4394" s="129">
        <v>4394</v>
      </c>
    </row>
    <row r="4395" spans="1:1" ht="12.75" customHeight="1">
      <c r="A4395" s="129">
        <v>4395</v>
      </c>
    </row>
    <row r="4396" spans="1:1" ht="12.75" customHeight="1">
      <c r="A4396" s="129">
        <v>4396</v>
      </c>
    </row>
    <row r="4397" spans="1:1" ht="12.75" customHeight="1">
      <c r="A4397" s="129">
        <v>4397</v>
      </c>
    </row>
    <row r="4398" spans="1:1" ht="12.75" customHeight="1">
      <c r="A4398" s="129">
        <v>4398</v>
      </c>
    </row>
    <row r="4399" spans="1:1" ht="12.75" customHeight="1">
      <c r="A4399" s="129">
        <v>4399</v>
      </c>
    </row>
    <row r="4400" spans="1:1" ht="12.75" customHeight="1">
      <c r="A4400" s="129">
        <v>4400</v>
      </c>
    </row>
    <row r="4401" spans="1:1" ht="12.75" customHeight="1">
      <c r="A4401" s="129">
        <v>4401</v>
      </c>
    </row>
    <row r="4402" spans="1:1" ht="12.75" customHeight="1">
      <c r="A4402" s="129">
        <v>4402</v>
      </c>
    </row>
    <row r="4403" spans="1:1" ht="12.75" customHeight="1">
      <c r="A4403" s="129">
        <v>4403</v>
      </c>
    </row>
    <row r="4404" spans="1:1" ht="12.75" customHeight="1">
      <c r="A4404" s="129">
        <v>4404</v>
      </c>
    </row>
    <row r="4405" spans="1:1" ht="12.75" customHeight="1">
      <c r="A4405" s="129">
        <v>4405</v>
      </c>
    </row>
    <row r="4406" spans="1:1" ht="12.75" customHeight="1">
      <c r="A4406" s="129">
        <v>4406</v>
      </c>
    </row>
    <row r="4407" spans="1:1" ht="12.75" customHeight="1">
      <c r="A4407" s="129">
        <v>4407</v>
      </c>
    </row>
    <row r="4408" spans="1:1" ht="12.75" customHeight="1">
      <c r="A4408" s="129">
        <v>4408</v>
      </c>
    </row>
    <row r="4409" spans="1:1" ht="12.75" customHeight="1">
      <c r="A4409" s="129">
        <v>4409</v>
      </c>
    </row>
    <row r="4410" spans="1:1" ht="12.75" customHeight="1">
      <c r="A4410" s="129">
        <v>4410</v>
      </c>
    </row>
    <row r="4411" spans="1:1" ht="12.75" customHeight="1">
      <c r="A4411" s="129">
        <v>4411</v>
      </c>
    </row>
    <row r="4412" spans="1:1" ht="12.75" customHeight="1">
      <c r="A4412" s="129">
        <v>4412</v>
      </c>
    </row>
    <row r="4413" spans="1:1" ht="12.75" customHeight="1">
      <c r="A4413" s="129">
        <v>4413</v>
      </c>
    </row>
    <row r="4414" spans="1:1" ht="12.75" customHeight="1">
      <c r="A4414" s="129">
        <v>4414</v>
      </c>
    </row>
    <row r="4415" spans="1:1" ht="12.75" customHeight="1">
      <c r="A4415" s="129">
        <v>4415</v>
      </c>
    </row>
    <row r="4416" spans="1:1" ht="12.75" customHeight="1">
      <c r="A4416" s="129">
        <v>4416</v>
      </c>
    </row>
    <row r="4417" spans="1:1" ht="12.75" customHeight="1">
      <c r="A4417" s="129">
        <v>4417</v>
      </c>
    </row>
    <row r="4418" spans="1:1" ht="12.75" customHeight="1">
      <c r="A4418" s="129">
        <v>4418</v>
      </c>
    </row>
    <row r="4419" spans="1:1" ht="12.75" customHeight="1">
      <c r="A4419" s="129">
        <v>4419</v>
      </c>
    </row>
    <row r="4420" spans="1:1" ht="12.75" customHeight="1">
      <c r="A4420" s="129">
        <v>4420</v>
      </c>
    </row>
    <row r="4421" spans="1:1" ht="12.75" customHeight="1">
      <c r="A4421" s="129">
        <v>4421</v>
      </c>
    </row>
    <row r="4422" spans="1:1" ht="12.75" customHeight="1">
      <c r="A4422" s="129">
        <v>4422</v>
      </c>
    </row>
    <row r="4423" spans="1:1" ht="12.75" customHeight="1">
      <c r="A4423" s="129">
        <v>4423</v>
      </c>
    </row>
    <row r="4424" spans="1:1" ht="12.75" customHeight="1">
      <c r="A4424" s="129">
        <v>4424</v>
      </c>
    </row>
    <row r="4425" spans="1:1" ht="12.75" customHeight="1">
      <c r="A4425" s="129">
        <v>4425</v>
      </c>
    </row>
    <row r="4426" spans="1:1" ht="12.75" customHeight="1">
      <c r="A4426" s="129">
        <v>4426</v>
      </c>
    </row>
    <row r="4427" spans="1:1" ht="12.75" customHeight="1">
      <c r="A4427" s="129">
        <v>4427</v>
      </c>
    </row>
    <row r="4428" spans="1:1" ht="12.75" customHeight="1">
      <c r="A4428" s="129">
        <v>4428</v>
      </c>
    </row>
    <row r="4429" spans="1:1" ht="12.75" customHeight="1">
      <c r="A4429" s="129">
        <v>4429</v>
      </c>
    </row>
    <row r="4430" spans="1:1" ht="12.75" customHeight="1">
      <c r="A4430" s="129">
        <v>4430</v>
      </c>
    </row>
    <row r="4431" spans="1:1" ht="12.75" customHeight="1">
      <c r="A4431" s="129">
        <v>4431</v>
      </c>
    </row>
    <row r="4432" spans="1:1" ht="12.75" customHeight="1">
      <c r="A4432" s="129">
        <v>4432</v>
      </c>
    </row>
    <row r="4433" spans="1:1" ht="12.75" customHeight="1">
      <c r="A4433" s="129">
        <v>4433</v>
      </c>
    </row>
    <row r="4434" spans="1:1" ht="12.75" customHeight="1">
      <c r="A4434" s="129">
        <v>4434</v>
      </c>
    </row>
    <row r="4435" spans="1:1" ht="12.75" customHeight="1">
      <c r="A4435" s="129">
        <v>4435</v>
      </c>
    </row>
    <row r="4436" spans="1:1" ht="12.75" customHeight="1">
      <c r="A4436" s="129">
        <v>4436</v>
      </c>
    </row>
    <row r="4437" spans="1:1" ht="12.75" customHeight="1">
      <c r="A4437" s="129">
        <v>4437</v>
      </c>
    </row>
    <row r="4438" spans="1:1" ht="12.75" customHeight="1">
      <c r="A4438" s="129">
        <v>4438</v>
      </c>
    </row>
    <row r="4439" spans="1:1" ht="12.75" customHeight="1">
      <c r="A4439" s="129">
        <v>4439</v>
      </c>
    </row>
    <row r="4440" spans="1:1" ht="12.75" customHeight="1">
      <c r="A4440" s="129">
        <v>4440</v>
      </c>
    </row>
    <row r="4441" spans="1:1" ht="12.75" customHeight="1">
      <c r="A4441" s="129">
        <v>4441</v>
      </c>
    </row>
    <row r="4442" spans="1:1" ht="12.75" customHeight="1">
      <c r="A4442" s="129">
        <v>4442</v>
      </c>
    </row>
    <row r="4443" spans="1:1" ht="12.75" customHeight="1">
      <c r="A4443" s="129">
        <v>4443</v>
      </c>
    </row>
    <row r="4444" spans="1:1" ht="12.75" customHeight="1">
      <c r="A4444" s="129">
        <v>4444</v>
      </c>
    </row>
    <row r="4445" spans="1:1" ht="12.75" customHeight="1">
      <c r="A4445" s="129">
        <v>4445</v>
      </c>
    </row>
    <row r="4446" spans="1:1" ht="12.75" customHeight="1">
      <c r="A4446" s="129">
        <v>4446</v>
      </c>
    </row>
    <row r="4447" spans="1:1" ht="12.75" customHeight="1">
      <c r="A4447" s="129">
        <v>4447</v>
      </c>
    </row>
    <row r="4448" spans="1:1" ht="12.75" customHeight="1">
      <c r="A4448" s="129">
        <v>4448</v>
      </c>
    </row>
    <row r="4449" spans="1:1" ht="12.75" customHeight="1">
      <c r="A4449" s="129">
        <v>4449</v>
      </c>
    </row>
    <row r="4450" spans="1:1" ht="12.75" customHeight="1">
      <c r="A4450" s="129">
        <v>4450</v>
      </c>
    </row>
    <row r="4451" spans="1:1" ht="12.75" customHeight="1">
      <c r="A4451" s="129">
        <v>4451</v>
      </c>
    </row>
    <row r="4452" spans="1:1" ht="12.75" customHeight="1">
      <c r="A4452" s="129">
        <v>4452</v>
      </c>
    </row>
    <row r="4453" spans="1:1" ht="12.75" customHeight="1">
      <c r="A4453" s="129">
        <v>4453</v>
      </c>
    </row>
    <row r="4454" spans="1:1" ht="12.75" customHeight="1">
      <c r="A4454" s="129">
        <v>4454</v>
      </c>
    </row>
    <row r="4455" spans="1:1" ht="12.75" customHeight="1">
      <c r="A4455" s="129">
        <v>4455</v>
      </c>
    </row>
    <row r="4456" spans="1:1" ht="12.75" customHeight="1">
      <c r="A4456" s="129">
        <v>4456</v>
      </c>
    </row>
    <row r="4457" spans="1:1" ht="12.75" customHeight="1">
      <c r="A4457" s="129">
        <v>4457</v>
      </c>
    </row>
    <row r="4458" spans="1:1" ht="12.75" customHeight="1">
      <c r="A4458" s="129">
        <v>4458</v>
      </c>
    </row>
    <row r="4459" spans="1:1" ht="12.75" customHeight="1">
      <c r="A4459" s="129">
        <v>4459</v>
      </c>
    </row>
    <row r="4460" spans="1:1" ht="12.75" customHeight="1">
      <c r="A4460" s="129">
        <v>4460</v>
      </c>
    </row>
    <row r="4461" spans="1:1" ht="12.75" customHeight="1">
      <c r="A4461" s="129">
        <v>4461</v>
      </c>
    </row>
    <row r="4462" spans="1:1" ht="12.75" customHeight="1">
      <c r="A4462" s="129">
        <v>4462</v>
      </c>
    </row>
    <row r="4463" spans="1:1" ht="12.75" customHeight="1">
      <c r="A4463" s="129">
        <v>4463</v>
      </c>
    </row>
    <row r="4464" spans="1:1" ht="12.75" customHeight="1">
      <c r="A4464" s="129">
        <v>4464</v>
      </c>
    </row>
    <row r="4465" spans="1:1" ht="12.75" customHeight="1">
      <c r="A4465" s="129">
        <v>4465</v>
      </c>
    </row>
    <row r="4466" spans="1:1" ht="12.75" customHeight="1">
      <c r="A4466" s="129">
        <v>4466</v>
      </c>
    </row>
    <row r="4467" spans="1:1" ht="12.75" customHeight="1">
      <c r="A4467" s="129">
        <v>4467</v>
      </c>
    </row>
    <row r="4468" spans="1:1" ht="12.75" customHeight="1">
      <c r="A4468" s="129">
        <v>4468</v>
      </c>
    </row>
    <row r="4469" spans="1:1" ht="12.75" customHeight="1">
      <c r="A4469" s="129">
        <v>4469</v>
      </c>
    </row>
    <row r="4470" spans="1:1" ht="12.75" customHeight="1">
      <c r="A4470" s="129">
        <v>4470</v>
      </c>
    </row>
    <row r="4471" spans="1:1" ht="12.75" customHeight="1">
      <c r="A4471" s="129">
        <v>4471</v>
      </c>
    </row>
    <row r="4472" spans="1:1" ht="12.75" customHeight="1">
      <c r="A4472" s="129">
        <v>4472</v>
      </c>
    </row>
    <row r="4473" spans="1:1" ht="12.75" customHeight="1">
      <c r="A4473" s="129">
        <v>4473</v>
      </c>
    </row>
    <row r="4474" spans="1:1" ht="12.75" customHeight="1">
      <c r="A4474" s="129">
        <v>4474</v>
      </c>
    </row>
    <row r="4475" spans="1:1" ht="12.75" customHeight="1">
      <c r="A4475" s="129">
        <v>4475</v>
      </c>
    </row>
    <row r="4476" spans="1:1" ht="12.75" customHeight="1">
      <c r="A4476" s="129">
        <v>4476</v>
      </c>
    </row>
    <row r="4477" spans="1:1" ht="12.75" customHeight="1">
      <c r="A4477" s="129">
        <v>4477</v>
      </c>
    </row>
    <row r="4478" spans="1:1" ht="12.75" customHeight="1">
      <c r="A4478" s="129">
        <v>4478</v>
      </c>
    </row>
    <row r="4479" spans="1:1" ht="12.75" customHeight="1">
      <c r="A4479" s="129">
        <v>4479</v>
      </c>
    </row>
    <row r="4480" spans="1:1" ht="12.75" customHeight="1">
      <c r="A4480" s="129">
        <v>4480</v>
      </c>
    </row>
    <row r="4481" spans="1:1" ht="12.75" customHeight="1">
      <c r="A4481" s="129">
        <v>4481</v>
      </c>
    </row>
    <row r="4482" spans="1:1" ht="12.75" customHeight="1">
      <c r="A4482" s="129">
        <v>4482</v>
      </c>
    </row>
    <row r="4483" spans="1:1" ht="12.75" customHeight="1">
      <c r="A4483" s="129">
        <v>4483</v>
      </c>
    </row>
    <row r="4484" spans="1:1" ht="12.75" customHeight="1">
      <c r="A4484" s="129">
        <v>4484</v>
      </c>
    </row>
    <row r="4485" spans="1:1" ht="12.75" customHeight="1">
      <c r="A4485" s="129">
        <v>4485</v>
      </c>
    </row>
    <row r="4486" spans="1:1" ht="12.75" customHeight="1">
      <c r="A4486" s="129">
        <v>4486</v>
      </c>
    </row>
    <row r="4487" spans="1:1" ht="12.75" customHeight="1">
      <c r="A4487" s="129">
        <v>4487</v>
      </c>
    </row>
    <row r="4488" spans="1:1" ht="12.75" customHeight="1">
      <c r="A4488" s="129">
        <v>4488</v>
      </c>
    </row>
    <row r="4489" spans="1:1" ht="12.75" customHeight="1">
      <c r="A4489" s="129">
        <v>4489</v>
      </c>
    </row>
    <row r="4490" spans="1:1" ht="12.75" customHeight="1">
      <c r="A4490" s="129">
        <v>4490</v>
      </c>
    </row>
    <row r="4491" spans="1:1" ht="12.75" customHeight="1">
      <c r="A4491" s="129">
        <v>4491</v>
      </c>
    </row>
    <row r="4492" spans="1:1" ht="12.75" customHeight="1">
      <c r="A4492" s="129">
        <v>4492</v>
      </c>
    </row>
    <row r="4493" spans="1:1" ht="12.75" customHeight="1">
      <c r="A4493" s="129">
        <v>4493</v>
      </c>
    </row>
    <row r="4494" spans="1:1" ht="12.75" customHeight="1">
      <c r="A4494" s="129">
        <v>4494</v>
      </c>
    </row>
    <row r="4495" spans="1:1" ht="12.75" customHeight="1">
      <c r="A4495" s="129">
        <v>4495</v>
      </c>
    </row>
    <row r="4496" spans="1:1" ht="12.75" customHeight="1">
      <c r="A4496" s="129">
        <v>4496</v>
      </c>
    </row>
    <row r="4497" spans="1:1" ht="12.75" customHeight="1">
      <c r="A4497" s="129">
        <v>4497</v>
      </c>
    </row>
    <row r="4498" spans="1:1" ht="12.75" customHeight="1">
      <c r="A4498" s="129">
        <v>4498</v>
      </c>
    </row>
    <row r="4499" spans="1:1" ht="12.75" customHeight="1">
      <c r="A4499" s="129">
        <v>4499</v>
      </c>
    </row>
    <row r="4500" spans="1:1" ht="12.75" customHeight="1">
      <c r="A4500" s="129">
        <v>4500</v>
      </c>
    </row>
    <row r="4501" spans="1:1" ht="12.75" customHeight="1">
      <c r="A4501" s="129">
        <v>4501</v>
      </c>
    </row>
    <row r="4502" spans="1:1" ht="12.75" customHeight="1">
      <c r="A4502" s="129">
        <v>4502</v>
      </c>
    </row>
    <row r="4503" spans="1:1" ht="12.75" customHeight="1">
      <c r="A4503" s="129">
        <v>4503</v>
      </c>
    </row>
    <row r="4504" spans="1:1" ht="12.75" customHeight="1">
      <c r="A4504" s="129">
        <v>4504</v>
      </c>
    </row>
    <row r="4505" spans="1:1" ht="12.75" customHeight="1">
      <c r="A4505" s="129">
        <v>4505</v>
      </c>
    </row>
    <row r="4506" spans="1:1" ht="12.75" customHeight="1">
      <c r="A4506" s="129">
        <v>4506</v>
      </c>
    </row>
    <row r="4507" spans="1:1" ht="12.75" customHeight="1">
      <c r="A4507" s="129">
        <v>4507</v>
      </c>
    </row>
    <row r="4508" spans="1:1" ht="12.75" customHeight="1">
      <c r="A4508" s="129">
        <v>4508</v>
      </c>
    </row>
    <row r="4509" spans="1:1" ht="12.75" customHeight="1">
      <c r="A4509" s="129">
        <v>4509</v>
      </c>
    </row>
    <row r="4510" spans="1:1" ht="12.75" customHeight="1">
      <c r="A4510" s="129">
        <v>4510</v>
      </c>
    </row>
    <row r="4511" spans="1:1" ht="12.75" customHeight="1">
      <c r="A4511" s="129">
        <v>4511</v>
      </c>
    </row>
    <row r="4512" spans="1:1" ht="12.75" customHeight="1">
      <c r="A4512" s="129">
        <v>4512</v>
      </c>
    </row>
    <row r="4513" spans="1:1" ht="12.75" customHeight="1">
      <c r="A4513" s="129">
        <v>4513</v>
      </c>
    </row>
    <row r="4514" spans="1:1" ht="12.75" customHeight="1">
      <c r="A4514" s="129">
        <v>4514</v>
      </c>
    </row>
    <row r="4515" spans="1:1" ht="12.75" customHeight="1">
      <c r="A4515" s="129">
        <v>4515</v>
      </c>
    </row>
    <row r="4516" spans="1:1" ht="12.75" customHeight="1">
      <c r="A4516" s="129">
        <v>4516</v>
      </c>
    </row>
    <row r="4517" spans="1:1" ht="12.75" customHeight="1">
      <c r="A4517" s="129">
        <v>4517</v>
      </c>
    </row>
    <row r="4518" spans="1:1" ht="12.75" customHeight="1">
      <c r="A4518" s="129">
        <v>4518</v>
      </c>
    </row>
    <row r="4519" spans="1:1" ht="12.75" customHeight="1">
      <c r="A4519" s="129">
        <v>4519</v>
      </c>
    </row>
    <row r="4520" spans="1:1" ht="12.75" customHeight="1">
      <c r="A4520" s="129">
        <v>4520</v>
      </c>
    </row>
    <row r="4521" spans="1:1" ht="12.75" customHeight="1">
      <c r="A4521" s="129">
        <v>4521</v>
      </c>
    </row>
    <row r="4522" spans="1:1" ht="12.75" customHeight="1">
      <c r="A4522" s="129">
        <v>4522</v>
      </c>
    </row>
    <row r="4523" spans="1:1" ht="12.75" customHeight="1">
      <c r="A4523" s="129">
        <v>4523</v>
      </c>
    </row>
    <row r="4524" spans="1:1" ht="12.75" customHeight="1">
      <c r="A4524" s="129">
        <v>4524</v>
      </c>
    </row>
    <row r="4525" spans="1:1" ht="12.75" customHeight="1">
      <c r="A4525" s="129">
        <v>4525</v>
      </c>
    </row>
    <row r="4526" spans="1:1" ht="12.75" customHeight="1">
      <c r="A4526" s="129">
        <v>4526</v>
      </c>
    </row>
    <row r="4527" spans="1:1" ht="12.75" customHeight="1">
      <c r="A4527" s="129">
        <v>4527</v>
      </c>
    </row>
    <row r="4528" spans="1:1" ht="12.75" customHeight="1">
      <c r="A4528" s="129">
        <v>4528</v>
      </c>
    </row>
    <row r="4529" spans="1:1" ht="12.75" customHeight="1">
      <c r="A4529" s="129">
        <v>4529</v>
      </c>
    </row>
    <row r="4530" spans="1:1" ht="12.75" customHeight="1">
      <c r="A4530" s="129">
        <v>4530</v>
      </c>
    </row>
    <row r="4531" spans="1:1" ht="12.75" customHeight="1">
      <c r="A4531" s="129">
        <v>4531</v>
      </c>
    </row>
    <row r="4532" spans="1:1" ht="12.75" customHeight="1">
      <c r="A4532" s="129">
        <v>4532</v>
      </c>
    </row>
    <row r="4533" spans="1:1" ht="12.75" customHeight="1">
      <c r="A4533" s="129">
        <v>4533</v>
      </c>
    </row>
    <row r="4534" spans="1:1" ht="12.75" customHeight="1">
      <c r="A4534" s="129">
        <v>4534</v>
      </c>
    </row>
    <row r="4535" spans="1:1" ht="12.75" customHeight="1">
      <c r="A4535" s="129">
        <v>4535</v>
      </c>
    </row>
    <row r="4536" spans="1:1" ht="12.75" customHeight="1">
      <c r="A4536" s="129">
        <v>4536</v>
      </c>
    </row>
    <row r="4537" spans="1:1" ht="12.75" customHeight="1">
      <c r="A4537" s="129">
        <v>4537</v>
      </c>
    </row>
    <row r="4538" spans="1:1" ht="12.75" customHeight="1">
      <c r="A4538" s="129">
        <v>4538</v>
      </c>
    </row>
    <row r="4539" spans="1:1" ht="12.75" customHeight="1">
      <c r="A4539" s="129">
        <v>4539</v>
      </c>
    </row>
    <row r="4540" spans="1:1" ht="12.75" customHeight="1">
      <c r="A4540" s="129">
        <v>4540</v>
      </c>
    </row>
    <row r="4541" spans="1:1" ht="12.75" customHeight="1">
      <c r="A4541" s="129">
        <v>4541</v>
      </c>
    </row>
    <row r="4542" spans="1:1" ht="12.75" customHeight="1">
      <c r="A4542" s="129">
        <v>4542</v>
      </c>
    </row>
    <row r="4543" spans="1:1" ht="12.75" customHeight="1">
      <c r="A4543" s="129">
        <v>4543</v>
      </c>
    </row>
    <row r="4544" spans="1:1" ht="12.75" customHeight="1">
      <c r="A4544" s="129">
        <v>4544</v>
      </c>
    </row>
    <row r="4545" spans="1:1" ht="12.75" customHeight="1">
      <c r="A4545" s="129">
        <v>4545</v>
      </c>
    </row>
    <row r="4546" spans="1:1" ht="12.75" customHeight="1">
      <c r="A4546" s="129">
        <v>4546</v>
      </c>
    </row>
    <row r="4547" spans="1:1" ht="12.75" customHeight="1">
      <c r="A4547" s="129">
        <v>4547</v>
      </c>
    </row>
    <row r="4548" spans="1:1" ht="12.75" customHeight="1">
      <c r="A4548" s="129">
        <v>4548</v>
      </c>
    </row>
    <row r="4549" spans="1:1" ht="12.75" customHeight="1">
      <c r="A4549" s="129">
        <v>4549</v>
      </c>
    </row>
    <row r="4550" spans="1:1" ht="12.75" customHeight="1">
      <c r="A4550" s="129">
        <v>4550</v>
      </c>
    </row>
    <row r="4551" spans="1:1" ht="12.75" customHeight="1">
      <c r="A4551" s="129">
        <v>4551</v>
      </c>
    </row>
    <row r="4552" spans="1:1" ht="12.75" customHeight="1">
      <c r="A4552" s="129">
        <v>4552</v>
      </c>
    </row>
    <row r="4553" spans="1:1" ht="12.75" customHeight="1">
      <c r="A4553" s="129">
        <v>4553</v>
      </c>
    </row>
    <row r="4554" spans="1:1" ht="12.75" customHeight="1">
      <c r="A4554" s="129">
        <v>4554</v>
      </c>
    </row>
    <row r="4555" spans="1:1" ht="12.75" customHeight="1">
      <c r="A4555" s="129">
        <v>4555</v>
      </c>
    </row>
    <row r="4556" spans="1:1" ht="12.75" customHeight="1">
      <c r="A4556" s="129">
        <v>4556</v>
      </c>
    </row>
    <row r="4557" spans="1:1" ht="12.75" customHeight="1">
      <c r="A4557" s="129">
        <v>4557</v>
      </c>
    </row>
    <row r="4558" spans="1:1" ht="12.75" customHeight="1">
      <c r="A4558" s="129">
        <v>4558</v>
      </c>
    </row>
    <row r="4559" spans="1:1" ht="12.75" customHeight="1">
      <c r="A4559" s="129">
        <v>4559</v>
      </c>
    </row>
    <row r="4560" spans="1:1" ht="12.75" customHeight="1">
      <c r="A4560" s="129">
        <v>4560</v>
      </c>
    </row>
    <row r="4561" spans="1:1" ht="12.75" customHeight="1">
      <c r="A4561" s="129">
        <v>4561</v>
      </c>
    </row>
    <row r="4562" spans="1:1" ht="12.75" customHeight="1">
      <c r="A4562" s="129">
        <v>4562</v>
      </c>
    </row>
    <row r="4563" spans="1:1" ht="12.75" customHeight="1">
      <c r="A4563" s="129">
        <v>4563</v>
      </c>
    </row>
    <row r="4564" spans="1:1" ht="12.75" customHeight="1">
      <c r="A4564" s="129">
        <v>4564</v>
      </c>
    </row>
    <row r="4565" spans="1:1" ht="12.75" customHeight="1">
      <c r="A4565" s="129">
        <v>4565</v>
      </c>
    </row>
    <row r="4566" spans="1:1" ht="12.75" customHeight="1">
      <c r="A4566" s="129">
        <v>4566</v>
      </c>
    </row>
    <row r="4567" spans="1:1" ht="12.75" customHeight="1">
      <c r="A4567" s="129">
        <v>4567</v>
      </c>
    </row>
    <row r="4568" spans="1:1" ht="12.75" customHeight="1">
      <c r="A4568" s="129">
        <v>4568</v>
      </c>
    </row>
    <row r="4569" spans="1:1" ht="12.75" customHeight="1">
      <c r="A4569" s="129">
        <v>4569</v>
      </c>
    </row>
    <row r="4570" spans="1:1" ht="12.75" customHeight="1">
      <c r="A4570" s="129">
        <v>4570</v>
      </c>
    </row>
    <row r="4571" spans="1:1" ht="12.75" customHeight="1">
      <c r="A4571" s="129">
        <v>4571</v>
      </c>
    </row>
    <row r="4572" spans="1:1" ht="12.75" customHeight="1">
      <c r="A4572" s="129">
        <v>4572</v>
      </c>
    </row>
    <row r="4573" spans="1:1" ht="12.75" customHeight="1">
      <c r="A4573" s="129">
        <v>4573</v>
      </c>
    </row>
    <row r="4574" spans="1:1" ht="12.75" customHeight="1">
      <c r="A4574" s="129">
        <v>4574</v>
      </c>
    </row>
    <row r="4575" spans="1:1" ht="12.75" customHeight="1">
      <c r="A4575" s="129">
        <v>4575</v>
      </c>
    </row>
    <row r="4576" spans="1:1" ht="12.75" customHeight="1">
      <c r="A4576" s="129">
        <v>4576</v>
      </c>
    </row>
    <row r="4577" spans="1:1" ht="12.75" customHeight="1">
      <c r="A4577" s="129">
        <v>4577</v>
      </c>
    </row>
    <row r="4578" spans="1:1" ht="12.75" customHeight="1">
      <c r="A4578" s="129">
        <v>4578</v>
      </c>
    </row>
    <row r="4579" spans="1:1" ht="12.75" customHeight="1">
      <c r="A4579" s="129">
        <v>4579</v>
      </c>
    </row>
    <row r="4580" spans="1:1" ht="12.75" customHeight="1">
      <c r="A4580" s="129">
        <v>4580</v>
      </c>
    </row>
    <row r="4581" spans="1:1" ht="12.75" customHeight="1">
      <c r="A4581" s="129">
        <v>4581</v>
      </c>
    </row>
    <row r="4582" spans="1:1" ht="12.75" customHeight="1">
      <c r="A4582" s="129">
        <v>4582</v>
      </c>
    </row>
    <row r="4583" spans="1:1" ht="12.75" customHeight="1">
      <c r="A4583" s="129">
        <v>4583</v>
      </c>
    </row>
    <row r="4584" spans="1:1" ht="12.75" customHeight="1">
      <c r="A4584" s="129">
        <v>4584</v>
      </c>
    </row>
    <row r="4585" spans="1:1" ht="12.75" customHeight="1">
      <c r="A4585" s="129">
        <v>4585</v>
      </c>
    </row>
    <row r="4586" spans="1:1" ht="12.75" customHeight="1">
      <c r="A4586" s="129">
        <v>4586</v>
      </c>
    </row>
    <row r="4587" spans="1:1" ht="12.75" customHeight="1">
      <c r="A4587" s="129">
        <v>4587</v>
      </c>
    </row>
    <row r="4588" spans="1:1" ht="12.75" customHeight="1">
      <c r="A4588" s="129">
        <v>4588</v>
      </c>
    </row>
    <row r="4589" spans="1:1" ht="12.75" customHeight="1">
      <c r="A4589" s="129">
        <v>4589</v>
      </c>
    </row>
    <row r="4590" spans="1:1" ht="12.75" customHeight="1">
      <c r="A4590" s="129">
        <v>4590</v>
      </c>
    </row>
    <row r="4591" spans="1:1" ht="12.75" customHeight="1">
      <c r="A4591" s="129">
        <v>4591</v>
      </c>
    </row>
    <row r="4592" spans="1:1" ht="12.75" customHeight="1">
      <c r="A4592" s="129">
        <v>4592</v>
      </c>
    </row>
    <row r="4593" spans="1:1" ht="12.75" customHeight="1">
      <c r="A4593" s="129">
        <v>4593</v>
      </c>
    </row>
    <row r="4594" spans="1:1" ht="12.75" customHeight="1">
      <c r="A4594" s="129">
        <v>4594</v>
      </c>
    </row>
    <row r="4595" spans="1:1" ht="12.75" customHeight="1">
      <c r="A4595" s="129">
        <v>4595</v>
      </c>
    </row>
    <row r="4596" spans="1:1" ht="12.75" customHeight="1">
      <c r="A4596" s="129">
        <v>4596</v>
      </c>
    </row>
    <row r="4597" spans="1:1" ht="12.75" customHeight="1">
      <c r="A4597" s="129">
        <v>4597</v>
      </c>
    </row>
    <row r="4598" spans="1:1" ht="12.75" customHeight="1">
      <c r="A4598" s="129">
        <v>4598</v>
      </c>
    </row>
    <row r="4599" spans="1:1" ht="12.75" customHeight="1">
      <c r="A4599" s="129">
        <v>4599</v>
      </c>
    </row>
    <row r="4600" spans="1:1" ht="12.75" customHeight="1">
      <c r="A4600" s="129">
        <v>4600</v>
      </c>
    </row>
    <row r="4601" spans="1:1" ht="12.75" customHeight="1">
      <c r="A4601" s="129">
        <v>4601</v>
      </c>
    </row>
    <row r="4602" spans="1:1" ht="12.75" customHeight="1">
      <c r="A4602" s="129">
        <v>4602</v>
      </c>
    </row>
    <row r="4603" spans="1:1" ht="12.75" customHeight="1">
      <c r="A4603" s="129">
        <v>4603</v>
      </c>
    </row>
    <row r="4604" spans="1:1" ht="12.75" customHeight="1">
      <c r="A4604" s="129">
        <v>4604</v>
      </c>
    </row>
    <row r="4605" spans="1:1" ht="12.75" customHeight="1">
      <c r="A4605" s="129">
        <v>4605</v>
      </c>
    </row>
    <row r="4606" spans="1:1" ht="12.75" customHeight="1">
      <c r="A4606" s="129">
        <v>4606</v>
      </c>
    </row>
    <row r="4607" spans="1:1" ht="12.75" customHeight="1">
      <c r="A4607" s="129">
        <v>4607</v>
      </c>
    </row>
    <row r="4608" spans="1:1" ht="12.75" customHeight="1">
      <c r="A4608" s="129">
        <v>4608</v>
      </c>
    </row>
    <row r="4609" spans="1:1" ht="12.75" customHeight="1">
      <c r="A4609" s="129">
        <v>4609</v>
      </c>
    </row>
    <row r="4610" spans="1:1" ht="12.75" customHeight="1">
      <c r="A4610" s="129">
        <v>4610</v>
      </c>
    </row>
    <row r="4611" spans="1:1" ht="12.75" customHeight="1">
      <c r="A4611" s="129">
        <v>4611</v>
      </c>
    </row>
    <row r="4612" spans="1:1" ht="12.75" customHeight="1">
      <c r="A4612" s="129">
        <v>4612</v>
      </c>
    </row>
    <row r="4613" spans="1:1" ht="12.75" customHeight="1">
      <c r="A4613" s="129">
        <v>4613</v>
      </c>
    </row>
    <row r="4614" spans="1:1" ht="12.75" customHeight="1">
      <c r="A4614" s="129">
        <v>4614</v>
      </c>
    </row>
    <row r="4615" spans="1:1" ht="12.75" customHeight="1">
      <c r="A4615" s="129">
        <v>4615</v>
      </c>
    </row>
    <row r="4616" spans="1:1" ht="12.75" customHeight="1">
      <c r="A4616" s="129">
        <v>4616</v>
      </c>
    </row>
    <row r="4617" spans="1:1" ht="12.75" customHeight="1">
      <c r="A4617" s="129">
        <v>4617</v>
      </c>
    </row>
    <row r="4618" spans="1:1" ht="12.75" customHeight="1">
      <c r="A4618" s="129">
        <v>4618</v>
      </c>
    </row>
    <row r="4619" spans="1:1" ht="12.75" customHeight="1">
      <c r="A4619" s="129">
        <v>4619</v>
      </c>
    </row>
    <row r="4620" spans="1:1" ht="12.75" customHeight="1">
      <c r="A4620" s="129">
        <v>4620</v>
      </c>
    </row>
    <row r="4621" spans="1:1" ht="12.75" customHeight="1">
      <c r="A4621" s="129">
        <v>4621</v>
      </c>
    </row>
    <row r="4622" spans="1:1" ht="12.75" customHeight="1">
      <c r="A4622" s="129">
        <v>4622</v>
      </c>
    </row>
    <row r="4623" spans="1:1" ht="12.75" customHeight="1">
      <c r="A4623" s="129">
        <v>4623</v>
      </c>
    </row>
    <row r="4624" spans="1:1" ht="12.75" customHeight="1">
      <c r="A4624" s="129">
        <v>4624</v>
      </c>
    </row>
    <row r="4625" spans="1:1" ht="12.75" customHeight="1">
      <c r="A4625" s="129">
        <v>4625</v>
      </c>
    </row>
    <row r="4626" spans="1:1" ht="12.75" customHeight="1">
      <c r="A4626" s="129">
        <v>4626</v>
      </c>
    </row>
    <row r="4627" spans="1:1" ht="12.75" customHeight="1">
      <c r="A4627" s="129">
        <v>4627</v>
      </c>
    </row>
    <row r="4628" spans="1:1" ht="12.75" customHeight="1">
      <c r="A4628" s="129">
        <v>4628</v>
      </c>
    </row>
    <row r="4629" spans="1:1" ht="12.75" customHeight="1">
      <c r="A4629" s="129">
        <v>4629</v>
      </c>
    </row>
    <row r="4630" spans="1:1" ht="12.75" customHeight="1">
      <c r="A4630" s="129">
        <v>4630</v>
      </c>
    </row>
    <row r="4631" spans="1:1" ht="12.75" customHeight="1">
      <c r="A4631" s="129">
        <v>4631</v>
      </c>
    </row>
    <row r="4632" spans="1:1" ht="12.75" customHeight="1">
      <c r="A4632" s="129">
        <v>4632</v>
      </c>
    </row>
    <row r="4633" spans="1:1" ht="12.75" customHeight="1">
      <c r="A4633" s="129">
        <v>4633</v>
      </c>
    </row>
    <row r="4634" spans="1:1" ht="12.75" customHeight="1">
      <c r="A4634" s="129">
        <v>4634</v>
      </c>
    </row>
    <row r="4635" spans="1:1" ht="12.75" customHeight="1">
      <c r="A4635" s="129">
        <v>4635</v>
      </c>
    </row>
    <row r="4636" spans="1:1" ht="12.75" customHeight="1">
      <c r="A4636" s="129">
        <v>4636</v>
      </c>
    </row>
    <row r="4637" spans="1:1" ht="12.75" customHeight="1">
      <c r="A4637" s="129">
        <v>4637</v>
      </c>
    </row>
    <row r="4638" spans="1:1" ht="12.75" customHeight="1">
      <c r="A4638" s="129">
        <v>4638</v>
      </c>
    </row>
    <row r="4639" spans="1:1" ht="12.75" customHeight="1">
      <c r="A4639" s="129">
        <v>4639</v>
      </c>
    </row>
    <row r="4640" spans="1:1" ht="12.75" customHeight="1">
      <c r="A4640" s="129">
        <v>4640</v>
      </c>
    </row>
    <row r="4641" spans="1:1" ht="12.75" customHeight="1">
      <c r="A4641" s="129">
        <v>4641</v>
      </c>
    </row>
    <row r="4642" spans="1:1" ht="12.75" customHeight="1">
      <c r="A4642" s="129">
        <v>4642</v>
      </c>
    </row>
    <row r="4643" spans="1:1" ht="12.75" customHeight="1">
      <c r="A4643" s="129">
        <v>4643</v>
      </c>
    </row>
    <row r="4644" spans="1:1" ht="12.75" customHeight="1">
      <c r="A4644" s="129">
        <v>4644</v>
      </c>
    </row>
    <row r="4645" spans="1:1" ht="12.75" customHeight="1">
      <c r="A4645" s="129">
        <v>4645</v>
      </c>
    </row>
    <row r="4646" spans="1:1" ht="12.75" customHeight="1">
      <c r="A4646" s="129">
        <v>4646</v>
      </c>
    </row>
    <row r="4647" spans="1:1" ht="12.75" customHeight="1">
      <c r="A4647" s="129">
        <v>4647</v>
      </c>
    </row>
    <row r="4648" spans="1:1" ht="12.75" customHeight="1">
      <c r="A4648" s="129">
        <v>4648</v>
      </c>
    </row>
    <row r="4649" spans="1:1" ht="12.75" customHeight="1">
      <c r="A4649" s="129">
        <v>4649</v>
      </c>
    </row>
    <row r="4650" spans="1:1" ht="12.75" customHeight="1">
      <c r="A4650" s="129">
        <v>4650</v>
      </c>
    </row>
    <row r="4651" spans="1:1" ht="12.75" customHeight="1">
      <c r="A4651" s="129">
        <v>4651</v>
      </c>
    </row>
    <row r="4652" spans="1:1" ht="12.75" customHeight="1">
      <c r="A4652" s="129">
        <v>4652</v>
      </c>
    </row>
    <row r="4653" spans="1:1" ht="12.75" customHeight="1">
      <c r="A4653" s="129">
        <v>4653</v>
      </c>
    </row>
    <row r="4654" spans="1:1" ht="12.75" customHeight="1">
      <c r="A4654" s="129">
        <v>4654</v>
      </c>
    </row>
    <row r="4655" spans="1:1" ht="12.75" customHeight="1">
      <c r="A4655" s="129">
        <v>4655</v>
      </c>
    </row>
    <row r="4656" spans="1:1" ht="12.75" customHeight="1">
      <c r="A4656" s="129">
        <v>4656</v>
      </c>
    </row>
    <row r="4657" spans="1:1" ht="12.75" customHeight="1">
      <c r="A4657" s="129">
        <v>4657</v>
      </c>
    </row>
    <row r="4658" spans="1:1" ht="12.75" customHeight="1">
      <c r="A4658" s="129">
        <v>4658</v>
      </c>
    </row>
    <row r="4659" spans="1:1" ht="12.75" customHeight="1">
      <c r="A4659" s="129">
        <v>4659</v>
      </c>
    </row>
    <row r="4660" spans="1:1" ht="12.75" customHeight="1">
      <c r="A4660" s="129">
        <v>4660</v>
      </c>
    </row>
    <row r="4661" spans="1:1" ht="12.75" customHeight="1">
      <c r="A4661" s="129">
        <v>4661</v>
      </c>
    </row>
    <row r="4662" spans="1:1" ht="12.75" customHeight="1">
      <c r="A4662" s="129">
        <v>4662</v>
      </c>
    </row>
    <row r="4663" spans="1:1" ht="12.75" customHeight="1">
      <c r="A4663" s="129">
        <v>4663</v>
      </c>
    </row>
    <row r="4664" spans="1:1" ht="12.75" customHeight="1">
      <c r="A4664" s="129">
        <v>4664</v>
      </c>
    </row>
    <row r="4665" spans="1:1" ht="12.75" customHeight="1">
      <c r="A4665" s="129">
        <v>4665</v>
      </c>
    </row>
    <row r="4666" spans="1:1" ht="12.75" customHeight="1">
      <c r="A4666" s="129">
        <v>4666</v>
      </c>
    </row>
    <row r="4667" spans="1:1" ht="12.75" customHeight="1">
      <c r="A4667" s="129">
        <v>4667</v>
      </c>
    </row>
    <row r="4668" spans="1:1" ht="12.75" customHeight="1">
      <c r="A4668" s="129">
        <v>4668</v>
      </c>
    </row>
    <row r="4669" spans="1:1" ht="12.75" customHeight="1">
      <c r="A4669" s="129">
        <v>4669</v>
      </c>
    </row>
    <row r="4670" spans="1:1" ht="12.75" customHeight="1">
      <c r="A4670" s="129">
        <v>4670</v>
      </c>
    </row>
    <row r="4671" spans="1:1" ht="12.75" customHeight="1">
      <c r="A4671" s="129">
        <v>4671</v>
      </c>
    </row>
    <row r="4672" spans="1:1" ht="12.75" customHeight="1">
      <c r="A4672" s="129">
        <v>4672</v>
      </c>
    </row>
    <row r="4673" spans="1:1" ht="12.75" customHeight="1">
      <c r="A4673" s="129">
        <v>4673</v>
      </c>
    </row>
    <row r="4674" spans="1:1" ht="12.75" customHeight="1">
      <c r="A4674" s="129">
        <v>4674</v>
      </c>
    </row>
    <row r="4675" spans="1:1" ht="12.75" customHeight="1">
      <c r="A4675" s="129">
        <v>4675</v>
      </c>
    </row>
    <row r="4676" spans="1:1" ht="12.75" customHeight="1">
      <c r="A4676" s="129">
        <v>4676</v>
      </c>
    </row>
    <row r="4677" spans="1:1" ht="12.75" customHeight="1">
      <c r="A4677" s="129">
        <v>4677</v>
      </c>
    </row>
    <row r="4678" spans="1:1" ht="12.75" customHeight="1">
      <c r="A4678" s="129">
        <v>4678</v>
      </c>
    </row>
    <row r="4679" spans="1:1" ht="12.75" customHeight="1">
      <c r="A4679" s="129">
        <v>4679</v>
      </c>
    </row>
    <row r="4680" spans="1:1" ht="12.75" customHeight="1">
      <c r="A4680" s="129">
        <v>4680</v>
      </c>
    </row>
    <row r="4681" spans="1:1" ht="12.75" customHeight="1">
      <c r="A4681" s="129">
        <v>4681</v>
      </c>
    </row>
    <row r="4682" spans="1:1" ht="12.75" customHeight="1">
      <c r="A4682" s="129">
        <v>4682</v>
      </c>
    </row>
    <row r="4683" spans="1:1" ht="12.75" customHeight="1">
      <c r="A4683" s="129">
        <v>4683</v>
      </c>
    </row>
    <row r="4684" spans="1:1" ht="12.75" customHeight="1">
      <c r="A4684" s="129">
        <v>4684</v>
      </c>
    </row>
    <row r="4685" spans="1:1" ht="12.75" customHeight="1">
      <c r="A4685" s="129">
        <v>4685</v>
      </c>
    </row>
    <row r="4686" spans="1:1" ht="12.75" customHeight="1">
      <c r="A4686" s="129">
        <v>4686</v>
      </c>
    </row>
    <row r="4687" spans="1:1" ht="12.75" customHeight="1">
      <c r="A4687" s="129">
        <v>4687</v>
      </c>
    </row>
    <row r="4688" spans="1:1" ht="12.75" customHeight="1">
      <c r="A4688" s="129">
        <v>4688</v>
      </c>
    </row>
    <row r="4689" spans="1:1" ht="12.75" customHeight="1">
      <c r="A4689" s="129">
        <v>4689</v>
      </c>
    </row>
    <row r="4690" spans="1:1" ht="12.75" customHeight="1">
      <c r="A4690" s="129">
        <v>4690</v>
      </c>
    </row>
    <row r="4691" spans="1:1" ht="12.75" customHeight="1">
      <c r="A4691" s="129">
        <v>4691</v>
      </c>
    </row>
    <row r="4692" spans="1:1" ht="12.75" customHeight="1">
      <c r="A4692" s="129">
        <v>4692</v>
      </c>
    </row>
    <row r="4693" spans="1:1" ht="12.75" customHeight="1">
      <c r="A4693" s="129">
        <v>4693</v>
      </c>
    </row>
    <row r="4694" spans="1:1" ht="12.75" customHeight="1">
      <c r="A4694" s="129">
        <v>4694</v>
      </c>
    </row>
    <row r="4695" spans="1:1" ht="12.75" customHeight="1">
      <c r="A4695" s="129">
        <v>4695</v>
      </c>
    </row>
    <row r="4696" spans="1:1" ht="12.75" customHeight="1">
      <c r="A4696" s="129">
        <v>4696</v>
      </c>
    </row>
    <row r="4697" spans="1:1" ht="12.75" customHeight="1">
      <c r="A4697" s="129">
        <v>4697</v>
      </c>
    </row>
    <row r="4698" spans="1:1" ht="12.75" customHeight="1">
      <c r="A4698" s="129">
        <v>4698</v>
      </c>
    </row>
    <row r="4699" spans="1:1" ht="12.75" customHeight="1">
      <c r="A4699" s="129">
        <v>4699</v>
      </c>
    </row>
    <row r="4700" spans="1:1" ht="12.75" customHeight="1">
      <c r="A4700" s="129">
        <v>4700</v>
      </c>
    </row>
    <row r="4701" spans="1:1" ht="12.75" customHeight="1">
      <c r="A4701" s="129">
        <v>4701</v>
      </c>
    </row>
    <row r="4702" spans="1:1" ht="12.75" customHeight="1">
      <c r="A4702" s="129">
        <v>4702</v>
      </c>
    </row>
    <row r="4703" spans="1:1" ht="12.75" customHeight="1">
      <c r="A4703" s="129">
        <v>4703</v>
      </c>
    </row>
    <row r="4704" spans="1:1" ht="12.75" customHeight="1">
      <c r="A4704" s="129">
        <v>4704</v>
      </c>
    </row>
    <row r="4705" spans="1:1" ht="12.75" customHeight="1">
      <c r="A4705" s="129">
        <v>4705</v>
      </c>
    </row>
    <row r="4706" spans="1:1" ht="12.75" customHeight="1">
      <c r="A4706" s="129">
        <v>4706</v>
      </c>
    </row>
    <row r="4707" spans="1:1" ht="12.75" customHeight="1">
      <c r="A4707" s="129">
        <v>4707</v>
      </c>
    </row>
    <row r="4708" spans="1:1" ht="12.75" customHeight="1">
      <c r="A4708" s="129">
        <v>4708</v>
      </c>
    </row>
    <row r="4709" spans="1:1" ht="12.75" customHeight="1">
      <c r="A4709" s="129">
        <v>4709</v>
      </c>
    </row>
    <row r="4710" spans="1:1" ht="12.75" customHeight="1">
      <c r="A4710" s="129">
        <v>4710</v>
      </c>
    </row>
    <row r="4711" spans="1:1" ht="12.75" customHeight="1">
      <c r="A4711" s="129">
        <v>4711</v>
      </c>
    </row>
    <row r="4712" spans="1:1" ht="12.75" customHeight="1">
      <c r="A4712" s="129">
        <v>4712</v>
      </c>
    </row>
    <row r="4713" spans="1:1" ht="12.75" customHeight="1">
      <c r="A4713" s="129">
        <v>4713</v>
      </c>
    </row>
    <row r="4714" spans="1:1" ht="12.75" customHeight="1">
      <c r="A4714" s="129">
        <v>4714</v>
      </c>
    </row>
    <row r="4715" spans="1:1" ht="12.75" customHeight="1">
      <c r="A4715" s="129">
        <v>4715</v>
      </c>
    </row>
    <row r="4716" spans="1:1" ht="12.75" customHeight="1">
      <c r="A4716" s="129">
        <v>4716</v>
      </c>
    </row>
    <row r="4717" spans="1:1" ht="12.75" customHeight="1">
      <c r="A4717" s="129">
        <v>4717</v>
      </c>
    </row>
    <row r="4718" spans="1:1" ht="12.75" customHeight="1">
      <c r="A4718" s="129">
        <v>4718</v>
      </c>
    </row>
    <row r="4719" spans="1:1" ht="12.75" customHeight="1">
      <c r="A4719" s="129">
        <v>4719</v>
      </c>
    </row>
    <row r="4720" spans="1:1" ht="12.75" customHeight="1">
      <c r="A4720" s="129">
        <v>4720</v>
      </c>
    </row>
    <row r="4721" spans="1:1" ht="12.75" customHeight="1">
      <c r="A4721" s="129">
        <v>4721</v>
      </c>
    </row>
    <row r="4722" spans="1:1" ht="12.75" customHeight="1">
      <c r="A4722" s="129">
        <v>4722</v>
      </c>
    </row>
    <row r="4723" spans="1:1" ht="12.75" customHeight="1">
      <c r="A4723" s="129">
        <v>4723</v>
      </c>
    </row>
    <row r="4724" spans="1:1" ht="12.75" customHeight="1">
      <c r="A4724" s="129">
        <v>4724</v>
      </c>
    </row>
    <row r="4725" spans="1:1" ht="12.75" customHeight="1">
      <c r="A4725" s="129">
        <v>4725</v>
      </c>
    </row>
    <row r="4726" spans="1:1" ht="12.75" customHeight="1">
      <c r="A4726" s="129">
        <v>4726</v>
      </c>
    </row>
    <row r="4727" spans="1:1" ht="12.75" customHeight="1">
      <c r="A4727" s="129">
        <v>4727</v>
      </c>
    </row>
    <row r="4728" spans="1:1" ht="12.75" customHeight="1">
      <c r="A4728" s="129">
        <v>4728</v>
      </c>
    </row>
    <row r="4729" spans="1:1" ht="12.75" customHeight="1">
      <c r="A4729" s="129">
        <v>4729</v>
      </c>
    </row>
    <row r="4730" spans="1:1" ht="12.75" customHeight="1">
      <c r="A4730" s="129">
        <v>4730</v>
      </c>
    </row>
    <row r="4731" spans="1:1" ht="12.75" customHeight="1">
      <c r="A4731" s="129">
        <v>4731</v>
      </c>
    </row>
    <row r="4732" spans="1:1" ht="12.75" customHeight="1">
      <c r="A4732" s="129">
        <v>4732</v>
      </c>
    </row>
    <row r="4733" spans="1:1" ht="12.75" customHeight="1">
      <c r="A4733" s="129">
        <v>4733</v>
      </c>
    </row>
    <row r="4734" spans="1:1" ht="12.75" customHeight="1">
      <c r="A4734" s="129">
        <v>4734</v>
      </c>
    </row>
    <row r="4735" spans="1:1" ht="12.75" customHeight="1">
      <c r="A4735" s="129">
        <v>4735</v>
      </c>
    </row>
    <row r="4736" spans="1:1" ht="12.75" customHeight="1">
      <c r="A4736" s="129">
        <v>4736</v>
      </c>
    </row>
    <row r="4737" spans="1:1" ht="12.75" customHeight="1">
      <c r="A4737" s="129">
        <v>4737</v>
      </c>
    </row>
    <row r="4738" spans="1:1" ht="12.75" customHeight="1">
      <c r="A4738" s="129">
        <v>4738</v>
      </c>
    </row>
    <row r="4739" spans="1:1" ht="12.75" customHeight="1">
      <c r="A4739" s="129">
        <v>4739</v>
      </c>
    </row>
    <row r="4740" spans="1:1" ht="12.75" customHeight="1">
      <c r="A4740" s="129">
        <v>4740</v>
      </c>
    </row>
    <row r="4741" spans="1:1" ht="12.75" customHeight="1">
      <c r="A4741" s="129">
        <v>4741</v>
      </c>
    </row>
    <row r="4742" spans="1:1" ht="12.75" customHeight="1">
      <c r="A4742" s="129">
        <v>4742</v>
      </c>
    </row>
    <row r="4743" spans="1:1" ht="12.75" customHeight="1">
      <c r="A4743" s="129">
        <v>4743</v>
      </c>
    </row>
    <row r="4744" spans="1:1" ht="12.75" customHeight="1">
      <c r="A4744" s="129">
        <v>4744</v>
      </c>
    </row>
    <row r="4745" spans="1:1" ht="12.75" customHeight="1">
      <c r="A4745" s="129">
        <v>4745</v>
      </c>
    </row>
    <row r="4746" spans="1:1" ht="12.75" customHeight="1">
      <c r="A4746" s="129">
        <v>4746</v>
      </c>
    </row>
    <row r="4747" spans="1:1" ht="12.75" customHeight="1">
      <c r="A4747" s="129">
        <v>4747</v>
      </c>
    </row>
    <row r="4748" spans="1:1" ht="12.75" customHeight="1">
      <c r="A4748" s="129">
        <v>4748</v>
      </c>
    </row>
    <row r="4749" spans="1:1" ht="12.75" customHeight="1">
      <c r="A4749" s="129">
        <v>4749</v>
      </c>
    </row>
    <row r="4750" spans="1:1" ht="12.75" customHeight="1">
      <c r="A4750" s="129">
        <v>4750</v>
      </c>
    </row>
    <row r="4751" spans="1:1" ht="12.75" customHeight="1">
      <c r="A4751" s="129">
        <v>4751</v>
      </c>
    </row>
    <row r="4752" spans="1:1" ht="12.75" customHeight="1">
      <c r="A4752" s="129">
        <v>4752</v>
      </c>
    </row>
    <row r="4753" spans="1:1" ht="12.75" customHeight="1">
      <c r="A4753" s="129">
        <v>4753</v>
      </c>
    </row>
    <row r="4754" spans="1:1" ht="12.75" customHeight="1">
      <c r="A4754" s="129">
        <v>4754</v>
      </c>
    </row>
    <row r="4755" spans="1:1" ht="12.75" customHeight="1">
      <c r="A4755" s="129">
        <v>4755</v>
      </c>
    </row>
    <row r="4756" spans="1:1" ht="12.75" customHeight="1">
      <c r="A4756" s="129">
        <v>4756</v>
      </c>
    </row>
    <row r="4757" spans="1:1" ht="12.75" customHeight="1">
      <c r="A4757" s="129">
        <v>4757</v>
      </c>
    </row>
    <row r="4758" spans="1:1" ht="12.75" customHeight="1">
      <c r="A4758" s="129">
        <v>4758</v>
      </c>
    </row>
    <row r="4759" spans="1:1" ht="12.75" customHeight="1">
      <c r="A4759" s="129">
        <v>4759</v>
      </c>
    </row>
    <row r="4760" spans="1:1" ht="12.75" customHeight="1">
      <c r="A4760" s="129">
        <v>4760</v>
      </c>
    </row>
    <row r="4761" spans="1:1" ht="12.75" customHeight="1">
      <c r="A4761" s="129">
        <v>4761</v>
      </c>
    </row>
    <row r="4762" spans="1:1" ht="12.75" customHeight="1">
      <c r="A4762" s="129">
        <v>4762</v>
      </c>
    </row>
    <row r="4763" spans="1:1" ht="12.75" customHeight="1">
      <c r="A4763" s="129">
        <v>4763</v>
      </c>
    </row>
    <row r="4764" spans="1:1" ht="12.75" customHeight="1">
      <c r="A4764" s="129">
        <v>4764</v>
      </c>
    </row>
    <row r="4765" spans="1:1" ht="12.75" customHeight="1">
      <c r="A4765" s="129">
        <v>4765</v>
      </c>
    </row>
    <row r="4766" spans="1:1" ht="12.75" customHeight="1">
      <c r="A4766" s="129">
        <v>4766</v>
      </c>
    </row>
    <row r="4767" spans="1:1" ht="12.75" customHeight="1">
      <c r="A4767" s="129">
        <v>4767</v>
      </c>
    </row>
    <row r="4768" spans="1:1" ht="12.75" customHeight="1">
      <c r="A4768" s="129">
        <v>4768</v>
      </c>
    </row>
    <row r="4769" spans="1:1" ht="12.75" customHeight="1">
      <c r="A4769" s="129">
        <v>4769</v>
      </c>
    </row>
    <row r="4770" spans="1:1" ht="12.75" customHeight="1">
      <c r="A4770" s="129">
        <v>4770</v>
      </c>
    </row>
    <row r="4771" spans="1:1" ht="12.75" customHeight="1">
      <c r="A4771" s="129">
        <v>4771</v>
      </c>
    </row>
    <row r="4772" spans="1:1" ht="12.75" customHeight="1">
      <c r="A4772" s="129">
        <v>4772</v>
      </c>
    </row>
    <row r="4773" spans="1:1" ht="12.75" customHeight="1">
      <c r="A4773" s="129">
        <v>4773</v>
      </c>
    </row>
    <row r="4774" spans="1:1" ht="12.75" customHeight="1">
      <c r="A4774" s="129">
        <v>4774</v>
      </c>
    </row>
    <row r="4775" spans="1:1" ht="12.75" customHeight="1">
      <c r="A4775" s="129">
        <v>4775</v>
      </c>
    </row>
    <row r="4776" spans="1:1" ht="12.75" customHeight="1">
      <c r="A4776" s="129">
        <v>4776</v>
      </c>
    </row>
    <row r="4777" spans="1:1" ht="12.75" customHeight="1">
      <c r="A4777" s="129">
        <v>4777</v>
      </c>
    </row>
    <row r="4778" spans="1:1" ht="12.75" customHeight="1">
      <c r="A4778" s="129">
        <v>4778</v>
      </c>
    </row>
    <row r="4779" spans="1:1" ht="12.75" customHeight="1">
      <c r="A4779" s="129">
        <v>4779</v>
      </c>
    </row>
    <row r="4780" spans="1:1" ht="12.75" customHeight="1">
      <c r="A4780" s="129">
        <v>4780</v>
      </c>
    </row>
    <row r="4781" spans="1:1" ht="12.75" customHeight="1">
      <c r="A4781" s="129">
        <v>4781</v>
      </c>
    </row>
    <row r="4782" spans="1:1" ht="12.75" customHeight="1">
      <c r="A4782" s="129">
        <v>4782</v>
      </c>
    </row>
    <row r="4783" spans="1:1" ht="12.75" customHeight="1">
      <c r="A4783" s="129">
        <v>4783</v>
      </c>
    </row>
    <row r="4784" spans="1:1" ht="12.75" customHeight="1">
      <c r="A4784" s="129">
        <v>4784</v>
      </c>
    </row>
    <row r="4785" spans="1:1" ht="12.75" customHeight="1">
      <c r="A4785" s="129">
        <v>4785</v>
      </c>
    </row>
    <row r="4786" spans="1:1" ht="12.75" customHeight="1">
      <c r="A4786" s="129">
        <v>4786</v>
      </c>
    </row>
    <row r="4787" spans="1:1" ht="12.75" customHeight="1">
      <c r="A4787" s="129">
        <v>4787</v>
      </c>
    </row>
    <row r="4788" spans="1:1" ht="12.75" customHeight="1">
      <c r="A4788" s="129">
        <v>4788</v>
      </c>
    </row>
    <row r="4789" spans="1:1" ht="12.75" customHeight="1">
      <c r="A4789" s="129">
        <v>4789</v>
      </c>
    </row>
    <row r="4790" spans="1:1" ht="12.75" customHeight="1">
      <c r="A4790" s="129">
        <v>4790</v>
      </c>
    </row>
    <row r="4791" spans="1:1" ht="12.75" customHeight="1">
      <c r="A4791" s="129">
        <v>4791</v>
      </c>
    </row>
    <row r="4792" spans="1:1" ht="12.75" customHeight="1">
      <c r="A4792" s="129">
        <v>4792</v>
      </c>
    </row>
    <row r="4793" spans="1:1" ht="12.75" customHeight="1">
      <c r="A4793" s="129">
        <v>4793</v>
      </c>
    </row>
    <row r="4794" spans="1:1" ht="12.75" customHeight="1">
      <c r="A4794" s="129">
        <v>4794</v>
      </c>
    </row>
    <row r="4795" spans="1:1" ht="12.75" customHeight="1">
      <c r="A4795" s="129">
        <v>4795</v>
      </c>
    </row>
    <row r="4796" spans="1:1" ht="12.75" customHeight="1">
      <c r="A4796" s="129">
        <v>4796</v>
      </c>
    </row>
    <row r="4797" spans="1:1" ht="12.75" customHeight="1">
      <c r="A4797" s="129">
        <v>4797</v>
      </c>
    </row>
    <row r="4798" spans="1:1" ht="12.75" customHeight="1">
      <c r="A4798" s="129">
        <v>4798</v>
      </c>
    </row>
    <row r="4799" spans="1:1" ht="12.75" customHeight="1">
      <c r="A4799" s="129">
        <v>4799</v>
      </c>
    </row>
    <row r="4800" spans="1:1" ht="12.75" customHeight="1">
      <c r="A4800" s="129">
        <v>4800</v>
      </c>
    </row>
    <row r="4801" spans="1:1" ht="12.75" customHeight="1">
      <c r="A4801" s="129">
        <v>4801</v>
      </c>
    </row>
    <row r="4802" spans="1:1" ht="12.75" customHeight="1">
      <c r="A4802" s="129">
        <v>4802</v>
      </c>
    </row>
    <row r="4803" spans="1:1" ht="12.75" customHeight="1">
      <c r="A4803" s="129">
        <v>4803</v>
      </c>
    </row>
    <row r="4804" spans="1:1" ht="12.75" customHeight="1">
      <c r="A4804" s="129">
        <v>4804</v>
      </c>
    </row>
    <row r="4805" spans="1:1" ht="12.75" customHeight="1">
      <c r="A4805" s="129">
        <v>4805</v>
      </c>
    </row>
    <row r="4806" spans="1:1" ht="12.75" customHeight="1">
      <c r="A4806" s="129">
        <v>4806</v>
      </c>
    </row>
    <row r="4807" spans="1:1" ht="12.75" customHeight="1">
      <c r="A4807" s="129">
        <v>4807</v>
      </c>
    </row>
    <row r="4808" spans="1:1" ht="12.75" customHeight="1">
      <c r="A4808" s="129">
        <v>4808</v>
      </c>
    </row>
    <row r="4809" spans="1:1" ht="12.75" customHeight="1">
      <c r="A4809" s="129">
        <v>4809</v>
      </c>
    </row>
    <row r="4810" spans="1:1" ht="12.75" customHeight="1">
      <c r="A4810" s="129">
        <v>4810</v>
      </c>
    </row>
    <row r="4811" spans="1:1" ht="12.75" customHeight="1">
      <c r="A4811" s="129">
        <v>4811</v>
      </c>
    </row>
    <row r="4812" spans="1:1" ht="12.75" customHeight="1">
      <c r="A4812" s="129">
        <v>4812</v>
      </c>
    </row>
    <row r="4813" spans="1:1" ht="12.75" customHeight="1">
      <c r="A4813" s="129">
        <v>4813</v>
      </c>
    </row>
    <row r="4814" spans="1:1" ht="12.75" customHeight="1">
      <c r="A4814" s="129">
        <v>4814</v>
      </c>
    </row>
    <row r="4815" spans="1:1" ht="12.75" customHeight="1">
      <c r="A4815" s="129">
        <v>4815</v>
      </c>
    </row>
    <row r="4816" spans="1:1" ht="12.75" customHeight="1">
      <c r="A4816" s="129">
        <v>4816</v>
      </c>
    </row>
    <row r="4817" spans="1:1" ht="12.75" customHeight="1">
      <c r="A4817" s="129">
        <v>4817</v>
      </c>
    </row>
    <row r="4818" spans="1:1" ht="12.75" customHeight="1">
      <c r="A4818" s="129">
        <v>4818</v>
      </c>
    </row>
    <row r="4819" spans="1:1" ht="12.75" customHeight="1">
      <c r="A4819" s="129">
        <v>4819</v>
      </c>
    </row>
    <row r="4820" spans="1:1" ht="12.75" customHeight="1">
      <c r="A4820" s="129">
        <v>4820</v>
      </c>
    </row>
    <row r="4821" spans="1:1" ht="12.75" customHeight="1">
      <c r="A4821" s="129">
        <v>4821</v>
      </c>
    </row>
    <row r="4822" spans="1:1" ht="12.75" customHeight="1">
      <c r="A4822" s="129">
        <v>4822</v>
      </c>
    </row>
    <row r="4823" spans="1:1" ht="12.75" customHeight="1">
      <c r="A4823" s="129">
        <v>4823</v>
      </c>
    </row>
    <row r="4824" spans="1:1" ht="12.75" customHeight="1">
      <c r="A4824" s="129">
        <v>4824</v>
      </c>
    </row>
    <row r="4825" spans="1:1" ht="12.75" customHeight="1">
      <c r="A4825" s="129">
        <v>4825</v>
      </c>
    </row>
    <row r="4826" spans="1:1" ht="12.75" customHeight="1">
      <c r="A4826" s="129">
        <v>4826</v>
      </c>
    </row>
    <row r="4827" spans="1:1" ht="12.75" customHeight="1">
      <c r="A4827" s="129">
        <v>4827</v>
      </c>
    </row>
    <row r="4828" spans="1:1" ht="12.75" customHeight="1">
      <c r="A4828" s="129">
        <v>4828</v>
      </c>
    </row>
    <row r="4829" spans="1:1" ht="12.75" customHeight="1">
      <c r="A4829" s="129">
        <v>4829</v>
      </c>
    </row>
    <row r="4830" spans="1:1" ht="12.75" customHeight="1">
      <c r="A4830" s="129">
        <v>4830</v>
      </c>
    </row>
    <row r="4831" spans="1:1" ht="12.75" customHeight="1">
      <c r="A4831" s="129">
        <v>4831</v>
      </c>
    </row>
    <row r="4832" spans="1:1" ht="12.75" customHeight="1">
      <c r="A4832" s="129">
        <v>4832</v>
      </c>
    </row>
    <row r="4833" spans="1:1" ht="12.75" customHeight="1">
      <c r="A4833" s="129">
        <v>4833</v>
      </c>
    </row>
    <row r="4834" spans="1:1" ht="12.75" customHeight="1">
      <c r="A4834" s="129">
        <v>4834</v>
      </c>
    </row>
    <row r="4835" spans="1:1" ht="12.75" customHeight="1">
      <c r="A4835" s="129">
        <v>4835</v>
      </c>
    </row>
    <row r="4836" spans="1:1" ht="12.75" customHeight="1">
      <c r="A4836" s="129">
        <v>4836</v>
      </c>
    </row>
    <row r="4837" spans="1:1" ht="12.75" customHeight="1">
      <c r="A4837" s="129">
        <v>4837</v>
      </c>
    </row>
    <row r="4838" spans="1:1" ht="12.75" customHeight="1">
      <c r="A4838" s="129">
        <v>4838</v>
      </c>
    </row>
    <row r="4839" spans="1:1" ht="12.75" customHeight="1">
      <c r="A4839" s="129">
        <v>4839</v>
      </c>
    </row>
    <row r="4840" spans="1:1" ht="12.75" customHeight="1">
      <c r="A4840" s="129">
        <v>4840</v>
      </c>
    </row>
    <row r="4841" spans="1:1" ht="12.75" customHeight="1">
      <c r="A4841" s="129">
        <v>4841</v>
      </c>
    </row>
    <row r="4842" spans="1:1" ht="12.75" customHeight="1">
      <c r="A4842" s="129">
        <v>4842</v>
      </c>
    </row>
    <row r="4843" spans="1:1" ht="12.75" customHeight="1">
      <c r="A4843" s="129">
        <v>4843</v>
      </c>
    </row>
    <row r="4844" spans="1:1" ht="12.75" customHeight="1">
      <c r="A4844" s="129">
        <v>4844</v>
      </c>
    </row>
    <row r="4845" spans="1:1" ht="12.75" customHeight="1">
      <c r="A4845" s="129">
        <v>4845</v>
      </c>
    </row>
    <row r="4846" spans="1:1" ht="12.75" customHeight="1">
      <c r="A4846" s="129">
        <v>4846</v>
      </c>
    </row>
    <row r="4847" spans="1:1" ht="12.75" customHeight="1">
      <c r="A4847" s="129">
        <v>4847</v>
      </c>
    </row>
    <row r="4848" spans="1:1" ht="12.75" customHeight="1">
      <c r="A4848" s="129">
        <v>4848</v>
      </c>
    </row>
    <row r="4849" spans="1:1" ht="12.75" customHeight="1">
      <c r="A4849" s="129">
        <v>4849</v>
      </c>
    </row>
    <row r="4850" spans="1:1" ht="12.75" customHeight="1">
      <c r="A4850" s="129">
        <v>4850</v>
      </c>
    </row>
    <row r="4851" spans="1:1" ht="12.75" customHeight="1">
      <c r="A4851" s="129">
        <v>4851</v>
      </c>
    </row>
    <row r="4852" spans="1:1" ht="12.75" customHeight="1">
      <c r="A4852" s="129">
        <v>4852</v>
      </c>
    </row>
    <row r="4853" spans="1:1" ht="12.75" customHeight="1">
      <c r="A4853" s="129">
        <v>4853</v>
      </c>
    </row>
    <row r="4854" spans="1:1" ht="12.75" customHeight="1">
      <c r="A4854" s="129">
        <v>4854</v>
      </c>
    </row>
    <row r="4855" spans="1:1" ht="12.75" customHeight="1">
      <c r="A4855" s="129">
        <v>4855</v>
      </c>
    </row>
    <row r="4856" spans="1:1" ht="12.75" customHeight="1">
      <c r="A4856" s="129">
        <v>4856</v>
      </c>
    </row>
    <row r="4857" spans="1:1" ht="12.75" customHeight="1">
      <c r="A4857" s="129">
        <v>4857</v>
      </c>
    </row>
    <row r="4858" spans="1:1" ht="12.75" customHeight="1">
      <c r="A4858" s="129">
        <v>4858</v>
      </c>
    </row>
    <row r="4859" spans="1:1" ht="12.75" customHeight="1">
      <c r="A4859" s="129">
        <v>4859</v>
      </c>
    </row>
    <row r="4860" spans="1:1" ht="12.75" customHeight="1">
      <c r="A4860" s="129">
        <v>4860</v>
      </c>
    </row>
    <row r="4861" spans="1:1" ht="12.75" customHeight="1">
      <c r="A4861" s="129">
        <v>4861</v>
      </c>
    </row>
    <row r="4862" spans="1:1" ht="12.75" customHeight="1">
      <c r="A4862" s="129">
        <v>4862</v>
      </c>
    </row>
    <row r="4863" spans="1:1" ht="12.75" customHeight="1">
      <c r="A4863" s="129">
        <v>4863</v>
      </c>
    </row>
    <row r="4864" spans="1:1" ht="12.75" customHeight="1">
      <c r="A4864" s="129">
        <v>4864</v>
      </c>
    </row>
    <row r="4865" spans="1:1" ht="12.75" customHeight="1">
      <c r="A4865" s="129">
        <v>4865</v>
      </c>
    </row>
    <row r="4866" spans="1:1" ht="12.75" customHeight="1">
      <c r="A4866" s="129">
        <v>4866</v>
      </c>
    </row>
    <row r="4867" spans="1:1" ht="12.75" customHeight="1">
      <c r="A4867" s="129">
        <v>4867</v>
      </c>
    </row>
    <row r="4868" spans="1:1" ht="12.75" customHeight="1">
      <c r="A4868" s="129">
        <v>4868</v>
      </c>
    </row>
    <row r="4869" spans="1:1" ht="12.75" customHeight="1">
      <c r="A4869" s="129">
        <v>4869</v>
      </c>
    </row>
    <row r="4870" spans="1:1" ht="12.75" customHeight="1">
      <c r="A4870" s="129">
        <v>4870</v>
      </c>
    </row>
    <row r="4871" spans="1:1" ht="12.75" customHeight="1">
      <c r="A4871" s="129">
        <v>4871</v>
      </c>
    </row>
    <row r="4872" spans="1:1" ht="12.75" customHeight="1">
      <c r="A4872" s="129">
        <v>4872</v>
      </c>
    </row>
    <row r="4873" spans="1:1" ht="12.75" customHeight="1">
      <c r="A4873" s="129">
        <v>4873</v>
      </c>
    </row>
    <row r="4874" spans="1:1" ht="12.75" customHeight="1">
      <c r="A4874" s="129">
        <v>4874</v>
      </c>
    </row>
    <row r="4875" spans="1:1" ht="12.75" customHeight="1">
      <c r="A4875" s="129">
        <v>4875</v>
      </c>
    </row>
    <row r="4876" spans="1:1" ht="12.75" customHeight="1">
      <c r="A4876" s="129">
        <v>4876</v>
      </c>
    </row>
    <row r="4877" spans="1:1" ht="12.75" customHeight="1">
      <c r="A4877" s="129">
        <v>4877</v>
      </c>
    </row>
    <row r="4878" spans="1:1" ht="12.75" customHeight="1">
      <c r="A4878" s="129">
        <v>4878</v>
      </c>
    </row>
    <row r="4879" spans="1:1" ht="12.75" customHeight="1">
      <c r="A4879" s="129">
        <v>4879</v>
      </c>
    </row>
    <row r="4880" spans="1:1" ht="12.75" customHeight="1">
      <c r="A4880" s="129">
        <v>4880</v>
      </c>
    </row>
    <row r="4881" spans="1:1" ht="12.75" customHeight="1">
      <c r="A4881" s="129">
        <v>4881</v>
      </c>
    </row>
    <row r="4882" spans="1:1" ht="12.75" customHeight="1">
      <c r="A4882" s="129">
        <v>4882</v>
      </c>
    </row>
    <row r="4883" spans="1:1" ht="12.75" customHeight="1">
      <c r="A4883" s="129">
        <v>4883</v>
      </c>
    </row>
    <row r="4884" spans="1:1" ht="12.75" customHeight="1">
      <c r="A4884" s="129">
        <v>4884</v>
      </c>
    </row>
    <row r="4885" spans="1:1" ht="12.75" customHeight="1">
      <c r="A4885" s="129">
        <v>4885</v>
      </c>
    </row>
    <row r="4886" spans="1:1" ht="12.75" customHeight="1">
      <c r="A4886" s="129">
        <v>4886</v>
      </c>
    </row>
    <row r="4887" spans="1:1" ht="12.75" customHeight="1">
      <c r="A4887" s="129">
        <v>4887</v>
      </c>
    </row>
    <row r="4888" spans="1:1" ht="12.75" customHeight="1">
      <c r="A4888" s="129">
        <v>4888</v>
      </c>
    </row>
    <row r="4889" spans="1:1" ht="12.75" customHeight="1">
      <c r="A4889" s="129">
        <v>4889</v>
      </c>
    </row>
    <row r="4890" spans="1:1" ht="12.75" customHeight="1">
      <c r="A4890" s="129">
        <v>4890</v>
      </c>
    </row>
    <row r="4891" spans="1:1" ht="12.75" customHeight="1">
      <c r="A4891" s="129">
        <v>4891</v>
      </c>
    </row>
    <row r="4892" spans="1:1" ht="12.75" customHeight="1">
      <c r="A4892" s="129">
        <v>4892</v>
      </c>
    </row>
    <row r="4893" spans="1:1" ht="12.75" customHeight="1">
      <c r="A4893" s="129">
        <v>4893</v>
      </c>
    </row>
    <row r="4894" spans="1:1" ht="12.75" customHeight="1">
      <c r="A4894" s="129">
        <v>4894</v>
      </c>
    </row>
    <row r="4895" spans="1:1" ht="12.75" customHeight="1">
      <c r="A4895" s="129">
        <v>4895</v>
      </c>
    </row>
    <row r="4896" spans="1:1" ht="12.75" customHeight="1">
      <c r="A4896" s="129">
        <v>4896</v>
      </c>
    </row>
    <row r="4897" spans="1:1" ht="12.75" customHeight="1">
      <c r="A4897" s="129">
        <v>4897</v>
      </c>
    </row>
    <row r="4898" spans="1:1" ht="12.75" customHeight="1">
      <c r="A4898" s="129">
        <v>4898</v>
      </c>
    </row>
    <row r="4899" spans="1:1" ht="12.75" customHeight="1">
      <c r="A4899" s="129">
        <v>4899</v>
      </c>
    </row>
    <row r="4900" spans="1:1" ht="12.75" customHeight="1">
      <c r="A4900" s="129">
        <v>4900</v>
      </c>
    </row>
    <row r="4901" spans="1:1" ht="12.75" customHeight="1">
      <c r="A4901" s="129">
        <v>4901</v>
      </c>
    </row>
    <row r="4902" spans="1:1" ht="12.75" customHeight="1">
      <c r="A4902" s="129">
        <v>4902</v>
      </c>
    </row>
    <row r="4903" spans="1:1" ht="12.75" customHeight="1">
      <c r="A4903" s="129">
        <v>4903</v>
      </c>
    </row>
    <row r="4904" spans="1:1" ht="12.75" customHeight="1">
      <c r="A4904" s="129">
        <v>4904</v>
      </c>
    </row>
    <row r="4905" spans="1:1" ht="12.75" customHeight="1">
      <c r="A4905" s="129">
        <v>4905</v>
      </c>
    </row>
    <row r="4906" spans="1:1" ht="12.75" customHeight="1">
      <c r="A4906" s="129">
        <v>4906</v>
      </c>
    </row>
    <row r="4907" spans="1:1" ht="12.75" customHeight="1">
      <c r="A4907" s="129">
        <v>4907</v>
      </c>
    </row>
    <row r="4908" spans="1:1" ht="12.75" customHeight="1">
      <c r="A4908" s="129">
        <v>4908</v>
      </c>
    </row>
    <row r="4909" spans="1:1" ht="12.75" customHeight="1">
      <c r="A4909" s="129">
        <v>4909</v>
      </c>
    </row>
    <row r="4910" spans="1:1" ht="12.75" customHeight="1">
      <c r="A4910" s="129">
        <v>4910</v>
      </c>
    </row>
    <row r="4911" spans="1:1" ht="12.75" customHeight="1">
      <c r="A4911" s="129">
        <v>4911</v>
      </c>
    </row>
    <row r="4912" spans="1:1" ht="12.75" customHeight="1">
      <c r="A4912" s="129">
        <v>4912</v>
      </c>
    </row>
    <row r="4913" spans="1:1" ht="12.75" customHeight="1">
      <c r="A4913" s="129">
        <v>4913</v>
      </c>
    </row>
    <row r="4914" spans="1:1" ht="12.75" customHeight="1">
      <c r="A4914" s="129">
        <v>4914</v>
      </c>
    </row>
    <row r="4915" spans="1:1" ht="12.75" customHeight="1">
      <c r="A4915" s="129">
        <v>4915</v>
      </c>
    </row>
    <row r="4916" spans="1:1" ht="12.75" customHeight="1">
      <c r="A4916" s="129">
        <v>4916</v>
      </c>
    </row>
    <row r="4917" spans="1:1" ht="12.75" customHeight="1">
      <c r="A4917" s="129">
        <v>4917</v>
      </c>
    </row>
    <row r="4918" spans="1:1" ht="12.75" customHeight="1">
      <c r="A4918" s="129">
        <v>4918</v>
      </c>
    </row>
    <row r="4919" spans="1:1" ht="12.75" customHeight="1">
      <c r="A4919" s="129">
        <v>4919</v>
      </c>
    </row>
    <row r="4920" spans="1:1" ht="12.75" customHeight="1">
      <c r="A4920" s="129">
        <v>4920</v>
      </c>
    </row>
    <row r="4921" spans="1:1" ht="12.75" customHeight="1">
      <c r="A4921" s="129">
        <v>4921</v>
      </c>
    </row>
    <row r="4922" spans="1:1" ht="12.75" customHeight="1">
      <c r="A4922" s="129">
        <v>4922</v>
      </c>
    </row>
    <row r="4923" spans="1:1" ht="12.75" customHeight="1">
      <c r="A4923" s="129">
        <v>4923</v>
      </c>
    </row>
    <row r="4924" spans="1:1" ht="12.75" customHeight="1">
      <c r="A4924" s="129">
        <v>4924</v>
      </c>
    </row>
    <row r="4925" spans="1:1" ht="12.75" customHeight="1">
      <c r="A4925" s="129">
        <v>4925</v>
      </c>
    </row>
    <row r="4926" spans="1:1" ht="12.75" customHeight="1">
      <c r="A4926" s="129">
        <v>4926</v>
      </c>
    </row>
    <row r="4927" spans="1:1" ht="12.75" customHeight="1">
      <c r="A4927" s="129">
        <v>4927</v>
      </c>
    </row>
    <row r="4928" spans="1:1" ht="12.75" customHeight="1">
      <c r="A4928" s="129">
        <v>4928</v>
      </c>
    </row>
    <row r="4929" spans="1:1" ht="12.75" customHeight="1">
      <c r="A4929" s="129">
        <v>4929</v>
      </c>
    </row>
    <row r="4930" spans="1:1" ht="12.75" customHeight="1">
      <c r="A4930" s="129">
        <v>4930</v>
      </c>
    </row>
    <row r="4931" spans="1:1" ht="12.75" customHeight="1">
      <c r="A4931" s="129">
        <v>4931</v>
      </c>
    </row>
    <row r="4932" spans="1:1" ht="12.75" customHeight="1">
      <c r="A4932" s="129">
        <v>4932</v>
      </c>
    </row>
    <row r="4933" spans="1:1" ht="12.75" customHeight="1">
      <c r="A4933" s="129">
        <v>4933</v>
      </c>
    </row>
    <row r="4934" spans="1:1" ht="12.75" customHeight="1">
      <c r="A4934" s="129">
        <v>4934</v>
      </c>
    </row>
    <row r="4935" spans="1:1" ht="12.75" customHeight="1">
      <c r="A4935" s="129">
        <v>4935</v>
      </c>
    </row>
    <row r="4936" spans="1:1" ht="12.75" customHeight="1">
      <c r="A4936" s="129">
        <v>4936</v>
      </c>
    </row>
    <row r="4937" spans="1:1" ht="12.75" customHeight="1">
      <c r="A4937" s="129">
        <v>4937</v>
      </c>
    </row>
    <row r="4938" spans="1:1" ht="12.75" customHeight="1">
      <c r="A4938" s="129">
        <v>4938</v>
      </c>
    </row>
    <row r="4939" spans="1:1" ht="12.75" customHeight="1">
      <c r="A4939" s="129">
        <v>4939</v>
      </c>
    </row>
    <row r="4940" spans="1:1" ht="12.75" customHeight="1">
      <c r="A4940" s="129">
        <v>4940</v>
      </c>
    </row>
    <row r="4941" spans="1:1" ht="12.75" customHeight="1">
      <c r="A4941" s="129">
        <v>4941</v>
      </c>
    </row>
    <row r="4942" spans="1:1" ht="12.75" customHeight="1">
      <c r="A4942" s="129">
        <v>4942</v>
      </c>
    </row>
    <row r="4943" spans="1:1" ht="12.75" customHeight="1">
      <c r="A4943" s="129">
        <v>4943</v>
      </c>
    </row>
    <row r="4944" spans="1:1" ht="12.75" customHeight="1">
      <c r="A4944" s="129">
        <v>4944</v>
      </c>
    </row>
    <row r="4945" spans="1:1" ht="12.75" customHeight="1">
      <c r="A4945" s="129">
        <v>4945</v>
      </c>
    </row>
    <row r="4946" spans="1:1" ht="12.75" customHeight="1">
      <c r="A4946" s="129">
        <v>4946</v>
      </c>
    </row>
    <row r="4947" spans="1:1" ht="12.75" customHeight="1">
      <c r="A4947" s="129">
        <v>4947</v>
      </c>
    </row>
    <row r="4948" spans="1:1" ht="12.75" customHeight="1">
      <c r="A4948" s="129">
        <v>4948</v>
      </c>
    </row>
    <row r="4949" spans="1:1" ht="12.75" customHeight="1">
      <c r="A4949" s="129">
        <v>4949</v>
      </c>
    </row>
    <row r="4950" spans="1:1" ht="12.75" customHeight="1">
      <c r="A4950" s="129">
        <v>4950</v>
      </c>
    </row>
    <row r="4951" spans="1:1" ht="12.75" customHeight="1">
      <c r="A4951" s="129">
        <v>4951</v>
      </c>
    </row>
    <row r="4952" spans="1:1" ht="12.75" customHeight="1">
      <c r="A4952" s="129">
        <v>4952</v>
      </c>
    </row>
    <row r="4953" spans="1:1" ht="12.75" customHeight="1">
      <c r="A4953" s="129">
        <v>4953</v>
      </c>
    </row>
    <row r="4954" spans="1:1" ht="12.75" customHeight="1">
      <c r="A4954" s="129">
        <v>4954</v>
      </c>
    </row>
    <row r="4955" spans="1:1" ht="12.75" customHeight="1">
      <c r="A4955" s="129">
        <v>4955</v>
      </c>
    </row>
    <row r="4956" spans="1:1" ht="12.75" customHeight="1">
      <c r="A4956" s="129">
        <v>4956</v>
      </c>
    </row>
    <row r="4957" spans="1:1" ht="12.75" customHeight="1">
      <c r="A4957" s="129">
        <v>4957</v>
      </c>
    </row>
    <row r="4958" spans="1:1" ht="12.75" customHeight="1">
      <c r="A4958" s="129">
        <v>4958</v>
      </c>
    </row>
    <row r="4959" spans="1:1" ht="12.75" customHeight="1">
      <c r="A4959" s="129">
        <v>4959</v>
      </c>
    </row>
    <row r="4960" spans="1:1" ht="12.75" customHeight="1">
      <c r="A4960" s="129">
        <v>4960</v>
      </c>
    </row>
    <row r="4961" spans="1:1" ht="12.75" customHeight="1">
      <c r="A4961" s="129">
        <v>4961</v>
      </c>
    </row>
    <row r="4962" spans="1:1" ht="12.75" customHeight="1">
      <c r="A4962" s="129">
        <v>4962</v>
      </c>
    </row>
    <row r="4963" spans="1:1" ht="12.75" customHeight="1">
      <c r="A4963" s="129">
        <v>4963</v>
      </c>
    </row>
    <row r="4964" spans="1:1" ht="12.75" customHeight="1">
      <c r="A4964" s="129">
        <v>4964</v>
      </c>
    </row>
    <row r="4965" spans="1:1" ht="12.75" customHeight="1">
      <c r="A4965" s="129">
        <v>4965</v>
      </c>
    </row>
    <row r="4966" spans="1:1" ht="12.75" customHeight="1">
      <c r="A4966" s="129">
        <v>4966</v>
      </c>
    </row>
    <row r="4967" spans="1:1" ht="12.75" customHeight="1">
      <c r="A4967" s="129">
        <v>4967</v>
      </c>
    </row>
    <row r="4968" spans="1:1" ht="12.75" customHeight="1">
      <c r="A4968" s="129">
        <v>4968</v>
      </c>
    </row>
    <row r="4969" spans="1:1" ht="12.75" customHeight="1">
      <c r="A4969" s="129">
        <v>4969</v>
      </c>
    </row>
    <row r="4970" spans="1:1" ht="12.75" customHeight="1">
      <c r="A4970" s="129">
        <v>4970</v>
      </c>
    </row>
    <row r="4971" spans="1:1" ht="12.75" customHeight="1">
      <c r="A4971" s="129">
        <v>4971</v>
      </c>
    </row>
    <row r="4972" spans="1:1" ht="12.75" customHeight="1">
      <c r="A4972" s="129">
        <v>4972</v>
      </c>
    </row>
    <row r="4973" spans="1:1" ht="12.75" customHeight="1">
      <c r="A4973" s="129">
        <v>4973</v>
      </c>
    </row>
    <row r="4974" spans="1:1" ht="12.75" customHeight="1">
      <c r="A4974" s="129">
        <v>4974</v>
      </c>
    </row>
    <row r="4975" spans="1:1" ht="12.75" customHeight="1">
      <c r="A4975" s="129">
        <v>4975</v>
      </c>
    </row>
    <row r="4976" spans="1:1" ht="12.75" customHeight="1">
      <c r="A4976" s="129">
        <v>4976</v>
      </c>
    </row>
    <row r="4977" spans="1:1" ht="12.75" customHeight="1">
      <c r="A4977" s="129">
        <v>4977</v>
      </c>
    </row>
    <row r="4978" spans="1:1" ht="12.75" customHeight="1">
      <c r="A4978" s="129">
        <v>4978</v>
      </c>
    </row>
    <row r="4979" spans="1:1" ht="12.75" customHeight="1">
      <c r="A4979" s="129">
        <v>4979</v>
      </c>
    </row>
    <row r="4980" spans="1:1" ht="12.75" customHeight="1">
      <c r="A4980" s="129">
        <v>4980</v>
      </c>
    </row>
    <row r="4981" spans="1:1" ht="12.75" customHeight="1">
      <c r="A4981" s="129">
        <v>4981</v>
      </c>
    </row>
    <row r="4982" spans="1:1" ht="12.75" customHeight="1">
      <c r="A4982" s="129">
        <v>4982</v>
      </c>
    </row>
    <row r="4983" spans="1:1" ht="12.75" customHeight="1">
      <c r="A4983" s="129">
        <v>4983</v>
      </c>
    </row>
    <row r="4984" spans="1:1" ht="12.75" customHeight="1">
      <c r="A4984" s="129">
        <v>4984</v>
      </c>
    </row>
    <row r="4985" spans="1:1" ht="12.75" customHeight="1">
      <c r="A4985" s="129">
        <v>4985</v>
      </c>
    </row>
    <row r="4986" spans="1:1" ht="12.75" customHeight="1">
      <c r="A4986" s="129">
        <v>4986</v>
      </c>
    </row>
    <row r="4987" spans="1:1" ht="12.75" customHeight="1">
      <c r="A4987" s="129">
        <v>4987</v>
      </c>
    </row>
    <row r="4988" spans="1:1" ht="12.75" customHeight="1">
      <c r="A4988" s="129">
        <v>4988</v>
      </c>
    </row>
    <row r="4989" spans="1:1" ht="12.75" customHeight="1">
      <c r="A4989" s="129">
        <v>4989</v>
      </c>
    </row>
    <row r="4990" spans="1:1" ht="12.75" customHeight="1">
      <c r="A4990" s="129">
        <v>4990</v>
      </c>
    </row>
    <row r="4991" spans="1:1" ht="12.75" customHeight="1">
      <c r="A4991" s="129">
        <v>4991</v>
      </c>
    </row>
    <row r="4992" spans="1:1" ht="12.75" customHeight="1">
      <c r="A4992" s="129">
        <v>4992</v>
      </c>
    </row>
    <row r="4993" spans="1:1" ht="12.75" customHeight="1">
      <c r="A4993" s="129">
        <v>4993</v>
      </c>
    </row>
    <row r="4994" spans="1:1" ht="12.75" customHeight="1">
      <c r="A4994" s="129">
        <v>4994</v>
      </c>
    </row>
    <row r="4995" spans="1:1" ht="12.75" customHeight="1">
      <c r="A4995" s="129">
        <v>4995</v>
      </c>
    </row>
    <row r="4996" spans="1:1" ht="12.75" customHeight="1">
      <c r="A4996" s="129">
        <v>4996</v>
      </c>
    </row>
    <row r="4997" spans="1:1" ht="12.75" customHeight="1">
      <c r="A4997" s="129">
        <v>4997</v>
      </c>
    </row>
    <row r="4998" spans="1:1" ht="12.75" customHeight="1">
      <c r="A4998" s="129">
        <v>4998</v>
      </c>
    </row>
    <row r="4999" spans="1:1" ht="12.75" customHeight="1">
      <c r="A4999" s="129">
        <v>4999</v>
      </c>
    </row>
    <row r="5000" spans="1:1" ht="12.75" customHeight="1">
      <c r="A5000" s="129">
        <v>5000</v>
      </c>
    </row>
    <row r="5001" spans="1:1" ht="12.75" customHeight="1">
      <c r="A5001" s="129">
        <v>5001</v>
      </c>
    </row>
    <row r="5002" spans="1:1" ht="12.75" customHeight="1">
      <c r="A5002" s="129">
        <v>5002</v>
      </c>
    </row>
    <row r="5003" spans="1:1" ht="12.75" customHeight="1">
      <c r="A5003" s="129">
        <v>5003</v>
      </c>
    </row>
    <row r="5004" spans="1:1" ht="12.75" customHeight="1">
      <c r="A5004" s="129">
        <v>5004</v>
      </c>
    </row>
    <row r="5005" spans="1:1" ht="12.75" customHeight="1">
      <c r="A5005" s="129">
        <v>5005</v>
      </c>
    </row>
    <row r="5006" spans="1:1" ht="12.75" customHeight="1">
      <c r="A5006" s="129">
        <v>5006</v>
      </c>
    </row>
    <row r="5007" spans="1:1" ht="12.75" customHeight="1">
      <c r="A5007" s="129">
        <v>5007</v>
      </c>
    </row>
    <row r="5008" spans="1:1" ht="12.75" customHeight="1">
      <c r="A5008" s="129">
        <v>5008</v>
      </c>
    </row>
    <row r="5009" spans="1:1" ht="12.75" customHeight="1">
      <c r="A5009" s="129">
        <v>5009</v>
      </c>
    </row>
    <row r="5010" spans="1:1" ht="12.75" customHeight="1">
      <c r="A5010" s="129">
        <v>5010</v>
      </c>
    </row>
    <row r="5011" spans="1:1" ht="12.75" customHeight="1">
      <c r="A5011" s="129">
        <v>5011</v>
      </c>
    </row>
    <row r="5012" spans="1:1" ht="12.75" customHeight="1">
      <c r="A5012" s="129">
        <v>5012</v>
      </c>
    </row>
    <row r="5013" spans="1:1" ht="12.75" customHeight="1">
      <c r="A5013" s="129">
        <v>5013</v>
      </c>
    </row>
    <row r="5014" spans="1:1" ht="12.75" customHeight="1">
      <c r="A5014" s="129">
        <v>5014</v>
      </c>
    </row>
    <row r="5015" spans="1:1" ht="12.75" customHeight="1">
      <c r="A5015" s="129">
        <v>5015</v>
      </c>
    </row>
    <row r="5016" spans="1:1" ht="12.75" customHeight="1">
      <c r="A5016" s="129">
        <v>5016</v>
      </c>
    </row>
    <row r="5017" spans="1:1" ht="12.75" customHeight="1">
      <c r="A5017" s="129">
        <v>5017</v>
      </c>
    </row>
    <row r="5018" spans="1:1" ht="12.75" customHeight="1">
      <c r="A5018" s="129">
        <v>5018</v>
      </c>
    </row>
    <row r="5019" spans="1:1" ht="12.75" customHeight="1">
      <c r="A5019" s="129">
        <v>5019</v>
      </c>
    </row>
    <row r="5020" spans="1:1" ht="12.75" customHeight="1">
      <c r="A5020" s="129">
        <v>5020</v>
      </c>
    </row>
    <row r="5021" spans="1:1" ht="12.75" customHeight="1">
      <c r="A5021" s="129">
        <v>5021</v>
      </c>
    </row>
    <row r="5022" spans="1:1" ht="12.75" customHeight="1">
      <c r="A5022" s="129">
        <v>5022</v>
      </c>
    </row>
    <row r="5023" spans="1:1" ht="12.75" customHeight="1">
      <c r="A5023" s="129">
        <v>5023</v>
      </c>
    </row>
    <row r="5024" spans="1:1" ht="12.75" customHeight="1">
      <c r="A5024" s="129">
        <v>5024</v>
      </c>
    </row>
    <row r="5025" spans="1:1" ht="12.75" customHeight="1">
      <c r="A5025" s="129">
        <v>5025</v>
      </c>
    </row>
    <row r="5026" spans="1:1" ht="12.75" customHeight="1">
      <c r="A5026" s="129">
        <v>5026</v>
      </c>
    </row>
    <row r="5027" spans="1:1" ht="12.75" customHeight="1">
      <c r="A5027" s="129">
        <v>5027</v>
      </c>
    </row>
    <row r="5028" spans="1:1" ht="12.75" customHeight="1">
      <c r="A5028" s="129">
        <v>5028</v>
      </c>
    </row>
    <row r="5029" spans="1:1" ht="12.75" customHeight="1">
      <c r="A5029" s="129">
        <v>5029</v>
      </c>
    </row>
    <row r="5030" spans="1:1" ht="12.75" customHeight="1">
      <c r="A5030" s="129">
        <v>5030</v>
      </c>
    </row>
    <row r="5031" spans="1:1" ht="12.75" customHeight="1">
      <c r="A5031" s="129">
        <v>5031</v>
      </c>
    </row>
    <row r="5032" spans="1:1" ht="12.75" customHeight="1">
      <c r="A5032" s="129">
        <v>5032</v>
      </c>
    </row>
    <row r="5033" spans="1:1" ht="12.75" customHeight="1">
      <c r="A5033" s="129">
        <v>5033</v>
      </c>
    </row>
    <row r="5034" spans="1:1" ht="12.75" customHeight="1">
      <c r="A5034" s="129">
        <v>5034</v>
      </c>
    </row>
    <row r="5035" spans="1:1" ht="12.75" customHeight="1">
      <c r="A5035" s="129">
        <v>5035</v>
      </c>
    </row>
    <row r="5036" spans="1:1" ht="12.75" customHeight="1">
      <c r="A5036" s="129">
        <v>5036</v>
      </c>
    </row>
    <row r="5037" spans="1:1" ht="12.75" customHeight="1">
      <c r="A5037" s="129">
        <v>5037</v>
      </c>
    </row>
    <row r="5038" spans="1:1" ht="12.75" customHeight="1">
      <c r="A5038" s="129">
        <v>5038</v>
      </c>
    </row>
    <row r="5039" spans="1:1" ht="12.75" customHeight="1">
      <c r="A5039" s="129">
        <v>5039</v>
      </c>
    </row>
    <row r="5040" spans="1:1" ht="12.75" customHeight="1">
      <c r="A5040" s="129">
        <v>5040</v>
      </c>
    </row>
    <row r="5041" spans="1:1" ht="12.75" customHeight="1">
      <c r="A5041" s="129">
        <v>5041</v>
      </c>
    </row>
    <row r="5042" spans="1:1" ht="12.75" customHeight="1">
      <c r="A5042" s="129">
        <v>5042</v>
      </c>
    </row>
    <row r="5043" spans="1:1" ht="12.75" customHeight="1">
      <c r="A5043" s="129">
        <v>5043</v>
      </c>
    </row>
    <row r="5044" spans="1:1" ht="12.75" customHeight="1">
      <c r="A5044" s="129">
        <v>5044</v>
      </c>
    </row>
    <row r="5045" spans="1:1" ht="12.75" customHeight="1">
      <c r="A5045" s="129">
        <v>5045</v>
      </c>
    </row>
    <row r="5046" spans="1:1" ht="12.75" customHeight="1">
      <c r="A5046" s="129">
        <v>5046</v>
      </c>
    </row>
    <row r="5047" spans="1:1" ht="12.75" customHeight="1">
      <c r="A5047" s="129">
        <v>5047</v>
      </c>
    </row>
    <row r="5048" spans="1:1" ht="12.75" customHeight="1">
      <c r="A5048" s="129">
        <v>5048</v>
      </c>
    </row>
    <row r="5049" spans="1:1" ht="12.75" customHeight="1">
      <c r="A5049" s="129">
        <v>5049</v>
      </c>
    </row>
    <row r="5050" spans="1:1" ht="12.75" customHeight="1">
      <c r="A5050" s="129">
        <v>5050</v>
      </c>
    </row>
    <row r="5051" spans="1:1" ht="12.75" customHeight="1">
      <c r="A5051" s="129">
        <v>5051</v>
      </c>
    </row>
    <row r="5052" spans="1:1" ht="12.75" customHeight="1">
      <c r="A5052" s="129">
        <v>5052</v>
      </c>
    </row>
    <row r="5053" spans="1:1" ht="12.75" customHeight="1">
      <c r="A5053" s="129">
        <v>5053</v>
      </c>
    </row>
    <row r="5054" spans="1:1" ht="12.75" customHeight="1">
      <c r="A5054" s="129">
        <v>5054</v>
      </c>
    </row>
    <row r="5055" spans="1:1" ht="12.75" customHeight="1">
      <c r="A5055" s="129">
        <v>5055</v>
      </c>
    </row>
    <row r="5056" spans="1:1" ht="12.75" customHeight="1">
      <c r="A5056" s="129">
        <v>5056</v>
      </c>
    </row>
    <row r="5057" spans="1:1" ht="12.75" customHeight="1">
      <c r="A5057" s="129">
        <v>5057</v>
      </c>
    </row>
    <row r="5058" spans="1:1" ht="12.75" customHeight="1">
      <c r="A5058" s="129">
        <v>5058</v>
      </c>
    </row>
    <row r="5059" spans="1:1" ht="12.75" customHeight="1">
      <c r="A5059" s="129">
        <v>5059</v>
      </c>
    </row>
    <row r="5060" spans="1:1" ht="12.75" customHeight="1">
      <c r="A5060" s="129">
        <v>5060</v>
      </c>
    </row>
    <row r="5061" spans="1:1" ht="12.75" customHeight="1">
      <c r="A5061" s="129">
        <v>5061</v>
      </c>
    </row>
    <row r="5062" spans="1:1" ht="12.75" customHeight="1">
      <c r="A5062" s="129">
        <v>5062</v>
      </c>
    </row>
    <row r="5063" spans="1:1" ht="12.75" customHeight="1">
      <c r="A5063" s="129">
        <v>5063</v>
      </c>
    </row>
    <row r="5064" spans="1:1" ht="12.75" customHeight="1">
      <c r="A5064" s="129">
        <v>5064</v>
      </c>
    </row>
    <row r="5065" spans="1:1" ht="12.75" customHeight="1">
      <c r="A5065" s="129">
        <v>5065</v>
      </c>
    </row>
    <row r="5066" spans="1:1" ht="12.75" customHeight="1">
      <c r="A5066" s="129">
        <v>5066</v>
      </c>
    </row>
    <row r="5067" spans="1:1" ht="12.75" customHeight="1">
      <c r="A5067" s="129">
        <v>5067</v>
      </c>
    </row>
    <row r="5068" spans="1:1" ht="12.75" customHeight="1">
      <c r="A5068" s="129">
        <v>5068</v>
      </c>
    </row>
    <row r="5069" spans="1:1" ht="12.75" customHeight="1">
      <c r="A5069" s="129">
        <v>5069</v>
      </c>
    </row>
    <row r="5070" spans="1:1" ht="12.75" customHeight="1">
      <c r="A5070" s="129">
        <v>5070</v>
      </c>
    </row>
    <row r="5071" spans="1:1" ht="12.75" customHeight="1">
      <c r="A5071" s="129">
        <v>5071</v>
      </c>
    </row>
    <row r="5072" spans="1:1" ht="12.75" customHeight="1">
      <c r="A5072" s="129">
        <v>5072</v>
      </c>
    </row>
    <row r="5073" spans="1:1" ht="12.75" customHeight="1">
      <c r="A5073" s="129">
        <v>5073</v>
      </c>
    </row>
    <row r="5074" spans="1:1" ht="12.75" customHeight="1">
      <c r="A5074" s="129">
        <v>5074</v>
      </c>
    </row>
    <row r="5075" spans="1:1" ht="12.75" customHeight="1">
      <c r="A5075" s="129">
        <v>5075</v>
      </c>
    </row>
    <row r="5076" spans="1:1" ht="12.75" customHeight="1">
      <c r="A5076" s="129">
        <v>5076</v>
      </c>
    </row>
    <row r="5077" spans="1:1" ht="12.75" customHeight="1">
      <c r="A5077" s="129">
        <v>5077</v>
      </c>
    </row>
    <row r="5078" spans="1:1" ht="12.75" customHeight="1">
      <c r="A5078" s="129">
        <v>5078</v>
      </c>
    </row>
    <row r="5079" spans="1:1" ht="12.75" customHeight="1">
      <c r="A5079" s="129">
        <v>5079</v>
      </c>
    </row>
    <row r="5080" spans="1:1" ht="12.75" customHeight="1">
      <c r="A5080" s="129">
        <v>5080</v>
      </c>
    </row>
    <row r="5081" spans="1:1" ht="12.75" customHeight="1">
      <c r="A5081" s="129">
        <v>5081</v>
      </c>
    </row>
    <row r="5082" spans="1:1" ht="12.75" customHeight="1">
      <c r="A5082" s="129">
        <v>5082</v>
      </c>
    </row>
    <row r="5083" spans="1:1" ht="12.75" customHeight="1">
      <c r="A5083" s="129">
        <v>5083</v>
      </c>
    </row>
    <row r="5084" spans="1:1" ht="12.75" customHeight="1">
      <c r="A5084" s="129">
        <v>5084</v>
      </c>
    </row>
    <row r="5085" spans="1:1" ht="12.75" customHeight="1">
      <c r="A5085" s="129">
        <v>5085</v>
      </c>
    </row>
    <row r="5086" spans="1:1" ht="12.75" customHeight="1">
      <c r="A5086" s="129">
        <v>5086</v>
      </c>
    </row>
    <row r="5087" spans="1:1" ht="12.75" customHeight="1">
      <c r="A5087" s="129">
        <v>5087</v>
      </c>
    </row>
    <row r="5088" spans="1:1" ht="12.75" customHeight="1">
      <c r="A5088" s="129">
        <v>5088</v>
      </c>
    </row>
    <row r="5089" spans="1:1" ht="12.75" customHeight="1">
      <c r="A5089" s="129">
        <v>5089</v>
      </c>
    </row>
    <row r="5090" spans="1:1" ht="12.75" customHeight="1">
      <c r="A5090" s="129">
        <v>5090</v>
      </c>
    </row>
    <row r="5091" spans="1:1" ht="12.75" customHeight="1">
      <c r="A5091" s="129">
        <v>5091</v>
      </c>
    </row>
    <row r="5092" spans="1:1" ht="12.75" customHeight="1">
      <c r="A5092" s="129">
        <v>5092</v>
      </c>
    </row>
    <row r="5093" spans="1:1" ht="12.75" customHeight="1">
      <c r="A5093" s="129">
        <v>5093</v>
      </c>
    </row>
    <row r="5094" spans="1:1" ht="12.75" customHeight="1">
      <c r="A5094" s="129">
        <v>5094</v>
      </c>
    </row>
    <row r="5095" spans="1:1" ht="12.75" customHeight="1">
      <c r="A5095" s="129">
        <v>5095</v>
      </c>
    </row>
    <row r="5096" spans="1:1" ht="12.75" customHeight="1">
      <c r="A5096" s="129">
        <v>5096</v>
      </c>
    </row>
    <row r="5097" spans="1:1" ht="12.75" customHeight="1">
      <c r="A5097" s="129">
        <v>5097</v>
      </c>
    </row>
    <row r="5098" spans="1:1" ht="12.75" customHeight="1">
      <c r="A5098" s="129">
        <v>5098</v>
      </c>
    </row>
    <row r="5099" spans="1:1" ht="12.75" customHeight="1">
      <c r="A5099" s="129">
        <v>5099</v>
      </c>
    </row>
    <row r="5100" spans="1:1" ht="12.75" customHeight="1">
      <c r="A5100" s="129">
        <v>5100</v>
      </c>
    </row>
    <row r="5101" spans="1:1" ht="12.75" customHeight="1">
      <c r="A5101" s="129">
        <v>5101</v>
      </c>
    </row>
    <row r="5102" spans="1:1" ht="12.75" customHeight="1">
      <c r="A5102" s="129">
        <v>5102</v>
      </c>
    </row>
    <row r="5103" spans="1:1" ht="12.75" customHeight="1">
      <c r="A5103" s="129">
        <v>5103</v>
      </c>
    </row>
    <row r="5104" spans="1:1" ht="12.75" customHeight="1">
      <c r="A5104" s="129">
        <v>5104</v>
      </c>
    </row>
    <row r="5105" spans="1:1" ht="12.75" customHeight="1">
      <c r="A5105" s="129">
        <v>5105</v>
      </c>
    </row>
    <row r="5106" spans="1:1" ht="12.75" customHeight="1">
      <c r="A5106" s="129">
        <v>5106</v>
      </c>
    </row>
    <row r="5107" spans="1:1" ht="12.75" customHeight="1">
      <c r="A5107" s="129">
        <v>5107</v>
      </c>
    </row>
    <row r="5108" spans="1:1" ht="12.75" customHeight="1">
      <c r="A5108" s="129">
        <v>5108</v>
      </c>
    </row>
    <row r="5109" spans="1:1" ht="12.75" customHeight="1">
      <c r="A5109" s="129">
        <v>5109</v>
      </c>
    </row>
    <row r="5110" spans="1:1" ht="12.75" customHeight="1">
      <c r="A5110" s="129">
        <v>5110</v>
      </c>
    </row>
    <row r="5111" spans="1:1" ht="12.75" customHeight="1">
      <c r="A5111" s="129">
        <v>5111</v>
      </c>
    </row>
    <row r="5112" spans="1:1" ht="12.75" customHeight="1">
      <c r="A5112" s="129">
        <v>5112</v>
      </c>
    </row>
    <row r="5113" spans="1:1" ht="12.75" customHeight="1">
      <c r="A5113" s="129">
        <v>5113</v>
      </c>
    </row>
    <row r="5114" spans="1:1" ht="12.75" customHeight="1">
      <c r="A5114" s="129">
        <v>5114</v>
      </c>
    </row>
    <row r="5115" spans="1:1" ht="12.75" customHeight="1">
      <c r="A5115" s="129">
        <v>5115</v>
      </c>
    </row>
    <row r="5116" spans="1:1" ht="12.75" customHeight="1">
      <c r="A5116" s="129">
        <v>5116</v>
      </c>
    </row>
    <row r="5117" spans="1:1" ht="12.75" customHeight="1">
      <c r="A5117" s="129">
        <v>5117</v>
      </c>
    </row>
    <row r="5118" spans="1:1" ht="12.75" customHeight="1">
      <c r="A5118" s="129">
        <v>5118</v>
      </c>
    </row>
    <row r="5119" spans="1:1" ht="12.75" customHeight="1">
      <c r="A5119" s="129">
        <v>5119</v>
      </c>
    </row>
    <row r="5120" spans="1:1" ht="12.75" customHeight="1">
      <c r="A5120" s="129">
        <v>5120</v>
      </c>
    </row>
    <row r="5121" spans="1:1" ht="12.75" customHeight="1">
      <c r="A5121" s="129">
        <v>5121</v>
      </c>
    </row>
    <row r="5122" spans="1:1" ht="12.75" customHeight="1">
      <c r="A5122" s="129">
        <v>5122</v>
      </c>
    </row>
    <row r="5123" spans="1:1" ht="12.75" customHeight="1">
      <c r="A5123" s="129">
        <v>5123</v>
      </c>
    </row>
    <row r="5124" spans="1:1" ht="12.75" customHeight="1">
      <c r="A5124" s="129">
        <v>5124</v>
      </c>
    </row>
    <row r="5125" spans="1:1" ht="12.75" customHeight="1">
      <c r="A5125" s="129">
        <v>5125</v>
      </c>
    </row>
    <row r="5126" spans="1:1" ht="12.75" customHeight="1">
      <c r="A5126" s="129">
        <v>5126</v>
      </c>
    </row>
    <row r="5127" spans="1:1" ht="12.75" customHeight="1">
      <c r="A5127" s="129">
        <v>5127</v>
      </c>
    </row>
    <row r="5128" spans="1:1" ht="12.75" customHeight="1">
      <c r="A5128" s="129">
        <v>5128</v>
      </c>
    </row>
    <row r="5129" spans="1:1" ht="12.75" customHeight="1">
      <c r="A5129" s="129">
        <v>5129</v>
      </c>
    </row>
    <row r="5130" spans="1:1" ht="12.75" customHeight="1">
      <c r="A5130" s="129">
        <v>5130</v>
      </c>
    </row>
    <row r="5131" spans="1:1" ht="12.75" customHeight="1">
      <c r="A5131" s="129">
        <v>5131</v>
      </c>
    </row>
    <row r="5132" spans="1:1" ht="12.75" customHeight="1">
      <c r="A5132" s="129">
        <v>5132</v>
      </c>
    </row>
    <row r="5133" spans="1:1" ht="12.75" customHeight="1">
      <c r="A5133" s="129">
        <v>5133</v>
      </c>
    </row>
    <row r="5134" spans="1:1" ht="12.75" customHeight="1">
      <c r="A5134" s="129">
        <v>5134</v>
      </c>
    </row>
    <row r="5135" spans="1:1" ht="12.75" customHeight="1">
      <c r="A5135" s="129">
        <v>5135</v>
      </c>
    </row>
    <row r="5136" spans="1:1" ht="12.75" customHeight="1">
      <c r="A5136" s="129">
        <v>5136</v>
      </c>
    </row>
    <row r="5137" spans="1:1" ht="12.75" customHeight="1">
      <c r="A5137" s="129">
        <v>5137</v>
      </c>
    </row>
    <row r="5138" spans="1:1" ht="12.75" customHeight="1">
      <c r="A5138" s="129">
        <v>5138</v>
      </c>
    </row>
    <row r="5139" spans="1:1" ht="12.75" customHeight="1">
      <c r="A5139" s="129">
        <v>5139</v>
      </c>
    </row>
    <row r="5140" spans="1:1" ht="12.75" customHeight="1">
      <c r="A5140" s="129">
        <v>5140</v>
      </c>
    </row>
    <row r="5141" spans="1:1" ht="12.75" customHeight="1">
      <c r="A5141" s="129">
        <v>5141</v>
      </c>
    </row>
    <row r="5142" spans="1:1" ht="12.75" customHeight="1">
      <c r="A5142" s="129">
        <v>5142</v>
      </c>
    </row>
    <row r="5143" spans="1:1" ht="12.75" customHeight="1">
      <c r="A5143" s="129">
        <v>5143</v>
      </c>
    </row>
    <row r="5144" spans="1:1" ht="12.75" customHeight="1">
      <c r="A5144" s="129">
        <v>5144</v>
      </c>
    </row>
    <row r="5145" spans="1:1" ht="12.75" customHeight="1">
      <c r="A5145" s="129">
        <v>5145</v>
      </c>
    </row>
    <row r="5146" spans="1:1" ht="12.75" customHeight="1">
      <c r="A5146" s="129">
        <v>5146</v>
      </c>
    </row>
    <row r="5147" spans="1:1" ht="12.75" customHeight="1">
      <c r="A5147" s="129">
        <v>5147</v>
      </c>
    </row>
    <row r="5148" spans="1:1" ht="12.75" customHeight="1">
      <c r="A5148" s="129">
        <v>5148</v>
      </c>
    </row>
    <row r="5149" spans="1:1" ht="12.75" customHeight="1">
      <c r="A5149" s="129">
        <v>5149</v>
      </c>
    </row>
    <row r="5150" spans="1:1" ht="12.75" customHeight="1">
      <c r="A5150" s="129">
        <v>5150</v>
      </c>
    </row>
    <row r="5151" spans="1:1" ht="12.75" customHeight="1">
      <c r="A5151" s="129">
        <v>5151</v>
      </c>
    </row>
    <row r="5152" spans="1:1" ht="12.75" customHeight="1">
      <c r="A5152" s="129">
        <v>5152</v>
      </c>
    </row>
    <row r="5153" spans="1:1" ht="12.75" customHeight="1">
      <c r="A5153" s="129">
        <v>5153</v>
      </c>
    </row>
    <row r="5154" spans="1:1" ht="12.75" customHeight="1">
      <c r="A5154" s="129">
        <v>5154</v>
      </c>
    </row>
    <row r="5155" spans="1:1" ht="12.75" customHeight="1">
      <c r="A5155" s="129">
        <v>5155</v>
      </c>
    </row>
    <row r="5156" spans="1:1" ht="12.75" customHeight="1">
      <c r="A5156" s="129">
        <v>5156</v>
      </c>
    </row>
    <row r="5157" spans="1:1" ht="12.75" customHeight="1">
      <c r="A5157" s="129">
        <v>5157</v>
      </c>
    </row>
    <row r="5158" spans="1:1" ht="12.75" customHeight="1">
      <c r="A5158" s="129">
        <v>5158</v>
      </c>
    </row>
    <row r="5159" spans="1:1" ht="12.75" customHeight="1">
      <c r="A5159" s="129">
        <v>5159</v>
      </c>
    </row>
    <row r="5160" spans="1:1" ht="12.75" customHeight="1">
      <c r="A5160" s="129">
        <v>5160</v>
      </c>
    </row>
    <row r="5161" spans="1:1" ht="12.75" customHeight="1">
      <c r="A5161" s="129">
        <v>5161</v>
      </c>
    </row>
    <row r="5162" spans="1:1" ht="12.75" customHeight="1">
      <c r="A5162" s="129">
        <v>5162</v>
      </c>
    </row>
    <row r="5163" spans="1:1" ht="12.75" customHeight="1">
      <c r="A5163" s="129">
        <v>5163</v>
      </c>
    </row>
    <row r="5164" spans="1:1" ht="12.75" customHeight="1">
      <c r="A5164" s="129">
        <v>5164</v>
      </c>
    </row>
    <row r="5165" spans="1:1" ht="12.75" customHeight="1">
      <c r="A5165" s="129">
        <v>5165</v>
      </c>
    </row>
    <row r="5166" spans="1:1" ht="12.75" customHeight="1">
      <c r="A5166" s="129">
        <v>5166</v>
      </c>
    </row>
    <row r="5167" spans="1:1" ht="12.75" customHeight="1">
      <c r="A5167" s="129">
        <v>5167</v>
      </c>
    </row>
    <row r="5168" spans="1:1" ht="12.75" customHeight="1">
      <c r="A5168" s="129">
        <v>5168</v>
      </c>
    </row>
    <row r="5169" spans="1:1" ht="12.75" customHeight="1">
      <c r="A5169" s="129">
        <v>5169</v>
      </c>
    </row>
    <row r="5170" spans="1:1" ht="12.75" customHeight="1">
      <c r="A5170" s="129">
        <v>5170</v>
      </c>
    </row>
    <row r="5171" spans="1:1" ht="12.75" customHeight="1">
      <c r="A5171" s="129">
        <v>5171</v>
      </c>
    </row>
    <row r="5172" spans="1:1" ht="12.75" customHeight="1">
      <c r="A5172" s="129">
        <v>5172</v>
      </c>
    </row>
    <row r="5173" spans="1:1" ht="12.75" customHeight="1">
      <c r="A5173" s="129">
        <v>5173</v>
      </c>
    </row>
    <row r="5174" spans="1:1" ht="12.75" customHeight="1">
      <c r="A5174" s="129">
        <v>5174</v>
      </c>
    </row>
    <row r="5175" spans="1:1" ht="12.75" customHeight="1">
      <c r="A5175" s="129">
        <v>5175</v>
      </c>
    </row>
    <row r="5176" spans="1:1" ht="12.75" customHeight="1">
      <c r="A5176" s="129">
        <v>5176</v>
      </c>
    </row>
    <row r="5177" spans="1:1" ht="12.75" customHeight="1">
      <c r="A5177" s="129">
        <v>5177</v>
      </c>
    </row>
    <row r="5178" spans="1:1" ht="12.75" customHeight="1">
      <c r="A5178" s="129">
        <v>5178</v>
      </c>
    </row>
    <row r="5179" spans="1:1" ht="12.75" customHeight="1">
      <c r="A5179" s="129">
        <v>5179</v>
      </c>
    </row>
    <row r="5180" spans="1:1" ht="12.75" customHeight="1">
      <c r="A5180" s="129">
        <v>5180</v>
      </c>
    </row>
    <row r="5181" spans="1:1" ht="12.75" customHeight="1">
      <c r="A5181" s="129">
        <v>5181</v>
      </c>
    </row>
    <row r="5182" spans="1:1" ht="12.75" customHeight="1">
      <c r="A5182" s="129">
        <v>5182</v>
      </c>
    </row>
    <row r="5183" spans="1:1" ht="12.75" customHeight="1">
      <c r="A5183" s="129">
        <v>5183</v>
      </c>
    </row>
    <row r="5184" spans="1:1" ht="12.75" customHeight="1">
      <c r="A5184" s="129">
        <v>5184</v>
      </c>
    </row>
    <row r="5185" spans="1:1" ht="12.75" customHeight="1">
      <c r="A5185" s="129">
        <v>5185</v>
      </c>
    </row>
    <row r="5186" spans="1:1" ht="12.75" customHeight="1">
      <c r="A5186" s="129">
        <v>5186</v>
      </c>
    </row>
    <row r="5187" spans="1:1" ht="12.75" customHeight="1">
      <c r="A5187" s="129">
        <v>5187</v>
      </c>
    </row>
    <row r="5188" spans="1:1" ht="12.75" customHeight="1">
      <c r="A5188" s="129">
        <v>5188</v>
      </c>
    </row>
    <row r="5189" spans="1:1" ht="12.75" customHeight="1">
      <c r="A5189" s="129">
        <v>5189</v>
      </c>
    </row>
    <row r="5190" spans="1:1" ht="12.75" customHeight="1">
      <c r="A5190" s="129">
        <v>5190</v>
      </c>
    </row>
    <row r="5191" spans="1:1" ht="12.75" customHeight="1">
      <c r="A5191" s="129">
        <v>5191</v>
      </c>
    </row>
    <row r="5192" spans="1:1" ht="12.75" customHeight="1">
      <c r="A5192" s="129">
        <v>5192</v>
      </c>
    </row>
    <row r="5193" spans="1:1" ht="12.75" customHeight="1">
      <c r="A5193" s="129">
        <v>5193</v>
      </c>
    </row>
    <row r="5194" spans="1:1" ht="12.75" customHeight="1">
      <c r="A5194" s="129">
        <v>5194</v>
      </c>
    </row>
    <row r="5195" spans="1:1" ht="12.75" customHeight="1">
      <c r="A5195" s="129">
        <v>5195</v>
      </c>
    </row>
    <row r="5196" spans="1:1" ht="12.75" customHeight="1">
      <c r="A5196" s="129">
        <v>5196</v>
      </c>
    </row>
    <row r="5197" spans="1:1" ht="12.75" customHeight="1">
      <c r="A5197" s="129">
        <v>5197</v>
      </c>
    </row>
    <row r="5198" spans="1:1" ht="12.75" customHeight="1">
      <c r="A5198" s="129">
        <v>5198</v>
      </c>
    </row>
    <row r="5199" spans="1:1" ht="12.75" customHeight="1">
      <c r="A5199" s="129">
        <v>5199</v>
      </c>
    </row>
    <row r="5200" spans="1:1" ht="12.75" customHeight="1">
      <c r="A5200" s="129">
        <v>5200</v>
      </c>
    </row>
    <row r="5201" spans="1:1" ht="12.75" customHeight="1">
      <c r="A5201" s="129">
        <v>5201</v>
      </c>
    </row>
    <row r="5202" spans="1:1" ht="12.75" customHeight="1">
      <c r="A5202" s="129">
        <v>5202</v>
      </c>
    </row>
    <row r="5203" spans="1:1" ht="12.75" customHeight="1">
      <c r="A5203" s="129">
        <v>5203</v>
      </c>
    </row>
    <row r="5204" spans="1:1" ht="12.75" customHeight="1">
      <c r="A5204" s="129">
        <v>5204</v>
      </c>
    </row>
    <row r="5205" spans="1:1" ht="12.75" customHeight="1">
      <c r="A5205" s="129">
        <v>5205</v>
      </c>
    </row>
    <row r="5206" spans="1:1" ht="12.75" customHeight="1">
      <c r="A5206" s="129">
        <v>5206</v>
      </c>
    </row>
    <row r="5207" spans="1:1" ht="12.75" customHeight="1">
      <c r="A5207" s="129">
        <v>5207</v>
      </c>
    </row>
    <row r="5208" spans="1:1" ht="12.75" customHeight="1">
      <c r="A5208" s="129">
        <v>5208</v>
      </c>
    </row>
    <row r="5209" spans="1:1" ht="12.75" customHeight="1">
      <c r="A5209" s="129">
        <v>5209</v>
      </c>
    </row>
    <row r="5210" spans="1:1" ht="12.75" customHeight="1">
      <c r="A5210" s="129">
        <v>5210</v>
      </c>
    </row>
    <row r="5211" spans="1:1" ht="12.75" customHeight="1">
      <c r="A5211" s="129">
        <v>5211</v>
      </c>
    </row>
    <row r="5212" spans="1:1" ht="12.75" customHeight="1">
      <c r="A5212" s="129">
        <v>5212</v>
      </c>
    </row>
    <row r="5213" spans="1:1" ht="12.75" customHeight="1">
      <c r="A5213" s="129">
        <v>5213</v>
      </c>
    </row>
    <row r="5214" spans="1:1" ht="12.75" customHeight="1">
      <c r="A5214" s="129">
        <v>5214</v>
      </c>
    </row>
    <row r="5215" spans="1:1" ht="12.75" customHeight="1">
      <c r="A5215" s="129">
        <v>5215</v>
      </c>
    </row>
    <row r="5216" spans="1:1" ht="12.75" customHeight="1">
      <c r="A5216" s="129">
        <v>5216</v>
      </c>
    </row>
    <row r="5217" spans="1:1" ht="12.75" customHeight="1">
      <c r="A5217" s="129">
        <v>5217</v>
      </c>
    </row>
    <row r="5218" spans="1:1" ht="12.75" customHeight="1">
      <c r="A5218" s="129">
        <v>5218</v>
      </c>
    </row>
    <row r="5219" spans="1:1" ht="12.75" customHeight="1">
      <c r="A5219" s="129">
        <v>5219</v>
      </c>
    </row>
    <row r="5220" spans="1:1" ht="12.75" customHeight="1">
      <c r="A5220" s="129">
        <v>5220</v>
      </c>
    </row>
    <row r="5221" spans="1:1" ht="12.75" customHeight="1">
      <c r="A5221" s="129">
        <v>5221</v>
      </c>
    </row>
    <row r="5222" spans="1:1" ht="12.75" customHeight="1">
      <c r="A5222" s="129">
        <v>5222</v>
      </c>
    </row>
    <row r="5223" spans="1:1" ht="12.75" customHeight="1">
      <c r="A5223" s="129">
        <v>5223</v>
      </c>
    </row>
    <row r="5224" spans="1:1" ht="12.75" customHeight="1">
      <c r="A5224" s="129">
        <v>5224</v>
      </c>
    </row>
    <row r="5225" spans="1:1" ht="12.75" customHeight="1">
      <c r="A5225" s="129">
        <v>5225</v>
      </c>
    </row>
    <row r="5226" spans="1:1" ht="12.75" customHeight="1">
      <c r="A5226" s="129">
        <v>5226</v>
      </c>
    </row>
    <row r="5227" spans="1:1" ht="12.75" customHeight="1">
      <c r="A5227" s="129">
        <v>5227</v>
      </c>
    </row>
    <row r="5228" spans="1:1" ht="12.75" customHeight="1">
      <c r="A5228" s="129">
        <v>5228</v>
      </c>
    </row>
    <row r="5229" spans="1:1" ht="12.75" customHeight="1">
      <c r="A5229" s="129">
        <v>5229</v>
      </c>
    </row>
    <row r="5230" spans="1:1" ht="12.75" customHeight="1">
      <c r="A5230" s="129">
        <v>5230</v>
      </c>
    </row>
    <row r="5231" spans="1:1" ht="12.75" customHeight="1">
      <c r="A5231" s="129">
        <v>5231</v>
      </c>
    </row>
    <row r="5232" spans="1:1" ht="12.75" customHeight="1">
      <c r="A5232" s="129">
        <v>5232</v>
      </c>
    </row>
    <row r="5233" spans="1:1" ht="12.75" customHeight="1">
      <c r="A5233" s="129">
        <v>5233</v>
      </c>
    </row>
    <row r="5234" spans="1:1" ht="12.75" customHeight="1">
      <c r="A5234" s="129">
        <v>5234</v>
      </c>
    </row>
    <row r="5235" spans="1:1" ht="12.75" customHeight="1">
      <c r="A5235" s="129">
        <v>5235</v>
      </c>
    </row>
    <row r="5236" spans="1:1" ht="12.75" customHeight="1">
      <c r="A5236" s="129">
        <v>5236</v>
      </c>
    </row>
    <row r="5237" spans="1:1" ht="12.75" customHeight="1">
      <c r="A5237" s="129">
        <v>5237</v>
      </c>
    </row>
    <row r="5238" spans="1:1" ht="12.75" customHeight="1">
      <c r="A5238" s="129">
        <v>5238</v>
      </c>
    </row>
    <row r="5239" spans="1:1" ht="12.75" customHeight="1">
      <c r="A5239" s="129">
        <v>5239</v>
      </c>
    </row>
    <row r="5240" spans="1:1" ht="12.75" customHeight="1">
      <c r="A5240" s="129">
        <v>5240</v>
      </c>
    </row>
    <row r="5241" spans="1:1" ht="12.75" customHeight="1">
      <c r="A5241" s="129">
        <v>5241</v>
      </c>
    </row>
    <row r="5242" spans="1:1" ht="12.75" customHeight="1">
      <c r="A5242" s="129">
        <v>5242</v>
      </c>
    </row>
    <row r="5243" spans="1:1" ht="12.75" customHeight="1">
      <c r="A5243" s="129">
        <v>5243</v>
      </c>
    </row>
    <row r="5244" spans="1:1" ht="12.75" customHeight="1">
      <c r="A5244" s="129">
        <v>5244</v>
      </c>
    </row>
    <row r="5245" spans="1:1" ht="12.75" customHeight="1">
      <c r="A5245" s="129">
        <v>5245</v>
      </c>
    </row>
    <row r="5246" spans="1:1" ht="12.75" customHeight="1">
      <c r="A5246" s="129">
        <v>5246</v>
      </c>
    </row>
    <row r="5247" spans="1:1" ht="12.75" customHeight="1">
      <c r="A5247" s="129">
        <v>5247</v>
      </c>
    </row>
    <row r="5248" spans="1:1" ht="12.75" customHeight="1">
      <c r="A5248" s="129">
        <v>5248</v>
      </c>
    </row>
    <row r="5249" spans="1:1" ht="12.75" customHeight="1">
      <c r="A5249" s="129">
        <v>5249</v>
      </c>
    </row>
    <row r="5250" spans="1:1" ht="12.75" customHeight="1">
      <c r="A5250" s="129">
        <v>5250</v>
      </c>
    </row>
    <row r="5251" spans="1:1" ht="12.75" customHeight="1">
      <c r="A5251" s="129">
        <v>5251</v>
      </c>
    </row>
    <row r="5252" spans="1:1" ht="12.75" customHeight="1">
      <c r="A5252" s="129">
        <v>5252</v>
      </c>
    </row>
    <row r="5253" spans="1:1" ht="12.75" customHeight="1">
      <c r="A5253" s="129">
        <v>5253</v>
      </c>
    </row>
    <row r="5254" spans="1:1" ht="12.75" customHeight="1">
      <c r="A5254" s="129">
        <v>5254</v>
      </c>
    </row>
    <row r="5255" spans="1:1" ht="12.75" customHeight="1">
      <c r="A5255" s="129">
        <v>5255</v>
      </c>
    </row>
    <row r="5256" spans="1:1" ht="12.75" customHeight="1">
      <c r="A5256" s="129">
        <v>5256</v>
      </c>
    </row>
    <row r="5257" spans="1:1" ht="12.75" customHeight="1">
      <c r="A5257" s="129">
        <v>5257</v>
      </c>
    </row>
    <row r="5258" spans="1:1" ht="12.75" customHeight="1">
      <c r="A5258" s="129">
        <v>5258</v>
      </c>
    </row>
    <row r="5259" spans="1:1" ht="12.75" customHeight="1">
      <c r="A5259" s="129">
        <v>5259</v>
      </c>
    </row>
    <row r="5260" spans="1:1" ht="12.75" customHeight="1">
      <c r="A5260" s="129">
        <v>5260</v>
      </c>
    </row>
    <row r="5261" spans="1:1" ht="12.75" customHeight="1">
      <c r="A5261" s="129">
        <v>5261</v>
      </c>
    </row>
    <row r="5262" spans="1:1" ht="12.75" customHeight="1">
      <c r="A5262" s="129">
        <v>5262</v>
      </c>
    </row>
    <row r="5263" spans="1:1" ht="12.75" customHeight="1">
      <c r="A5263" s="129">
        <v>5263</v>
      </c>
    </row>
    <row r="5264" spans="1:1" ht="12.75" customHeight="1">
      <c r="A5264" s="129">
        <v>5264</v>
      </c>
    </row>
    <row r="5265" spans="1:1" ht="12.75" customHeight="1">
      <c r="A5265" s="129">
        <v>5265</v>
      </c>
    </row>
    <row r="5266" spans="1:1" ht="12.75" customHeight="1">
      <c r="A5266" s="129">
        <v>5266</v>
      </c>
    </row>
    <row r="5267" spans="1:1" ht="12.75" customHeight="1">
      <c r="A5267" s="129">
        <v>5267</v>
      </c>
    </row>
    <row r="5268" spans="1:1" ht="12.75" customHeight="1">
      <c r="A5268" s="129">
        <v>5268</v>
      </c>
    </row>
    <row r="5269" spans="1:1" ht="12.75" customHeight="1">
      <c r="A5269" s="129">
        <v>5269</v>
      </c>
    </row>
    <row r="5270" spans="1:1" ht="12.75" customHeight="1">
      <c r="A5270" s="129">
        <v>5270</v>
      </c>
    </row>
    <row r="5271" spans="1:1" ht="12.75" customHeight="1">
      <c r="A5271" s="129">
        <v>5271</v>
      </c>
    </row>
    <row r="5272" spans="1:1" ht="12.75" customHeight="1">
      <c r="A5272" s="129">
        <v>5272</v>
      </c>
    </row>
    <row r="5273" spans="1:1" ht="12.75" customHeight="1">
      <c r="A5273" s="129">
        <v>5273</v>
      </c>
    </row>
    <row r="5274" spans="1:1" ht="12.75" customHeight="1">
      <c r="A5274" s="129">
        <v>5274</v>
      </c>
    </row>
    <row r="5275" spans="1:1" ht="12.75" customHeight="1">
      <c r="A5275" s="129">
        <v>5275</v>
      </c>
    </row>
    <row r="5276" spans="1:1" ht="12.75" customHeight="1">
      <c r="A5276" s="129">
        <v>5276</v>
      </c>
    </row>
    <row r="5277" spans="1:1" ht="12.75" customHeight="1">
      <c r="A5277" s="129">
        <v>5277</v>
      </c>
    </row>
    <row r="5278" spans="1:1" ht="12.75" customHeight="1">
      <c r="A5278" s="129">
        <v>5278</v>
      </c>
    </row>
    <row r="5279" spans="1:1" ht="12.75" customHeight="1">
      <c r="A5279" s="129">
        <v>5279</v>
      </c>
    </row>
    <row r="5280" spans="1:1" ht="12.75" customHeight="1">
      <c r="A5280" s="129">
        <v>5280</v>
      </c>
    </row>
    <row r="5281" spans="1:1" ht="12.75" customHeight="1">
      <c r="A5281" s="129">
        <v>5281</v>
      </c>
    </row>
    <row r="5282" spans="1:1" ht="12.75" customHeight="1">
      <c r="A5282" s="129">
        <v>5282</v>
      </c>
    </row>
    <row r="5283" spans="1:1" ht="12.75" customHeight="1">
      <c r="A5283" s="129">
        <v>5283</v>
      </c>
    </row>
    <row r="5284" spans="1:1" ht="12.75" customHeight="1">
      <c r="A5284" s="129">
        <v>5284</v>
      </c>
    </row>
    <row r="5285" spans="1:1" ht="12.75" customHeight="1">
      <c r="A5285" s="129">
        <v>5285</v>
      </c>
    </row>
    <row r="5286" spans="1:1" ht="12.75" customHeight="1">
      <c r="A5286" s="129">
        <v>5286</v>
      </c>
    </row>
    <row r="5287" spans="1:1" ht="12.75" customHeight="1">
      <c r="A5287" s="129">
        <v>5287</v>
      </c>
    </row>
    <row r="5288" spans="1:1" ht="12.75" customHeight="1">
      <c r="A5288" s="129">
        <v>5288</v>
      </c>
    </row>
    <row r="5289" spans="1:1" ht="12.75" customHeight="1">
      <c r="A5289" s="129">
        <v>5289</v>
      </c>
    </row>
    <row r="5290" spans="1:1" ht="12.75" customHeight="1">
      <c r="A5290" s="129">
        <v>5290</v>
      </c>
    </row>
    <row r="5291" spans="1:1" ht="12.75" customHeight="1">
      <c r="A5291" s="129">
        <v>5291</v>
      </c>
    </row>
    <row r="5292" spans="1:1" ht="12.75" customHeight="1">
      <c r="A5292" s="129">
        <v>5292</v>
      </c>
    </row>
    <row r="5293" spans="1:1" ht="12.75" customHeight="1">
      <c r="A5293" s="129">
        <v>5293</v>
      </c>
    </row>
    <row r="5294" spans="1:1" ht="12.75" customHeight="1">
      <c r="A5294" s="129">
        <v>5294</v>
      </c>
    </row>
    <row r="5295" spans="1:1" ht="12.75" customHeight="1">
      <c r="A5295" s="129">
        <v>5295</v>
      </c>
    </row>
    <row r="5296" spans="1:1" ht="12.75" customHeight="1">
      <c r="A5296" s="129">
        <v>5296</v>
      </c>
    </row>
    <row r="5297" spans="1:1" ht="12.75" customHeight="1">
      <c r="A5297" s="129">
        <v>5297</v>
      </c>
    </row>
    <row r="5298" spans="1:1" ht="12.75" customHeight="1">
      <c r="A5298" s="129">
        <v>5298</v>
      </c>
    </row>
    <row r="5299" spans="1:1" ht="12.75" customHeight="1">
      <c r="A5299" s="129">
        <v>5299</v>
      </c>
    </row>
    <row r="5300" spans="1:1" ht="12.75" customHeight="1">
      <c r="A5300" s="129">
        <v>5300</v>
      </c>
    </row>
    <row r="5301" spans="1:1" ht="12.75" customHeight="1">
      <c r="A5301" s="129">
        <v>5301</v>
      </c>
    </row>
    <row r="5302" spans="1:1" ht="12.75" customHeight="1">
      <c r="A5302" s="129">
        <v>5302</v>
      </c>
    </row>
    <row r="5303" spans="1:1" ht="12.75" customHeight="1">
      <c r="A5303" s="129">
        <v>5303</v>
      </c>
    </row>
    <row r="5304" spans="1:1" ht="12.75" customHeight="1">
      <c r="A5304" s="129">
        <v>5304</v>
      </c>
    </row>
    <row r="5305" spans="1:1" ht="12.75" customHeight="1">
      <c r="A5305" s="129">
        <v>5305</v>
      </c>
    </row>
    <row r="5306" spans="1:1" ht="12.75" customHeight="1">
      <c r="A5306" s="129">
        <v>5306</v>
      </c>
    </row>
    <row r="5307" spans="1:1" ht="12.75" customHeight="1">
      <c r="A5307" s="129">
        <v>5307</v>
      </c>
    </row>
    <row r="5308" spans="1:1" ht="12.75" customHeight="1">
      <c r="A5308" s="129">
        <v>5308</v>
      </c>
    </row>
    <row r="5309" spans="1:1" ht="12.75" customHeight="1">
      <c r="A5309" s="129">
        <v>5309</v>
      </c>
    </row>
    <row r="5310" spans="1:1" ht="12.75" customHeight="1">
      <c r="A5310" s="129">
        <v>5310</v>
      </c>
    </row>
    <row r="5311" spans="1:1" ht="12.75" customHeight="1">
      <c r="A5311" s="129">
        <v>5311</v>
      </c>
    </row>
    <row r="5312" spans="1:1" ht="12.75" customHeight="1">
      <c r="A5312" s="129">
        <v>5312</v>
      </c>
    </row>
    <row r="5313" spans="1:1" ht="12.75" customHeight="1">
      <c r="A5313" s="129">
        <v>5313</v>
      </c>
    </row>
    <row r="5314" spans="1:1" ht="12.75" customHeight="1">
      <c r="A5314" s="129">
        <v>5314</v>
      </c>
    </row>
    <row r="5315" spans="1:1" ht="12.75" customHeight="1">
      <c r="A5315" s="129">
        <v>5315</v>
      </c>
    </row>
    <row r="5316" spans="1:1" ht="12.75" customHeight="1">
      <c r="A5316" s="129">
        <v>5316</v>
      </c>
    </row>
    <row r="5317" spans="1:1" ht="12.75" customHeight="1">
      <c r="A5317" s="129">
        <v>5317</v>
      </c>
    </row>
    <row r="5318" spans="1:1" ht="12.75" customHeight="1">
      <c r="A5318" s="129">
        <v>5318</v>
      </c>
    </row>
    <row r="5319" spans="1:1" ht="12.75" customHeight="1">
      <c r="A5319" s="129">
        <v>5319</v>
      </c>
    </row>
    <row r="5320" spans="1:1" ht="12.75" customHeight="1">
      <c r="A5320" s="129">
        <v>5320</v>
      </c>
    </row>
    <row r="5321" spans="1:1" ht="12.75" customHeight="1">
      <c r="A5321" s="129">
        <v>5321</v>
      </c>
    </row>
    <row r="5322" spans="1:1" ht="12.75" customHeight="1">
      <c r="A5322" s="129">
        <v>5322</v>
      </c>
    </row>
    <row r="5323" spans="1:1" ht="12.75" customHeight="1">
      <c r="A5323" s="129">
        <v>5323</v>
      </c>
    </row>
    <row r="5324" spans="1:1" ht="12.75" customHeight="1">
      <c r="A5324" s="129">
        <v>5324</v>
      </c>
    </row>
    <row r="5325" spans="1:1" ht="12.75" customHeight="1">
      <c r="A5325" s="129">
        <v>5325</v>
      </c>
    </row>
    <row r="5326" spans="1:1" ht="12.75" customHeight="1">
      <c r="A5326" s="129">
        <v>5326</v>
      </c>
    </row>
    <row r="5327" spans="1:1" ht="12.75" customHeight="1">
      <c r="A5327" s="129">
        <v>5327</v>
      </c>
    </row>
    <row r="5328" spans="1:1" ht="12.75" customHeight="1">
      <c r="A5328" s="129">
        <v>5328</v>
      </c>
    </row>
    <row r="5329" spans="1:1" ht="12.75" customHeight="1">
      <c r="A5329" s="129">
        <v>5329</v>
      </c>
    </row>
    <row r="5330" spans="1:1" ht="12.75" customHeight="1">
      <c r="A5330" s="129">
        <v>5330</v>
      </c>
    </row>
    <row r="5331" spans="1:1" ht="12.75" customHeight="1">
      <c r="A5331" s="129">
        <v>5331</v>
      </c>
    </row>
    <row r="5332" spans="1:1" ht="12.75" customHeight="1">
      <c r="A5332" s="129">
        <v>5332</v>
      </c>
    </row>
    <row r="5333" spans="1:1" ht="12.75" customHeight="1">
      <c r="A5333" s="129">
        <v>5333</v>
      </c>
    </row>
    <row r="5334" spans="1:1" ht="12.75" customHeight="1">
      <c r="A5334" s="129">
        <v>5334</v>
      </c>
    </row>
    <row r="5335" spans="1:1" ht="12.75" customHeight="1">
      <c r="A5335" s="129">
        <v>5335</v>
      </c>
    </row>
    <row r="5336" spans="1:1" ht="12.75" customHeight="1">
      <c r="A5336" s="129">
        <v>5336</v>
      </c>
    </row>
    <row r="5337" spans="1:1" ht="12.75" customHeight="1">
      <c r="A5337" s="129">
        <v>5337</v>
      </c>
    </row>
    <row r="5338" spans="1:1" ht="12.75" customHeight="1">
      <c r="A5338" s="129">
        <v>5338</v>
      </c>
    </row>
    <row r="5339" spans="1:1" ht="12.75" customHeight="1">
      <c r="A5339" s="129">
        <v>5339</v>
      </c>
    </row>
    <row r="5340" spans="1:1" ht="12.75" customHeight="1">
      <c r="A5340" s="129">
        <v>5340</v>
      </c>
    </row>
    <row r="5341" spans="1:1" ht="12.75" customHeight="1">
      <c r="A5341" s="129">
        <v>5341</v>
      </c>
    </row>
    <row r="5342" spans="1:1" ht="12.75" customHeight="1">
      <c r="A5342" s="129">
        <v>5342</v>
      </c>
    </row>
    <row r="5343" spans="1:1" ht="12.75" customHeight="1">
      <c r="A5343" s="129">
        <v>5343</v>
      </c>
    </row>
    <row r="5344" spans="1:1" ht="12.75" customHeight="1">
      <c r="A5344" s="129">
        <v>5344</v>
      </c>
    </row>
    <row r="5345" spans="1:1" ht="12.75" customHeight="1">
      <c r="A5345" s="129">
        <v>5345</v>
      </c>
    </row>
    <row r="5346" spans="1:1" ht="12.75" customHeight="1">
      <c r="A5346" s="129">
        <v>5346</v>
      </c>
    </row>
    <row r="5347" spans="1:1" ht="12.75" customHeight="1">
      <c r="A5347" s="129">
        <v>5347</v>
      </c>
    </row>
    <row r="5348" spans="1:1" ht="12.75" customHeight="1">
      <c r="A5348" s="129">
        <v>5348</v>
      </c>
    </row>
    <row r="5349" spans="1:1" ht="12.75" customHeight="1">
      <c r="A5349" s="129">
        <v>5349</v>
      </c>
    </row>
    <row r="5350" spans="1:1" ht="12.75" customHeight="1">
      <c r="A5350" s="129">
        <v>5350</v>
      </c>
    </row>
    <row r="5351" spans="1:1" ht="12.75" customHeight="1">
      <c r="A5351" s="129">
        <v>5351</v>
      </c>
    </row>
    <row r="5352" spans="1:1" ht="12.75" customHeight="1">
      <c r="A5352" s="129">
        <v>5352</v>
      </c>
    </row>
    <row r="5353" spans="1:1" ht="12.75" customHeight="1">
      <c r="A5353" s="129">
        <v>5353</v>
      </c>
    </row>
    <row r="5354" spans="1:1" ht="12.75" customHeight="1">
      <c r="A5354" s="129">
        <v>5354</v>
      </c>
    </row>
    <row r="5355" spans="1:1" ht="12.75" customHeight="1">
      <c r="A5355" s="129">
        <v>5355</v>
      </c>
    </row>
    <row r="5356" spans="1:1" ht="12.75" customHeight="1">
      <c r="A5356" s="129">
        <v>5356</v>
      </c>
    </row>
    <row r="5357" spans="1:1" ht="12.75" customHeight="1">
      <c r="A5357" s="129">
        <v>5357</v>
      </c>
    </row>
    <row r="5358" spans="1:1" ht="12.75" customHeight="1">
      <c r="A5358" s="129">
        <v>5358</v>
      </c>
    </row>
    <row r="5359" spans="1:1" ht="12.75" customHeight="1">
      <c r="A5359" s="129">
        <v>5359</v>
      </c>
    </row>
    <row r="5360" spans="1:1" ht="12.75" customHeight="1">
      <c r="A5360" s="129">
        <v>5360</v>
      </c>
    </row>
    <row r="5361" spans="1:1" ht="12.75" customHeight="1">
      <c r="A5361" s="129">
        <v>5361</v>
      </c>
    </row>
    <row r="5362" spans="1:1" ht="12.75" customHeight="1">
      <c r="A5362" s="129">
        <v>5362</v>
      </c>
    </row>
    <row r="5363" spans="1:1" ht="12.75" customHeight="1">
      <c r="A5363" s="129">
        <v>5363</v>
      </c>
    </row>
    <row r="5364" spans="1:1" ht="12.75" customHeight="1">
      <c r="A5364" s="129">
        <v>5364</v>
      </c>
    </row>
    <row r="5365" spans="1:1" ht="12.75" customHeight="1">
      <c r="A5365" s="129">
        <v>5365</v>
      </c>
    </row>
    <row r="5366" spans="1:1" ht="12.75" customHeight="1">
      <c r="A5366" s="129">
        <v>5366</v>
      </c>
    </row>
    <row r="5367" spans="1:1" ht="12.75" customHeight="1">
      <c r="A5367" s="129">
        <v>5367</v>
      </c>
    </row>
    <row r="5368" spans="1:1" ht="12.75" customHeight="1">
      <c r="A5368" s="129">
        <v>5368</v>
      </c>
    </row>
    <row r="5369" spans="1:1" ht="12.75" customHeight="1">
      <c r="A5369" s="129">
        <v>5369</v>
      </c>
    </row>
    <row r="5370" spans="1:1" ht="12.75" customHeight="1">
      <c r="A5370" s="129">
        <v>5370</v>
      </c>
    </row>
    <row r="5371" spans="1:1" ht="12.75" customHeight="1">
      <c r="A5371" s="129">
        <v>5371</v>
      </c>
    </row>
    <row r="5372" spans="1:1" ht="12.75" customHeight="1">
      <c r="A5372" s="129">
        <v>5372</v>
      </c>
    </row>
    <row r="5373" spans="1:1" ht="12.75" customHeight="1">
      <c r="A5373" s="129">
        <v>5373</v>
      </c>
    </row>
    <row r="5374" spans="1:1" ht="12.75" customHeight="1">
      <c r="A5374" s="129">
        <v>5374</v>
      </c>
    </row>
    <row r="5375" spans="1:1" ht="12.75" customHeight="1">
      <c r="A5375" s="129">
        <v>5375</v>
      </c>
    </row>
    <row r="5376" spans="1:1" ht="12.75" customHeight="1">
      <c r="A5376" s="129">
        <v>5376</v>
      </c>
    </row>
    <row r="5377" spans="1:1" ht="12.75" customHeight="1">
      <c r="A5377" s="129">
        <v>5377</v>
      </c>
    </row>
    <row r="5378" spans="1:1" ht="12.75" customHeight="1">
      <c r="A5378" s="129">
        <v>5378</v>
      </c>
    </row>
    <row r="5379" spans="1:1" ht="12.75" customHeight="1">
      <c r="A5379" s="129">
        <v>5379</v>
      </c>
    </row>
    <row r="5380" spans="1:1" ht="12.75" customHeight="1">
      <c r="A5380" s="129">
        <v>5380</v>
      </c>
    </row>
    <row r="5381" spans="1:1" ht="12.75" customHeight="1">
      <c r="A5381" s="129">
        <v>5381</v>
      </c>
    </row>
    <row r="5382" spans="1:1" ht="12.75" customHeight="1">
      <c r="A5382" s="129">
        <v>5382</v>
      </c>
    </row>
    <row r="5383" spans="1:1" ht="12.75" customHeight="1">
      <c r="A5383" s="129">
        <v>5383</v>
      </c>
    </row>
    <row r="5384" spans="1:1" ht="12.75" customHeight="1">
      <c r="A5384" s="129">
        <v>5384</v>
      </c>
    </row>
    <row r="5385" spans="1:1" ht="12.75" customHeight="1">
      <c r="A5385" s="129">
        <v>5385</v>
      </c>
    </row>
    <row r="5386" spans="1:1" ht="12.75" customHeight="1">
      <c r="A5386" s="129">
        <v>5386</v>
      </c>
    </row>
    <row r="5387" spans="1:1" ht="12.75" customHeight="1">
      <c r="A5387" s="129">
        <v>5387</v>
      </c>
    </row>
    <row r="5388" spans="1:1" ht="12.75" customHeight="1">
      <c r="A5388" s="129">
        <v>5388</v>
      </c>
    </row>
    <row r="5389" spans="1:1" ht="12.75" customHeight="1">
      <c r="A5389" s="129">
        <v>5389</v>
      </c>
    </row>
    <row r="5390" spans="1:1" ht="12.75" customHeight="1">
      <c r="A5390" s="129">
        <v>5390</v>
      </c>
    </row>
    <row r="5391" spans="1:1" ht="12.75" customHeight="1">
      <c r="A5391" s="129">
        <v>5391</v>
      </c>
    </row>
    <row r="5392" spans="1:1" ht="12.75" customHeight="1">
      <c r="A5392" s="129">
        <v>5392</v>
      </c>
    </row>
    <row r="5393" spans="1:1" ht="12.75" customHeight="1">
      <c r="A5393" s="129">
        <v>5393</v>
      </c>
    </row>
    <row r="5394" spans="1:1" ht="12.75" customHeight="1">
      <c r="A5394" s="129">
        <v>5394</v>
      </c>
    </row>
    <row r="5395" spans="1:1" ht="12.75" customHeight="1">
      <c r="A5395" s="129">
        <v>5395</v>
      </c>
    </row>
    <row r="5396" spans="1:1" ht="12.75" customHeight="1">
      <c r="A5396" s="129">
        <v>5396</v>
      </c>
    </row>
    <row r="5397" spans="1:1" ht="12.75" customHeight="1">
      <c r="A5397" s="129">
        <v>5397</v>
      </c>
    </row>
    <row r="5398" spans="1:1" ht="12.75" customHeight="1">
      <c r="A5398" s="129">
        <v>5398</v>
      </c>
    </row>
    <row r="5399" spans="1:1" ht="12.75" customHeight="1">
      <c r="A5399" s="129">
        <v>5399</v>
      </c>
    </row>
    <row r="5400" spans="1:1" ht="12.75" customHeight="1">
      <c r="A5400" s="129">
        <v>5400</v>
      </c>
    </row>
    <row r="5401" spans="1:1" ht="12.75" customHeight="1">
      <c r="A5401" s="129">
        <v>5401</v>
      </c>
    </row>
    <row r="5402" spans="1:1" ht="12.75" customHeight="1">
      <c r="A5402" s="129">
        <v>5402</v>
      </c>
    </row>
    <row r="5403" spans="1:1" ht="12.75" customHeight="1">
      <c r="A5403" s="129">
        <v>5403</v>
      </c>
    </row>
    <row r="5404" spans="1:1" ht="12.75" customHeight="1">
      <c r="A5404" s="129">
        <v>5404</v>
      </c>
    </row>
    <row r="5405" spans="1:1" ht="12.75" customHeight="1">
      <c r="A5405" s="129">
        <v>5405</v>
      </c>
    </row>
    <row r="5406" spans="1:1" ht="12.75" customHeight="1">
      <c r="A5406" s="129">
        <v>5406</v>
      </c>
    </row>
    <row r="5407" spans="1:1" ht="12.75" customHeight="1">
      <c r="A5407" s="129">
        <v>5407</v>
      </c>
    </row>
    <row r="5408" spans="1:1" ht="12.75" customHeight="1">
      <c r="A5408" s="129">
        <v>5408</v>
      </c>
    </row>
    <row r="5409" spans="1:1" ht="12.75" customHeight="1">
      <c r="A5409" s="129">
        <v>5409</v>
      </c>
    </row>
    <row r="5410" spans="1:1" ht="12.75" customHeight="1">
      <c r="A5410" s="129">
        <v>5410</v>
      </c>
    </row>
    <row r="5411" spans="1:1" ht="12.75" customHeight="1">
      <c r="A5411" s="129">
        <v>5411</v>
      </c>
    </row>
    <row r="5412" spans="1:1" ht="12.75" customHeight="1">
      <c r="A5412" s="129">
        <v>5412</v>
      </c>
    </row>
    <row r="5413" spans="1:1" ht="12.75" customHeight="1">
      <c r="A5413" s="129">
        <v>5413</v>
      </c>
    </row>
    <row r="5414" spans="1:1" ht="12.75" customHeight="1">
      <c r="A5414" s="129">
        <v>5414</v>
      </c>
    </row>
    <row r="5415" spans="1:1" ht="12.75" customHeight="1">
      <c r="A5415" s="129">
        <v>5415</v>
      </c>
    </row>
    <row r="5416" spans="1:1" ht="12.75" customHeight="1">
      <c r="A5416" s="129">
        <v>5416</v>
      </c>
    </row>
    <row r="5417" spans="1:1" ht="12.75" customHeight="1">
      <c r="A5417" s="129">
        <v>5417</v>
      </c>
    </row>
    <row r="5418" spans="1:1" ht="12.75" customHeight="1">
      <c r="A5418" s="129">
        <v>5418</v>
      </c>
    </row>
    <row r="5419" spans="1:1" ht="12.75" customHeight="1">
      <c r="A5419" s="129">
        <v>5419</v>
      </c>
    </row>
    <row r="5420" spans="1:1" ht="12.75" customHeight="1">
      <c r="A5420" s="129">
        <v>5420</v>
      </c>
    </row>
    <row r="5421" spans="1:1" ht="12.75" customHeight="1">
      <c r="A5421" s="129">
        <v>5421</v>
      </c>
    </row>
    <row r="5422" spans="1:1" ht="12.75" customHeight="1">
      <c r="A5422" s="129">
        <v>5422</v>
      </c>
    </row>
    <row r="5423" spans="1:1" ht="12.75" customHeight="1">
      <c r="A5423" s="129">
        <v>5423</v>
      </c>
    </row>
    <row r="5424" spans="1:1" ht="12.75" customHeight="1">
      <c r="A5424" s="129">
        <v>5424</v>
      </c>
    </row>
    <row r="5425" spans="1:1" ht="12.75" customHeight="1">
      <c r="A5425" s="129">
        <v>5425</v>
      </c>
    </row>
    <row r="5426" spans="1:1" ht="12.75" customHeight="1">
      <c r="A5426" s="129">
        <v>5426</v>
      </c>
    </row>
    <row r="5427" spans="1:1" ht="12.75" customHeight="1">
      <c r="A5427" s="129">
        <v>5427</v>
      </c>
    </row>
    <row r="5428" spans="1:1" ht="12.75" customHeight="1">
      <c r="A5428" s="129">
        <v>5428</v>
      </c>
    </row>
    <row r="5429" spans="1:1" ht="12.75" customHeight="1">
      <c r="A5429" s="129">
        <v>5429</v>
      </c>
    </row>
    <row r="5430" spans="1:1" ht="12.75" customHeight="1">
      <c r="A5430" s="129">
        <v>5430</v>
      </c>
    </row>
    <row r="5431" spans="1:1" ht="12.75" customHeight="1">
      <c r="A5431" s="129">
        <v>5431</v>
      </c>
    </row>
    <row r="5432" spans="1:1" ht="12.75" customHeight="1">
      <c r="A5432" s="129">
        <v>5432</v>
      </c>
    </row>
    <row r="5433" spans="1:1" ht="12.75" customHeight="1">
      <c r="A5433" s="129">
        <v>5433</v>
      </c>
    </row>
    <row r="5434" spans="1:1" ht="12.75" customHeight="1">
      <c r="A5434" s="129">
        <v>5434</v>
      </c>
    </row>
    <row r="5435" spans="1:1" ht="12.75" customHeight="1">
      <c r="A5435" s="129">
        <v>5435</v>
      </c>
    </row>
    <row r="5436" spans="1:1" ht="12.75" customHeight="1">
      <c r="A5436" s="129">
        <v>5436</v>
      </c>
    </row>
    <row r="5437" spans="1:1" ht="12.75" customHeight="1">
      <c r="A5437" s="129">
        <v>5437</v>
      </c>
    </row>
    <row r="5438" spans="1:1" ht="12.75" customHeight="1">
      <c r="A5438" s="129">
        <v>5438</v>
      </c>
    </row>
    <row r="5439" spans="1:1" ht="12.75" customHeight="1">
      <c r="A5439" s="129">
        <v>5439</v>
      </c>
    </row>
    <row r="5440" spans="1:1" ht="12.75" customHeight="1">
      <c r="A5440" s="129">
        <v>5440</v>
      </c>
    </row>
    <row r="5441" spans="1:1" ht="12.75" customHeight="1">
      <c r="A5441" s="129">
        <v>5441</v>
      </c>
    </row>
    <row r="5442" spans="1:1" ht="12.75" customHeight="1">
      <c r="A5442" s="129">
        <v>5442</v>
      </c>
    </row>
    <row r="5443" spans="1:1" ht="12.75" customHeight="1">
      <c r="A5443" s="129">
        <v>5443</v>
      </c>
    </row>
    <row r="5444" spans="1:1" ht="12.75" customHeight="1">
      <c r="A5444" s="129">
        <v>5444</v>
      </c>
    </row>
    <row r="5445" spans="1:1" ht="12.75" customHeight="1">
      <c r="A5445" s="129">
        <v>5445</v>
      </c>
    </row>
    <row r="5446" spans="1:1" ht="12.75" customHeight="1">
      <c r="A5446" s="129">
        <v>5446</v>
      </c>
    </row>
    <row r="5447" spans="1:1" ht="12.75" customHeight="1">
      <c r="A5447" s="129">
        <v>5447</v>
      </c>
    </row>
    <row r="5448" spans="1:1" ht="12.75" customHeight="1">
      <c r="A5448" s="129">
        <v>5448</v>
      </c>
    </row>
    <row r="5449" spans="1:1" ht="12.75" customHeight="1">
      <c r="A5449" s="129">
        <v>5449</v>
      </c>
    </row>
    <row r="5450" spans="1:1" ht="12.75" customHeight="1">
      <c r="A5450" s="129">
        <v>5450</v>
      </c>
    </row>
    <row r="5451" spans="1:1" ht="12.75" customHeight="1">
      <c r="A5451" s="129">
        <v>5451</v>
      </c>
    </row>
    <row r="5452" spans="1:1" ht="12.75" customHeight="1">
      <c r="A5452" s="129">
        <v>5452</v>
      </c>
    </row>
    <row r="5453" spans="1:1" ht="12.75" customHeight="1">
      <c r="A5453" s="129">
        <v>5453</v>
      </c>
    </row>
    <row r="5454" spans="1:1" ht="12.75" customHeight="1">
      <c r="A5454" s="129">
        <v>5454</v>
      </c>
    </row>
    <row r="5455" spans="1:1" ht="12.75" customHeight="1">
      <c r="A5455" s="129">
        <v>5455</v>
      </c>
    </row>
    <row r="5456" spans="1:1" ht="12.75" customHeight="1">
      <c r="A5456" s="129">
        <v>5456</v>
      </c>
    </row>
    <row r="5457" spans="1:1" ht="12.75" customHeight="1">
      <c r="A5457" s="129">
        <v>5457</v>
      </c>
    </row>
    <row r="5458" spans="1:1" ht="12.75" customHeight="1">
      <c r="A5458" s="129">
        <v>5458</v>
      </c>
    </row>
    <row r="5459" spans="1:1" ht="12.75" customHeight="1">
      <c r="A5459" s="129">
        <v>5459</v>
      </c>
    </row>
    <row r="5460" spans="1:1" ht="12.75" customHeight="1">
      <c r="A5460" s="129">
        <v>5460</v>
      </c>
    </row>
    <row r="5461" spans="1:1" ht="12.75" customHeight="1">
      <c r="A5461" s="129">
        <v>5461</v>
      </c>
    </row>
    <row r="5462" spans="1:1" ht="12.75" customHeight="1">
      <c r="A5462" s="129">
        <v>5462</v>
      </c>
    </row>
    <row r="5463" spans="1:1" ht="12.75" customHeight="1">
      <c r="A5463" s="129">
        <v>5463</v>
      </c>
    </row>
    <row r="5464" spans="1:1" ht="12.75" customHeight="1">
      <c r="A5464" s="129">
        <v>5464</v>
      </c>
    </row>
    <row r="5465" spans="1:1" ht="12.75" customHeight="1">
      <c r="A5465" s="129">
        <v>5465</v>
      </c>
    </row>
    <row r="5466" spans="1:1" ht="12.75" customHeight="1">
      <c r="A5466" s="129">
        <v>5466</v>
      </c>
    </row>
    <row r="5467" spans="1:1" ht="12.75" customHeight="1">
      <c r="A5467" s="129">
        <v>5467</v>
      </c>
    </row>
    <row r="5468" spans="1:1" ht="12.75" customHeight="1">
      <c r="A5468" s="129">
        <v>5468</v>
      </c>
    </row>
    <row r="5469" spans="1:1" ht="12.75" customHeight="1">
      <c r="A5469" s="129">
        <v>5469</v>
      </c>
    </row>
    <row r="5470" spans="1:1" ht="12.75" customHeight="1">
      <c r="A5470" s="129">
        <v>5470</v>
      </c>
    </row>
    <row r="5471" spans="1:1" ht="12.75" customHeight="1">
      <c r="A5471" s="129">
        <v>5471</v>
      </c>
    </row>
    <row r="5472" spans="1:1" ht="12.75" customHeight="1">
      <c r="A5472" s="129">
        <v>5472</v>
      </c>
    </row>
    <row r="5473" spans="1:1" ht="12.75" customHeight="1">
      <c r="A5473" s="129">
        <v>5473</v>
      </c>
    </row>
    <row r="5474" spans="1:1" ht="12.75" customHeight="1">
      <c r="A5474" s="129">
        <v>5474</v>
      </c>
    </row>
    <row r="5475" spans="1:1" ht="12.75" customHeight="1">
      <c r="A5475" s="129">
        <v>5475</v>
      </c>
    </row>
    <row r="5476" spans="1:1" ht="12.75" customHeight="1">
      <c r="A5476" s="129">
        <v>5476</v>
      </c>
    </row>
    <row r="5477" spans="1:1" ht="12.75" customHeight="1">
      <c r="A5477" s="129">
        <v>5477</v>
      </c>
    </row>
    <row r="5478" spans="1:1" ht="12.75" customHeight="1">
      <c r="A5478" s="129">
        <v>5478</v>
      </c>
    </row>
    <row r="5479" spans="1:1" ht="12.75" customHeight="1">
      <c r="A5479" s="129">
        <v>5479</v>
      </c>
    </row>
    <row r="5480" spans="1:1" ht="12.75" customHeight="1">
      <c r="A5480" s="129">
        <v>5480</v>
      </c>
    </row>
    <row r="5481" spans="1:1" ht="12.75" customHeight="1">
      <c r="A5481" s="129">
        <v>5481</v>
      </c>
    </row>
    <row r="5482" spans="1:1" ht="12.75" customHeight="1">
      <c r="A5482" s="129">
        <v>5482</v>
      </c>
    </row>
    <row r="5483" spans="1:1" ht="12.75" customHeight="1">
      <c r="A5483" s="129">
        <v>5483</v>
      </c>
    </row>
    <row r="5484" spans="1:1" ht="12.75" customHeight="1">
      <c r="A5484" s="129">
        <v>5484</v>
      </c>
    </row>
    <row r="5485" spans="1:1" ht="12.75" customHeight="1">
      <c r="A5485" s="129">
        <v>5485</v>
      </c>
    </row>
    <row r="5486" spans="1:1" ht="12.75" customHeight="1">
      <c r="A5486" s="129">
        <v>5486</v>
      </c>
    </row>
    <row r="5487" spans="1:1" ht="12.75" customHeight="1">
      <c r="A5487" s="129">
        <v>5487</v>
      </c>
    </row>
    <row r="5488" spans="1:1" ht="12.75" customHeight="1">
      <c r="A5488" s="129">
        <v>5488</v>
      </c>
    </row>
    <row r="5489" spans="1:1" ht="12.75" customHeight="1">
      <c r="A5489" s="129">
        <v>5489</v>
      </c>
    </row>
    <row r="5490" spans="1:1" ht="12.75" customHeight="1">
      <c r="A5490" s="129">
        <v>5490</v>
      </c>
    </row>
    <row r="5491" spans="1:1" ht="12.75" customHeight="1">
      <c r="A5491" s="129">
        <v>5491</v>
      </c>
    </row>
    <row r="5492" spans="1:1" ht="12.75" customHeight="1">
      <c r="A5492" s="129">
        <v>5492</v>
      </c>
    </row>
    <row r="5493" spans="1:1" ht="12.75" customHeight="1">
      <c r="A5493" s="129">
        <v>5493</v>
      </c>
    </row>
    <row r="5494" spans="1:1" ht="12.75" customHeight="1">
      <c r="A5494" s="129">
        <v>5494</v>
      </c>
    </row>
    <row r="5495" spans="1:1" ht="12.75" customHeight="1">
      <c r="A5495" s="129">
        <v>5495</v>
      </c>
    </row>
    <row r="5496" spans="1:1" ht="12.75" customHeight="1">
      <c r="A5496" s="129">
        <v>5496</v>
      </c>
    </row>
    <row r="5497" spans="1:1" ht="12.75" customHeight="1">
      <c r="A5497" s="129">
        <v>5497</v>
      </c>
    </row>
    <row r="5498" spans="1:1" ht="12.75" customHeight="1">
      <c r="A5498" s="129">
        <v>5498</v>
      </c>
    </row>
    <row r="5499" spans="1:1" ht="12.75" customHeight="1">
      <c r="A5499" s="129">
        <v>5499</v>
      </c>
    </row>
    <row r="5500" spans="1:1" ht="12.75" customHeight="1">
      <c r="A5500" s="129">
        <v>5500</v>
      </c>
    </row>
    <row r="5501" spans="1:1" ht="12.75" customHeight="1">
      <c r="A5501" s="129">
        <v>5501</v>
      </c>
    </row>
    <row r="5502" spans="1:1" ht="12.75" customHeight="1">
      <c r="A5502" s="129">
        <v>5502</v>
      </c>
    </row>
    <row r="5503" spans="1:1" ht="12.75" customHeight="1">
      <c r="A5503" s="129">
        <v>5503</v>
      </c>
    </row>
    <row r="5504" spans="1:1" ht="12.75" customHeight="1">
      <c r="A5504" s="129">
        <v>5504</v>
      </c>
    </row>
    <row r="5505" spans="1:1" ht="12.75" customHeight="1">
      <c r="A5505" s="129">
        <v>5505</v>
      </c>
    </row>
    <row r="5506" spans="1:1" ht="12.75" customHeight="1">
      <c r="A5506" s="129">
        <v>5506</v>
      </c>
    </row>
    <row r="5507" spans="1:1" ht="12.75" customHeight="1">
      <c r="A5507" s="129">
        <v>5507</v>
      </c>
    </row>
    <row r="5508" spans="1:1" ht="12.75" customHeight="1">
      <c r="A5508" s="129">
        <v>5508</v>
      </c>
    </row>
    <row r="5509" spans="1:1" ht="12.75" customHeight="1">
      <c r="A5509" s="129">
        <v>5509</v>
      </c>
    </row>
    <row r="5510" spans="1:1" ht="12.75" customHeight="1">
      <c r="A5510" s="129">
        <v>5510</v>
      </c>
    </row>
    <row r="5511" spans="1:1" ht="12.75" customHeight="1">
      <c r="A5511" s="129">
        <v>5511</v>
      </c>
    </row>
    <row r="5512" spans="1:1" ht="12.75" customHeight="1">
      <c r="A5512" s="129">
        <v>5512</v>
      </c>
    </row>
    <row r="5513" spans="1:1" ht="12.75" customHeight="1">
      <c r="A5513" s="129">
        <v>5513</v>
      </c>
    </row>
    <row r="5514" spans="1:1" ht="12.75" customHeight="1">
      <c r="A5514" s="129">
        <v>5514</v>
      </c>
    </row>
    <row r="5515" spans="1:1" ht="12.75" customHeight="1">
      <c r="A5515" s="129">
        <v>5515</v>
      </c>
    </row>
    <row r="5516" spans="1:1" ht="12.75" customHeight="1">
      <c r="A5516" s="129">
        <v>5516</v>
      </c>
    </row>
    <row r="5517" spans="1:1" ht="12.75" customHeight="1">
      <c r="A5517" s="129">
        <v>5517</v>
      </c>
    </row>
    <row r="5518" spans="1:1" ht="12.75" customHeight="1">
      <c r="A5518" s="129">
        <v>5518</v>
      </c>
    </row>
    <row r="5519" spans="1:1" ht="12.75" customHeight="1">
      <c r="A5519" s="129">
        <v>5519</v>
      </c>
    </row>
    <row r="5520" spans="1:1" ht="12.75" customHeight="1">
      <c r="A5520" s="129">
        <v>5520</v>
      </c>
    </row>
    <row r="5521" spans="1:1" ht="12.75" customHeight="1">
      <c r="A5521" s="129">
        <v>5521</v>
      </c>
    </row>
    <row r="5522" spans="1:1" ht="12.75" customHeight="1">
      <c r="A5522" s="129">
        <v>5522</v>
      </c>
    </row>
    <row r="5523" spans="1:1" ht="12.75" customHeight="1">
      <c r="A5523" s="129">
        <v>5523</v>
      </c>
    </row>
    <row r="5524" spans="1:1" ht="12.75" customHeight="1">
      <c r="A5524" s="129">
        <v>5524</v>
      </c>
    </row>
    <row r="5525" spans="1:1" ht="12.75" customHeight="1">
      <c r="A5525" s="129">
        <v>5525</v>
      </c>
    </row>
    <row r="5526" spans="1:1" ht="12.75" customHeight="1">
      <c r="A5526" s="129">
        <v>5526</v>
      </c>
    </row>
    <row r="5527" spans="1:1" ht="12.75" customHeight="1">
      <c r="A5527" s="129">
        <v>5527</v>
      </c>
    </row>
    <row r="5528" spans="1:1" ht="12.75" customHeight="1">
      <c r="A5528" s="129">
        <v>5528</v>
      </c>
    </row>
    <row r="5529" spans="1:1" ht="12.75" customHeight="1">
      <c r="A5529" s="129">
        <v>5529</v>
      </c>
    </row>
    <row r="5530" spans="1:1" ht="12.75" customHeight="1">
      <c r="A5530" s="129">
        <v>5530</v>
      </c>
    </row>
    <row r="5531" spans="1:1" ht="12.75" customHeight="1">
      <c r="A5531" s="129">
        <v>5531</v>
      </c>
    </row>
    <row r="5532" spans="1:1" ht="12.75" customHeight="1">
      <c r="A5532" s="129">
        <v>5532</v>
      </c>
    </row>
    <row r="5533" spans="1:1" ht="12.75" customHeight="1">
      <c r="A5533" s="129">
        <v>5533</v>
      </c>
    </row>
    <row r="5534" spans="1:1" ht="12.75" customHeight="1">
      <c r="A5534" s="129">
        <v>5534</v>
      </c>
    </row>
    <row r="5535" spans="1:1" ht="12.75" customHeight="1">
      <c r="A5535" s="129">
        <v>5535</v>
      </c>
    </row>
    <row r="5536" spans="1:1" ht="12.75" customHeight="1">
      <c r="A5536" s="129">
        <v>5536</v>
      </c>
    </row>
    <row r="5537" spans="1:1" ht="12.75" customHeight="1">
      <c r="A5537" s="129">
        <v>5537</v>
      </c>
    </row>
    <row r="5538" spans="1:1" ht="12.75" customHeight="1">
      <c r="A5538" s="129">
        <v>5538</v>
      </c>
    </row>
    <row r="5539" spans="1:1" ht="12.75" customHeight="1">
      <c r="A5539" s="129">
        <v>5539</v>
      </c>
    </row>
    <row r="5540" spans="1:1" ht="12.75" customHeight="1">
      <c r="A5540" s="129">
        <v>5540</v>
      </c>
    </row>
    <row r="5541" spans="1:1" ht="12.75" customHeight="1">
      <c r="A5541" s="129">
        <v>5541</v>
      </c>
    </row>
    <row r="5542" spans="1:1" ht="12.75" customHeight="1">
      <c r="A5542" s="129">
        <v>5542</v>
      </c>
    </row>
    <row r="5543" spans="1:1" ht="12.75" customHeight="1">
      <c r="A5543" s="129">
        <v>5543</v>
      </c>
    </row>
    <row r="5544" spans="1:1" ht="12.75" customHeight="1">
      <c r="A5544" s="129">
        <v>5544</v>
      </c>
    </row>
    <row r="5545" spans="1:1" ht="12.75" customHeight="1">
      <c r="A5545" s="129">
        <v>5545</v>
      </c>
    </row>
    <row r="5546" spans="1:1" ht="12.75" customHeight="1">
      <c r="A5546" s="129">
        <v>5546</v>
      </c>
    </row>
    <row r="5547" spans="1:1" ht="12.75" customHeight="1">
      <c r="A5547" s="129">
        <v>5547</v>
      </c>
    </row>
    <row r="5548" spans="1:1" ht="12.75" customHeight="1">
      <c r="A5548" s="129">
        <v>5548</v>
      </c>
    </row>
    <row r="5549" spans="1:1" ht="12.75" customHeight="1">
      <c r="A5549" s="129">
        <v>5549</v>
      </c>
    </row>
    <row r="5550" spans="1:1" ht="12.75" customHeight="1">
      <c r="A5550" s="129">
        <v>5550</v>
      </c>
    </row>
    <row r="5551" spans="1:1" ht="12.75" customHeight="1">
      <c r="A5551" s="129">
        <v>5551</v>
      </c>
    </row>
    <row r="5552" spans="1:1" ht="12.75" customHeight="1">
      <c r="A5552" s="129">
        <v>5552</v>
      </c>
    </row>
    <row r="5553" spans="1:1" ht="12.75" customHeight="1">
      <c r="A5553" s="129">
        <v>5553</v>
      </c>
    </row>
    <row r="5554" spans="1:1" ht="12.75" customHeight="1">
      <c r="A5554" s="129">
        <v>5554</v>
      </c>
    </row>
    <row r="5555" spans="1:1" ht="12.75" customHeight="1">
      <c r="A5555" s="129">
        <v>5555</v>
      </c>
    </row>
    <row r="5556" spans="1:1" ht="12.75" customHeight="1">
      <c r="A5556" s="129">
        <v>5556</v>
      </c>
    </row>
    <row r="5557" spans="1:1" ht="12.75" customHeight="1">
      <c r="A5557" s="129">
        <v>5557</v>
      </c>
    </row>
    <row r="5558" spans="1:1" ht="12.75" customHeight="1">
      <c r="A5558" s="129">
        <v>5558</v>
      </c>
    </row>
    <row r="5559" spans="1:1" ht="12.75" customHeight="1">
      <c r="A5559" s="129">
        <v>5559</v>
      </c>
    </row>
    <row r="5560" spans="1:1" ht="12.75" customHeight="1">
      <c r="A5560" s="129">
        <v>5560</v>
      </c>
    </row>
    <row r="5561" spans="1:1" ht="12.75" customHeight="1">
      <c r="A5561" s="129">
        <v>5561</v>
      </c>
    </row>
    <row r="5562" spans="1:1" ht="12.75" customHeight="1">
      <c r="A5562" s="129">
        <v>5562</v>
      </c>
    </row>
    <row r="5563" spans="1:1" ht="12.75" customHeight="1">
      <c r="A5563" s="129">
        <v>5563</v>
      </c>
    </row>
    <row r="5564" spans="1:1" ht="12.75" customHeight="1">
      <c r="A5564" s="129">
        <v>5564</v>
      </c>
    </row>
    <row r="5565" spans="1:1" ht="12.75" customHeight="1">
      <c r="A5565" s="129">
        <v>5565</v>
      </c>
    </row>
    <row r="5566" spans="1:1" ht="12.75" customHeight="1">
      <c r="A5566" s="129">
        <v>5566</v>
      </c>
    </row>
    <row r="5567" spans="1:1" ht="12.75" customHeight="1">
      <c r="A5567" s="129">
        <v>5567</v>
      </c>
    </row>
    <row r="5568" spans="1:1" ht="12.75" customHeight="1">
      <c r="A5568" s="129">
        <v>5568</v>
      </c>
    </row>
    <row r="5569" spans="1:1" ht="12.75" customHeight="1">
      <c r="A5569" s="129">
        <v>5569</v>
      </c>
    </row>
    <row r="5570" spans="1:1" ht="12.75" customHeight="1">
      <c r="A5570" s="129">
        <v>5570</v>
      </c>
    </row>
    <row r="5571" spans="1:1" ht="12.75" customHeight="1">
      <c r="A5571" s="129">
        <v>5571</v>
      </c>
    </row>
    <row r="5572" spans="1:1" ht="12.75" customHeight="1">
      <c r="A5572" s="129">
        <v>5572</v>
      </c>
    </row>
    <row r="5573" spans="1:1" ht="12.75" customHeight="1">
      <c r="A5573" s="129">
        <v>5573</v>
      </c>
    </row>
    <row r="5574" spans="1:1" ht="12.75" customHeight="1">
      <c r="A5574" s="129">
        <v>5574</v>
      </c>
    </row>
    <row r="5575" spans="1:1" ht="12.75" customHeight="1">
      <c r="A5575" s="129">
        <v>5575</v>
      </c>
    </row>
    <row r="5576" spans="1:1" ht="12.75" customHeight="1">
      <c r="A5576" s="129">
        <v>5576</v>
      </c>
    </row>
    <row r="5577" spans="1:1" ht="12.75" customHeight="1">
      <c r="A5577" s="129">
        <v>5577</v>
      </c>
    </row>
    <row r="5578" spans="1:1" ht="12.75" customHeight="1">
      <c r="A5578" s="129">
        <v>5578</v>
      </c>
    </row>
    <row r="5579" spans="1:1" ht="12.75" customHeight="1">
      <c r="A5579" s="129">
        <v>5579</v>
      </c>
    </row>
    <row r="5580" spans="1:1" ht="12.75" customHeight="1">
      <c r="A5580" s="129">
        <v>5580</v>
      </c>
    </row>
    <row r="5581" spans="1:1" ht="12.75" customHeight="1">
      <c r="A5581" s="129">
        <v>5581</v>
      </c>
    </row>
    <row r="5582" spans="1:1" ht="12.75" customHeight="1">
      <c r="A5582" s="129">
        <v>5582</v>
      </c>
    </row>
    <row r="5583" spans="1:1" ht="12.75" customHeight="1">
      <c r="A5583" s="129">
        <v>5583</v>
      </c>
    </row>
    <row r="5584" spans="1:1" ht="12.75" customHeight="1">
      <c r="A5584" s="129">
        <v>5584</v>
      </c>
    </row>
    <row r="5585" spans="1:1" ht="12.75" customHeight="1">
      <c r="A5585" s="129">
        <v>5585</v>
      </c>
    </row>
    <row r="5586" spans="1:1" ht="12.75" customHeight="1">
      <c r="A5586" s="129">
        <v>5586</v>
      </c>
    </row>
    <row r="5587" spans="1:1" ht="12.75" customHeight="1">
      <c r="A5587" s="129">
        <v>5587</v>
      </c>
    </row>
    <row r="5588" spans="1:1" ht="12.75" customHeight="1">
      <c r="A5588" s="129">
        <v>5588</v>
      </c>
    </row>
    <row r="5589" spans="1:1" ht="12.75" customHeight="1">
      <c r="A5589" s="129">
        <v>5589</v>
      </c>
    </row>
    <row r="5590" spans="1:1" ht="12.75" customHeight="1">
      <c r="A5590" s="129">
        <v>5590</v>
      </c>
    </row>
    <row r="5591" spans="1:1" ht="12.75" customHeight="1">
      <c r="A5591" s="129">
        <v>5591</v>
      </c>
    </row>
    <row r="5592" spans="1:1" ht="12.75" customHeight="1">
      <c r="A5592" s="129">
        <v>5592</v>
      </c>
    </row>
    <row r="5593" spans="1:1" ht="12.75" customHeight="1">
      <c r="A5593" s="129">
        <v>5593</v>
      </c>
    </row>
    <row r="5594" spans="1:1" ht="12.75" customHeight="1">
      <c r="A5594" s="129">
        <v>5594</v>
      </c>
    </row>
    <row r="5595" spans="1:1" ht="12.75" customHeight="1">
      <c r="A5595" s="129">
        <v>5595</v>
      </c>
    </row>
    <row r="5596" spans="1:1" ht="12.75" customHeight="1">
      <c r="A5596" s="129">
        <v>5596</v>
      </c>
    </row>
    <row r="5597" spans="1:1" ht="12.75" customHeight="1">
      <c r="A5597" s="129">
        <v>5597</v>
      </c>
    </row>
    <row r="5598" spans="1:1" ht="12.75" customHeight="1">
      <c r="A5598" s="129">
        <v>5598</v>
      </c>
    </row>
    <row r="5599" spans="1:1" ht="12.75" customHeight="1">
      <c r="A5599" s="129">
        <v>5599</v>
      </c>
    </row>
    <row r="5600" spans="1:1" ht="12.75" customHeight="1">
      <c r="A5600" s="129">
        <v>5600</v>
      </c>
    </row>
    <row r="5601" spans="1:1" ht="12.75" customHeight="1">
      <c r="A5601" s="129">
        <v>5601</v>
      </c>
    </row>
    <row r="5602" spans="1:1" ht="12.75" customHeight="1">
      <c r="A5602" s="129">
        <v>5602</v>
      </c>
    </row>
    <row r="5603" spans="1:1" ht="12.75" customHeight="1">
      <c r="A5603" s="129">
        <v>5603</v>
      </c>
    </row>
    <row r="5604" spans="1:1" ht="12.75" customHeight="1">
      <c r="A5604" s="129">
        <v>5604</v>
      </c>
    </row>
    <row r="5605" spans="1:1" ht="12.75" customHeight="1">
      <c r="A5605" s="129">
        <v>5605</v>
      </c>
    </row>
    <row r="5606" spans="1:1" ht="12.75" customHeight="1">
      <c r="A5606" s="129">
        <v>5606</v>
      </c>
    </row>
    <row r="5607" spans="1:1" ht="12.75" customHeight="1">
      <c r="A5607" s="129">
        <v>5607</v>
      </c>
    </row>
    <row r="5608" spans="1:1" ht="12.75" customHeight="1">
      <c r="A5608" s="129">
        <v>5608</v>
      </c>
    </row>
    <row r="5609" spans="1:1" ht="12.75" customHeight="1">
      <c r="A5609" s="129">
        <v>5609</v>
      </c>
    </row>
    <row r="5610" spans="1:1" ht="12.75" customHeight="1">
      <c r="A5610" s="129">
        <v>5610</v>
      </c>
    </row>
    <row r="5611" spans="1:1" ht="12.75" customHeight="1">
      <c r="A5611" s="129">
        <v>5611</v>
      </c>
    </row>
    <row r="5612" spans="1:1" ht="12.75" customHeight="1">
      <c r="A5612" s="129">
        <v>5612</v>
      </c>
    </row>
    <row r="5613" spans="1:1" ht="12.75" customHeight="1">
      <c r="A5613" s="129">
        <v>5613</v>
      </c>
    </row>
    <row r="5614" spans="1:1" ht="12.75" customHeight="1">
      <c r="A5614" s="129">
        <v>5614</v>
      </c>
    </row>
    <row r="5615" spans="1:1" ht="12.75" customHeight="1">
      <c r="A5615" s="129">
        <v>5615</v>
      </c>
    </row>
    <row r="5616" spans="1:1" ht="12.75" customHeight="1">
      <c r="A5616" s="129">
        <v>5616</v>
      </c>
    </row>
    <row r="5617" spans="1:1" ht="12.75" customHeight="1">
      <c r="A5617" s="129">
        <v>5617</v>
      </c>
    </row>
    <row r="5618" spans="1:1" ht="12.75" customHeight="1">
      <c r="A5618" s="129">
        <v>5618</v>
      </c>
    </row>
    <row r="5619" spans="1:1" ht="12.75" customHeight="1">
      <c r="A5619" s="129">
        <v>5619</v>
      </c>
    </row>
    <row r="5620" spans="1:1" ht="12.75" customHeight="1">
      <c r="A5620" s="129">
        <v>5620</v>
      </c>
    </row>
    <row r="5621" spans="1:1" ht="12.75" customHeight="1">
      <c r="A5621" s="129">
        <v>5621</v>
      </c>
    </row>
    <row r="5622" spans="1:1" ht="12.75" customHeight="1">
      <c r="A5622" s="129">
        <v>5622</v>
      </c>
    </row>
    <row r="5623" spans="1:1" ht="12.75" customHeight="1">
      <c r="A5623" s="129">
        <v>5623</v>
      </c>
    </row>
    <row r="5624" spans="1:1" ht="12.75" customHeight="1">
      <c r="A5624" s="129">
        <v>5624</v>
      </c>
    </row>
    <row r="5625" spans="1:1" ht="12.75" customHeight="1">
      <c r="A5625" s="129">
        <v>5625</v>
      </c>
    </row>
    <row r="5626" spans="1:1" ht="12.75" customHeight="1">
      <c r="A5626" s="129">
        <v>5626</v>
      </c>
    </row>
    <row r="5627" spans="1:1" ht="12.75" customHeight="1">
      <c r="A5627" s="129">
        <v>5627</v>
      </c>
    </row>
    <row r="5628" spans="1:1" ht="12.75" customHeight="1">
      <c r="A5628" s="129">
        <v>5628</v>
      </c>
    </row>
    <row r="5629" spans="1:1" ht="12.75" customHeight="1">
      <c r="A5629" s="129">
        <v>5629</v>
      </c>
    </row>
    <row r="5630" spans="1:1" ht="12.75" customHeight="1">
      <c r="A5630" s="129">
        <v>5630</v>
      </c>
    </row>
    <row r="5631" spans="1:1" ht="12.75" customHeight="1">
      <c r="A5631" s="129">
        <v>5631</v>
      </c>
    </row>
    <row r="5632" spans="1:1" ht="12.75" customHeight="1">
      <c r="A5632" s="129">
        <v>5632</v>
      </c>
    </row>
    <row r="5633" spans="1:1" ht="12.75" customHeight="1">
      <c r="A5633" s="129">
        <v>5633</v>
      </c>
    </row>
    <row r="5634" spans="1:1" ht="12.75" customHeight="1">
      <c r="A5634" s="129">
        <v>5634</v>
      </c>
    </row>
    <row r="5635" spans="1:1" ht="12.75" customHeight="1">
      <c r="A5635" s="129">
        <v>5635</v>
      </c>
    </row>
    <row r="5636" spans="1:1" ht="12.75" customHeight="1">
      <c r="A5636" s="129">
        <v>5636</v>
      </c>
    </row>
    <row r="5637" spans="1:1" ht="12.75" customHeight="1">
      <c r="A5637" s="129">
        <v>5637</v>
      </c>
    </row>
    <row r="5638" spans="1:1" ht="12.75" customHeight="1">
      <c r="A5638" s="129">
        <v>5638</v>
      </c>
    </row>
    <row r="5639" spans="1:1" ht="12.75" customHeight="1">
      <c r="A5639" s="129">
        <v>5639</v>
      </c>
    </row>
    <row r="5640" spans="1:1" ht="12.75" customHeight="1">
      <c r="A5640" s="129">
        <v>5640</v>
      </c>
    </row>
    <row r="5641" spans="1:1" ht="12.75" customHeight="1">
      <c r="A5641" s="129">
        <v>5641</v>
      </c>
    </row>
    <row r="5642" spans="1:1" ht="12.75" customHeight="1">
      <c r="A5642" s="129">
        <v>5642</v>
      </c>
    </row>
    <row r="5643" spans="1:1" ht="12.75" customHeight="1">
      <c r="A5643" s="129">
        <v>5643</v>
      </c>
    </row>
    <row r="5644" spans="1:1" ht="12.75" customHeight="1">
      <c r="A5644" s="129">
        <v>5644</v>
      </c>
    </row>
    <row r="5645" spans="1:1" ht="12.75" customHeight="1">
      <c r="A5645" s="129">
        <v>5645</v>
      </c>
    </row>
    <row r="5646" spans="1:1" ht="12.75" customHeight="1">
      <c r="A5646" s="129">
        <v>5646</v>
      </c>
    </row>
    <row r="5647" spans="1:1" ht="12.75" customHeight="1">
      <c r="A5647" s="129">
        <v>5647</v>
      </c>
    </row>
    <row r="5648" spans="1:1" ht="12.75" customHeight="1">
      <c r="A5648" s="129">
        <v>5648</v>
      </c>
    </row>
    <row r="5649" spans="1:1" ht="12.75" customHeight="1">
      <c r="A5649" s="129">
        <v>5649</v>
      </c>
    </row>
    <row r="5650" spans="1:1" ht="12.75" customHeight="1">
      <c r="A5650" s="129">
        <v>5650</v>
      </c>
    </row>
    <row r="5651" spans="1:1" ht="12.75" customHeight="1">
      <c r="A5651" s="129">
        <v>5651</v>
      </c>
    </row>
    <row r="5652" spans="1:1" ht="12.75" customHeight="1">
      <c r="A5652" s="129">
        <v>5652</v>
      </c>
    </row>
    <row r="5653" spans="1:1" ht="12.75" customHeight="1">
      <c r="A5653" s="129">
        <v>5653</v>
      </c>
    </row>
    <row r="5654" spans="1:1" ht="12.75" customHeight="1">
      <c r="A5654" s="129">
        <v>5654</v>
      </c>
    </row>
    <row r="5655" spans="1:1" ht="12.75" customHeight="1">
      <c r="A5655" s="129">
        <v>5655</v>
      </c>
    </row>
    <row r="5656" spans="1:1" ht="12.75" customHeight="1">
      <c r="A5656" s="129">
        <v>5656</v>
      </c>
    </row>
    <row r="5657" spans="1:1" ht="12.75" customHeight="1">
      <c r="A5657" s="129">
        <v>5657</v>
      </c>
    </row>
    <row r="5658" spans="1:1" ht="12.75" customHeight="1">
      <c r="A5658" s="129">
        <v>5658</v>
      </c>
    </row>
    <row r="5659" spans="1:1" ht="12.75" customHeight="1">
      <c r="A5659" s="129">
        <v>5659</v>
      </c>
    </row>
    <row r="5660" spans="1:1" ht="12.75" customHeight="1">
      <c r="A5660" s="129">
        <v>5660</v>
      </c>
    </row>
    <row r="5661" spans="1:1" ht="12.75" customHeight="1">
      <c r="A5661" s="129">
        <v>5661</v>
      </c>
    </row>
    <row r="5662" spans="1:1" ht="12.75" customHeight="1">
      <c r="A5662" s="129">
        <v>5662</v>
      </c>
    </row>
    <row r="5663" spans="1:1" ht="12.75" customHeight="1">
      <c r="A5663" s="129">
        <v>5663</v>
      </c>
    </row>
    <row r="5664" spans="1:1" ht="12.75" customHeight="1">
      <c r="A5664" s="129">
        <v>5664</v>
      </c>
    </row>
    <row r="5665" spans="1:1" ht="12.75" customHeight="1">
      <c r="A5665" s="129">
        <v>5665</v>
      </c>
    </row>
    <row r="5666" spans="1:1" ht="12.75" customHeight="1">
      <c r="A5666" s="129">
        <v>5666</v>
      </c>
    </row>
    <row r="5667" spans="1:1" ht="12.75" customHeight="1">
      <c r="A5667" s="129">
        <v>5667</v>
      </c>
    </row>
    <row r="5668" spans="1:1" ht="12.75" customHeight="1">
      <c r="A5668" s="129">
        <v>5668</v>
      </c>
    </row>
    <row r="5669" spans="1:1" ht="12.75" customHeight="1">
      <c r="A5669" s="129">
        <v>5669</v>
      </c>
    </row>
    <row r="5670" spans="1:1" ht="12.75" customHeight="1">
      <c r="A5670" s="129">
        <v>5670</v>
      </c>
    </row>
    <row r="5671" spans="1:1" ht="12.75" customHeight="1">
      <c r="A5671" s="129">
        <v>5671</v>
      </c>
    </row>
    <row r="5672" spans="1:1" ht="12.75" customHeight="1">
      <c r="A5672" s="129">
        <v>5672</v>
      </c>
    </row>
    <row r="5673" spans="1:1" ht="12.75" customHeight="1">
      <c r="A5673" s="129">
        <v>5673</v>
      </c>
    </row>
    <row r="5674" spans="1:1" ht="12.75" customHeight="1">
      <c r="A5674" s="129">
        <v>5674</v>
      </c>
    </row>
    <row r="5675" spans="1:1" ht="12.75" customHeight="1">
      <c r="A5675" s="129">
        <v>5675</v>
      </c>
    </row>
    <row r="5676" spans="1:1" ht="12.75" customHeight="1">
      <c r="A5676" s="129">
        <v>5676</v>
      </c>
    </row>
    <row r="5677" spans="1:1" ht="12.75" customHeight="1">
      <c r="A5677" s="129">
        <v>5677</v>
      </c>
    </row>
    <row r="5678" spans="1:1" ht="12.75" customHeight="1">
      <c r="A5678" s="129">
        <v>5678</v>
      </c>
    </row>
    <row r="5679" spans="1:1" ht="12.75" customHeight="1">
      <c r="A5679" s="129">
        <v>5679</v>
      </c>
    </row>
    <row r="5680" spans="1:1" ht="12.75" customHeight="1">
      <c r="A5680" s="129">
        <v>5680</v>
      </c>
    </row>
    <row r="5681" spans="1:1" ht="12.75" customHeight="1">
      <c r="A5681" s="129">
        <v>5681</v>
      </c>
    </row>
    <row r="5682" spans="1:1" ht="12.75" customHeight="1">
      <c r="A5682" s="129">
        <v>5682</v>
      </c>
    </row>
    <row r="5683" spans="1:1" ht="12.75" customHeight="1">
      <c r="A5683" s="129">
        <v>5683</v>
      </c>
    </row>
    <row r="5684" spans="1:1" ht="12.75" customHeight="1">
      <c r="A5684" s="129">
        <v>5684</v>
      </c>
    </row>
    <row r="5685" spans="1:1" ht="12.75" customHeight="1">
      <c r="A5685" s="129">
        <v>5685</v>
      </c>
    </row>
    <row r="5686" spans="1:1" ht="12.75" customHeight="1">
      <c r="A5686" s="129">
        <v>5686</v>
      </c>
    </row>
    <row r="5687" spans="1:1" ht="12.75" customHeight="1">
      <c r="A5687" s="129">
        <v>5687</v>
      </c>
    </row>
    <row r="5688" spans="1:1" ht="12.75" customHeight="1">
      <c r="A5688" s="129">
        <v>5688</v>
      </c>
    </row>
    <row r="5689" spans="1:1" ht="12.75" customHeight="1">
      <c r="A5689" s="129">
        <v>5689</v>
      </c>
    </row>
    <row r="5690" spans="1:1" ht="12.75" customHeight="1">
      <c r="A5690" s="129">
        <v>5690</v>
      </c>
    </row>
    <row r="5691" spans="1:1" ht="12.75" customHeight="1">
      <c r="A5691" s="129">
        <v>5691</v>
      </c>
    </row>
    <row r="5692" spans="1:1" ht="12.75" customHeight="1">
      <c r="A5692" s="129">
        <v>5692</v>
      </c>
    </row>
    <row r="5693" spans="1:1" ht="12.75" customHeight="1">
      <c r="A5693" s="129">
        <v>5693</v>
      </c>
    </row>
    <row r="5694" spans="1:1" ht="12.75" customHeight="1">
      <c r="A5694" s="129">
        <v>5694</v>
      </c>
    </row>
    <row r="5695" spans="1:1" ht="12.75" customHeight="1">
      <c r="A5695" s="129">
        <v>5695</v>
      </c>
    </row>
    <row r="5696" spans="1:1" ht="12.75" customHeight="1">
      <c r="A5696" s="129">
        <v>5696</v>
      </c>
    </row>
    <row r="5697" spans="1:1" ht="12.75" customHeight="1">
      <c r="A5697" s="129">
        <v>5697</v>
      </c>
    </row>
    <row r="5698" spans="1:1" ht="12.75" customHeight="1">
      <c r="A5698" s="129">
        <v>5698</v>
      </c>
    </row>
    <row r="5699" spans="1:1" ht="12.75" customHeight="1">
      <c r="A5699" s="129">
        <v>5699</v>
      </c>
    </row>
    <row r="5700" spans="1:1" ht="12.75" customHeight="1">
      <c r="A5700" s="129">
        <v>5700</v>
      </c>
    </row>
    <row r="5701" spans="1:1" ht="12.75" customHeight="1">
      <c r="A5701" s="129">
        <v>5701</v>
      </c>
    </row>
    <row r="5702" spans="1:1" ht="12.75" customHeight="1">
      <c r="A5702" s="129">
        <v>5702</v>
      </c>
    </row>
    <row r="5703" spans="1:1" ht="12.75" customHeight="1">
      <c r="A5703" s="129">
        <v>5703</v>
      </c>
    </row>
    <row r="5704" spans="1:1" ht="12.75" customHeight="1">
      <c r="A5704" s="129">
        <v>5704</v>
      </c>
    </row>
    <row r="5705" spans="1:1" ht="12.75" customHeight="1">
      <c r="A5705" s="129">
        <v>5705</v>
      </c>
    </row>
    <row r="5706" spans="1:1" ht="12.75" customHeight="1">
      <c r="A5706" s="129">
        <v>5706</v>
      </c>
    </row>
    <row r="5707" spans="1:1" ht="12.75" customHeight="1">
      <c r="A5707" s="129">
        <v>5707</v>
      </c>
    </row>
    <row r="5708" spans="1:1" ht="12.75" customHeight="1">
      <c r="A5708" s="129">
        <v>5708</v>
      </c>
    </row>
    <row r="5709" spans="1:1" ht="12.75" customHeight="1">
      <c r="A5709" s="129">
        <v>5709</v>
      </c>
    </row>
    <row r="5710" spans="1:1" ht="12.75" customHeight="1">
      <c r="A5710" s="129">
        <v>5710</v>
      </c>
    </row>
    <row r="5711" spans="1:1" ht="12.75" customHeight="1">
      <c r="A5711" s="129">
        <v>5711</v>
      </c>
    </row>
    <row r="5712" spans="1:1" ht="12.75" customHeight="1">
      <c r="A5712" s="129">
        <v>5712</v>
      </c>
    </row>
    <row r="5713" spans="1:1" ht="12.75" customHeight="1">
      <c r="A5713" s="129">
        <v>5713</v>
      </c>
    </row>
    <row r="5714" spans="1:1" ht="12.75" customHeight="1">
      <c r="A5714" s="129">
        <v>5714</v>
      </c>
    </row>
    <row r="5715" spans="1:1" ht="12.75" customHeight="1">
      <c r="A5715" s="129">
        <v>5715</v>
      </c>
    </row>
    <row r="5716" spans="1:1" ht="12.75" customHeight="1">
      <c r="A5716" s="129">
        <v>5716</v>
      </c>
    </row>
    <row r="5717" spans="1:1" ht="12.75" customHeight="1">
      <c r="A5717" s="129">
        <v>5717</v>
      </c>
    </row>
    <row r="5718" spans="1:1" ht="12.75" customHeight="1">
      <c r="A5718" s="129">
        <v>5718</v>
      </c>
    </row>
    <row r="5719" spans="1:1" ht="12.75" customHeight="1">
      <c r="A5719" s="129">
        <v>5719</v>
      </c>
    </row>
    <row r="5720" spans="1:1" ht="12.75" customHeight="1">
      <c r="A5720" s="129">
        <v>5720</v>
      </c>
    </row>
    <row r="5721" spans="1:1" ht="12.75" customHeight="1">
      <c r="A5721" s="129">
        <v>5721</v>
      </c>
    </row>
    <row r="5722" spans="1:1" ht="12.75" customHeight="1">
      <c r="A5722" s="129">
        <v>5722</v>
      </c>
    </row>
    <row r="5723" spans="1:1" ht="12.75" customHeight="1">
      <c r="A5723" s="129">
        <v>5723</v>
      </c>
    </row>
    <row r="5724" spans="1:1" ht="12.75" customHeight="1">
      <c r="A5724" s="129">
        <v>5724</v>
      </c>
    </row>
    <row r="5725" spans="1:1" ht="12.75" customHeight="1">
      <c r="A5725" s="129">
        <v>5725</v>
      </c>
    </row>
    <row r="5726" spans="1:1" ht="12.75" customHeight="1">
      <c r="A5726" s="129">
        <v>5726</v>
      </c>
    </row>
    <row r="5727" spans="1:1" ht="12.75" customHeight="1">
      <c r="A5727" s="129">
        <v>5727</v>
      </c>
    </row>
    <row r="5728" spans="1:1" ht="12.75" customHeight="1">
      <c r="A5728" s="129">
        <v>5728</v>
      </c>
    </row>
    <row r="5729" spans="1:1" ht="12.75" customHeight="1">
      <c r="A5729" s="129">
        <v>5729</v>
      </c>
    </row>
    <row r="5730" spans="1:1" ht="12.75" customHeight="1">
      <c r="A5730" s="129">
        <v>5730</v>
      </c>
    </row>
    <row r="5731" spans="1:1" ht="12.75" customHeight="1">
      <c r="A5731" s="129">
        <v>5731</v>
      </c>
    </row>
    <row r="5732" spans="1:1" ht="12.75" customHeight="1">
      <c r="A5732" s="129">
        <v>5732</v>
      </c>
    </row>
    <row r="5733" spans="1:1" ht="12.75" customHeight="1">
      <c r="A5733" s="129">
        <v>5733</v>
      </c>
    </row>
    <row r="5734" spans="1:1" ht="12.75" customHeight="1">
      <c r="A5734" s="129">
        <v>5734</v>
      </c>
    </row>
    <row r="5735" spans="1:1" ht="12.75" customHeight="1">
      <c r="A5735" s="129">
        <v>5735</v>
      </c>
    </row>
    <row r="5736" spans="1:1" ht="12.75" customHeight="1">
      <c r="A5736" s="129">
        <v>5736</v>
      </c>
    </row>
    <row r="5737" spans="1:1" ht="12.75" customHeight="1">
      <c r="A5737" s="129">
        <v>5737</v>
      </c>
    </row>
    <row r="5738" spans="1:1" ht="12.75" customHeight="1">
      <c r="A5738" s="129">
        <v>5738</v>
      </c>
    </row>
    <row r="5739" spans="1:1" ht="12.75" customHeight="1">
      <c r="A5739" s="129">
        <v>5739</v>
      </c>
    </row>
    <row r="5740" spans="1:1" ht="12.75" customHeight="1">
      <c r="A5740" s="129">
        <v>5740</v>
      </c>
    </row>
    <row r="5741" spans="1:1" ht="12.75" customHeight="1">
      <c r="A5741" s="129">
        <v>5741</v>
      </c>
    </row>
    <row r="5742" spans="1:1" ht="12.75" customHeight="1">
      <c r="A5742" s="129">
        <v>5742</v>
      </c>
    </row>
    <row r="5743" spans="1:1" ht="12.75" customHeight="1">
      <c r="A5743" s="129">
        <v>5743</v>
      </c>
    </row>
    <row r="5744" spans="1:1" ht="12.75" customHeight="1">
      <c r="A5744" s="129">
        <v>5744</v>
      </c>
    </row>
    <row r="5745" spans="1:1" ht="12.75" customHeight="1">
      <c r="A5745" s="129">
        <v>5745</v>
      </c>
    </row>
    <row r="5746" spans="1:1" ht="12.75" customHeight="1">
      <c r="A5746" s="129">
        <v>5746</v>
      </c>
    </row>
    <row r="5747" spans="1:1" ht="12.75" customHeight="1">
      <c r="A5747" s="129">
        <v>5747</v>
      </c>
    </row>
    <row r="5748" spans="1:1" ht="12.75" customHeight="1">
      <c r="A5748" s="129">
        <v>5748</v>
      </c>
    </row>
    <row r="5749" spans="1:1" ht="12.75" customHeight="1">
      <c r="A5749" s="129">
        <v>5749</v>
      </c>
    </row>
    <row r="5750" spans="1:1" ht="12.75" customHeight="1">
      <c r="A5750" s="129">
        <v>5750</v>
      </c>
    </row>
    <row r="5751" spans="1:1" ht="12.75" customHeight="1">
      <c r="A5751" s="129">
        <v>5751</v>
      </c>
    </row>
    <row r="5752" spans="1:1" ht="12.75" customHeight="1">
      <c r="A5752" s="129">
        <v>5752</v>
      </c>
    </row>
    <row r="5753" spans="1:1" ht="12.75" customHeight="1">
      <c r="A5753" s="129">
        <v>5753</v>
      </c>
    </row>
    <row r="5754" spans="1:1" ht="12.75" customHeight="1">
      <c r="A5754" s="129">
        <v>5754</v>
      </c>
    </row>
    <row r="5755" spans="1:1" ht="12.75" customHeight="1">
      <c r="A5755" s="129">
        <v>5755</v>
      </c>
    </row>
    <row r="5756" spans="1:1" ht="12.75" customHeight="1">
      <c r="A5756" s="129">
        <v>5756</v>
      </c>
    </row>
    <row r="5757" spans="1:1" ht="12.75" customHeight="1">
      <c r="A5757" s="129">
        <v>5757</v>
      </c>
    </row>
    <row r="5758" spans="1:1" ht="12.75" customHeight="1">
      <c r="A5758" s="129">
        <v>5758</v>
      </c>
    </row>
    <row r="5759" spans="1:1" ht="12.75" customHeight="1">
      <c r="A5759" s="129">
        <v>5759</v>
      </c>
    </row>
    <row r="5760" spans="1:1" ht="12.75" customHeight="1">
      <c r="A5760" s="129">
        <v>5760</v>
      </c>
    </row>
    <row r="5761" spans="1:1" ht="12.75" customHeight="1">
      <c r="A5761" s="129">
        <v>5761</v>
      </c>
    </row>
    <row r="5762" spans="1:1" ht="12.75" customHeight="1">
      <c r="A5762" s="129">
        <v>5762</v>
      </c>
    </row>
    <row r="5763" spans="1:1" ht="12.75" customHeight="1">
      <c r="A5763" s="129">
        <v>5763</v>
      </c>
    </row>
    <row r="5764" spans="1:1" ht="12.75" customHeight="1">
      <c r="A5764" s="129">
        <v>5764</v>
      </c>
    </row>
    <row r="5765" spans="1:1" ht="12.75" customHeight="1">
      <c r="A5765" s="129">
        <v>5765</v>
      </c>
    </row>
    <row r="5766" spans="1:1" ht="12.75" customHeight="1">
      <c r="A5766" s="129">
        <v>5766</v>
      </c>
    </row>
    <row r="5767" spans="1:1" ht="12.75" customHeight="1">
      <c r="A5767" s="129">
        <v>5767</v>
      </c>
    </row>
    <row r="5768" spans="1:1" ht="12.75" customHeight="1">
      <c r="A5768" s="129">
        <v>5768</v>
      </c>
    </row>
    <row r="5769" spans="1:1" ht="12.75" customHeight="1">
      <c r="A5769" s="129">
        <v>5769</v>
      </c>
    </row>
    <row r="5770" spans="1:1" ht="12.75" customHeight="1">
      <c r="A5770" s="129">
        <v>5770</v>
      </c>
    </row>
    <row r="5771" spans="1:1" ht="12.75" customHeight="1">
      <c r="A5771" s="129">
        <v>5771</v>
      </c>
    </row>
    <row r="5772" spans="1:1" ht="12.75" customHeight="1">
      <c r="A5772" s="129">
        <v>5772</v>
      </c>
    </row>
    <row r="5773" spans="1:1" ht="12.75" customHeight="1">
      <c r="A5773" s="129">
        <v>5773</v>
      </c>
    </row>
    <row r="5774" spans="1:1" ht="12.75" customHeight="1">
      <c r="A5774" s="129">
        <v>5774</v>
      </c>
    </row>
    <row r="5775" spans="1:1" ht="12.75" customHeight="1">
      <c r="A5775" s="129">
        <v>5775</v>
      </c>
    </row>
    <row r="5776" spans="1:1" ht="12.75" customHeight="1">
      <c r="A5776" s="129">
        <v>5776</v>
      </c>
    </row>
    <row r="5777" spans="1:1" ht="12.75" customHeight="1">
      <c r="A5777" s="129">
        <v>5777</v>
      </c>
    </row>
    <row r="5778" spans="1:1" ht="12.75" customHeight="1">
      <c r="A5778" s="129">
        <v>5778</v>
      </c>
    </row>
    <row r="5779" spans="1:1" ht="12.75" customHeight="1">
      <c r="A5779" s="129">
        <v>5779</v>
      </c>
    </row>
    <row r="5780" spans="1:1" ht="12.75" customHeight="1">
      <c r="A5780" s="129">
        <v>5780</v>
      </c>
    </row>
    <row r="5781" spans="1:1" ht="12.75" customHeight="1">
      <c r="A5781" s="129">
        <v>5781</v>
      </c>
    </row>
    <row r="5782" spans="1:1" ht="12.75" customHeight="1">
      <c r="A5782" s="129">
        <v>5782</v>
      </c>
    </row>
    <row r="5783" spans="1:1" ht="12.75" customHeight="1">
      <c r="A5783" s="129">
        <v>5783</v>
      </c>
    </row>
    <row r="5784" spans="1:1" ht="12.75" customHeight="1">
      <c r="A5784" s="129">
        <v>5784</v>
      </c>
    </row>
    <row r="5785" spans="1:1" ht="12.75" customHeight="1">
      <c r="A5785" s="129">
        <v>5785</v>
      </c>
    </row>
    <row r="5786" spans="1:1" ht="12.75" customHeight="1">
      <c r="A5786" s="129">
        <v>5786</v>
      </c>
    </row>
    <row r="5787" spans="1:1" ht="12.75" customHeight="1">
      <c r="A5787" s="129">
        <v>5787</v>
      </c>
    </row>
    <row r="5788" spans="1:1" ht="12.75" customHeight="1">
      <c r="A5788" s="129">
        <v>5788</v>
      </c>
    </row>
    <row r="5789" spans="1:1" ht="12.75" customHeight="1">
      <c r="A5789" s="129">
        <v>5789</v>
      </c>
    </row>
    <row r="5790" spans="1:1" ht="12.75" customHeight="1">
      <c r="A5790" s="129">
        <v>5790</v>
      </c>
    </row>
    <row r="5791" spans="1:1" ht="12.75" customHeight="1">
      <c r="A5791" s="129">
        <v>5791</v>
      </c>
    </row>
    <row r="5792" spans="1:1" ht="12.75" customHeight="1">
      <c r="A5792" s="129">
        <v>5792</v>
      </c>
    </row>
    <row r="5793" spans="1:1" ht="12.75" customHeight="1">
      <c r="A5793" s="129">
        <v>5793</v>
      </c>
    </row>
    <row r="5794" spans="1:1" ht="12.75" customHeight="1">
      <c r="A5794" s="129">
        <v>5794</v>
      </c>
    </row>
    <row r="5795" spans="1:1" ht="12.75" customHeight="1">
      <c r="A5795" s="129">
        <v>5795</v>
      </c>
    </row>
    <row r="5796" spans="1:1" ht="12.75" customHeight="1">
      <c r="A5796" s="129">
        <v>5796</v>
      </c>
    </row>
    <row r="5797" spans="1:1" ht="12.75" customHeight="1">
      <c r="A5797" s="129">
        <v>5797</v>
      </c>
    </row>
    <row r="5798" spans="1:1" ht="12.75" customHeight="1">
      <c r="A5798" s="129">
        <v>5798</v>
      </c>
    </row>
    <row r="5799" spans="1:1" ht="12.75" customHeight="1">
      <c r="A5799" s="129">
        <v>5799</v>
      </c>
    </row>
    <row r="5800" spans="1:1" ht="12.75" customHeight="1">
      <c r="A5800" s="129">
        <v>5800</v>
      </c>
    </row>
    <row r="5801" spans="1:1" ht="12.75" customHeight="1">
      <c r="A5801" s="129">
        <v>5801</v>
      </c>
    </row>
    <row r="5802" spans="1:1" ht="12.75" customHeight="1">
      <c r="A5802" s="129">
        <v>5802</v>
      </c>
    </row>
    <row r="5803" spans="1:1" ht="12.75" customHeight="1">
      <c r="A5803" s="129">
        <v>5803</v>
      </c>
    </row>
    <row r="5804" spans="1:1" ht="12.75" customHeight="1">
      <c r="A5804" s="129">
        <v>5804</v>
      </c>
    </row>
    <row r="5805" spans="1:1" ht="12.75" customHeight="1">
      <c r="A5805" s="129">
        <v>5805</v>
      </c>
    </row>
    <row r="5806" spans="1:1" ht="12.75" customHeight="1">
      <c r="A5806" s="129">
        <v>5806</v>
      </c>
    </row>
    <row r="5807" spans="1:1" ht="12.75" customHeight="1">
      <c r="A5807" s="129">
        <v>5807</v>
      </c>
    </row>
    <row r="5808" spans="1:1" ht="12.75" customHeight="1">
      <c r="A5808" s="129">
        <v>5808</v>
      </c>
    </row>
    <row r="5809" spans="1:1" ht="12.75" customHeight="1">
      <c r="A5809" s="129">
        <v>5809</v>
      </c>
    </row>
    <row r="5810" spans="1:1" ht="12.75" customHeight="1">
      <c r="A5810" s="129">
        <v>5810</v>
      </c>
    </row>
    <row r="5811" spans="1:1" ht="12.75" customHeight="1">
      <c r="A5811" s="129">
        <v>5811</v>
      </c>
    </row>
    <row r="5812" spans="1:1" ht="12.75" customHeight="1">
      <c r="A5812" s="129">
        <v>5812</v>
      </c>
    </row>
    <row r="5813" spans="1:1" ht="12.75" customHeight="1">
      <c r="A5813" s="129">
        <v>5813</v>
      </c>
    </row>
    <row r="5814" spans="1:1" ht="12.75" customHeight="1">
      <c r="A5814" s="129">
        <v>5814</v>
      </c>
    </row>
    <row r="5815" spans="1:1" ht="12.75" customHeight="1">
      <c r="A5815" s="129">
        <v>5815</v>
      </c>
    </row>
    <row r="5816" spans="1:1" ht="12.75" customHeight="1">
      <c r="A5816" s="129">
        <v>5816</v>
      </c>
    </row>
    <row r="5817" spans="1:1" ht="12.75" customHeight="1">
      <c r="A5817" s="129">
        <v>5817</v>
      </c>
    </row>
    <row r="5818" spans="1:1" ht="12.75" customHeight="1">
      <c r="A5818" s="129">
        <v>5818</v>
      </c>
    </row>
    <row r="5819" spans="1:1" ht="12.75" customHeight="1">
      <c r="A5819" s="129">
        <v>5819</v>
      </c>
    </row>
    <row r="5820" spans="1:1" ht="12.75" customHeight="1">
      <c r="A5820" s="129">
        <v>5820</v>
      </c>
    </row>
    <row r="5821" spans="1:1" ht="12.75" customHeight="1">
      <c r="A5821" s="129">
        <v>5821</v>
      </c>
    </row>
    <row r="5822" spans="1:1" ht="12.75" customHeight="1">
      <c r="A5822" s="129">
        <v>5822</v>
      </c>
    </row>
    <row r="5823" spans="1:1" ht="12.75" customHeight="1">
      <c r="A5823" s="129">
        <v>5823</v>
      </c>
    </row>
    <row r="5824" spans="1:1" ht="12.75" customHeight="1">
      <c r="A5824" s="129">
        <v>5824</v>
      </c>
    </row>
    <row r="5825" spans="1:1" ht="12.75" customHeight="1">
      <c r="A5825" s="129">
        <v>5825</v>
      </c>
    </row>
    <row r="5826" spans="1:1" ht="12.75" customHeight="1">
      <c r="A5826" s="129">
        <v>5826</v>
      </c>
    </row>
    <row r="5827" spans="1:1" ht="12.75" customHeight="1">
      <c r="A5827" s="129">
        <v>5827</v>
      </c>
    </row>
    <row r="5828" spans="1:1" ht="12.75" customHeight="1">
      <c r="A5828" s="129">
        <v>5828</v>
      </c>
    </row>
    <row r="5829" spans="1:1" ht="12.75" customHeight="1">
      <c r="A5829" s="129">
        <v>5829</v>
      </c>
    </row>
    <row r="5830" spans="1:1" ht="12.75" customHeight="1">
      <c r="A5830" s="129">
        <v>5830</v>
      </c>
    </row>
    <row r="5831" spans="1:1" ht="12.75" customHeight="1">
      <c r="A5831" s="129">
        <v>5831</v>
      </c>
    </row>
    <row r="5832" spans="1:1" ht="12.75" customHeight="1">
      <c r="A5832" s="129">
        <v>5832</v>
      </c>
    </row>
    <row r="5833" spans="1:1" ht="12.75" customHeight="1">
      <c r="A5833" s="129">
        <v>5833</v>
      </c>
    </row>
    <row r="5834" spans="1:1" ht="12.75" customHeight="1">
      <c r="A5834" s="129">
        <v>5834</v>
      </c>
    </row>
    <row r="5835" spans="1:1" ht="12.75" customHeight="1">
      <c r="A5835" s="129">
        <v>5835</v>
      </c>
    </row>
    <row r="5836" spans="1:1" ht="12.75" customHeight="1">
      <c r="A5836" s="129">
        <v>5836</v>
      </c>
    </row>
    <row r="5837" spans="1:1" ht="12.75" customHeight="1">
      <c r="A5837" s="129">
        <v>5837</v>
      </c>
    </row>
    <row r="5838" spans="1:1" ht="12.75" customHeight="1">
      <c r="A5838" s="129">
        <v>5838</v>
      </c>
    </row>
    <row r="5839" spans="1:1" ht="12.75" customHeight="1">
      <c r="A5839" s="129">
        <v>5839</v>
      </c>
    </row>
    <row r="5840" spans="1:1" ht="12.75" customHeight="1">
      <c r="A5840" s="129">
        <v>5840</v>
      </c>
    </row>
    <row r="5841" spans="1:1" ht="12.75" customHeight="1">
      <c r="A5841" s="129">
        <v>5841</v>
      </c>
    </row>
    <row r="5842" spans="1:1" ht="12.75" customHeight="1">
      <c r="A5842" s="129">
        <v>5842</v>
      </c>
    </row>
    <row r="5843" spans="1:1" ht="12.75" customHeight="1">
      <c r="A5843" s="129">
        <v>5843</v>
      </c>
    </row>
    <row r="5844" spans="1:1" ht="12.75" customHeight="1">
      <c r="A5844" s="129">
        <v>5844</v>
      </c>
    </row>
    <row r="5845" spans="1:1" ht="12.75" customHeight="1">
      <c r="A5845" s="129">
        <v>5845</v>
      </c>
    </row>
    <row r="5846" spans="1:1" ht="12.75" customHeight="1">
      <c r="A5846" s="129">
        <v>5846</v>
      </c>
    </row>
    <row r="5847" spans="1:1" ht="12.75" customHeight="1">
      <c r="A5847" s="129">
        <v>5847</v>
      </c>
    </row>
    <row r="5848" spans="1:1" ht="12.75" customHeight="1">
      <c r="A5848" s="129">
        <v>5848</v>
      </c>
    </row>
    <row r="5849" spans="1:1" ht="12.75" customHeight="1">
      <c r="A5849" s="129">
        <v>5849</v>
      </c>
    </row>
    <row r="5850" spans="1:1" ht="12.75" customHeight="1">
      <c r="A5850" s="129">
        <v>5850</v>
      </c>
    </row>
    <row r="5851" spans="1:1" ht="12.75" customHeight="1">
      <c r="A5851" s="129">
        <v>5851</v>
      </c>
    </row>
    <row r="5852" spans="1:1" ht="12.75" customHeight="1">
      <c r="A5852" s="129">
        <v>5852</v>
      </c>
    </row>
    <row r="5853" spans="1:1" ht="12.75" customHeight="1">
      <c r="A5853" s="129">
        <v>5853</v>
      </c>
    </row>
    <row r="5854" spans="1:1" ht="12.75" customHeight="1">
      <c r="A5854" s="129">
        <v>5854</v>
      </c>
    </row>
    <row r="5855" spans="1:1" ht="12.75" customHeight="1">
      <c r="A5855" s="129">
        <v>5855</v>
      </c>
    </row>
    <row r="5856" spans="1:1" ht="12.75" customHeight="1">
      <c r="A5856" s="129">
        <v>5856</v>
      </c>
    </row>
    <row r="5857" spans="1:1" ht="12.75" customHeight="1">
      <c r="A5857" s="129">
        <v>5857</v>
      </c>
    </row>
    <row r="5858" spans="1:1" ht="12.75" customHeight="1">
      <c r="A5858" s="129">
        <v>5858</v>
      </c>
    </row>
    <row r="5859" spans="1:1" ht="12.75" customHeight="1">
      <c r="A5859" s="129">
        <v>5859</v>
      </c>
    </row>
    <row r="5860" spans="1:1" ht="12.75" customHeight="1">
      <c r="A5860" s="129">
        <v>5860</v>
      </c>
    </row>
    <row r="5861" spans="1:1" ht="12.75" customHeight="1">
      <c r="A5861" s="129">
        <v>5861</v>
      </c>
    </row>
    <row r="5862" spans="1:1" ht="12.75" customHeight="1">
      <c r="A5862" s="129">
        <v>5862</v>
      </c>
    </row>
    <row r="5863" spans="1:1" ht="12.75" customHeight="1">
      <c r="A5863" s="129">
        <v>5863</v>
      </c>
    </row>
    <row r="5864" spans="1:1" ht="12.75" customHeight="1">
      <c r="A5864" s="129">
        <v>5864</v>
      </c>
    </row>
    <row r="5865" spans="1:1" ht="12.75" customHeight="1">
      <c r="A5865" s="129">
        <v>5865</v>
      </c>
    </row>
    <row r="5866" spans="1:1" ht="12.75" customHeight="1">
      <c r="A5866" s="129">
        <v>5866</v>
      </c>
    </row>
    <row r="5867" spans="1:1" ht="12.75" customHeight="1">
      <c r="A5867" s="129">
        <v>5867</v>
      </c>
    </row>
    <row r="5868" spans="1:1" ht="12.75" customHeight="1">
      <c r="A5868" s="129">
        <v>5868</v>
      </c>
    </row>
    <row r="5869" spans="1:1" ht="12.75" customHeight="1">
      <c r="A5869" s="129">
        <v>5869</v>
      </c>
    </row>
    <row r="5870" spans="1:1" ht="12.75" customHeight="1">
      <c r="A5870" s="129">
        <v>5870</v>
      </c>
    </row>
    <row r="5871" spans="1:1" ht="12.75" customHeight="1">
      <c r="A5871" s="129">
        <v>5871</v>
      </c>
    </row>
    <row r="5872" spans="1:1" ht="12.75" customHeight="1">
      <c r="A5872" s="129">
        <v>5872</v>
      </c>
    </row>
    <row r="5873" spans="1:1" ht="12.75" customHeight="1">
      <c r="A5873" s="129">
        <v>5873</v>
      </c>
    </row>
    <row r="5874" spans="1:1" ht="12.75" customHeight="1">
      <c r="A5874" s="129">
        <v>5874</v>
      </c>
    </row>
    <row r="5875" spans="1:1" ht="12.75" customHeight="1">
      <c r="A5875" s="129">
        <v>5875</v>
      </c>
    </row>
    <row r="5876" spans="1:1" ht="12.75" customHeight="1">
      <c r="A5876" s="129">
        <v>5876</v>
      </c>
    </row>
    <row r="5877" spans="1:1" ht="12.75" customHeight="1">
      <c r="A5877" s="129">
        <v>5877</v>
      </c>
    </row>
    <row r="5878" spans="1:1" ht="12.75" customHeight="1">
      <c r="A5878" s="129">
        <v>5878</v>
      </c>
    </row>
    <row r="5879" spans="1:1" ht="12.75" customHeight="1">
      <c r="A5879" s="129">
        <v>5879</v>
      </c>
    </row>
    <row r="5880" spans="1:1" ht="12.75" customHeight="1">
      <c r="A5880" s="129">
        <v>5880</v>
      </c>
    </row>
    <row r="5881" spans="1:1" ht="12.75" customHeight="1">
      <c r="A5881" s="129">
        <v>5881</v>
      </c>
    </row>
    <row r="5882" spans="1:1" ht="12.75" customHeight="1">
      <c r="A5882" s="129">
        <v>5882</v>
      </c>
    </row>
    <row r="5883" spans="1:1" ht="12.75" customHeight="1">
      <c r="A5883" s="129">
        <v>5883</v>
      </c>
    </row>
    <row r="5884" spans="1:1" ht="12.75" customHeight="1">
      <c r="A5884" s="129">
        <v>5884</v>
      </c>
    </row>
    <row r="5885" spans="1:1" ht="12.75" customHeight="1">
      <c r="A5885" s="129">
        <v>5885</v>
      </c>
    </row>
    <row r="5886" spans="1:1" ht="12.75" customHeight="1">
      <c r="A5886" s="129">
        <v>5886</v>
      </c>
    </row>
    <row r="5887" spans="1:1" ht="12.75" customHeight="1">
      <c r="A5887" s="129">
        <v>5887</v>
      </c>
    </row>
    <row r="5888" spans="1:1" ht="12.75" customHeight="1">
      <c r="A5888" s="129">
        <v>5888</v>
      </c>
    </row>
    <row r="5889" spans="1:1" ht="12.75" customHeight="1">
      <c r="A5889" s="129">
        <v>5889</v>
      </c>
    </row>
    <row r="5890" spans="1:1" ht="12.75" customHeight="1">
      <c r="A5890" s="129">
        <v>5890</v>
      </c>
    </row>
    <row r="5891" spans="1:1" ht="12.75" customHeight="1">
      <c r="A5891" s="129">
        <v>5891</v>
      </c>
    </row>
    <row r="5892" spans="1:1" ht="12.75" customHeight="1">
      <c r="A5892" s="129">
        <v>5892</v>
      </c>
    </row>
    <row r="5893" spans="1:1" ht="12.75" customHeight="1">
      <c r="A5893" s="129">
        <v>5893</v>
      </c>
    </row>
    <row r="5894" spans="1:1" ht="12.75" customHeight="1">
      <c r="A5894" s="129">
        <v>5894</v>
      </c>
    </row>
    <row r="5895" spans="1:1" ht="12.75" customHeight="1">
      <c r="A5895" s="129">
        <v>5895</v>
      </c>
    </row>
    <row r="5896" spans="1:1" ht="12.75" customHeight="1">
      <c r="A5896" s="129">
        <v>5896</v>
      </c>
    </row>
    <row r="5897" spans="1:1" ht="12.75" customHeight="1">
      <c r="A5897" s="129">
        <v>5897</v>
      </c>
    </row>
    <row r="5898" spans="1:1" ht="12.75" customHeight="1">
      <c r="A5898" s="129">
        <v>5898</v>
      </c>
    </row>
    <row r="5899" spans="1:1" ht="12.75" customHeight="1">
      <c r="A5899" s="129">
        <v>5899</v>
      </c>
    </row>
    <row r="5900" spans="1:1" ht="12.75" customHeight="1">
      <c r="A5900" s="129">
        <v>5900</v>
      </c>
    </row>
    <row r="5901" spans="1:1" ht="12.75" customHeight="1">
      <c r="A5901" s="129">
        <v>5901</v>
      </c>
    </row>
    <row r="5902" spans="1:1" ht="12.75" customHeight="1">
      <c r="A5902" s="129">
        <v>5902</v>
      </c>
    </row>
    <row r="5903" spans="1:1" ht="12.75" customHeight="1">
      <c r="A5903" s="129">
        <v>5903</v>
      </c>
    </row>
    <row r="5904" spans="1:1" ht="12.75" customHeight="1">
      <c r="A5904" s="129">
        <v>5904</v>
      </c>
    </row>
    <row r="5905" spans="1:1" ht="12.75" customHeight="1">
      <c r="A5905" s="129">
        <v>5905</v>
      </c>
    </row>
    <row r="5906" spans="1:1" ht="12.75" customHeight="1">
      <c r="A5906" s="129">
        <v>5906</v>
      </c>
    </row>
    <row r="5907" spans="1:1" ht="12.75" customHeight="1">
      <c r="A5907" s="129">
        <v>5907</v>
      </c>
    </row>
    <row r="5908" spans="1:1" ht="12.75" customHeight="1">
      <c r="A5908" s="129">
        <v>5908</v>
      </c>
    </row>
    <row r="5909" spans="1:1" ht="12.75" customHeight="1">
      <c r="A5909" s="129">
        <v>5909</v>
      </c>
    </row>
    <row r="5910" spans="1:1" ht="12.75" customHeight="1">
      <c r="A5910" s="129">
        <v>5910</v>
      </c>
    </row>
    <row r="5911" spans="1:1" ht="12.75" customHeight="1">
      <c r="A5911" s="129">
        <v>5911</v>
      </c>
    </row>
    <row r="5912" spans="1:1" ht="12.75" customHeight="1">
      <c r="A5912" s="129">
        <v>5912</v>
      </c>
    </row>
    <row r="5913" spans="1:1" ht="12.75" customHeight="1">
      <c r="A5913" s="129">
        <v>5913</v>
      </c>
    </row>
    <row r="5914" spans="1:1" ht="12.75" customHeight="1">
      <c r="A5914" s="129">
        <v>5914</v>
      </c>
    </row>
    <row r="5915" spans="1:1" ht="12.75" customHeight="1">
      <c r="A5915" s="129">
        <v>5915</v>
      </c>
    </row>
    <row r="5916" spans="1:1" ht="12.75" customHeight="1">
      <c r="A5916" s="129">
        <v>5916</v>
      </c>
    </row>
    <row r="5917" spans="1:1" ht="12.75" customHeight="1">
      <c r="A5917" s="129">
        <v>5917</v>
      </c>
    </row>
    <row r="5918" spans="1:1" ht="12.75" customHeight="1">
      <c r="A5918" s="129">
        <v>5918</v>
      </c>
    </row>
    <row r="5919" spans="1:1" ht="12.75" customHeight="1">
      <c r="A5919" s="129">
        <v>5919</v>
      </c>
    </row>
    <row r="5920" spans="1:1" ht="12.75" customHeight="1">
      <c r="A5920" s="129">
        <v>5920</v>
      </c>
    </row>
    <row r="5921" spans="1:1" ht="12.75" customHeight="1">
      <c r="A5921" s="129">
        <v>5921</v>
      </c>
    </row>
    <row r="5922" spans="1:1" ht="12.75" customHeight="1">
      <c r="A5922" s="129">
        <v>5922</v>
      </c>
    </row>
    <row r="5923" spans="1:1" ht="12.75" customHeight="1">
      <c r="A5923" s="129">
        <v>5923</v>
      </c>
    </row>
    <row r="5924" spans="1:1" ht="12.75" customHeight="1">
      <c r="A5924" s="129">
        <v>5924</v>
      </c>
    </row>
    <row r="5925" spans="1:1" ht="12.75" customHeight="1">
      <c r="A5925" s="129">
        <v>5925</v>
      </c>
    </row>
    <row r="5926" spans="1:1" ht="12.75" customHeight="1">
      <c r="A5926" s="129">
        <v>5926</v>
      </c>
    </row>
    <row r="5927" spans="1:1" ht="12.75" customHeight="1">
      <c r="A5927" s="129">
        <v>5927</v>
      </c>
    </row>
    <row r="5928" spans="1:1" ht="12.75" customHeight="1">
      <c r="A5928" s="129">
        <v>5928</v>
      </c>
    </row>
    <row r="5929" spans="1:1" ht="12.75" customHeight="1">
      <c r="A5929" s="129">
        <v>5929</v>
      </c>
    </row>
    <row r="5930" spans="1:1" ht="12.75" customHeight="1">
      <c r="A5930" s="129">
        <v>5930</v>
      </c>
    </row>
    <row r="5931" spans="1:1" ht="12.75" customHeight="1">
      <c r="A5931" s="129">
        <v>5931</v>
      </c>
    </row>
    <row r="5932" spans="1:1" ht="12.75" customHeight="1">
      <c r="A5932" s="129">
        <v>5932</v>
      </c>
    </row>
    <row r="5933" spans="1:1" ht="12.75" customHeight="1">
      <c r="A5933" s="129">
        <v>5933</v>
      </c>
    </row>
    <row r="5934" spans="1:1" ht="12.75" customHeight="1">
      <c r="A5934" s="129">
        <v>5934</v>
      </c>
    </row>
    <row r="5935" spans="1:1" ht="12.75" customHeight="1">
      <c r="A5935" s="129">
        <v>5935</v>
      </c>
    </row>
    <row r="5936" spans="1:1" ht="12.75" customHeight="1">
      <c r="A5936" s="129">
        <v>5936</v>
      </c>
    </row>
    <row r="5937" spans="1:1" ht="12.75" customHeight="1">
      <c r="A5937" s="129">
        <v>5937</v>
      </c>
    </row>
    <row r="5938" spans="1:1" ht="12.75" customHeight="1">
      <c r="A5938" s="129">
        <v>5938</v>
      </c>
    </row>
    <row r="5939" spans="1:1" ht="12.75" customHeight="1">
      <c r="A5939" s="129">
        <v>5939</v>
      </c>
    </row>
    <row r="5940" spans="1:1" ht="12.75" customHeight="1">
      <c r="A5940" s="129">
        <v>5940</v>
      </c>
    </row>
    <row r="5941" spans="1:1" ht="12.75" customHeight="1">
      <c r="A5941" s="129">
        <v>5941</v>
      </c>
    </row>
    <row r="5942" spans="1:1" ht="12.75" customHeight="1">
      <c r="A5942" s="129">
        <v>5942</v>
      </c>
    </row>
    <row r="5943" spans="1:1" ht="12.75" customHeight="1">
      <c r="A5943" s="129">
        <v>5943</v>
      </c>
    </row>
    <row r="5944" spans="1:1" ht="12.75" customHeight="1">
      <c r="A5944" s="129">
        <v>5944</v>
      </c>
    </row>
    <row r="5945" spans="1:1" ht="12.75" customHeight="1">
      <c r="A5945" s="129">
        <v>5945</v>
      </c>
    </row>
    <row r="5946" spans="1:1" ht="12.75" customHeight="1">
      <c r="A5946" s="129">
        <v>5946</v>
      </c>
    </row>
    <row r="5947" spans="1:1" ht="12.75" customHeight="1">
      <c r="A5947" s="129">
        <v>5947</v>
      </c>
    </row>
    <row r="5948" spans="1:1" ht="12.75" customHeight="1">
      <c r="A5948" s="129">
        <v>5948</v>
      </c>
    </row>
    <row r="5949" spans="1:1" ht="12.75" customHeight="1">
      <c r="A5949" s="129">
        <v>5949</v>
      </c>
    </row>
    <row r="5950" spans="1:1" ht="12.75" customHeight="1">
      <c r="A5950" s="129">
        <v>5950</v>
      </c>
    </row>
    <row r="5951" spans="1:1" ht="12.75" customHeight="1">
      <c r="A5951" s="129">
        <v>5951</v>
      </c>
    </row>
    <row r="5952" spans="1:1" ht="12.75" customHeight="1">
      <c r="A5952" s="129">
        <v>5952</v>
      </c>
    </row>
    <row r="5953" spans="1:1" ht="12.75" customHeight="1">
      <c r="A5953" s="129">
        <v>5953</v>
      </c>
    </row>
    <row r="5954" spans="1:1" ht="12.75" customHeight="1">
      <c r="A5954" s="129">
        <v>5954</v>
      </c>
    </row>
    <row r="5955" spans="1:1" ht="12.75" customHeight="1">
      <c r="A5955" s="129">
        <v>5955</v>
      </c>
    </row>
    <row r="5956" spans="1:1" ht="12.75" customHeight="1">
      <c r="A5956" s="129">
        <v>5956</v>
      </c>
    </row>
    <row r="5957" spans="1:1" ht="12.75" customHeight="1">
      <c r="A5957" s="129">
        <v>5957</v>
      </c>
    </row>
    <row r="5958" spans="1:1" ht="12.75" customHeight="1">
      <c r="A5958" s="129">
        <v>5958</v>
      </c>
    </row>
    <row r="5959" spans="1:1" ht="12.75" customHeight="1">
      <c r="A5959" s="129">
        <v>5959</v>
      </c>
    </row>
    <row r="5960" spans="1:1" ht="12.75" customHeight="1">
      <c r="A5960" s="129">
        <v>5960</v>
      </c>
    </row>
    <row r="5961" spans="1:1" ht="12.75" customHeight="1">
      <c r="A5961" s="129">
        <v>5961</v>
      </c>
    </row>
    <row r="5962" spans="1:1" ht="12.75" customHeight="1">
      <c r="A5962" s="129">
        <v>5962</v>
      </c>
    </row>
    <row r="5963" spans="1:1" ht="12.75" customHeight="1">
      <c r="A5963" s="129">
        <v>5963</v>
      </c>
    </row>
    <row r="5964" spans="1:1" ht="12.75" customHeight="1">
      <c r="A5964" s="129">
        <v>5964</v>
      </c>
    </row>
    <row r="5965" spans="1:1" ht="12.75" customHeight="1">
      <c r="A5965" s="129">
        <v>5965</v>
      </c>
    </row>
    <row r="5966" spans="1:1" ht="12.75" customHeight="1">
      <c r="A5966" s="129">
        <v>5966</v>
      </c>
    </row>
    <row r="5967" spans="1:1" ht="12.75" customHeight="1">
      <c r="A5967" s="129">
        <v>5967</v>
      </c>
    </row>
    <row r="5968" spans="1:1" ht="12.75" customHeight="1">
      <c r="A5968" s="129">
        <v>5968</v>
      </c>
    </row>
    <row r="5969" spans="1:1" ht="12.75" customHeight="1">
      <c r="A5969" s="129">
        <v>5969</v>
      </c>
    </row>
    <row r="5970" spans="1:1" ht="12.75" customHeight="1">
      <c r="A5970" s="129">
        <v>5970</v>
      </c>
    </row>
    <row r="5971" spans="1:1" ht="12.75" customHeight="1">
      <c r="A5971" s="129">
        <v>5971</v>
      </c>
    </row>
    <row r="5972" spans="1:1" ht="12.75" customHeight="1">
      <c r="A5972" s="129">
        <v>5972</v>
      </c>
    </row>
    <row r="5973" spans="1:1" ht="12.75" customHeight="1">
      <c r="A5973" s="129">
        <v>5973</v>
      </c>
    </row>
    <row r="5974" spans="1:1" ht="12.75" customHeight="1">
      <c r="A5974" s="129">
        <v>5974</v>
      </c>
    </row>
    <row r="5975" spans="1:1" ht="12.75" customHeight="1">
      <c r="A5975" s="129">
        <v>5975</v>
      </c>
    </row>
    <row r="5976" spans="1:1" ht="12.75" customHeight="1">
      <c r="A5976" s="129">
        <v>5976</v>
      </c>
    </row>
    <row r="5977" spans="1:1" ht="12.75" customHeight="1">
      <c r="A5977" s="129">
        <v>5977</v>
      </c>
    </row>
    <row r="5978" spans="1:1" ht="12.75" customHeight="1">
      <c r="A5978" s="129">
        <v>5978</v>
      </c>
    </row>
    <row r="5979" spans="1:1" ht="12.75" customHeight="1">
      <c r="A5979" s="129">
        <v>5979</v>
      </c>
    </row>
    <row r="5980" spans="1:1" ht="12.75" customHeight="1">
      <c r="A5980" s="129">
        <v>5980</v>
      </c>
    </row>
    <row r="5981" spans="1:1" ht="12.75" customHeight="1">
      <c r="A5981" s="129">
        <v>5981</v>
      </c>
    </row>
    <row r="5982" spans="1:1" ht="12.75" customHeight="1">
      <c r="A5982" s="129">
        <v>5982</v>
      </c>
    </row>
    <row r="5983" spans="1:1" ht="12.75" customHeight="1">
      <c r="A5983" s="129">
        <v>5983</v>
      </c>
    </row>
    <row r="5984" spans="1:1" ht="12.75" customHeight="1">
      <c r="A5984" s="129">
        <v>5984</v>
      </c>
    </row>
    <row r="5985" spans="1:1" ht="12.75" customHeight="1">
      <c r="A5985" s="129">
        <v>5985</v>
      </c>
    </row>
    <row r="5986" spans="1:1" ht="12.75" customHeight="1">
      <c r="A5986" s="129">
        <v>5986</v>
      </c>
    </row>
    <row r="5987" spans="1:1" ht="12.75" customHeight="1">
      <c r="A5987" s="129">
        <v>5987</v>
      </c>
    </row>
    <row r="5988" spans="1:1" ht="12.75" customHeight="1">
      <c r="A5988" s="129">
        <v>5988</v>
      </c>
    </row>
    <row r="5989" spans="1:1" ht="12.75" customHeight="1">
      <c r="A5989" s="129">
        <v>5989</v>
      </c>
    </row>
    <row r="5990" spans="1:1" ht="12.75" customHeight="1">
      <c r="A5990" s="129">
        <v>5990</v>
      </c>
    </row>
    <row r="5991" spans="1:1" ht="12.75" customHeight="1">
      <c r="A5991" s="129">
        <v>5991</v>
      </c>
    </row>
    <row r="5992" spans="1:1" ht="12.75" customHeight="1">
      <c r="A5992" s="129">
        <v>5992</v>
      </c>
    </row>
    <row r="5993" spans="1:1" ht="12.75" customHeight="1">
      <c r="A5993" s="129">
        <v>5993</v>
      </c>
    </row>
    <row r="5994" spans="1:1" ht="12.75" customHeight="1">
      <c r="A5994" s="129">
        <v>5994</v>
      </c>
    </row>
    <row r="5995" spans="1:1" ht="12.75" customHeight="1">
      <c r="A5995" s="129">
        <v>5995</v>
      </c>
    </row>
    <row r="5996" spans="1:1" ht="12.75" customHeight="1">
      <c r="A5996" s="129">
        <v>5996</v>
      </c>
    </row>
    <row r="5997" spans="1:1" ht="12.75" customHeight="1">
      <c r="A5997" s="129">
        <v>5997</v>
      </c>
    </row>
    <row r="5998" spans="1:1" ht="12.75" customHeight="1">
      <c r="A5998" s="129">
        <v>5998</v>
      </c>
    </row>
    <row r="5999" spans="1:1" ht="12.75" customHeight="1">
      <c r="A5999" s="129">
        <v>5999</v>
      </c>
    </row>
    <row r="6000" spans="1:1" ht="12.75" customHeight="1">
      <c r="A6000" s="129">
        <v>6000</v>
      </c>
    </row>
    <row r="6001" spans="1:1" ht="12.75" customHeight="1">
      <c r="A6001" s="129">
        <v>6001</v>
      </c>
    </row>
    <row r="6002" spans="1:1" ht="12.75" customHeight="1">
      <c r="A6002" s="129">
        <v>6002</v>
      </c>
    </row>
    <row r="6003" spans="1:1" ht="12.75" customHeight="1">
      <c r="A6003" s="129">
        <v>6003</v>
      </c>
    </row>
    <row r="6004" spans="1:1" ht="12.75" customHeight="1">
      <c r="A6004" s="129">
        <v>6004</v>
      </c>
    </row>
    <row r="6005" spans="1:1" ht="12.75" customHeight="1">
      <c r="A6005" s="129">
        <v>6005</v>
      </c>
    </row>
    <row r="6006" spans="1:1" ht="12.75" customHeight="1">
      <c r="A6006" s="129">
        <v>6006</v>
      </c>
    </row>
    <row r="6007" spans="1:1" ht="12.75" customHeight="1">
      <c r="A6007" s="129">
        <v>6007</v>
      </c>
    </row>
    <row r="6008" spans="1:1" ht="12.75" customHeight="1">
      <c r="A6008" s="129">
        <v>6008</v>
      </c>
    </row>
    <row r="6009" spans="1:1" ht="12.75" customHeight="1">
      <c r="A6009" s="129">
        <v>6009</v>
      </c>
    </row>
    <row r="6010" spans="1:1" ht="12.75" customHeight="1">
      <c r="A6010" s="129">
        <v>6010</v>
      </c>
    </row>
    <row r="6011" spans="1:1" ht="12.75" customHeight="1">
      <c r="A6011" s="129">
        <v>6011</v>
      </c>
    </row>
    <row r="6012" spans="1:1" ht="12.75" customHeight="1">
      <c r="A6012" s="129">
        <v>6012</v>
      </c>
    </row>
    <row r="6013" spans="1:1" ht="12.75" customHeight="1">
      <c r="A6013" s="129">
        <v>6013</v>
      </c>
    </row>
    <row r="6014" spans="1:1" ht="12.75" customHeight="1">
      <c r="A6014" s="129">
        <v>6014</v>
      </c>
    </row>
    <row r="6015" spans="1:1" ht="12.75" customHeight="1">
      <c r="A6015" s="129">
        <v>6015</v>
      </c>
    </row>
    <row r="6016" spans="1:1" ht="12.75" customHeight="1">
      <c r="A6016" s="129">
        <v>6016</v>
      </c>
    </row>
    <row r="6017" spans="1:1" ht="12.75" customHeight="1">
      <c r="A6017" s="129">
        <v>6017</v>
      </c>
    </row>
    <row r="6018" spans="1:1" ht="12.75" customHeight="1">
      <c r="A6018" s="129">
        <v>6018</v>
      </c>
    </row>
    <row r="6019" spans="1:1" ht="12.75" customHeight="1">
      <c r="A6019" s="129">
        <v>6019</v>
      </c>
    </row>
    <row r="6020" spans="1:1" ht="12.75" customHeight="1">
      <c r="A6020" s="129">
        <v>6020</v>
      </c>
    </row>
    <row r="6021" spans="1:1" ht="12.75" customHeight="1">
      <c r="A6021" s="129">
        <v>6021</v>
      </c>
    </row>
    <row r="6022" spans="1:1" ht="12.75" customHeight="1">
      <c r="A6022" s="129">
        <v>6022</v>
      </c>
    </row>
    <row r="6023" spans="1:1" ht="12.75" customHeight="1">
      <c r="A6023" s="129">
        <v>6023</v>
      </c>
    </row>
    <row r="6024" spans="1:1" ht="12.75" customHeight="1">
      <c r="A6024" s="129">
        <v>6024</v>
      </c>
    </row>
    <row r="6025" spans="1:1" ht="12.75" customHeight="1">
      <c r="A6025" s="129">
        <v>6025</v>
      </c>
    </row>
    <row r="6026" spans="1:1" ht="12.75" customHeight="1">
      <c r="A6026" s="129">
        <v>6026</v>
      </c>
    </row>
    <row r="6027" spans="1:1" ht="12.75" customHeight="1">
      <c r="A6027" s="129">
        <v>6027</v>
      </c>
    </row>
    <row r="6028" spans="1:1" ht="12.75" customHeight="1">
      <c r="A6028" s="129">
        <v>6028</v>
      </c>
    </row>
    <row r="6029" spans="1:1" ht="12.75" customHeight="1">
      <c r="A6029" s="129">
        <v>6029</v>
      </c>
    </row>
    <row r="6030" spans="1:1" ht="12.75" customHeight="1">
      <c r="A6030" s="129">
        <v>6030</v>
      </c>
    </row>
    <row r="6031" spans="1:1" ht="12.75" customHeight="1">
      <c r="A6031" s="129">
        <v>6031</v>
      </c>
    </row>
    <row r="6032" spans="1:1" ht="12.75" customHeight="1">
      <c r="A6032" s="129">
        <v>6032</v>
      </c>
    </row>
    <row r="6033" spans="1:1" ht="12.75" customHeight="1">
      <c r="A6033" s="129">
        <v>6033</v>
      </c>
    </row>
    <row r="6034" spans="1:1" ht="12.75" customHeight="1">
      <c r="A6034" s="129">
        <v>6034</v>
      </c>
    </row>
    <row r="6035" spans="1:1" ht="12.75" customHeight="1">
      <c r="A6035" s="129">
        <v>6035</v>
      </c>
    </row>
    <row r="6036" spans="1:1" ht="12.75" customHeight="1">
      <c r="A6036" s="129">
        <v>6036</v>
      </c>
    </row>
    <row r="6037" spans="1:1" ht="12.75" customHeight="1">
      <c r="A6037" s="129">
        <v>6037</v>
      </c>
    </row>
    <row r="6038" spans="1:1" ht="12.75" customHeight="1">
      <c r="A6038" s="129">
        <v>6038</v>
      </c>
    </row>
    <row r="6039" spans="1:1" ht="12.75" customHeight="1">
      <c r="A6039" s="129">
        <v>6039</v>
      </c>
    </row>
    <row r="6040" spans="1:1" ht="12.75" customHeight="1">
      <c r="A6040" s="129">
        <v>6040</v>
      </c>
    </row>
    <row r="6041" spans="1:1" ht="12.75" customHeight="1">
      <c r="A6041" s="129">
        <v>6041</v>
      </c>
    </row>
    <row r="6042" spans="1:1" ht="12.75" customHeight="1">
      <c r="A6042" s="129">
        <v>6042</v>
      </c>
    </row>
    <row r="6043" spans="1:1" ht="12.75" customHeight="1">
      <c r="A6043" s="129">
        <v>6043</v>
      </c>
    </row>
    <row r="6044" spans="1:1" ht="12.75" customHeight="1">
      <c r="A6044" s="129">
        <v>6044</v>
      </c>
    </row>
    <row r="6045" spans="1:1" ht="12.75" customHeight="1">
      <c r="A6045" s="129">
        <v>6045</v>
      </c>
    </row>
    <row r="6046" spans="1:1" ht="12.75" customHeight="1">
      <c r="A6046" s="129">
        <v>6046</v>
      </c>
    </row>
    <row r="6047" spans="1:1" ht="12.75" customHeight="1">
      <c r="A6047" s="129">
        <v>6047</v>
      </c>
    </row>
    <row r="6048" spans="1:1" ht="12.75" customHeight="1">
      <c r="A6048" s="129">
        <v>6048</v>
      </c>
    </row>
    <row r="6049" spans="1:1" ht="12.75" customHeight="1">
      <c r="A6049" s="129">
        <v>6049</v>
      </c>
    </row>
    <row r="6050" spans="1:1" ht="12.75" customHeight="1">
      <c r="A6050" s="129">
        <v>6050</v>
      </c>
    </row>
    <row r="6051" spans="1:1" ht="12.75" customHeight="1">
      <c r="A6051" s="129">
        <v>6051</v>
      </c>
    </row>
    <row r="6052" spans="1:1" ht="12.75" customHeight="1">
      <c r="A6052" s="129">
        <v>6052</v>
      </c>
    </row>
    <row r="6053" spans="1:1" ht="12.75" customHeight="1">
      <c r="A6053" s="129">
        <v>6053</v>
      </c>
    </row>
    <row r="6054" spans="1:1" ht="12.75" customHeight="1">
      <c r="A6054" s="129">
        <v>6054</v>
      </c>
    </row>
    <row r="6055" spans="1:1" ht="12.75" customHeight="1">
      <c r="A6055" s="129">
        <v>6055</v>
      </c>
    </row>
    <row r="6056" spans="1:1" ht="12.75" customHeight="1">
      <c r="A6056" s="129">
        <v>6056</v>
      </c>
    </row>
    <row r="6057" spans="1:1" ht="12.75" customHeight="1">
      <c r="A6057" s="129">
        <v>6057</v>
      </c>
    </row>
    <row r="6058" spans="1:1" ht="12.75" customHeight="1">
      <c r="A6058" s="129">
        <v>6058</v>
      </c>
    </row>
    <row r="6059" spans="1:1" ht="12.75" customHeight="1">
      <c r="A6059" s="129">
        <v>6059</v>
      </c>
    </row>
    <row r="6060" spans="1:1" ht="12.75" customHeight="1">
      <c r="A6060" s="129">
        <v>6060</v>
      </c>
    </row>
    <row r="6061" spans="1:1" ht="12.75" customHeight="1">
      <c r="A6061" s="129">
        <v>6061</v>
      </c>
    </row>
    <row r="6062" spans="1:1" ht="12.75" customHeight="1">
      <c r="A6062" s="129">
        <v>6062</v>
      </c>
    </row>
    <row r="6063" spans="1:1" ht="12.75" customHeight="1">
      <c r="A6063" s="129">
        <v>6063</v>
      </c>
    </row>
    <row r="6064" spans="1:1" ht="12.75" customHeight="1">
      <c r="A6064" s="129">
        <v>6064</v>
      </c>
    </row>
    <row r="6065" spans="1:1" ht="12.75" customHeight="1">
      <c r="A6065" s="129">
        <v>6065</v>
      </c>
    </row>
    <row r="6066" spans="1:1" ht="12.75" customHeight="1">
      <c r="A6066" s="129">
        <v>6066</v>
      </c>
    </row>
    <row r="6067" spans="1:1" ht="12.75" customHeight="1">
      <c r="A6067" s="129">
        <v>6067</v>
      </c>
    </row>
    <row r="6068" spans="1:1" ht="12.75" customHeight="1">
      <c r="A6068" s="129">
        <v>6068</v>
      </c>
    </row>
    <row r="6069" spans="1:1" ht="12.75" customHeight="1">
      <c r="A6069" s="129">
        <v>6069</v>
      </c>
    </row>
    <row r="6070" spans="1:1" ht="12.75" customHeight="1">
      <c r="A6070" s="129">
        <v>6070</v>
      </c>
    </row>
    <row r="6071" spans="1:1" ht="12.75" customHeight="1">
      <c r="A6071" s="129">
        <v>6071</v>
      </c>
    </row>
    <row r="6072" spans="1:1" ht="12.75" customHeight="1">
      <c r="A6072" s="129">
        <v>6072</v>
      </c>
    </row>
    <row r="6073" spans="1:1" ht="12.75" customHeight="1">
      <c r="A6073" s="129">
        <v>6073</v>
      </c>
    </row>
    <row r="6074" spans="1:1" ht="12.75" customHeight="1">
      <c r="A6074" s="129">
        <v>6074</v>
      </c>
    </row>
    <row r="6075" spans="1:1" ht="12.75" customHeight="1">
      <c r="A6075" s="129">
        <v>6075</v>
      </c>
    </row>
    <row r="6076" spans="1:1" ht="12.75" customHeight="1">
      <c r="A6076" s="129">
        <v>6076</v>
      </c>
    </row>
    <row r="6077" spans="1:1" ht="12.75" customHeight="1">
      <c r="A6077" s="129">
        <v>6077</v>
      </c>
    </row>
    <row r="6078" spans="1:1" ht="12.75" customHeight="1">
      <c r="A6078" s="129">
        <v>6078</v>
      </c>
    </row>
    <row r="6079" spans="1:1" ht="12.75" customHeight="1">
      <c r="A6079" s="129">
        <v>6079</v>
      </c>
    </row>
    <row r="6080" spans="1:1" ht="12.75" customHeight="1">
      <c r="A6080" s="129">
        <v>6080</v>
      </c>
    </row>
    <row r="6081" spans="1:1" ht="12.75" customHeight="1">
      <c r="A6081" s="129">
        <v>6081</v>
      </c>
    </row>
    <row r="6082" spans="1:1" ht="12.75" customHeight="1">
      <c r="A6082" s="129">
        <v>6082</v>
      </c>
    </row>
    <row r="6083" spans="1:1" ht="12.75" customHeight="1">
      <c r="A6083" s="129">
        <v>6083</v>
      </c>
    </row>
    <row r="6084" spans="1:1" ht="12.75" customHeight="1">
      <c r="A6084" s="129">
        <v>6084</v>
      </c>
    </row>
    <row r="6085" spans="1:1" ht="12.75" customHeight="1">
      <c r="A6085" s="129">
        <v>6085</v>
      </c>
    </row>
    <row r="6086" spans="1:1" ht="12.75" customHeight="1">
      <c r="A6086" s="129">
        <v>6086</v>
      </c>
    </row>
    <row r="6087" spans="1:1" ht="12.75" customHeight="1">
      <c r="A6087" s="129">
        <v>6087</v>
      </c>
    </row>
    <row r="6088" spans="1:1" ht="12.75" customHeight="1">
      <c r="A6088" s="129">
        <v>6088</v>
      </c>
    </row>
    <row r="6089" spans="1:1" ht="12.75" customHeight="1">
      <c r="A6089" s="129">
        <v>6089</v>
      </c>
    </row>
    <row r="6090" spans="1:1" ht="12.75" customHeight="1">
      <c r="A6090" s="129">
        <v>6090</v>
      </c>
    </row>
    <row r="6091" spans="1:1" ht="12.75" customHeight="1">
      <c r="A6091" s="129">
        <v>6091</v>
      </c>
    </row>
    <row r="6092" spans="1:1" ht="12.75" customHeight="1">
      <c r="A6092" s="129">
        <v>6092</v>
      </c>
    </row>
    <row r="6093" spans="1:1" ht="12.75" customHeight="1">
      <c r="A6093" s="129">
        <v>6093</v>
      </c>
    </row>
    <row r="6094" spans="1:1" ht="12.75" customHeight="1">
      <c r="A6094" s="129">
        <v>6094</v>
      </c>
    </row>
    <row r="6095" spans="1:1" ht="12.75" customHeight="1">
      <c r="A6095" s="129">
        <v>6095</v>
      </c>
    </row>
    <row r="6096" spans="1:1" ht="12.75" customHeight="1">
      <c r="A6096" s="129">
        <v>6096</v>
      </c>
    </row>
    <row r="6097" spans="1:1" ht="12.75" customHeight="1">
      <c r="A6097" s="129">
        <v>6097</v>
      </c>
    </row>
    <row r="6098" spans="1:1" ht="12.75" customHeight="1">
      <c r="A6098" s="129">
        <v>6098</v>
      </c>
    </row>
    <row r="6099" spans="1:1" ht="12.75" customHeight="1">
      <c r="A6099" s="129">
        <v>6099</v>
      </c>
    </row>
    <row r="6100" spans="1:1" ht="12.75" customHeight="1">
      <c r="A6100" s="129">
        <v>6100</v>
      </c>
    </row>
    <row r="6101" spans="1:1" ht="12.75" customHeight="1">
      <c r="A6101" s="129">
        <v>6101</v>
      </c>
    </row>
    <row r="6102" spans="1:1" ht="12.75" customHeight="1">
      <c r="A6102" s="129">
        <v>6102</v>
      </c>
    </row>
    <row r="6103" spans="1:1" ht="12.75" customHeight="1">
      <c r="A6103" s="129">
        <v>6103</v>
      </c>
    </row>
    <row r="6104" spans="1:1" ht="12.75" customHeight="1">
      <c r="A6104" s="129">
        <v>6104</v>
      </c>
    </row>
    <row r="6105" spans="1:1" ht="12.75" customHeight="1">
      <c r="A6105" s="129">
        <v>6105</v>
      </c>
    </row>
    <row r="6106" spans="1:1" ht="12.75" customHeight="1">
      <c r="A6106" s="129">
        <v>6106</v>
      </c>
    </row>
    <row r="6107" spans="1:1" ht="12.75" customHeight="1">
      <c r="A6107" s="129">
        <v>6107</v>
      </c>
    </row>
    <row r="6108" spans="1:1" ht="12.75" customHeight="1">
      <c r="A6108" s="129">
        <v>6108</v>
      </c>
    </row>
    <row r="6109" spans="1:1" ht="12.75" customHeight="1">
      <c r="A6109" s="129">
        <v>6109</v>
      </c>
    </row>
    <row r="6110" spans="1:1" ht="12.75" customHeight="1">
      <c r="A6110" s="129">
        <v>6110</v>
      </c>
    </row>
    <row r="6111" spans="1:1" ht="12.75" customHeight="1">
      <c r="A6111" s="129">
        <v>6111</v>
      </c>
    </row>
    <row r="6112" spans="1:1" ht="12.75" customHeight="1">
      <c r="A6112" s="129">
        <v>6112</v>
      </c>
    </row>
    <row r="6113" spans="1:1" ht="12.75" customHeight="1">
      <c r="A6113" s="129">
        <v>6113</v>
      </c>
    </row>
    <row r="6114" spans="1:1" ht="12.75" customHeight="1">
      <c r="A6114" s="129">
        <v>6114</v>
      </c>
    </row>
    <row r="6115" spans="1:1" ht="12.75" customHeight="1">
      <c r="A6115" s="129">
        <v>6115</v>
      </c>
    </row>
    <row r="6116" spans="1:1" ht="12.75" customHeight="1">
      <c r="A6116" s="129">
        <v>6116</v>
      </c>
    </row>
    <row r="6117" spans="1:1" ht="12.75" customHeight="1">
      <c r="A6117" s="129">
        <v>6117</v>
      </c>
    </row>
    <row r="6118" spans="1:1" ht="12.75" customHeight="1">
      <c r="A6118" s="129">
        <v>6118</v>
      </c>
    </row>
    <row r="6119" spans="1:1" ht="12.75" customHeight="1">
      <c r="A6119" s="129">
        <v>6119</v>
      </c>
    </row>
    <row r="6120" spans="1:1" ht="12.75" customHeight="1">
      <c r="A6120" s="129">
        <v>6120</v>
      </c>
    </row>
    <row r="6121" spans="1:1" ht="12.75" customHeight="1">
      <c r="A6121" s="129">
        <v>6121</v>
      </c>
    </row>
    <row r="6122" spans="1:1" ht="12.75" customHeight="1">
      <c r="A6122" s="129">
        <v>6122</v>
      </c>
    </row>
    <row r="6123" spans="1:1" ht="12.75" customHeight="1">
      <c r="A6123" s="129">
        <v>6123</v>
      </c>
    </row>
    <row r="6124" spans="1:1" ht="12.75" customHeight="1">
      <c r="A6124" s="129">
        <v>6124</v>
      </c>
    </row>
    <row r="6125" spans="1:1" ht="12.75" customHeight="1">
      <c r="A6125" s="129">
        <v>6125</v>
      </c>
    </row>
    <row r="6126" spans="1:1" ht="12.75" customHeight="1">
      <c r="A6126" s="129">
        <v>6126</v>
      </c>
    </row>
    <row r="6127" spans="1:1" ht="12.75" customHeight="1">
      <c r="A6127" s="129">
        <v>6127</v>
      </c>
    </row>
    <row r="6128" spans="1:1" ht="12.75" customHeight="1">
      <c r="A6128" s="129">
        <v>6128</v>
      </c>
    </row>
    <row r="6129" spans="1:1" ht="12.75" customHeight="1">
      <c r="A6129" s="129">
        <v>6129</v>
      </c>
    </row>
    <row r="6130" spans="1:1" ht="12.75" customHeight="1">
      <c r="A6130" s="129">
        <v>6130</v>
      </c>
    </row>
    <row r="6131" spans="1:1" ht="12.75" customHeight="1">
      <c r="A6131" s="129">
        <v>6131</v>
      </c>
    </row>
    <row r="6132" spans="1:1" ht="12.75" customHeight="1">
      <c r="A6132" s="129">
        <v>6132</v>
      </c>
    </row>
    <row r="6133" spans="1:1" ht="12.75" customHeight="1">
      <c r="A6133" s="129">
        <v>6133</v>
      </c>
    </row>
    <row r="6134" spans="1:1" ht="12.75" customHeight="1">
      <c r="A6134" s="129">
        <v>6134</v>
      </c>
    </row>
    <row r="6135" spans="1:1" ht="12.75" customHeight="1">
      <c r="A6135" s="129">
        <v>6135</v>
      </c>
    </row>
    <row r="6136" spans="1:1" ht="12.75" customHeight="1">
      <c r="A6136" s="129">
        <v>6136</v>
      </c>
    </row>
    <row r="6137" spans="1:1" ht="12.75" customHeight="1">
      <c r="A6137" s="129">
        <v>6137</v>
      </c>
    </row>
    <row r="6138" spans="1:1" ht="12.75" customHeight="1">
      <c r="A6138" s="129">
        <v>6138</v>
      </c>
    </row>
    <row r="6139" spans="1:1" ht="12.75" customHeight="1">
      <c r="A6139" s="129">
        <v>6139</v>
      </c>
    </row>
    <row r="6140" spans="1:1" ht="12.75" customHeight="1">
      <c r="A6140" s="129">
        <v>6140</v>
      </c>
    </row>
    <row r="6141" spans="1:1" ht="12.75" customHeight="1">
      <c r="A6141" s="129">
        <v>6141</v>
      </c>
    </row>
    <row r="6142" spans="1:1" ht="12.75" customHeight="1">
      <c r="A6142" s="129">
        <v>6142</v>
      </c>
    </row>
    <row r="6143" spans="1:1" ht="12.75" customHeight="1">
      <c r="A6143" s="129">
        <v>6143</v>
      </c>
    </row>
    <row r="6144" spans="1:1" ht="12.75" customHeight="1">
      <c r="A6144" s="129">
        <v>6144</v>
      </c>
    </row>
    <row r="6145" spans="1:1" ht="12.75" customHeight="1">
      <c r="A6145" s="129">
        <v>6145</v>
      </c>
    </row>
    <row r="6146" spans="1:1" ht="12.75" customHeight="1">
      <c r="A6146" s="129">
        <v>6146</v>
      </c>
    </row>
    <row r="6147" spans="1:1" ht="12.75" customHeight="1">
      <c r="A6147" s="129">
        <v>6147</v>
      </c>
    </row>
    <row r="6148" spans="1:1" ht="12.75" customHeight="1">
      <c r="A6148" s="129">
        <v>6148</v>
      </c>
    </row>
    <row r="6149" spans="1:1" ht="12.75" customHeight="1">
      <c r="A6149" s="129">
        <v>6149</v>
      </c>
    </row>
    <row r="6150" spans="1:1" ht="12.75" customHeight="1">
      <c r="A6150" s="129">
        <v>6150</v>
      </c>
    </row>
    <row r="6151" spans="1:1" ht="12.75" customHeight="1">
      <c r="A6151" s="129">
        <v>6151</v>
      </c>
    </row>
    <row r="6152" spans="1:1" ht="12.75" customHeight="1">
      <c r="A6152" s="129">
        <v>6152</v>
      </c>
    </row>
    <row r="6153" spans="1:1" ht="12.75" customHeight="1">
      <c r="A6153" s="129">
        <v>6153</v>
      </c>
    </row>
    <row r="6154" spans="1:1" ht="12.75" customHeight="1">
      <c r="A6154" s="129">
        <v>6154</v>
      </c>
    </row>
    <row r="6155" spans="1:1" ht="12.75" customHeight="1">
      <c r="A6155" s="129">
        <v>6155</v>
      </c>
    </row>
    <row r="6156" spans="1:1" ht="12.75" customHeight="1">
      <c r="A6156" s="129">
        <v>6156</v>
      </c>
    </row>
    <row r="6157" spans="1:1" ht="12.75" customHeight="1">
      <c r="A6157" s="129">
        <v>6157</v>
      </c>
    </row>
    <row r="6158" spans="1:1" ht="12.75" customHeight="1">
      <c r="A6158" s="129">
        <v>6158</v>
      </c>
    </row>
    <row r="6159" spans="1:1" ht="12.75" customHeight="1">
      <c r="A6159" s="129">
        <v>6159</v>
      </c>
    </row>
    <row r="6160" spans="1:1" ht="12.75" customHeight="1">
      <c r="A6160" s="129">
        <v>6160</v>
      </c>
    </row>
    <row r="6161" spans="1:1" ht="12.75" customHeight="1">
      <c r="A6161" s="129">
        <v>6161</v>
      </c>
    </row>
    <row r="6162" spans="1:1" ht="12.75" customHeight="1">
      <c r="A6162" s="129">
        <v>6162</v>
      </c>
    </row>
    <row r="6163" spans="1:1" ht="12.75" customHeight="1">
      <c r="A6163" s="129">
        <v>6163</v>
      </c>
    </row>
    <row r="6164" spans="1:1" ht="12.75" customHeight="1">
      <c r="A6164" s="129">
        <v>6164</v>
      </c>
    </row>
    <row r="6165" spans="1:1" ht="12.75" customHeight="1">
      <c r="A6165" s="129">
        <v>6165</v>
      </c>
    </row>
    <row r="6166" spans="1:1" ht="12.75" customHeight="1">
      <c r="A6166" s="129">
        <v>6166</v>
      </c>
    </row>
    <row r="6167" spans="1:1" ht="12.75" customHeight="1">
      <c r="A6167" s="129">
        <v>6167</v>
      </c>
    </row>
    <row r="6168" spans="1:1" ht="12.75" customHeight="1">
      <c r="A6168" s="129">
        <v>6168</v>
      </c>
    </row>
    <row r="6169" spans="1:1" ht="12.75" customHeight="1">
      <c r="A6169" s="129">
        <v>6169</v>
      </c>
    </row>
    <row r="6170" spans="1:1" ht="12.75" customHeight="1">
      <c r="A6170" s="129">
        <v>6170</v>
      </c>
    </row>
    <row r="6171" spans="1:1" ht="12.75" customHeight="1">
      <c r="A6171" s="129">
        <v>6171</v>
      </c>
    </row>
    <row r="6172" spans="1:1" ht="12.75" customHeight="1">
      <c r="A6172" s="129">
        <v>6172</v>
      </c>
    </row>
    <row r="6173" spans="1:1" ht="12.75" customHeight="1">
      <c r="A6173" s="129">
        <v>6173</v>
      </c>
    </row>
    <row r="6174" spans="1:1" ht="12.75" customHeight="1">
      <c r="A6174" s="129">
        <v>6174</v>
      </c>
    </row>
    <row r="6175" spans="1:1" ht="12.75" customHeight="1">
      <c r="A6175" s="129">
        <v>6175</v>
      </c>
    </row>
    <row r="6176" spans="1:1" ht="12.75" customHeight="1">
      <c r="A6176" s="129">
        <v>6176</v>
      </c>
    </row>
    <row r="6177" spans="1:1" ht="12.75" customHeight="1">
      <c r="A6177" s="129">
        <v>6177</v>
      </c>
    </row>
    <row r="6178" spans="1:1" ht="12.75" customHeight="1">
      <c r="A6178" s="129">
        <v>6178</v>
      </c>
    </row>
    <row r="6179" spans="1:1" ht="12.75" customHeight="1">
      <c r="A6179" s="129">
        <v>6179</v>
      </c>
    </row>
    <row r="6180" spans="1:1" ht="12.75" customHeight="1">
      <c r="A6180" s="129">
        <v>6180</v>
      </c>
    </row>
    <row r="6181" spans="1:1" ht="12.75" customHeight="1">
      <c r="A6181" s="129">
        <v>6181</v>
      </c>
    </row>
    <row r="6182" spans="1:1" ht="12.75" customHeight="1">
      <c r="A6182" s="129">
        <v>6182</v>
      </c>
    </row>
    <row r="6183" spans="1:1" ht="12.75" customHeight="1">
      <c r="A6183" s="129">
        <v>6183</v>
      </c>
    </row>
    <row r="6184" spans="1:1" ht="12.75" customHeight="1">
      <c r="A6184" s="129">
        <v>6184</v>
      </c>
    </row>
    <row r="6185" spans="1:1" ht="12.75" customHeight="1">
      <c r="A6185" s="129">
        <v>6185</v>
      </c>
    </row>
    <row r="6186" spans="1:1" ht="12.75" customHeight="1">
      <c r="A6186" s="129">
        <v>6186</v>
      </c>
    </row>
    <row r="6187" spans="1:1" ht="12.75" customHeight="1">
      <c r="A6187" s="129">
        <v>6187</v>
      </c>
    </row>
    <row r="6188" spans="1:1" ht="12.75" customHeight="1">
      <c r="A6188" s="129">
        <v>6188</v>
      </c>
    </row>
    <row r="6189" spans="1:1" ht="12.75" customHeight="1">
      <c r="A6189" s="129">
        <v>6189</v>
      </c>
    </row>
    <row r="6190" spans="1:1" ht="12.75" customHeight="1">
      <c r="A6190" s="129">
        <v>6190</v>
      </c>
    </row>
    <row r="6191" spans="1:1" ht="12.75" customHeight="1">
      <c r="A6191" s="129">
        <v>6191</v>
      </c>
    </row>
    <row r="6192" spans="1:1" ht="12.75" customHeight="1">
      <c r="A6192" s="129">
        <v>6192</v>
      </c>
    </row>
    <row r="6193" spans="1:1" ht="12.75" customHeight="1">
      <c r="A6193" s="129">
        <v>6193</v>
      </c>
    </row>
    <row r="6194" spans="1:1" ht="12.75" customHeight="1">
      <c r="A6194" s="129">
        <v>6194</v>
      </c>
    </row>
    <row r="6195" spans="1:1" ht="12.75" customHeight="1">
      <c r="A6195" s="129">
        <v>6195</v>
      </c>
    </row>
    <row r="6196" spans="1:1" ht="12.75" customHeight="1">
      <c r="A6196" s="129">
        <v>6196</v>
      </c>
    </row>
    <row r="6197" spans="1:1" ht="12.75" customHeight="1">
      <c r="A6197" s="129">
        <v>6197</v>
      </c>
    </row>
    <row r="6198" spans="1:1" ht="12.75" customHeight="1">
      <c r="A6198" s="129">
        <v>6198</v>
      </c>
    </row>
    <row r="6199" spans="1:1" ht="12.75" customHeight="1">
      <c r="A6199" s="129">
        <v>6199</v>
      </c>
    </row>
    <row r="6200" spans="1:1" ht="12.75" customHeight="1">
      <c r="A6200" s="129">
        <v>6200</v>
      </c>
    </row>
    <row r="6201" spans="1:1" ht="12.75" customHeight="1">
      <c r="A6201" s="129">
        <v>6201</v>
      </c>
    </row>
    <row r="6202" spans="1:1" ht="12.75" customHeight="1">
      <c r="A6202" s="129">
        <v>6202</v>
      </c>
    </row>
    <row r="6203" spans="1:1" ht="12.75" customHeight="1">
      <c r="A6203" s="129">
        <v>6203</v>
      </c>
    </row>
    <row r="6204" spans="1:1" ht="12.75" customHeight="1">
      <c r="A6204" s="129">
        <v>6204</v>
      </c>
    </row>
    <row r="6205" spans="1:1" ht="12.75" customHeight="1">
      <c r="A6205" s="129">
        <v>6205</v>
      </c>
    </row>
    <row r="6206" spans="1:1" ht="12.75" customHeight="1">
      <c r="A6206" s="129">
        <v>6206</v>
      </c>
    </row>
    <row r="6207" spans="1:1" ht="12.75" customHeight="1">
      <c r="A6207" s="129">
        <v>6207</v>
      </c>
    </row>
    <row r="6208" spans="1:1" ht="12.75" customHeight="1">
      <c r="A6208" s="129">
        <v>6208</v>
      </c>
    </row>
    <row r="6209" spans="1:1" ht="12.75" customHeight="1">
      <c r="A6209" s="129">
        <v>6209</v>
      </c>
    </row>
    <row r="6210" spans="1:1" ht="12.75" customHeight="1">
      <c r="A6210" s="129">
        <v>6210</v>
      </c>
    </row>
    <row r="6211" spans="1:1" ht="12.75" customHeight="1">
      <c r="A6211" s="129">
        <v>6211</v>
      </c>
    </row>
    <row r="6212" spans="1:1" ht="12.75" customHeight="1">
      <c r="A6212" s="129">
        <v>6212</v>
      </c>
    </row>
    <row r="6213" spans="1:1" ht="12.75" customHeight="1">
      <c r="A6213" s="129">
        <v>6213</v>
      </c>
    </row>
    <row r="6214" spans="1:1" ht="12.75" customHeight="1">
      <c r="A6214" s="129">
        <v>6214</v>
      </c>
    </row>
    <row r="6215" spans="1:1" ht="12.75" customHeight="1">
      <c r="A6215" s="129">
        <v>6215</v>
      </c>
    </row>
    <row r="6216" spans="1:1" ht="12.75" customHeight="1">
      <c r="A6216" s="129">
        <v>6216</v>
      </c>
    </row>
    <row r="6217" spans="1:1" ht="12.75" customHeight="1">
      <c r="A6217" s="129">
        <v>6217</v>
      </c>
    </row>
    <row r="6218" spans="1:1" ht="12.75" customHeight="1">
      <c r="A6218" s="129">
        <v>6218</v>
      </c>
    </row>
    <row r="6219" spans="1:1" ht="12.75" customHeight="1">
      <c r="A6219" s="129">
        <v>6219</v>
      </c>
    </row>
    <row r="6220" spans="1:1" ht="12.75" customHeight="1">
      <c r="A6220" s="129">
        <v>6220</v>
      </c>
    </row>
    <row r="6221" spans="1:1" ht="12.75" customHeight="1">
      <c r="A6221" s="129">
        <v>6221</v>
      </c>
    </row>
    <row r="6222" spans="1:1" ht="12.75" customHeight="1">
      <c r="A6222" s="129">
        <v>6222</v>
      </c>
    </row>
    <row r="6223" spans="1:1" ht="12.75" customHeight="1">
      <c r="A6223" s="129">
        <v>6223</v>
      </c>
    </row>
    <row r="6224" spans="1:1" ht="12.75" customHeight="1">
      <c r="A6224" s="129">
        <v>6224</v>
      </c>
    </row>
    <row r="6225" spans="1:1" ht="12.75" customHeight="1">
      <c r="A6225" s="129">
        <v>6225</v>
      </c>
    </row>
    <row r="6226" spans="1:1" ht="12.75" customHeight="1">
      <c r="A6226" s="129">
        <v>6226</v>
      </c>
    </row>
    <row r="6227" spans="1:1" ht="12.75" customHeight="1">
      <c r="A6227" s="129">
        <v>6227</v>
      </c>
    </row>
    <row r="6228" spans="1:1" ht="12.75" customHeight="1">
      <c r="A6228" s="129">
        <v>6228</v>
      </c>
    </row>
    <row r="6229" spans="1:1" ht="12.75" customHeight="1">
      <c r="A6229" s="129">
        <v>6229</v>
      </c>
    </row>
    <row r="6230" spans="1:1" ht="12.75" customHeight="1">
      <c r="A6230" s="129">
        <v>6230</v>
      </c>
    </row>
    <row r="6231" spans="1:1" ht="12.75" customHeight="1">
      <c r="A6231" s="129">
        <v>6231</v>
      </c>
    </row>
    <row r="6232" spans="1:1" ht="12.75" customHeight="1">
      <c r="A6232" s="129">
        <v>6232</v>
      </c>
    </row>
    <row r="6233" spans="1:1" ht="12.75" customHeight="1">
      <c r="A6233" s="129">
        <v>6233</v>
      </c>
    </row>
    <row r="6234" spans="1:1" ht="12.75" customHeight="1">
      <c r="A6234" s="129">
        <v>6234</v>
      </c>
    </row>
    <row r="6235" spans="1:1" ht="12.75" customHeight="1">
      <c r="A6235" s="129">
        <v>6235</v>
      </c>
    </row>
    <row r="6236" spans="1:1" ht="12.75" customHeight="1">
      <c r="A6236" s="129">
        <v>6236</v>
      </c>
    </row>
    <row r="6237" spans="1:1" ht="12.75" customHeight="1">
      <c r="A6237" s="129">
        <v>6237</v>
      </c>
    </row>
    <row r="6238" spans="1:1" ht="12.75" customHeight="1">
      <c r="A6238" s="129">
        <v>6238</v>
      </c>
    </row>
    <row r="6239" spans="1:1" ht="12.75" customHeight="1">
      <c r="A6239" s="129">
        <v>6239</v>
      </c>
    </row>
    <row r="6240" spans="1:1" ht="12.75" customHeight="1">
      <c r="A6240" s="129">
        <v>6240</v>
      </c>
    </row>
    <row r="6241" spans="1:1" ht="12.75" customHeight="1">
      <c r="A6241" s="129">
        <v>6241</v>
      </c>
    </row>
    <row r="6242" spans="1:1" ht="12.75" customHeight="1">
      <c r="A6242" s="129">
        <v>6242</v>
      </c>
    </row>
    <row r="6243" spans="1:1" ht="12.75" customHeight="1">
      <c r="A6243" s="129">
        <v>6243</v>
      </c>
    </row>
    <row r="6244" spans="1:1" ht="12.75" customHeight="1">
      <c r="A6244" s="129">
        <v>6244</v>
      </c>
    </row>
    <row r="6245" spans="1:1" ht="12.75" customHeight="1">
      <c r="A6245" s="129">
        <v>6245</v>
      </c>
    </row>
    <row r="6246" spans="1:1" ht="12.75" customHeight="1">
      <c r="A6246" s="129">
        <v>6246</v>
      </c>
    </row>
    <row r="6247" spans="1:1" ht="12.75" customHeight="1">
      <c r="A6247" s="129">
        <v>6247</v>
      </c>
    </row>
    <row r="6248" spans="1:1" ht="12.75" customHeight="1">
      <c r="A6248" s="129">
        <v>6248</v>
      </c>
    </row>
    <row r="6249" spans="1:1" ht="12.75" customHeight="1">
      <c r="A6249" s="129">
        <v>6249</v>
      </c>
    </row>
    <row r="6250" spans="1:1" ht="12.75" customHeight="1">
      <c r="A6250" s="129">
        <v>6250</v>
      </c>
    </row>
    <row r="6251" spans="1:1" ht="12.75" customHeight="1">
      <c r="A6251" s="129">
        <v>6251</v>
      </c>
    </row>
    <row r="6252" spans="1:1" ht="12.75" customHeight="1">
      <c r="A6252" s="129">
        <v>6252</v>
      </c>
    </row>
    <row r="6253" spans="1:1" ht="12.75" customHeight="1">
      <c r="A6253" s="129">
        <v>6253</v>
      </c>
    </row>
    <row r="6254" spans="1:1" ht="12.75" customHeight="1">
      <c r="A6254" s="129">
        <v>6254</v>
      </c>
    </row>
    <row r="6255" spans="1:1" ht="12.75" customHeight="1">
      <c r="A6255" s="129">
        <v>6255</v>
      </c>
    </row>
    <row r="6256" spans="1:1" ht="12.75" customHeight="1">
      <c r="A6256" s="129">
        <v>6256</v>
      </c>
    </row>
    <row r="6257" spans="1:1" ht="12.75" customHeight="1">
      <c r="A6257" s="129">
        <v>6257</v>
      </c>
    </row>
    <row r="6258" spans="1:1" ht="12.75" customHeight="1">
      <c r="A6258" s="129">
        <v>6258</v>
      </c>
    </row>
    <row r="6259" spans="1:1" ht="12.75" customHeight="1">
      <c r="A6259" s="129">
        <v>6259</v>
      </c>
    </row>
    <row r="6260" spans="1:1" ht="12.75" customHeight="1">
      <c r="A6260" s="129">
        <v>6260</v>
      </c>
    </row>
    <row r="6261" spans="1:1" ht="12.75" customHeight="1">
      <c r="A6261" s="129">
        <v>6261</v>
      </c>
    </row>
    <row r="6262" spans="1:1" ht="12.75" customHeight="1">
      <c r="A6262" s="129">
        <v>6262</v>
      </c>
    </row>
    <row r="6263" spans="1:1" ht="12.75" customHeight="1">
      <c r="A6263" s="129">
        <v>6263</v>
      </c>
    </row>
    <row r="6264" spans="1:1" ht="12.75" customHeight="1">
      <c r="A6264" s="129">
        <v>6264</v>
      </c>
    </row>
    <row r="6265" spans="1:1" ht="12.75" customHeight="1">
      <c r="A6265" s="129">
        <v>6265</v>
      </c>
    </row>
    <row r="6266" spans="1:1" ht="12.75" customHeight="1">
      <c r="A6266" s="129">
        <v>6266</v>
      </c>
    </row>
    <row r="6267" spans="1:1" ht="12.75" customHeight="1">
      <c r="A6267" s="129">
        <v>6267</v>
      </c>
    </row>
    <row r="6268" spans="1:1" ht="12.75" customHeight="1">
      <c r="A6268" s="129">
        <v>6268</v>
      </c>
    </row>
    <row r="6269" spans="1:1" ht="12.75" customHeight="1">
      <c r="A6269" s="129">
        <v>6269</v>
      </c>
    </row>
    <row r="6270" spans="1:1" ht="12.75" customHeight="1">
      <c r="A6270" s="129">
        <v>6270</v>
      </c>
    </row>
    <row r="6271" spans="1:1" ht="12.75" customHeight="1">
      <c r="A6271" s="129">
        <v>6271</v>
      </c>
    </row>
    <row r="6272" spans="1:1" ht="12.75" customHeight="1">
      <c r="A6272" s="129">
        <v>6272</v>
      </c>
    </row>
    <row r="6273" spans="1:1" ht="12.75" customHeight="1">
      <c r="A6273" s="129">
        <v>6273</v>
      </c>
    </row>
    <row r="6274" spans="1:1" ht="12.75" customHeight="1">
      <c r="A6274" s="129">
        <v>6274</v>
      </c>
    </row>
    <row r="6275" spans="1:1" ht="12.75" customHeight="1">
      <c r="A6275" s="129">
        <v>6275</v>
      </c>
    </row>
    <row r="6276" spans="1:1" ht="12.75" customHeight="1">
      <c r="A6276" s="129">
        <v>6276</v>
      </c>
    </row>
    <row r="6277" spans="1:1" ht="12.75" customHeight="1">
      <c r="A6277" s="129">
        <v>6277</v>
      </c>
    </row>
    <row r="6278" spans="1:1" ht="12.75" customHeight="1">
      <c r="A6278" s="129">
        <v>6278</v>
      </c>
    </row>
    <row r="6279" spans="1:1" ht="12.75" customHeight="1">
      <c r="A6279" s="129">
        <v>6279</v>
      </c>
    </row>
    <row r="6280" spans="1:1" ht="12.75" customHeight="1">
      <c r="A6280" s="129">
        <v>6280</v>
      </c>
    </row>
    <row r="6281" spans="1:1" ht="12.75" customHeight="1">
      <c r="A6281" s="129">
        <v>6281</v>
      </c>
    </row>
    <row r="6282" spans="1:1" ht="12.75" customHeight="1">
      <c r="A6282" s="129">
        <v>6282</v>
      </c>
    </row>
    <row r="6283" spans="1:1" ht="12.75" customHeight="1">
      <c r="A6283" s="129">
        <v>6283</v>
      </c>
    </row>
    <row r="6284" spans="1:1" ht="12.75" customHeight="1">
      <c r="A6284" s="129">
        <v>6284</v>
      </c>
    </row>
    <row r="6285" spans="1:1" ht="12.75" customHeight="1">
      <c r="A6285" s="129">
        <v>6285</v>
      </c>
    </row>
    <row r="6286" spans="1:1" ht="12.75" customHeight="1">
      <c r="A6286" s="129">
        <v>6286</v>
      </c>
    </row>
    <row r="6287" spans="1:1" ht="12.75" customHeight="1">
      <c r="A6287" s="129">
        <v>6287</v>
      </c>
    </row>
    <row r="6288" spans="1:1" ht="12.75" customHeight="1">
      <c r="A6288" s="129">
        <v>6288</v>
      </c>
    </row>
    <row r="6289" spans="1:1" ht="12.75" customHeight="1">
      <c r="A6289" s="129">
        <v>6289</v>
      </c>
    </row>
    <row r="6290" spans="1:1" ht="12.75" customHeight="1">
      <c r="A6290" s="129">
        <v>6290</v>
      </c>
    </row>
    <row r="6291" spans="1:1" ht="12.75" customHeight="1">
      <c r="A6291" s="129">
        <v>6291</v>
      </c>
    </row>
    <row r="6292" spans="1:1" ht="12.75" customHeight="1">
      <c r="A6292" s="129">
        <v>6292</v>
      </c>
    </row>
    <row r="6293" spans="1:1" ht="12.75" customHeight="1">
      <c r="A6293" s="129">
        <v>6293</v>
      </c>
    </row>
    <row r="6294" spans="1:1" ht="12.75" customHeight="1">
      <c r="A6294" s="129">
        <v>6294</v>
      </c>
    </row>
    <row r="6295" spans="1:1" ht="12.75" customHeight="1">
      <c r="A6295" s="129">
        <v>6295</v>
      </c>
    </row>
    <row r="6296" spans="1:1" ht="12.75" customHeight="1">
      <c r="A6296" s="129">
        <v>6296</v>
      </c>
    </row>
    <row r="6297" spans="1:1" ht="12.75" customHeight="1">
      <c r="A6297" s="129">
        <v>6297</v>
      </c>
    </row>
    <row r="6298" spans="1:1" ht="12.75" customHeight="1">
      <c r="A6298" s="129">
        <v>6298</v>
      </c>
    </row>
    <row r="6299" spans="1:1" ht="12.75" customHeight="1">
      <c r="A6299" s="129">
        <v>6299</v>
      </c>
    </row>
    <row r="6300" spans="1:1" ht="12.75" customHeight="1">
      <c r="A6300" s="129">
        <v>6300</v>
      </c>
    </row>
    <row r="6301" spans="1:1" ht="12.75" customHeight="1">
      <c r="A6301" s="129">
        <v>6301</v>
      </c>
    </row>
    <row r="6302" spans="1:1" ht="12.75" customHeight="1">
      <c r="A6302" s="129">
        <v>6302</v>
      </c>
    </row>
    <row r="6303" spans="1:1" ht="12.75" customHeight="1">
      <c r="A6303" s="129">
        <v>6303</v>
      </c>
    </row>
    <row r="6304" spans="1:1" ht="12.75" customHeight="1">
      <c r="A6304" s="129">
        <v>6304</v>
      </c>
    </row>
    <row r="6305" spans="1:1" ht="12.75" customHeight="1">
      <c r="A6305" s="129">
        <v>6305</v>
      </c>
    </row>
    <row r="6306" spans="1:1" ht="12.75" customHeight="1">
      <c r="A6306" s="129">
        <v>6306</v>
      </c>
    </row>
    <row r="6307" spans="1:1" ht="12.75" customHeight="1">
      <c r="A6307" s="129">
        <v>6307</v>
      </c>
    </row>
    <row r="6308" spans="1:1" ht="12.75" customHeight="1">
      <c r="A6308" s="129">
        <v>6308</v>
      </c>
    </row>
    <row r="6309" spans="1:1" ht="12.75" customHeight="1">
      <c r="A6309" s="129">
        <v>6309</v>
      </c>
    </row>
    <row r="6310" spans="1:1" ht="12.75" customHeight="1">
      <c r="A6310" s="129">
        <v>6310</v>
      </c>
    </row>
    <row r="6311" spans="1:1" ht="12.75" customHeight="1">
      <c r="A6311" s="129">
        <v>6311</v>
      </c>
    </row>
    <row r="6312" spans="1:1" ht="12.75" customHeight="1">
      <c r="A6312" s="129">
        <v>6312</v>
      </c>
    </row>
    <row r="6313" spans="1:1" ht="12.75" customHeight="1">
      <c r="A6313" s="129">
        <v>6313</v>
      </c>
    </row>
    <row r="6314" spans="1:1" ht="12.75" customHeight="1">
      <c r="A6314" s="129">
        <v>6314</v>
      </c>
    </row>
    <row r="6315" spans="1:1" ht="12.75" customHeight="1">
      <c r="A6315" s="129">
        <v>6315</v>
      </c>
    </row>
    <row r="6316" spans="1:1" ht="12.75" customHeight="1">
      <c r="A6316" s="129">
        <v>6316</v>
      </c>
    </row>
    <row r="6317" spans="1:1" ht="12.75" customHeight="1">
      <c r="A6317" s="129">
        <v>6317</v>
      </c>
    </row>
    <row r="6318" spans="1:1" ht="12.75" customHeight="1">
      <c r="A6318" s="129">
        <v>6318</v>
      </c>
    </row>
    <row r="6319" spans="1:1" ht="12.75" customHeight="1">
      <c r="A6319" s="129">
        <v>6319</v>
      </c>
    </row>
    <row r="6320" spans="1:1" ht="12.75" customHeight="1">
      <c r="A6320" s="129">
        <v>6320</v>
      </c>
    </row>
    <row r="6321" spans="1:1" ht="12.75" customHeight="1">
      <c r="A6321" s="129">
        <v>6321</v>
      </c>
    </row>
    <row r="6322" spans="1:1" ht="12.75" customHeight="1">
      <c r="A6322" s="129">
        <v>6322</v>
      </c>
    </row>
    <row r="6323" spans="1:1" ht="12.75" customHeight="1">
      <c r="A6323" s="129">
        <v>6323</v>
      </c>
    </row>
    <row r="6324" spans="1:1" ht="12.75" customHeight="1">
      <c r="A6324" s="129">
        <v>6324</v>
      </c>
    </row>
    <row r="6325" spans="1:1" ht="12.75" customHeight="1">
      <c r="A6325" s="129">
        <v>6325</v>
      </c>
    </row>
    <row r="6326" spans="1:1" ht="12.75" customHeight="1">
      <c r="A6326" s="129">
        <v>6326</v>
      </c>
    </row>
    <row r="6327" spans="1:1" ht="12.75" customHeight="1">
      <c r="A6327" s="129">
        <v>6327</v>
      </c>
    </row>
    <row r="6328" spans="1:1" ht="12.75" customHeight="1">
      <c r="A6328" s="129">
        <v>6328</v>
      </c>
    </row>
    <row r="6329" spans="1:1" ht="12.75" customHeight="1">
      <c r="A6329" s="129">
        <v>6329</v>
      </c>
    </row>
    <row r="6330" spans="1:1" ht="12.75" customHeight="1">
      <c r="A6330" s="129">
        <v>6330</v>
      </c>
    </row>
    <row r="6331" spans="1:1" ht="12.75" customHeight="1">
      <c r="A6331" s="129">
        <v>6331</v>
      </c>
    </row>
    <row r="6332" spans="1:1" ht="12.75" customHeight="1">
      <c r="A6332" s="129">
        <v>6332</v>
      </c>
    </row>
    <row r="6333" spans="1:1" ht="12.75" customHeight="1">
      <c r="A6333" s="129">
        <v>6333</v>
      </c>
    </row>
    <row r="6334" spans="1:1" ht="12.75" customHeight="1">
      <c r="A6334" s="129">
        <v>6334</v>
      </c>
    </row>
    <row r="6335" spans="1:1" ht="12.75" customHeight="1">
      <c r="A6335" s="129">
        <v>6335</v>
      </c>
    </row>
    <row r="6336" spans="1:1" ht="12.75" customHeight="1">
      <c r="A6336" s="129">
        <v>6336</v>
      </c>
    </row>
    <row r="6337" spans="1:1" ht="12.75" customHeight="1">
      <c r="A6337" s="129">
        <v>6337</v>
      </c>
    </row>
    <row r="6338" spans="1:1" ht="12.75" customHeight="1">
      <c r="A6338" s="129">
        <v>6338</v>
      </c>
    </row>
    <row r="6339" spans="1:1" ht="12.75" customHeight="1">
      <c r="A6339" s="129">
        <v>6339</v>
      </c>
    </row>
    <row r="6340" spans="1:1" ht="12.75" customHeight="1">
      <c r="A6340" s="129">
        <v>6340</v>
      </c>
    </row>
    <row r="6341" spans="1:1" ht="12.75" customHeight="1">
      <c r="A6341" s="129">
        <v>6341</v>
      </c>
    </row>
    <row r="6342" spans="1:1" ht="12.75" customHeight="1">
      <c r="A6342" s="129">
        <v>6342</v>
      </c>
    </row>
    <row r="6343" spans="1:1" ht="12.75" customHeight="1">
      <c r="A6343" s="129">
        <v>6343</v>
      </c>
    </row>
    <row r="6344" spans="1:1" ht="12.75" customHeight="1">
      <c r="A6344" s="129">
        <v>6344</v>
      </c>
    </row>
    <row r="6345" spans="1:1" ht="12.75" customHeight="1">
      <c r="A6345" s="129">
        <v>6345</v>
      </c>
    </row>
    <row r="6346" spans="1:1" ht="12.75" customHeight="1">
      <c r="A6346" s="129">
        <v>6346</v>
      </c>
    </row>
    <row r="6347" spans="1:1" ht="12.75" customHeight="1">
      <c r="A6347" s="129">
        <v>6347</v>
      </c>
    </row>
    <row r="6348" spans="1:1" ht="12.75" customHeight="1">
      <c r="A6348" s="129">
        <v>6348</v>
      </c>
    </row>
    <row r="6349" spans="1:1" ht="12.75" customHeight="1">
      <c r="A6349" s="129">
        <v>6349</v>
      </c>
    </row>
    <row r="6350" spans="1:1" ht="12.75" customHeight="1">
      <c r="A6350" s="129">
        <v>6350</v>
      </c>
    </row>
    <row r="6351" spans="1:1" ht="12.75" customHeight="1">
      <c r="A6351" s="129">
        <v>6351</v>
      </c>
    </row>
    <row r="6352" spans="1:1" ht="12.75" customHeight="1">
      <c r="A6352" s="129">
        <v>6352</v>
      </c>
    </row>
    <row r="6353" spans="1:1" ht="12.75" customHeight="1">
      <c r="A6353" s="129">
        <v>6353</v>
      </c>
    </row>
    <row r="6354" spans="1:1" ht="12.75" customHeight="1">
      <c r="A6354" s="129">
        <v>6354</v>
      </c>
    </row>
    <row r="6355" spans="1:1" ht="12.75" customHeight="1">
      <c r="A6355" s="129">
        <v>6355</v>
      </c>
    </row>
    <row r="6356" spans="1:1" ht="12.75" customHeight="1">
      <c r="A6356" s="129">
        <v>6356</v>
      </c>
    </row>
    <row r="6357" spans="1:1" ht="12.75" customHeight="1">
      <c r="A6357" s="129">
        <v>6357</v>
      </c>
    </row>
    <row r="6358" spans="1:1" ht="12.75" customHeight="1">
      <c r="A6358" s="129">
        <v>6358</v>
      </c>
    </row>
    <row r="6359" spans="1:1" ht="12.75" customHeight="1">
      <c r="A6359" s="129">
        <v>6359</v>
      </c>
    </row>
    <row r="6360" spans="1:1" ht="12.75" customHeight="1">
      <c r="A6360" s="129">
        <v>6360</v>
      </c>
    </row>
    <row r="6361" spans="1:1" ht="12.75" customHeight="1">
      <c r="A6361" s="129">
        <v>6361</v>
      </c>
    </row>
    <row r="6362" spans="1:1" ht="12.75" customHeight="1">
      <c r="A6362" s="129">
        <v>6362</v>
      </c>
    </row>
    <row r="6363" spans="1:1" ht="12.75" customHeight="1">
      <c r="A6363" s="129">
        <v>6363</v>
      </c>
    </row>
    <row r="6364" spans="1:1" ht="12.75" customHeight="1">
      <c r="A6364" s="129">
        <v>6364</v>
      </c>
    </row>
    <row r="6365" spans="1:1" ht="12.75" customHeight="1">
      <c r="A6365" s="129">
        <v>6365</v>
      </c>
    </row>
    <row r="6366" spans="1:1" ht="12.75" customHeight="1">
      <c r="A6366" s="129">
        <v>6366</v>
      </c>
    </row>
    <row r="6367" spans="1:1" ht="12.75" customHeight="1">
      <c r="A6367" s="129">
        <v>6367</v>
      </c>
    </row>
    <row r="6368" spans="1:1" ht="12.75" customHeight="1">
      <c r="A6368" s="129">
        <v>6368</v>
      </c>
    </row>
    <row r="6369" spans="1:1" ht="12.75" customHeight="1">
      <c r="A6369" s="129">
        <v>6369</v>
      </c>
    </row>
    <row r="6370" spans="1:1" ht="12.75" customHeight="1">
      <c r="A6370" s="129">
        <v>6370</v>
      </c>
    </row>
    <row r="6371" spans="1:1" ht="12.75" customHeight="1">
      <c r="A6371" s="129">
        <v>6371</v>
      </c>
    </row>
    <row r="6372" spans="1:1" ht="12.75" customHeight="1">
      <c r="A6372" s="129">
        <v>6372</v>
      </c>
    </row>
    <row r="6373" spans="1:1" ht="12.75" customHeight="1">
      <c r="A6373" s="129">
        <v>6373</v>
      </c>
    </row>
    <row r="6374" spans="1:1" ht="12.75" customHeight="1">
      <c r="A6374" s="129">
        <v>6374</v>
      </c>
    </row>
    <row r="6375" spans="1:1" ht="12.75" customHeight="1">
      <c r="A6375" s="129">
        <v>6375</v>
      </c>
    </row>
    <row r="6376" spans="1:1" ht="12.75" customHeight="1">
      <c r="A6376" s="129">
        <v>6376</v>
      </c>
    </row>
    <row r="6377" spans="1:1" ht="12.75" customHeight="1">
      <c r="A6377" s="129">
        <v>6377</v>
      </c>
    </row>
    <row r="6378" spans="1:1" ht="12.75" customHeight="1">
      <c r="A6378" s="129">
        <v>6378</v>
      </c>
    </row>
    <row r="6379" spans="1:1" ht="12.75" customHeight="1">
      <c r="A6379" s="129">
        <v>6379</v>
      </c>
    </row>
    <row r="6380" spans="1:1" ht="12.75" customHeight="1">
      <c r="A6380" s="129">
        <v>6380</v>
      </c>
    </row>
    <row r="6381" spans="1:1" ht="12.75" customHeight="1">
      <c r="A6381" s="129">
        <v>6381</v>
      </c>
    </row>
    <row r="6382" spans="1:1" ht="12.75" customHeight="1">
      <c r="A6382" s="129">
        <v>6382</v>
      </c>
    </row>
    <row r="6383" spans="1:1" ht="12.75" customHeight="1">
      <c r="A6383" s="129">
        <v>6383</v>
      </c>
    </row>
    <row r="6384" spans="1:1" ht="12.75" customHeight="1">
      <c r="A6384" s="129">
        <v>6384</v>
      </c>
    </row>
    <row r="6385" spans="1:1" ht="12.75" customHeight="1">
      <c r="A6385" s="129">
        <v>6385</v>
      </c>
    </row>
    <row r="6386" spans="1:1" ht="12.75" customHeight="1">
      <c r="A6386" s="129">
        <v>6386</v>
      </c>
    </row>
    <row r="6387" spans="1:1" ht="12.75" customHeight="1">
      <c r="A6387" s="129">
        <v>6387</v>
      </c>
    </row>
    <row r="6388" spans="1:1" ht="12.75" customHeight="1">
      <c r="A6388" s="129">
        <v>6388</v>
      </c>
    </row>
    <row r="6389" spans="1:1" ht="12.75" customHeight="1">
      <c r="A6389" s="129">
        <v>6389</v>
      </c>
    </row>
    <row r="6390" spans="1:1" ht="12.75" customHeight="1">
      <c r="A6390" s="129">
        <v>6390</v>
      </c>
    </row>
    <row r="6391" spans="1:1" ht="12.75" customHeight="1">
      <c r="A6391" s="129">
        <v>6391</v>
      </c>
    </row>
    <row r="6392" spans="1:1" ht="12.75" customHeight="1">
      <c r="A6392" s="129">
        <v>6392</v>
      </c>
    </row>
    <row r="6393" spans="1:1" ht="12.75" customHeight="1">
      <c r="A6393" s="129">
        <v>6393</v>
      </c>
    </row>
    <row r="6394" spans="1:1" ht="12.75" customHeight="1">
      <c r="A6394" s="129">
        <v>6394</v>
      </c>
    </row>
    <row r="6395" spans="1:1" ht="12.75" customHeight="1">
      <c r="A6395" s="129">
        <v>6395</v>
      </c>
    </row>
    <row r="6396" spans="1:1" ht="12.75" customHeight="1">
      <c r="A6396" s="129">
        <v>6396</v>
      </c>
    </row>
    <row r="6397" spans="1:1" ht="12.75" customHeight="1">
      <c r="A6397" s="129">
        <v>6397</v>
      </c>
    </row>
    <row r="6398" spans="1:1" ht="12.75" customHeight="1">
      <c r="A6398" s="129">
        <v>6398</v>
      </c>
    </row>
    <row r="6399" spans="1:1" ht="12.75" customHeight="1">
      <c r="A6399" s="129">
        <v>6399</v>
      </c>
    </row>
    <row r="6400" spans="1:1" ht="12.75" customHeight="1">
      <c r="A6400" s="129">
        <v>6400</v>
      </c>
    </row>
    <row r="6401" spans="1:1" ht="12.75" customHeight="1">
      <c r="A6401" s="129">
        <v>6401</v>
      </c>
    </row>
    <row r="6402" spans="1:1" ht="12.75" customHeight="1">
      <c r="A6402" s="129">
        <v>6402</v>
      </c>
    </row>
    <row r="6403" spans="1:1" ht="12.75" customHeight="1">
      <c r="A6403" s="129">
        <v>6403</v>
      </c>
    </row>
    <row r="6404" spans="1:1" ht="12.75" customHeight="1">
      <c r="A6404" s="129">
        <v>6404</v>
      </c>
    </row>
    <row r="6405" spans="1:1" ht="12.75" customHeight="1">
      <c r="A6405" s="129">
        <v>6405</v>
      </c>
    </row>
    <row r="6406" spans="1:1" ht="12.75" customHeight="1">
      <c r="A6406" s="129">
        <v>6406</v>
      </c>
    </row>
    <row r="6407" spans="1:1" ht="12.75" customHeight="1">
      <c r="A6407" s="129">
        <v>6407</v>
      </c>
    </row>
    <row r="6408" spans="1:1" ht="12.75" customHeight="1">
      <c r="A6408" s="129">
        <v>6408</v>
      </c>
    </row>
    <row r="6409" spans="1:1" ht="12.75" customHeight="1">
      <c r="A6409" s="129">
        <v>6409</v>
      </c>
    </row>
    <row r="6410" spans="1:1" ht="12.75" customHeight="1">
      <c r="A6410" s="129">
        <v>6410</v>
      </c>
    </row>
    <row r="6411" spans="1:1" ht="12.75" customHeight="1">
      <c r="A6411" s="129">
        <v>6411</v>
      </c>
    </row>
    <row r="6412" spans="1:1" ht="12.75" customHeight="1">
      <c r="A6412" s="129">
        <v>6412</v>
      </c>
    </row>
    <row r="6413" spans="1:1" ht="12.75" customHeight="1">
      <c r="A6413" s="129">
        <v>6413</v>
      </c>
    </row>
    <row r="6414" spans="1:1" ht="12.75" customHeight="1">
      <c r="A6414" s="129">
        <v>6414</v>
      </c>
    </row>
    <row r="6415" spans="1:1" ht="12.75" customHeight="1">
      <c r="A6415" s="129">
        <v>6415</v>
      </c>
    </row>
    <row r="6416" spans="1:1" ht="12.75" customHeight="1">
      <c r="A6416" s="129">
        <v>6416</v>
      </c>
    </row>
    <row r="6417" spans="1:1" ht="12.75" customHeight="1">
      <c r="A6417" s="129">
        <v>6417</v>
      </c>
    </row>
    <row r="6418" spans="1:1" ht="12.75" customHeight="1">
      <c r="A6418" s="129">
        <v>6418</v>
      </c>
    </row>
    <row r="6419" spans="1:1" ht="12.75" customHeight="1">
      <c r="A6419" s="129">
        <v>6419</v>
      </c>
    </row>
    <row r="6420" spans="1:1" ht="12.75" customHeight="1">
      <c r="A6420" s="129">
        <v>6420</v>
      </c>
    </row>
    <row r="6421" spans="1:1" ht="12.75" customHeight="1">
      <c r="A6421" s="129">
        <v>6421</v>
      </c>
    </row>
    <row r="6422" spans="1:1" ht="12.75" customHeight="1">
      <c r="A6422" s="129">
        <v>6422</v>
      </c>
    </row>
    <row r="6423" spans="1:1" ht="12.75" customHeight="1">
      <c r="A6423" s="129">
        <v>6423</v>
      </c>
    </row>
    <row r="6424" spans="1:1" ht="12.75" customHeight="1">
      <c r="A6424" s="129">
        <v>6424</v>
      </c>
    </row>
    <row r="6425" spans="1:1" ht="12.75" customHeight="1">
      <c r="A6425" s="129">
        <v>6425</v>
      </c>
    </row>
    <row r="6426" spans="1:1" ht="12.75" customHeight="1">
      <c r="A6426" s="129">
        <v>6426</v>
      </c>
    </row>
    <row r="6427" spans="1:1" ht="12.75" customHeight="1">
      <c r="A6427" s="129">
        <v>6427</v>
      </c>
    </row>
    <row r="6428" spans="1:1" ht="12.75" customHeight="1">
      <c r="A6428" s="129">
        <v>6428</v>
      </c>
    </row>
    <row r="6429" spans="1:1" ht="12.75" customHeight="1">
      <c r="A6429" s="129">
        <v>6429</v>
      </c>
    </row>
    <row r="6430" spans="1:1" ht="12.75" customHeight="1">
      <c r="A6430" s="129">
        <v>6430</v>
      </c>
    </row>
    <row r="6431" spans="1:1" ht="12.75" customHeight="1">
      <c r="A6431" s="129">
        <v>6431</v>
      </c>
    </row>
    <row r="6432" spans="1:1" ht="12.75" customHeight="1">
      <c r="A6432" s="129">
        <v>6432</v>
      </c>
    </row>
    <row r="6433" spans="1:1" ht="12.75" customHeight="1">
      <c r="A6433" s="129">
        <v>6433</v>
      </c>
    </row>
    <row r="6434" spans="1:1" ht="12.75" customHeight="1">
      <c r="A6434" s="129">
        <v>6434</v>
      </c>
    </row>
    <row r="6435" spans="1:1" ht="12.75" customHeight="1">
      <c r="A6435" s="129">
        <v>6435</v>
      </c>
    </row>
    <row r="6436" spans="1:1" ht="12.75" customHeight="1">
      <c r="A6436" s="129">
        <v>6436</v>
      </c>
    </row>
    <row r="6437" spans="1:1" ht="12.75" customHeight="1">
      <c r="A6437" s="129">
        <v>6437</v>
      </c>
    </row>
    <row r="6438" spans="1:1" ht="12.75" customHeight="1">
      <c r="A6438" s="129">
        <v>6438</v>
      </c>
    </row>
    <row r="6439" spans="1:1" ht="12.75" customHeight="1">
      <c r="A6439" s="129">
        <v>6439</v>
      </c>
    </row>
    <row r="6440" spans="1:1" ht="12.75" customHeight="1">
      <c r="A6440" s="129">
        <v>6440</v>
      </c>
    </row>
    <row r="6441" spans="1:1" ht="12.75" customHeight="1">
      <c r="A6441" s="129">
        <v>6441</v>
      </c>
    </row>
    <row r="6442" spans="1:1" ht="12.75" customHeight="1">
      <c r="A6442" s="129">
        <v>6442</v>
      </c>
    </row>
    <row r="6443" spans="1:1" ht="12.75" customHeight="1">
      <c r="A6443" s="129">
        <v>6443</v>
      </c>
    </row>
    <row r="6444" spans="1:1" ht="12.75" customHeight="1">
      <c r="A6444" s="129">
        <v>6444</v>
      </c>
    </row>
    <row r="6445" spans="1:1" ht="12.75" customHeight="1">
      <c r="A6445" s="129">
        <v>6445</v>
      </c>
    </row>
    <row r="6446" spans="1:1" ht="12.75" customHeight="1">
      <c r="A6446" s="129">
        <v>6446</v>
      </c>
    </row>
    <row r="6447" spans="1:1" ht="12.75" customHeight="1">
      <c r="A6447" s="129">
        <v>6447</v>
      </c>
    </row>
    <row r="6448" spans="1:1" ht="12.75" customHeight="1">
      <c r="A6448" s="129">
        <v>6448</v>
      </c>
    </row>
    <row r="6449" spans="1:1" ht="12.75" customHeight="1">
      <c r="A6449" s="129">
        <v>6449</v>
      </c>
    </row>
    <row r="6450" spans="1:1" ht="12.75" customHeight="1">
      <c r="A6450" s="129">
        <v>6450</v>
      </c>
    </row>
    <row r="6451" spans="1:1" ht="12.75" customHeight="1">
      <c r="A6451" s="129">
        <v>6451</v>
      </c>
    </row>
    <row r="6452" spans="1:1" ht="12.75" customHeight="1">
      <c r="A6452" s="129">
        <v>6452</v>
      </c>
    </row>
    <row r="6453" spans="1:1" ht="12.75" customHeight="1">
      <c r="A6453" s="129">
        <v>6453</v>
      </c>
    </row>
    <row r="6454" spans="1:1" ht="12.75" customHeight="1">
      <c r="A6454" s="129">
        <v>6454</v>
      </c>
    </row>
    <row r="6455" spans="1:1" ht="12.75" customHeight="1">
      <c r="A6455" s="129">
        <v>6455</v>
      </c>
    </row>
    <row r="6456" spans="1:1" ht="12.75" customHeight="1">
      <c r="A6456" s="129">
        <v>6456</v>
      </c>
    </row>
    <row r="6457" spans="1:1" ht="12.75" customHeight="1">
      <c r="A6457" s="129">
        <v>6457</v>
      </c>
    </row>
    <row r="6458" spans="1:1" ht="12.75" customHeight="1">
      <c r="A6458" s="129">
        <v>6458</v>
      </c>
    </row>
    <row r="6459" spans="1:1" ht="12.75" customHeight="1">
      <c r="A6459" s="129">
        <v>6459</v>
      </c>
    </row>
    <row r="6460" spans="1:1" ht="12.75" customHeight="1">
      <c r="A6460" s="129">
        <v>6460</v>
      </c>
    </row>
    <row r="6461" spans="1:1" ht="12.75" customHeight="1">
      <c r="A6461" s="129">
        <v>6461</v>
      </c>
    </row>
    <row r="6462" spans="1:1" ht="12.75" customHeight="1">
      <c r="A6462" s="129">
        <v>6462</v>
      </c>
    </row>
    <row r="6463" spans="1:1" ht="12.75" customHeight="1">
      <c r="A6463" s="129">
        <v>6463</v>
      </c>
    </row>
    <row r="6464" spans="1:1" ht="12.75" customHeight="1">
      <c r="A6464" s="129">
        <v>6464</v>
      </c>
    </row>
    <row r="6465" spans="1:1" ht="12.75" customHeight="1">
      <c r="A6465" s="129">
        <v>6465</v>
      </c>
    </row>
    <row r="6466" spans="1:1" ht="12.75" customHeight="1">
      <c r="A6466" s="129">
        <v>6466</v>
      </c>
    </row>
    <row r="6467" spans="1:1" ht="12.75" customHeight="1">
      <c r="A6467" s="129">
        <v>6467</v>
      </c>
    </row>
    <row r="6468" spans="1:1" ht="12.75" customHeight="1">
      <c r="A6468" s="129">
        <v>6468</v>
      </c>
    </row>
    <row r="6469" spans="1:1" ht="12.75" customHeight="1">
      <c r="A6469" s="129">
        <v>6469</v>
      </c>
    </row>
    <row r="6470" spans="1:1" ht="12.75" customHeight="1">
      <c r="A6470" s="129">
        <v>6470</v>
      </c>
    </row>
    <row r="6471" spans="1:1" ht="12.75" customHeight="1">
      <c r="A6471" s="129">
        <v>6471</v>
      </c>
    </row>
    <row r="6472" spans="1:1" ht="12.75" customHeight="1">
      <c r="A6472" s="129">
        <v>6472</v>
      </c>
    </row>
    <row r="6473" spans="1:1" ht="12.75" customHeight="1">
      <c r="A6473" s="129">
        <v>6473</v>
      </c>
    </row>
    <row r="6474" spans="1:1" ht="12.75" customHeight="1">
      <c r="A6474" s="129">
        <v>6474</v>
      </c>
    </row>
    <row r="6475" spans="1:1" ht="12.75" customHeight="1">
      <c r="A6475" s="129">
        <v>6475</v>
      </c>
    </row>
    <row r="6476" spans="1:1" ht="12.75" customHeight="1">
      <c r="A6476" s="129">
        <v>6476</v>
      </c>
    </row>
    <row r="6477" spans="1:1" ht="12.75" customHeight="1">
      <c r="A6477" s="129">
        <v>6477</v>
      </c>
    </row>
    <row r="6478" spans="1:1" ht="12.75" customHeight="1">
      <c r="A6478" s="129">
        <v>6478</v>
      </c>
    </row>
    <row r="6479" spans="1:1" ht="12.75" customHeight="1">
      <c r="A6479" s="129">
        <v>6479</v>
      </c>
    </row>
    <row r="6480" spans="1:1" ht="12.75" customHeight="1">
      <c r="A6480" s="129">
        <v>6480</v>
      </c>
    </row>
    <row r="6481" spans="1:1" ht="12.75" customHeight="1">
      <c r="A6481" s="129">
        <v>6481</v>
      </c>
    </row>
    <row r="6482" spans="1:1" ht="12.75" customHeight="1">
      <c r="A6482" s="129">
        <v>6482</v>
      </c>
    </row>
    <row r="6483" spans="1:1" ht="12.75" customHeight="1">
      <c r="A6483" s="129">
        <v>6483</v>
      </c>
    </row>
    <row r="6484" spans="1:1" ht="12.75" customHeight="1">
      <c r="A6484" s="129">
        <v>6484</v>
      </c>
    </row>
    <row r="6485" spans="1:1" ht="12.75" customHeight="1">
      <c r="A6485" s="129">
        <v>6485</v>
      </c>
    </row>
    <row r="6486" spans="1:1" ht="12.75" customHeight="1">
      <c r="A6486" s="129">
        <v>6486</v>
      </c>
    </row>
    <row r="6487" spans="1:1" ht="12.75" customHeight="1">
      <c r="A6487" s="129">
        <v>6487</v>
      </c>
    </row>
    <row r="6488" spans="1:1" ht="12.75" customHeight="1">
      <c r="A6488" s="129">
        <v>6488</v>
      </c>
    </row>
    <row r="6489" spans="1:1" ht="12.75" customHeight="1">
      <c r="A6489" s="129">
        <v>6489</v>
      </c>
    </row>
    <row r="6490" spans="1:1" ht="12.75" customHeight="1">
      <c r="A6490" s="129">
        <v>6490</v>
      </c>
    </row>
    <row r="6491" spans="1:1" ht="12.75" customHeight="1">
      <c r="A6491" s="129">
        <v>6491</v>
      </c>
    </row>
    <row r="6492" spans="1:1" ht="12.75" customHeight="1">
      <c r="A6492" s="129">
        <v>6492</v>
      </c>
    </row>
    <row r="6493" spans="1:1" ht="12.75" customHeight="1">
      <c r="A6493" s="129">
        <v>6493</v>
      </c>
    </row>
    <row r="6494" spans="1:1" ht="12.75" customHeight="1">
      <c r="A6494" s="129">
        <v>6494</v>
      </c>
    </row>
    <row r="6495" spans="1:1" ht="12.75" customHeight="1">
      <c r="A6495" s="129">
        <v>6495</v>
      </c>
    </row>
    <row r="6496" spans="1:1" ht="12.75" customHeight="1">
      <c r="A6496" s="129">
        <v>6496</v>
      </c>
    </row>
    <row r="6497" spans="1:1" ht="12.75" customHeight="1">
      <c r="A6497" s="129">
        <v>6497</v>
      </c>
    </row>
    <row r="6498" spans="1:1" ht="12.75" customHeight="1">
      <c r="A6498" s="129">
        <v>6498</v>
      </c>
    </row>
    <row r="6499" spans="1:1" ht="12.75" customHeight="1">
      <c r="A6499" s="129">
        <v>6499</v>
      </c>
    </row>
    <row r="6500" spans="1:1" ht="12.75" customHeight="1">
      <c r="A6500" s="129">
        <v>6500</v>
      </c>
    </row>
    <row r="6501" spans="1:1" ht="12.75" customHeight="1">
      <c r="A6501" s="129">
        <v>6501</v>
      </c>
    </row>
    <row r="6502" spans="1:1" ht="12.75" customHeight="1">
      <c r="A6502" s="129">
        <v>6502</v>
      </c>
    </row>
    <row r="6503" spans="1:1" ht="12.75" customHeight="1">
      <c r="A6503" s="129">
        <v>6503</v>
      </c>
    </row>
    <row r="6504" spans="1:1" ht="12.75" customHeight="1">
      <c r="A6504" s="129">
        <v>6504</v>
      </c>
    </row>
    <row r="6505" spans="1:1" ht="12.75" customHeight="1">
      <c r="A6505" s="129">
        <v>6505</v>
      </c>
    </row>
    <row r="6506" spans="1:1" ht="12.75" customHeight="1">
      <c r="A6506" s="129">
        <v>6506</v>
      </c>
    </row>
    <row r="6507" spans="1:1" ht="12.75" customHeight="1">
      <c r="A6507" s="129">
        <v>6507</v>
      </c>
    </row>
    <row r="6508" spans="1:1" ht="12.75" customHeight="1">
      <c r="A6508" s="129">
        <v>6508</v>
      </c>
    </row>
    <row r="6509" spans="1:1" ht="12.75" customHeight="1">
      <c r="A6509" s="129">
        <v>6509</v>
      </c>
    </row>
    <row r="6510" spans="1:1" ht="12.75" customHeight="1">
      <c r="A6510" s="129">
        <v>6510</v>
      </c>
    </row>
    <row r="6511" spans="1:1" ht="12.75" customHeight="1">
      <c r="A6511" s="129">
        <v>6511</v>
      </c>
    </row>
    <row r="6512" spans="1:1" ht="12.75" customHeight="1">
      <c r="A6512" s="129">
        <v>6512</v>
      </c>
    </row>
    <row r="6513" spans="1:1" ht="12.75" customHeight="1">
      <c r="A6513" s="129">
        <v>6513</v>
      </c>
    </row>
    <row r="6514" spans="1:1" ht="12.75" customHeight="1">
      <c r="A6514" s="129">
        <v>6514</v>
      </c>
    </row>
    <row r="6515" spans="1:1" ht="12.75" customHeight="1">
      <c r="A6515" s="129">
        <v>6515</v>
      </c>
    </row>
    <row r="6516" spans="1:1" ht="12.75" customHeight="1">
      <c r="A6516" s="129">
        <v>6516</v>
      </c>
    </row>
    <row r="6517" spans="1:1" ht="12.75" customHeight="1">
      <c r="A6517" s="129">
        <v>6517</v>
      </c>
    </row>
    <row r="6518" spans="1:1" ht="12.75" customHeight="1">
      <c r="A6518" s="129">
        <v>6518</v>
      </c>
    </row>
    <row r="6519" spans="1:1" ht="12.75" customHeight="1">
      <c r="A6519" s="129">
        <v>6519</v>
      </c>
    </row>
    <row r="6520" spans="1:1" ht="12.75" customHeight="1">
      <c r="A6520" s="129">
        <v>6520</v>
      </c>
    </row>
    <row r="6521" spans="1:1" ht="12.75" customHeight="1">
      <c r="A6521" s="129">
        <v>6521</v>
      </c>
    </row>
    <row r="6522" spans="1:1" ht="12.75" customHeight="1">
      <c r="A6522" s="129">
        <v>6522</v>
      </c>
    </row>
    <row r="6523" spans="1:1" ht="12.75" customHeight="1">
      <c r="A6523" s="129">
        <v>6523</v>
      </c>
    </row>
    <row r="6524" spans="1:1" ht="12.75" customHeight="1">
      <c r="A6524" s="129">
        <v>6524</v>
      </c>
    </row>
    <row r="6525" spans="1:1" ht="12.75" customHeight="1">
      <c r="A6525" s="129">
        <v>6525</v>
      </c>
    </row>
    <row r="6526" spans="1:1" ht="12.75" customHeight="1">
      <c r="A6526" s="129">
        <v>6526</v>
      </c>
    </row>
    <row r="6527" spans="1:1" ht="12.75" customHeight="1">
      <c r="A6527" s="129">
        <v>6527</v>
      </c>
    </row>
    <row r="6528" spans="1:1" ht="12.75" customHeight="1">
      <c r="A6528" s="129">
        <v>6528</v>
      </c>
    </row>
    <row r="6529" spans="1:1" ht="12.75" customHeight="1">
      <c r="A6529" s="129">
        <v>6529</v>
      </c>
    </row>
    <row r="6530" spans="1:1" ht="12.75" customHeight="1">
      <c r="A6530" s="129">
        <v>6530</v>
      </c>
    </row>
    <row r="6531" spans="1:1" ht="12.75" customHeight="1">
      <c r="A6531" s="129">
        <v>6531</v>
      </c>
    </row>
    <row r="6532" spans="1:1" ht="12.75" customHeight="1">
      <c r="A6532" s="129">
        <v>6532</v>
      </c>
    </row>
    <row r="6533" spans="1:1" ht="12.75" customHeight="1">
      <c r="A6533" s="129">
        <v>6533</v>
      </c>
    </row>
    <row r="6534" spans="1:1" ht="12.75" customHeight="1">
      <c r="A6534" s="129">
        <v>6534</v>
      </c>
    </row>
    <row r="6535" spans="1:1" ht="12.75" customHeight="1">
      <c r="A6535" s="129">
        <v>6535</v>
      </c>
    </row>
    <row r="6536" spans="1:1" ht="12.75" customHeight="1">
      <c r="A6536" s="129">
        <v>6536</v>
      </c>
    </row>
    <row r="6537" spans="1:1" ht="12.75" customHeight="1">
      <c r="A6537" s="129">
        <v>6537</v>
      </c>
    </row>
    <row r="6538" spans="1:1" ht="12.75" customHeight="1">
      <c r="A6538" s="129">
        <v>6538</v>
      </c>
    </row>
    <row r="6539" spans="1:1" ht="12.75" customHeight="1">
      <c r="A6539" s="129">
        <v>6539</v>
      </c>
    </row>
    <row r="6540" spans="1:1" ht="12.75" customHeight="1">
      <c r="A6540" s="129">
        <v>6540</v>
      </c>
    </row>
    <row r="6541" spans="1:1" ht="12.75" customHeight="1">
      <c r="A6541" s="129">
        <v>6541</v>
      </c>
    </row>
    <row r="6542" spans="1:1" ht="12.75" customHeight="1">
      <c r="A6542" s="129">
        <v>6542</v>
      </c>
    </row>
    <row r="6543" spans="1:1" ht="12.75" customHeight="1">
      <c r="A6543" s="129">
        <v>6543</v>
      </c>
    </row>
    <row r="6544" spans="1:1" ht="12.75" customHeight="1">
      <c r="A6544" s="129">
        <v>6544</v>
      </c>
    </row>
    <row r="6545" spans="1:1" ht="12.75" customHeight="1">
      <c r="A6545" s="129">
        <v>6545</v>
      </c>
    </row>
    <row r="6546" spans="1:1" ht="12.75" customHeight="1">
      <c r="A6546" s="129">
        <v>6546</v>
      </c>
    </row>
    <row r="6547" spans="1:1" ht="12.75" customHeight="1">
      <c r="A6547" s="129">
        <v>6547</v>
      </c>
    </row>
    <row r="6548" spans="1:1" ht="12.75" customHeight="1">
      <c r="A6548" s="129">
        <v>6548</v>
      </c>
    </row>
    <row r="6549" spans="1:1" ht="12.75" customHeight="1">
      <c r="A6549" s="129">
        <v>6549</v>
      </c>
    </row>
    <row r="6550" spans="1:1" ht="12.75" customHeight="1">
      <c r="A6550" s="129">
        <v>6550</v>
      </c>
    </row>
    <row r="6551" spans="1:1" ht="12.75" customHeight="1">
      <c r="A6551" s="129">
        <v>6551</v>
      </c>
    </row>
    <row r="6552" spans="1:1" ht="12.75" customHeight="1">
      <c r="A6552" s="129">
        <v>6552</v>
      </c>
    </row>
    <row r="6553" spans="1:1" ht="12.75" customHeight="1">
      <c r="A6553" s="129">
        <v>6553</v>
      </c>
    </row>
    <row r="6554" spans="1:1" ht="12.75" customHeight="1">
      <c r="A6554" s="129">
        <v>6554</v>
      </c>
    </row>
    <row r="6555" spans="1:1" ht="12.75" customHeight="1">
      <c r="A6555" s="129">
        <v>6555</v>
      </c>
    </row>
    <row r="6556" spans="1:1" ht="12.75" customHeight="1">
      <c r="A6556" s="129">
        <v>6556</v>
      </c>
    </row>
    <row r="6557" spans="1:1" ht="12.75" customHeight="1">
      <c r="A6557" s="129">
        <v>6557</v>
      </c>
    </row>
    <row r="6558" spans="1:1" ht="12.75" customHeight="1">
      <c r="A6558" s="129">
        <v>6558</v>
      </c>
    </row>
    <row r="6559" spans="1:1" ht="12.75" customHeight="1">
      <c r="A6559" s="129">
        <v>6559</v>
      </c>
    </row>
    <row r="6560" spans="1:1" ht="12.75" customHeight="1">
      <c r="A6560" s="129">
        <v>6560</v>
      </c>
    </row>
    <row r="6561" spans="1:1" ht="12.75" customHeight="1">
      <c r="A6561" s="129">
        <v>6561</v>
      </c>
    </row>
    <row r="6562" spans="1:1" ht="12.75" customHeight="1">
      <c r="A6562" s="129">
        <v>6562</v>
      </c>
    </row>
    <row r="6563" spans="1:1" ht="12.75" customHeight="1">
      <c r="A6563" s="129">
        <v>6563</v>
      </c>
    </row>
    <row r="6564" spans="1:1" ht="12.75" customHeight="1">
      <c r="A6564" s="129">
        <v>6564</v>
      </c>
    </row>
    <row r="6565" spans="1:1" ht="12.75" customHeight="1">
      <c r="A6565" s="129">
        <v>6565</v>
      </c>
    </row>
    <row r="6566" spans="1:1" ht="12.75" customHeight="1">
      <c r="A6566" s="129">
        <v>6566</v>
      </c>
    </row>
    <row r="6567" spans="1:1" ht="12.75" customHeight="1">
      <c r="A6567" s="129">
        <v>6567</v>
      </c>
    </row>
    <row r="6568" spans="1:1" ht="12.75" customHeight="1">
      <c r="A6568" s="129">
        <v>6568</v>
      </c>
    </row>
    <row r="6569" spans="1:1" ht="12.75" customHeight="1">
      <c r="A6569" s="129">
        <v>6569</v>
      </c>
    </row>
    <row r="6570" spans="1:1" ht="12.75" customHeight="1">
      <c r="A6570" s="129">
        <v>6570</v>
      </c>
    </row>
    <row r="6571" spans="1:1" ht="12.75" customHeight="1">
      <c r="A6571" s="129">
        <v>6571</v>
      </c>
    </row>
    <row r="6572" spans="1:1" ht="12.75" customHeight="1">
      <c r="A6572" s="129">
        <v>6572</v>
      </c>
    </row>
    <row r="6573" spans="1:1" ht="12.75" customHeight="1">
      <c r="A6573" s="129">
        <v>6573</v>
      </c>
    </row>
    <row r="6574" spans="1:1" ht="12.75" customHeight="1">
      <c r="A6574" s="129">
        <v>6574</v>
      </c>
    </row>
    <row r="6575" spans="1:1" ht="12.75" customHeight="1">
      <c r="A6575" s="129">
        <v>6575</v>
      </c>
    </row>
    <row r="6576" spans="1:1" ht="12.75" customHeight="1">
      <c r="A6576" s="129">
        <v>6576</v>
      </c>
    </row>
    <row r="6577" spans="1:1" ht="12.75" customHeight="1">
      <c r="A6577" s="129">
        <v>6577</v>
      </c>
    </row>
    <row r="6578" spans="1:1" ht="12.75" customHeight="1">
      <c r="A6578" s="129">
        <v>6578</v>
      </c>
    </row>
    <row r="6579" spans="1:1" ht="12.75" customHeight="1">
      <c r="A6579" s="129">
        <v>6579</v>
      </c>
    </row>
    <row r="6580" spans="1:1" ht="12.75" customHeight="1">
      <c r="A6580" s="129">
        <v>6580</v>
      </c>
    </row>
    <row r="6581" spans="1:1" ht="12.75" customHeight="1">
      <c r="A6581" s="129">
        <v>6581</v>
      </c>
    </row>
    <row r="6582" spans="1:1" ht="12.75" customHeight="1">
      <c r="A6582" s="129">
        <v>6582</v>
      </c>
    </row>
    <row r="6583" spans="1:1" ht="12.75" customHeight="1">
      <c r="A6583" s="129">
        <v>6583</v>
      </c>
    </row>
    <row r="6584" spans="1:1" ht="12.75" customHeight="1">
      <c r="A6584" s="129">
        <v>6584</v>
      </c>
    </row>
    <row r="6585" spans="1:1" ht="12.75" customHeight="1">
      <c r="A6585" s="129">
        <v>6585</v>
      </c>
    </row>
    <row r="6586" spans="1:1" ht="12.75" customHeight="1">
      <c r="A6586" s="129">
        <v>6586</v>
      </c>
    </row>
    <row r="6587" spans="1:1" ht="12.75" customHeight="1">
      <c r="A6587" s="129">
        <v>6587</v>
      </c>
    </row>
    <row r="6588" spans="1:1" ht="12.75" customHeight="1">
      <c r="A6588" s="129">
        <v>6588</v>
      </c>
    </row>
    <row r="6589" spans="1:1" ht="12.75" customHeight="1">
      <c r="A6589" s="129">
        <v>6589</v>
      </c>
    </row>
    <row r="6590" spans="1:1" ht="12.75" customHeight="1">
      <c r="A6590" s="129">
        <v>6590</v>
      </c>
    </row>
    <row r="6591" spans="1:1" ht="12.75" customHeight="1">
      <c r="A6591" s="129">
        <v>6591</v>
      </c>
    </row>
    <row r="6592" spans="1:1" ht="12.75" customHeight="1">
      <c r="A6592" s="129">
        <v>6592</v>
      </c>
    </row>
    <row r="6593" spans="1:1" ht="12.75" customHeight="1">
      <c r="A6593" s="129">
        <v>6593</v>
      </c>
    </row>
    <row r="6594" spans="1:1" ht="12.75" customHeight="1">
      <c r="A6594" s="129">
        <v>6594</v>
      </c>
    </row>
    <row r="6595" spans="1:1" ht="12.75" customHeight="1">
      <c r="A6595" s="129">
        <v>6595</v>
      </c>
    </row>
    <row r="6596" spans="1:1" ht="12.75" customHeight="1">
      <c r="A6596" s="129">
        <v>6596</v>
      </c>
    </row>
    <row r="6597" spans="1:1" ht="12.75" customHeight="1">
      <c r="A6597" s="129">
        <v>6597</v>
      </c>
    </row>
    <row r="6598" spans="1:1" ht="12.75" customHeight="1">
      <c r="A6598" s="129">
        <v>6598</v>
      </c>
    </row>
    <row r="6599" spans="1:1" ht="12.75" customHeight="1">
      <c r="A6599" s="129">
        <v>6599</v>
      </c>
    </row>
    <row r="6600" spans="1:1" ht="12.75" customHeight="1">
      <c r="A6600" s="129">
        <v>6600</v>
      </c>
    </row>
    <row r="6601" spans="1:1" ht="12.75" customHeight="1">
      <c r="A6601" s="129">
        <v>6601</v>
      </c>
    </row>
    <row r="6602" spans="1:1" ht="12.75" customHeight="1">
      <c r="A6602" s="129">
        <v>6602</v>
      </c>
    </row>
    <row r="6603" spans="1:1" ht="12.75" customHeight="1">
      <c r="A6603" s="129">
        <v>6603</v>
      </c>
    </row>
    <row r="6604" spans="1:1" ht="12.75" customHeight="1">
      <c r="A6604" s="129">
        <v>6604</v>
      </c>
    </row>
    <row r="6605" spans="1:1" ht="12.75" customHeight="1">
      <c r="A6605" s="129">
        <v>6605</v>
      </c>
    </row>
    <row r="6606" spans="1:1" ht="12.75" customHeight="1">
      <c r="A6606" s="129">
        <v>6606</v>
      </c>
    </row>
    <row r="6607" spans="1:1" ht="12.75" customHeight="1">
      <c r="A6607" s="129">
        <v>6607</v>
      </c>
    </row>
    <row r="6608" spans="1:1" ht="12.75" customHeight="1">
      <c r="A6608" s="129">
        <v>6608</v>
      </c>
    </row>
    <row r="6609" spans="1:1" ht="12.75" customHeight="1">
      <c r="A6609" s="129">
        <v>6609</v>
      </c>
    </row>
    <row r="6610" spans="1:1" ht="12.75" customHeight="1">
      <c r="A6610" s="129">
        <v>6610</v>
      </c>
    </row>
    <row r="6611" spans="1:1" ht="12.75" customHeight="1">
      <c r="A6611" s="129">
        <v>6611</v>
      </c>
    </row>
    <row r="6612" spans="1:1" ht="12.75" customHeight="1">
      <c r="A6612" s="129">
        <v>6612</v>
      </c>
    </row>
    <row r="6613" spans="1:1" ht="12.75" customHeight="1">
      <c r="A6613" s="129">
        <v>6613</v>
      </c>
    </row>
    <row r="6614" spans="1:1" ht="12.75" customHeight="1">
      <c r="A6614" s="129">
        <v>6614</v>
      </c>
    </row>
    <row r="6615" spans="1:1" ht="12.75" customHeight="1">
      <c r="A6615" s="129">
        <v>6615</v>
      </c>
    </row>
    <row r="6616" spans="1:1" ht="12.75" customHeight="1">
      <c r="A6616" s="129">
        <v>6616</v>
      </c>
    </row>
    <row r="6617" spans="1:1" ht="12.75" customHeight="1">
      <c r="A6617" s="129">
        <v>6617</v>
      </c>
    </row>
    <row r="6618" spans="1:1" ht="12.75" customHeight="1">
      <c r="A6618" s="129">
        <v>6618</v>
      </c>
    </row>
    <row r="6619" spans="1:1" ht="12.75" customHeight="1">
      <c r="A6619" s="129">
        <v>6619</v>
      </c>
    </row>
    <row r="6620" spans="1:1" ht="12.75" customHeight="1">
      <c r="A6620" s="129">
        <v>6620</v>
      </c>
    </row>
    <row r="6621" spans="1:1" ht="12.75" customHeight="1">
      <c r="A6621" s="129">
        <v>6621</v>
      </c>
    </row>
    <row r="6622" spans="1:1" ht="12.75" customHeight="1">
      <c r="A6622" s="129">
        <v>6622</v>
      </c>
    </row>
    <row r="6623" spans="1:1" ht="12.75" customHeight="1">
      <c r="A6623" s="129">
        <v>6623</v>
      </c>
    </row>
    <row r="6624" spans="1:1" ht="12.75" customHeight="1">
      <c r="A6624" s="129">
        <v>6624</v>
      </c>
    </row>
    <row r="6625" spans="1:1" ht="12.75" customHeight="1">
      <c r="A6625" s="129">
        <v>6625</v>
      </c>
    </row>
    <row r="6626" spans="1:1" ht="12.75" customHeight="1">
      <c r="A6626" s="129">
        <v>6626</v>
      </c>
    </row>
    <row r="6627" spans="1:1" ht="12.75" customHeight="1">
      <c r="A6627" s="129">
        <v>6627</v>
      </c>
    </row>
    <row r="6628" spans="1:1" ht="12.75" customHeight="1">
      <c r="A6628" s="129">
        <v>6628</v>
      </c>
    </row>
    <row r="6629" spans="1:1" ht="12.75" customHeight="1">
      <c r="A6629" s="129">
        <v>6629</v>
      </c>
    </row>
    <row r="6630" spans="1:1" ht="12.75" customHeight="1">
      <c r="A6630" s="129">
        <v>6630</v>
      </c>
    </row>
    <row r="6631" spans="1:1" ht="12.75" customHeight="1">
      <c r="A6631" s="129">
        <v>6631</v>
      </c>
    </row>
    <row r="6632" spans="1:1" ht="12.75" customHeight="1">
      <c r="A6632" s="129">
        <v>6632</v>
      </c>
    </row>
    <row r="6633" spans="1:1" ht="12.75" customHeight="1">
      <c r="A6633" s="129">
        <v>6633</v>
      </c>
    </row>
    <row r="6634" spans="1:1" ht="12.75" customHeight="1">
      <c r="A6634" s="129">
        <v>6634</v>
      </c>
    </row>
    <row r="6635" spans="1:1" ht="12.75" customHeight="1">
      <c r="A6635" s="129">
        <v>6635</v>
      </c>
    </row>
    <row r="6636" spans="1:1" ht="12.75" customHeight="1">
      <c r="A6636" s="129">
        <v>6636</v>
      </c>
    </row>
    <row r="6637" spans="1:1" ht="12.75" customHeight="1">
      <c r="A6637" s="129">
        <v>6637</v>
      </c>
    </row>
    <row r="6638" spans="1:1" ht="12.75" customHeight="1">
      <c r="A6638" s="129">
        <v>6638</v>
      </c>
    </row>
    <row r="6639" spans="1:1" ht="12.75" customHeight="1">
      <c r="A6639" s="129">
        <v>6639</v>
      </c>
    </row>
    <row r="6640" spans="1:1" ht="12.75" customHeight="1">
      <c r="A6640" s="129">
        <v>6640</v>
      </c>
    </row>
    <row r="6641" spans="1:1" ht="12.75" customHeight="1">
      <c r="A6641" s="129">
        <v>6641</v>
      </c>
    </row>
    <row r="6642" spans="1:1" ht="12.75" customHeight="1">
      <c r="A6642" s="129">
        <v>6642</v>
      </c>
    </row>
    <row r="6643" spans="1:1" ht="12.75" customHeight="1">
      <c r="A6643" s="129">
        <v>6643</v>
      </c>
    </row>
    <row r="6644" spans="1:1" ht="12.75" customHeight="1">
      <c r="A6644" s="129">
        <v>6644</v>
      </c>
    </row>
    <row r="6645" spans="1:1" ht="12.75" customHeight="1">
      <c r="A6645" s="129">
        <v>6645</v>
      </c>
    </row>
    <row r="6646" spans="1:1" ht="12.75" customHeight="1">
      <c r="A6646" s="129">
        <v>6646</v>
      </c>
    </row>
    <row r="6647" spans="1:1" ht="12.75" customHeight="1">
      <c r="A6647" s="129">
        <v>6647</v>
      </c>
    </row>
    <row r="6648" spans="1:1" ht="12.75" customHeight="1">
      <c r="A6648" s="129">
        <v>6648</v>
      </c>
    </row>
    <row r="6649" spans="1:1" ht="12.75" customHeight="1">
      <c r="A6649" s="129">
        <v>6649</v>
      </c>
    </row>
    <row r="6650" spans="1:1" ht="12.75" customHeight="1">
      <c r="A6650" s="129">
        <v>6650</v>
      </c>
    </row>
    <row r="6651" spans="1:1" ht="12.75" customHeight="1">
      <c r="A6651" s="129">
        <v>6651</v>
      </c>
    </row>
    <row r="6652" spans="1:1" ht="12.75" customHeight="1">
      <c r="A6652" s="129">
        <v>6652</v>
      </c>
    </row>
    <row r="6653" spans="1:1" ht="12.75" customHeight="1">
      <c r="A6653" s="129">
        <v>6653</v>
      </c>
    </row>
    <row r="6654" spans="1:1" ht="12.75" customHeight="1">
      <c r="A6654" s="129">
        <v>6654</v>
      </c>
    </row>
    <row r="6655" spans="1:1" ht="12.75" customHeight="1">
      <c r="A6655" s="129">
        <v>6655</v>
      </c>
    </row>
    <row r="6656" spans="1:1" ht="12.75" customHeight="1">
      <c r="A6656" s="129">
        <v>6656</v>
      </c>
    </row>
    <row r="6657" spans="1:1" ht="12.75" customHeight="1">
      <c r="A6657" s="129">
        <v>6657</v>
      </c>
    </row>
    <row r="6658" spans="1:1" ht="12.75" customHeight="1">
      <c r="A6658" s="129">
        <v>6658</v>
      </c>
    </row>
    <row r="6659" spans="1:1" ht="12.75" customHeight="1">
      <c r="A6659" s="129">
        <v>6659</v>
      </c>
    </row>
    <row r="6660" spans="1:1" ht="12.75" customHeight="1">
      <c r="A6660" s="129">
        <v>6660</v>
      </c>
    </row>
    <row r="6661" spans="1:1" ht="12.75" customHeight="1">
      <c r="A6661" s="129">
        <v>6661</v>
      </c>
    </row>
    <row r="6662" spans="1:1" ht="12.75" customHeight="1">
      <c r="A6662" s="129">
        <v>6662</v>
      </c>
    </row>
    <row r="6663" spans="1:1" ht="12.75" customHeight="1">
      <c r="A6663" s="129">
        <v>6663</v>
      </c>
    </row>
    <row r="6664" spans="1:1" ht="12.75" customHeight="1">
      <c r="A6664" s="129">
        <v>6664</v>
      </c>
    </row>
    <row r="6665" spans="1:1" ht="12.75" customHeight="1">
      <c r="A6665" s="129">
        <v>6665</v>
      </c>
    </row>
    <row r="6666" spans="1:1" ht="12.75" customHeight="1">
      <c r="A6666" s="129">
        <v>6666</v>
      </c>
    </row>
    <row r="6667" spans="1:1" ht="12.75" customHeight="1">
      <c r="A6667" s="129">
        <v>6667</v>
      </c>
    </row>
    <row r="6668" spans="1:1" ht="12.75" customHeight="1">
      <c r="A6668" s="129">
        <v>6668</v>
      </c>
    </row>
    <row r="6669" spans="1:1" ht="12.75" customHeight="1">
      <c r="A6669" s="129">
        <v>6669</v>
      </c>
    </row>
    <row r="6670" spans="1:1" ht="12.75" customHeight="1">
      <c r="A6670" s="129">
        <v>6670</v>
      </c>
    </row>
    <row r="6671" spans="1:1" ht="12.75" customHeight="1">
      <c r="A6671" s="129">
        <v>6671</v>
      </c>
    </row>
    <row r="6672" spans="1:1" ht="12.75" customHeight="1">
      <c r="A6672" s="129">
        <v>6672</v>
      </c>
    </row>
    <row r="6673" spans="1:1" ht="12.75" customHeight="1">
      <c r="A6673" s="129">
        <v>6673</v>
      </c>
    </row>
    <row r="6674" spans="1:1" ht="12.75" customHeight="1">
      <c r="A6674" s="129">
        <v>6674</v>
      </c>
    </row>
    <row r="6675" spans="1:1" ht="12.75" customHeight="1">
      <c r="A6675" s="129">
        <v>6675</v>
      </c>
    </row>
    <row r="6676" spans="1:1" ht="12.75" customHeight="1">
      <c r="A6676" s="129">
        <v>6676</v>
      </c>
    </row>
    <row r="6677" spans="1:1" ht="12.75" customHeight="1">
      <c r="A6677" s="129">
        <v>6677</v>
      </c>
    </row>
    <row r="6678" spans="1:1" ht="12.75" customHeight="1">
      <c r="A6678" s="129">
        <v>6678</v>
      </c>
    </row>
    <row r="6679" spans="1:1" ht="12.75" customHeight="1">
      <c r="A6679" s="129">
        <v>6679</v>
      </c>
    </row>
    <row r="6680" spans="1:1" ht="12.75" customHeight="1">
      <c r="A6680" s="129">
        <v>6680</v>
      </c>
    </row>
    <row r="6681" spans="1:1" ht="12.75" customHeight="1">
      <c r="A6681" s="129">
        <v>6681</v>
      </c>
    </row>
    <row r="6682" spans="1:1" ht="12.75" customHeight="1">
      <c r="A6682" s="129">
        <v>6682</v>
      </c>
    </row>
    <row r="6683" spans="1:1" ht="12.75" customHeight="1">
      <c r="A6683" s="129">
        <v>6683</v>
      </c>
    </row>
    <row r="6684" spans="1:1" ht="12.75" customHeight="1">
      <c r="A6684" s="129">
        <v>6684</v>
      </c>
    </row>
    <row r="6685" spans="1:1" ht="12.75" customHeight="1">
      <c r="A6685" s="129">
        <v>6685</v>
      </c>
    </row>
    <row r="6686" spans="1:1" ht="12.75" customHeight="1">
      <c r="A6686" s="129">
        <v>6686</v>
      </c>
    </row>
    <row r="6687" spans="1:1" ht="12.75" customHeight="1">
      <c r="A6687" s="129">
        <v>6687</v>
      </c>
    </row>
    <row r="6688" spans="1:1" ht="12.75" customHeight="1">
      <c r="A6688" s="129">
        <v>6688</v>
      </c>
    </row>
    <row r="6689" spans="1:1" ht="12.75" customHeight="1">
      <c r="A6689" s="129">
        <v>6689</v>
      </c>
    </row>
    <row r="6690" spans="1:1" ht="12.75" customHeight="1">
      <c r="A6690" s="129">
        <v>6690</v>
      </c>
    </row>
    <row r="6691" spans="1:1" ht="12.75" customHeight="1">
      <c r="A6691" s="129">
        <v>6691</v>
      </c>
    </row>
    <row r="6692" spans="1:1" ht="12.75" customHeight="1">
      <c r="A6692" s="129">
        <v>6692</v>
      </c>
    </row>
    <row r="6693" spans="1:1" ht="12.75" customHeight="1">
      <c r="A6693" s="129">
        <v>6693</v>
      </c>
    </row>
    <row r="6694" spans="1:1" ht="12.75" customHeight="1">
      <c r="A6694" s="129">
        <v>6694</v>
      </c>
    </row>
    <row r="6695" spans="1:1" ht="12.75" customHeight="1">
      <c r="A6695" s="129">
        <v>6695</v>
      </c>
    </row>
    <row r="6696" spans="1:1" ht="12.75" customHeight="1">
      <c r="A6696" s="129">
        <v>6696</v>
      </c>
    </row>
    <row r="6697" spans="1:1" ht="12.75" customHeight="1">
      <c r="A6697" s="129">
        <v>6697</v>
      </c>
    </row>
    <row r="6698" spans="1:1" ht="12.75" customHeight="1">
      <c r="A6698" s="129">
        <v>6698</v>
      </c>
    </row>
    <row r="6699" spans="1:1" ht="12.75" customHeight="1">
      <c r="A6699" s="129">
        <v>6699</v>
      </c>
    </row>
    <row r="6700" spans="1:1" ht="12.75" customHeight="1">
      <c r="A6700" s="129">
        <v>6700</v>
      </c>
    </row>
    <row r="6701" spans="1:1" ht="12.75" customHeight="1">
      <c r="A6701" s="129">
        <v>6701</v>
      </c>
    </row>
    <row r="6702" spans="1:1" ht="12.75" customHeight="1">
      <c r="A6702" s="129">
        <v>6702</v>
      </c>
    </row>
    <row r="6703" spans="1:1" ht="12.75" customHeight="1">
      <c r="A6703" s="129">
        <v>6703</v>
      </c>
    </row>
    <row r="6704" spans="1:1" ht="12.75" customHeight="1">
      <c r="A6704" s="129">
        <v>6704</v>
      </c>
    </row>
    <row r="6705" spans="1:1" ht="12.75" customHeight="1">
      <c r="A6705" s="129">
        <v>6705</v>
      </c>
    </row>
    <row r="6706" spans="1:1" ht="12.75" customHeight="1">
      <c r="A6706" s="129">
        <v>6706</v>
      </c>
    </row>
    <row r="6707" spans="1:1" ht="12.75" customHeight="1">
      <c r="A6707" s="129">
        <v>6707</v>
      </c>
    </row>
    <row r="6708" spans="1:1" ht="12.75" customHeight="1">
      <c r="A6708" s="129">
        <v>6708</v>
      </c>
    </row>
    <row r="6709" spans="1:1" ht="12.75" customHeight="1">
      <c r="A6709" s="129">
        <v>6709</v>
      </c>
    </row>
    <row r="6710" spans="1:1" ht="12.75" customHeight="1">
      <c r="A6710" s="129">
        <v>6710</v>
      </c>
    </row>
    <row r="6711" spans="1:1" ht="12.75" customHeight="1">
      <c r="A6711" s="129">
        <v>6711</v>
      </c>
    </row>
    <row r="6712" spans="1:1" ht="12.75" customHeight="1">
      <c r="A6712" s="129">
        <v>6712</v>
      </c>
    </row>
    <row r="6713" spans="1:1" ht="12.75" customHeight="1">
      <c r="A6713" s="129">
        <v>6713</v>
      </c>
    </row>
    <row r="6714" spans="1:1" ht="12.75" customHeight="1">
      <c r="A6714" s="129">
        <v>6714</v>
      </c>
    </row>
    <row r="6715" spans="1:1" ht="12.75" customHeight="1">
      <c r="A6715" s="129">
        <v>6715</v>
      </c>
    </row>
    <row r="6716" spans="1:1" ht="12.75" customHeight="1">
      <c r="A6716" s="129">
        <v>6716</v>
      </c>
    </row>
    <row r="6717" spans="1:1" ht="12.75" customHeight="1">
      <c r="A6717" s="129">
        <v>6717</v>
      </c>
    </row>
    <row r="6718" spans="1:1" ht="12.75" customHeight="1">
      <c r="A6718" s="129">
        <v>6718</v>
      </c>
    </row>
    <row r="6719" spans="1:1" ht="12.75" customHeight="1">
      <c r="A6719" s="129">
        <v>6719</v>
      </c>
    </row>
    <row r="6720" spans="1:1" ht="12.75" customHeight="1">
      <c r="A6720" s="129">
        <v>6720</v>
      </c>
    </row>
    <row r="6721" spans="1:1" ht="12.75" customHeight="1">
      <c r="A6721" s="129">
        <v>6721</v>
      </c>
    </row>
    <row r="6722" spans="1:1" ht="12.75" customHeight="1">
      <c r="A6722" s="129">
        <v>6722</v>
      </c>
    </row>
    <row r="6723" spans="1:1" ht="12.75" customHeight="1">
      <c r="A6723" s="129">
        <v>6723</v>
      </c>
    </row>
    <row r="6724" spans="1:1" ht="12.75" customHeight="1">
      <c r="A6724" s="129">
        <v>6724</v>
      </c>
    </row>
    <row r="6725" spans="1:1" ht="12.75" customHeight="1">
      <c r="A6725" s="129">
        <v>6725</v>
      </c>
    </row>
    <row r="6726" spans="1:1" ht="12.75" customHeight="1">
      <c r="A6726" s="129">
        <v>6726</v>
      </c>
    </row>
    <row r="6727" spans="1:1" ht="12.75" customHeight="1">
      <c r="A6727" s="129">
        <v>6727</v>
      </c>
    </row>
    <row r="6728" spans="1:1" ht="12.75" customHeight="1">
      <c r="A6728" s="129">
        <v>6728</v>
      </c>
    </row>
    <row r="6729" spans="1:1" ht="12.75" customHeight="1">
      <c r="A6729" s="129">
        <v>6729</v>
      </c>
    </row>
    <row r="6730" spans="1:1" ht="12.75" customHeight="1">
      <c r="A6730" s="129">
        <v>6730</v>
      </c>
    </row>
    <row r="6731" spans="1:1" ht="12.75" customHeight="1">
      <c r="A6731" s="129">
        <v>6731</v>
      </c>
    </row>
    <row r="6732" spans="1:1" ht="12.75" customHeight="1">
      <c r="A6732" s="129">
        <v>6732</v>
      </c>
    </row>
    <row r="6733" spans="1:1" ht="12.75" customHeight="1">
      <c r="A6733" s="129">
        <v>6733</v>
      </c>
    </row>
    <row r="6734" spans="1:1" ht="12.75" customHeight="1">
      <c r="A6734" s="129">
        <v>6734</v>
      </c>
    </row>
    <row r="6735" spans="1:1" ht="12.75" customHeight="1">
      <c r="A6735" s="129">
        <v>6735</v>
      </c>
    </row>
    <row r="6736" spans="1:1" ht="12.75" customHeight="1">
      <c r="A6736" s="129">
        <v>6736</v>
      </c>
    </row>
    <row r="6737" spans="1:1" ht="12.75" customHeight="1">
      <c r="A6737" s="129">
        <v>6737</v>
      </c>
    </row>
    <row r="6738" spans="1:1" ht="12.75" customHeight="1">
      <c r="A6738" s="129">
        <v>6738</v>
      </c>
    </row>
    <row r="6739" spans="1:1" ht="12.75" customHeight="1">
      <c r="A6739" s="129">
        <v>6739</v>
      </c>
    </row>
    <row r="6740" spans="1:1" ht="12.75" customHeight="1">
      <c r="A6740" s="129">
        <v>6740</v>
      </c>
    </row>
    <row r="6741" spans="1:1" ht="12.75" customHeight="1">
      <c r="A6741" s="129">
        <v>6741</v>
      </c>
    </row>
    <row r="6742" spans="1:1" ht="12.75" customHeight="1">
      <c r="A6742" s="129">
        <v>6742</v>
      </c>
    </row>
    <row r="6743" spans="1:1" ht="12.75" customHeight="1">
      <c r="A6743" s="129">
        <v>6743</v>
      </c>
    </row>
    <row r="6744" spans="1:1" ht="12.75" customHeight="1">
      <c r="A6744" s="129">
        <v>6744</v>
      </c>
    </row>
    <row r="6745" spans="1:1" ht="12.75" customHeight="1">
      <c r="A6745" s="129">
        <v>6745</v>
      </c>
    </row>
    <row r="6746" spans="1:1" ht="12.75" customHeight="1">
      <c r="A6746" s="129">
        <v>6746</v>
      </c>
    </row>
    <row r="6747" spans="1:1" ht="12.75" customHeight="1">
      <c r="A6747" s="129">
        <v>6747</v>
      </c>
    </row>
    <row r="6748" spans="1:1" ht="12.75" customHeight="1">
      <c r="A6748" s="129">
        <v>6748</v>
      </c>
    </row>
    <row r="6749" spans="1:1" ht="12.75" customHeight="1">
      <c r="A6749" s="129">
        <v>6749</v>
      </c>
    </row>
    <row r="6750" spans="1:1" ht="12.75" customHeight="1">
      <c r="A6750" s="129">
        <v>6750</v>
      </c>
    </row>
    <row r="6751" spans="1:1" ht="12.75" customHeight="1">
      <c r="A6751" s="129">
        <v>6751</v>
      </c>
    </row>
    <row r="6752" spans="1:1" ht="12.75" customHeight="1">
      <c r="A6752" s="129">
        <v>6752</v>
      </c>
    </row>
    <row r="6753" spans="1:1" ht="12.75" customHeight="1">
      <c r="A6753" s="129">
        <v>6753</v>
      </c>
    </row>
    <row r="6754" spans="1:1" ht="12.75" customHeight="1">
      <c r="A6754" s="129">
        <v>6754</v>
      </c>
    </row>
    <row r="6755" spans="1:1" ht="12.75" customHeight="1">
      <c r="A6755" s="129">
        <v>6755</v>
      </c>
    </row>
    <row r="6756" spans="1:1" ht="12.75" customHeight="1">
      <c r="A6756" s="129">
        <v>6756</v>
      </c>
    </row>
    <row r="6757" spans="1:1" ht="12.75" customHeight="1">
      <c r="A6757" s="129">
        <v>6757</v>
      </c>
    </row>
    <row r="6758" spans="1:1" ht="12.75" customHeight="1">
      <c r="A6758" s="129">
        <v>6758</v>
      </c>
    </row>
    <row r="6759" spans="1:1" ht="12.75" customHeight="1">
      <c r="A6759" s="129">
        <v>6759</v>
      </c>
    </row>
    <row r="6760" spans="1:1" ht="12.75" customHeight="1">
      <c r="A6760" s="129">
        <v>6760</v>
      </c>
    </row>
    <row r="6761" spans="1:1" ht="12.75" customHeight="1">
      <c r="A6761" s="129">
        <v>6761</v>
      </c>
    </row>
    <row r="6762" spans="1:1" ht="12.75" customHeight="1">
      <c r="A6762" s="129">
        <v>6762</v>
      </c>
    </row>
    <row r="6763" spans="1:1" ht="12.75" customHeight="1">
      <c r="A6763" s="129">
        <v>6763</v>
      </c>
    </row>
    <row r="6764" spans="1:1" ht="12.75" customHeight="1">
      <c r="A6764" s="129">
        <v>6764</v>
      </c>
    </row>
    <row r="6765" spans="1:1" ht="12.75" customHeight="1">
      <c r="A6765" s="129">
        <v>6765</v>
      </c>
    </row>
    <row r="6766" spans="1:1" ht="12.75" customHeight="1">
      <c r="A6766" s="129">
        <v>6766</v>
      </c>
    </row>
    <row r="6767" spans="1:1" ht="12.75" customHeight="1">
      <c r="A6767" s="129">
        <v>6767</v>
      </c>
    </row>
    <row r="6768" spans="1:1" ht="12.75" customHeight="1">
      <c r="A6768" s="129">
        <v>6768</v>
      </c>
    </row>
    <row r="6769" spans="1:1" ht="12.75" customHeight="1">
      <c r="A6769" s="129">
        <v>6769</v>
      </c>
    </row>
    <row r="6770" spans="1:1" ht="12.75" customHeight="1">
      <c r="A6770" s="129">
        <v>6770</v>
      </c>
    </row>
    <row r="6771" spans="1:1" ht="12.75" customHeight="1">
      <c r="A6771" s="129">
        <v>6771</v>
      </c>
    </row>
    <row r="6772" spans="1:1" ht="12.75" customHeight="1">
      <c r="A6772" s="129">
        <v>6772</v>
      </c>
    </row>
    <row r="6773" spans="1:1" ht="12.75" customHeight="1">
      <c r="A6773" s="129">
        <v>6773</v>
      </c>
    </row>
    <row r="6774" spans="1:1" ht="12.75" customHeight="1">
      <c r="A6774" s="129">
        <v>6774</v>
      </c>
    </row>
    <row r="6775" spans="1:1" ht="12.75" customHeight="1">
      <c r="A6775" s="129">
        <v>6775</v>
      </c>
    </row>
    <row r="6776" spans="1:1" ht="12.75" customHeight="1">
      <c r="A6776" s="129">
        <v>6776</v>
      </c>
    </row>
    <row r="6777" spans="1:1" ht="12.75" customHeight="1">
      <c r="A6777" s="129">
        <v>6777</v>
      </c>
    </row>
    <row r="6778" spans="1:1" ht="12.75" customHeight="1">
      <c r="A6778" s="129">
        <v>6778</v>
      </c>
    </row>
    <row r="6779" spans="1:1" ht="12.75" customHeight="1">
      <c r="A6779" s="129">
        <v>6779</v>
      </c>
    </row>
    <row r="6780" spans="1:1" ht="12.75" customHeight="1">
      <c r="A6780" s="129">
        <v>6780</v>
      </c>
    </row>
    <row r="6781" spans="1:1" ht="12.75" customHeight="1">
      <c r="A6781" s="129">
        <v>6781</v>
      </c>
    </row>
    <row r="6782" spans="1:1" ht="12.75" customHeight="1">
      <c r="A6782" s="129">
        <v>6782</v>
      </c>
    </row>
    <row r="6783" spans="1:1" ht="12.75" customHeight="1">
      <c r="A6783" s="129">
        <v>6783</v>
      </c>
    </row>
    <row r="6784" spans="1:1" ht="12.75" customHeight="1">
      <c r="A6784" s="129">
        <v>6784</v>
      </c>
    </row>
    <row r="6785" spans="1:1" ht="12.75" customHeight="1">
      <c r="A6785" s="129">
        <v>6785</v>
      </c>
    </row>
    <row r="6786" spans="1:1" ht="12.75" customHeight="1">
      <c r="A6786" s="129">
        <v>6786</v>
      </c>
    </row>
    <row r="6787" spans="1:1" ht="12.75" customHeight="1">
      <c r="A6787" s="129">
        <v>6787</v>
      </c>
    </row>
    <row r="6788" spans="1:1" ht="12.75" customHeight="1">
      <c r="A6788" s="129">
        <v>6788</v>
      </c>
    </row>
    <row r="6789" spans="1:1" ht="12.75" customHeight="1">
      <c r="A6789" s="129">
        <v>6789</v>
      </c>
    </row>
    <row r="6790" spans="1:1" ht="12.75" customHeight="1">
      <c r="A6790" s="129">
        <v>6790</v>
      </c>
    </row>
    <row r="6791" spans="1:1" ht="12.75" customHeight="1">
      <c r="A6791" s="129">
        <v>6791</v>
      </c>
    </row>
    <row r="6792" spans="1:1" ht="12.75" customHeight="1">
      <c r="A6792" s="129">
        <v>6792</v>
      </c>
    </row>
    <row r="6793" spans="1:1" ht="12.75" customHeight="1">
      <c r="A6793" s="129">
        <v>6793</v>
      </c>
    </row>
    <row r="6794" spans="1:1" ht="12.75" customHeight="1">
      <c r="A6794" s="129">
        <v>6794</v>
      </c>
    </row>
    <row r="6795" spans="1:1" ht="12.75" customHeight="1">
      <c r="A6795" s="129">
        <v>6795</v>
      </c>
    </row>
    <row r="6796" spans="1:1" ht="12.75" customHeight="1">
      <c r="A6796" s="129">
        <v>6796</v>
      </c>
    </row>
    <row r="6797" spans="1:1" ht="12.75" customHeight="1">
      <c r="A6797" s="129">
        <v>6797</v>
      </c>
    </row>
    <row r="6798" spans="1:1" ht="12.75" customHeight="1">
      <c r="A6798" s="129">
        <v>6798</v>
      </c>
    </row>
    <row r="6799" spans="1:1" ht="12.75" customHeight="1">
      <c r="A6799" s="129">
        <v>6799</v>
      </c>
    </row>
    <row r="6800" spans="1:1" ht="12.75" customHeight="1">
      <c r="A6800" s="129">
        <v>6800</v>
      </c>
    </row>
    <row r="6801" spans="1:1" ht="12.75" customHeight="1">
      <c r="A6801" s="129">
        <v>6801</v>
      </c>
    </row>
    <row r="6802" spans="1:1" ht="12.75" customHeight="1">
      <c r="A6802" s="129">
        <v>6802</v>
      </c>
    </row>
    <row r="6803" spans="1:1" ht="12.75" customHeight="1">
      <c r="A6803" s="129">
        <v>6803</v>
      </c>
    </row>
    <row r="6804" spans="1:1" ht="12.75" customHeight="1">
      <c r="A6804" s="129">
        <v>6804</v>
      </c>
    </row>
    <row r="6805" spans="1:1" ht="12.75" customHeight="1">
      <c r="A6805" s="129">
        <v>6805</v>
      </c>
    </row>
    <row r="6806" spans="1:1" ht="12.75" customHeight="1">
      <c r="A6806" s="129">
        <v>6806</v>
      </c>
    </row>
    <row r="6807" spans="1:1" ht="12.75" customHeight="1">
      <c r="A6807" s="129">
        <v>6807</v>
      </c>
    </row>
    <row r="6808" spans="1:1" ht="12.75" customHeight="1">
      <c r="A6808" s="129">
        <v>6808</v>
      </c>
    </row>
    <row r="6809" spans="1:1" ht="12.75" customHeight="1">
      <c r="A6809" s="129">
        <v>6809</v>
      </c>
    </row>
    <row r="6810" spans="1:1" ht="12.75" customHeight="1">
      <c r="A6810" s="129">
        <v>6810</v>
      </c>
    </row>
    <row r="6811" spans="1:1" ht="12.75" customHeight="1">
      <c r="A6811" s="129">
        <v>6811</v>
      </c>
    </row>
    <row r="6812" spans="1:1" ht="12.75" customHeight="1">
      <c r="A6812" s="129">
        <v>6812</v>
      </c>
    </row>
    <row r="6813" spans="1:1" ht="12.75" customHeight="1">
      <c r="A6813" s="129">
        <v>6813</v>
      </c>
    </row>
    <row r="6814" spans="1:1" ht="12.75" customHeight="1">
      <c r="A6814" s="129">
        <v>6814</v>
      </c>
    </row>
    <row r="6815" spans="1:1" ht="12.75" customHeight="1">
      <c r="A6815" s="129">
        <v>6815</v>
      </c>
    </row>
    <row r="6816" spans="1:1" ht="12.75" customHeight="1">
      <c r="A6816" s="129">
        <v>6816</v>
      </c>
    </row>
    <row r="6817" spans="1:1" ht="12.75" customHeight="1">
      <c r="A6817" s="129">
        <v>6817</v>
      </c>
    </row>
    <row r="6818" spans="1:1" ht="12.75" customHeight="1">
      <c r="A6818" s="129">
        <v>6818</v>
      </c>
    </row>
    <row r="6819" spans="1:1" ht="12.75" customHeight="1">
      <c r="A6819" s="129">
        <v>6819</v>
      </c>
    </row>
    <row r="6820" spans="1:1" ht="12.75" customHeight="1">
      <c r="A6820" s="129">
        <v>6820</v>
      </c>
    </row>
    <row r="6821" spans="1:1" ht="12.75" customHeight="1">
      <c r="A6821" s="129">
        <v>6821</v>
      </c>
    </row>
    <row r="6822" spans="1:1" ht="12.75" customHeight="1">
      <c r="A6822" s="129">
        <v>6822</v>
      </c>
    </row>
    <row r="6823" spans="1:1" ht="12.75" customHeight="1">
      <c r="A6823" s="129">
        <v>6823</v>
      </c>
    </row>
    <row r="6824" spans="1:1" ht="12.75" customHeight="1">
      <c r="A6824" s="129">
        <v>6824</v>
      </c>
    </row>
    <row r="6825" spans="1:1" ht="12.75" customHeight="1">
      <c r="A6825" s="129">
        <v>6825</v>
      </c>
    </row>
    <row r="6826" spans="1:1" ht="12.75" customHeight="1">
      <c r="A6826" s="129">
        <v>6826</v>
      </c>
    </row>
    <row r="6827" spans="1:1" ht="12.75" customHeight="1">
      <c r="A6827" s="129">
        <v>6827</v>
      </c>
    </row>
    <row r="6828" spans="1:1" ht="12.75" customHeight="1">
      <c r="A6828" s="129">
        <v>6828</v>
      </c>
    </row>
    <row r="6829" spans="1:1" ht="12.75" customHeight="1">
      <c r="A6829" s="129">
        <v>6829</v>
      </c>
    </row>
    <row r="6830" spans="1:1" ht="12.75" customHeight="1">
      <c r="A6830" s="129">
        <v>6830</v>
      </c>
    </row>
    <row r="6831" spans="1:1" ht="12.75" customHeight="1">
      <c r="A6831" s="129">
        <v>6831</v>
      </c>
    </row>
    <row r="6832" spans="1:1" ht="12.75" customHeight="1">
      <c r="A6832" s="129">
        <v>6832</v>
      </c>
    </row>
    <row r="6833" spans="1:1" ht="12.75" customHeight="1">
      <c r="A6833" s="129">
        <v>6833</v>
      </c>
    </row>
    <row r="6834" spans="1:1" ht="12.75" customHeight="1">
      <c r="A6834" s="129">
        <v>6834</v>
      </c>
    </row>
    <row r="6835" spans="1:1" ht="12.75" customHeight="1">
      <c r="A6835" s="129">
        <v>6835</v>
      </c>
    </row>
    <row r="6836" spans="1:1" ht="12.75" customHeight="1">
      <c r="A6836" s="129">
        <v>6836</v>
      </c>
    </row>
    <row r="6837" spans="1:1" ht="12.75" customHeight="1">
      <c r="A6837" s="129">
        <v>6837</v>
      </c>
    </row>
    <row r="6838" spans="1:1" ht="12.75" customHeight="1">
      <c r="A6838" s="129">
        <v>6838</v>
      </c>
    </row>
    <row r="6839" spans="1:1" ht="12.75" customHeight="1">
      <c r="A6839" s="129">
        <v>6839</v>
      </c>
    </row>
    <row r="6840" spans="1:1" ht="12.75" customHeight="1">
      <c r="A6840" s="129">
        <v>6840</v>
      </c>
    </row>
    <row r="6841" spans="1:1" ht="12.75" customHeight="1">
      <c r="A6841" s="129">
        <v>6841</v>
      </c>
    </row>
    <row r="6842" spans="1:1" ht="12.75" customHeight="1">
      <c r="A6842" s="129">
        <v>6842</v>
      </c>
    </row>
    <row r="6843" spans="1:1" ht="12.75" customHeight="1">
      <c r="A6843" s="129">
        <v>6843</v>
      </c>
    </row>
    <row r="6844" spans="1:1" ht="12.75" customHeight="1">
      <c r="A6844" s="129">
        <v>6844</v>
      </c>
    </row>
    <row r="6845" spans="1:1" ht="12.75" customHeight="1">
      <c r="A6845" s="129">
        <v>6845</v>
      </c>
    </row>
    <row r="6846" spans="1:1" ht="12.75" customHeight="1">
      <c r="A6846" s="129">
        <v>6846</v>
      </c>
    </row>
    <row r="6847" spans="1:1" ht="12.75" customHeight="1">
      <c r="A6847" s="129">
        <v>6847</v>
      </c>
    </row>
    <row r="6848" spans="1:1" ht="12.75" customHeight="1">
      <c r="A6848" s="129">
        <v>6848</v>
      </c>
    </row>
    <row r="6849" spans="1:1" ht="12.75" customHeight="1">
      <c r="A6849" s="129">
        <v>6849</v>
      </c>
    </row>
    <row r="6850" spans="1:1" ht="12.75" customHeight="1">
      <c r="A6850" s="129">
        <v>6850</v>
      </c>
    </row>
    <row r="6851" spans="1:1" ht="12.75" customHeight="1">
      <c r="A6851" s="129">
        <v>6851</v>
      </c>
    </row>
    <row r="6852" spans="1:1" ht="12.75" customHeight="1">
      <c r="A6852" s="129">
        <v>6852</v>
      </c>
    </row>
    <row r="6853" spans="1:1" ht="12.75" customHeight="1">
      <c r="A6853" s="129">
        <v>6853</v>
      </c>
    </row>
    <row r="6854" spans="1:1" ht="12.75" customHeight="1">
      <c r="A6854" s="129">
        <v>6854</v>
      </c>
    </row>
    <row r="6855" spans="1:1" ht="12.75" customHeight="1">
      <c r="A6855" s="129">
        <v>6855</v>
      </c>
    </row>
    <row r="6856" spans="1:1" ht="12.75" customHeight="1">
      <c r="A6856" s="129">
        <v>6856</v>
      </c>
    </row>
    <row r="6857" spans="1:1" ht="12.75" customHeight="1">
      <c r="A6857" s="129">
        <v>6857</v>
      </c>
    </row>
    <row r="6858" spans="1:1" ht="12.75" customHeight="1">
      <c r="A6858" s="129">
        <v>6858</v>
      </c>
    </row>
    <row r="6859" spans="1:1" ht="12.75" customHeight="1">
      <c r="A6859" s="129">
        <v>6859</v>
      </c>
    </row>
    <row r="6860" spans="1:1" ht="12.75" customHeight="1">
      <c r="A6860" s="129">
        <v>6860</v>
      </c>
    </row>
    <row r="6861" spans="1:1" ht="12.75" customHeight="1">
      <c r="A6861" s="129">
        <v>6861</v>
      </c>
    </row>
    <row r="6862" spans="1:1" ht="12.75" customHeight="1">
      <c r="A6862" s="129">
        <v>6862</v>
      </c>
    </row>
    <row r="6863" spans="1:1" ht="12.75" customHeight="1">
      <c r="A6863" s="129">
        <v>6863</v>
      </c>
    </row>
    <row r="6864" spans="1:1" ht="12.75" customHeight="1">
      <c r="A6864" s="129">
        <v>6864</v>
      </c>
    </row>
    <row r="6865" spans="1:1" ht="12.75" customHeight="1">
      <c r="A6865" s="129">
        <v>6865</v>
      </c>
    </row>
    <row r="6866" spans="1:1" ht="12.75" customHeight="1">
      <c r="A6866" s="129">
        <v>6866</v>
      </c>
    </row>
    <row r="6867" spans="1:1" ht="12.75" customHeight="1">
      <c r="A6867" s="129">
        <v>6867</v>
      </c>
    </row>
    <row r="6868" spans="1:1" ht="12.75" customHeight="1">
      <c r="A6868" s="129">
        <v>6868</v>
      </c>
    </row>
    <row r="6869" spans="1:1" ht="12.75" customHeight="1">
      <c r="A6869" s="129">
        <v>6869</v>
      </c>
    </row>
    <row r="6870" spans="1:1" ht="12.75" customHeight="1">
      <c r="A6870" s="129">
        <v>6870</v>
      </c>
    </row>
    <row r="6871" spans="1:1" ht="12.75" customHeight="1">
      <c r="A6871" s="129">
        <v>6871</v>
      </c>
    </row>
    <row r="6872" spans="1:1" ht="12.75" customHeight="1">
      <c r="A6872" s="129">
        <v>6872</v>
      </c>
    </row>
    <row r="6873" spans="1:1" ht="12.75" customHeight="1">
      <c r="A6873" s="129">
        <v>6873</v>
      </c>
    </row>
    <row r="6874" spans="1:1" ht="12.75" customHeight="1">
      <c r="A6874" s="129">
        <v>6874</v>
      </c>
    </row>
    <row r="6875" spans="1:1" ht="12.75" customHeight="1">
      <c r="A6875" s="129">
        <v>6875</v>
      </c>
    </row>
    <row r="6876" spans="1:1" ht="12.75" customHeight="1">
      <c r="A6876" s="129">
        <v>6876</v>
      </c>
    </row>
    <row r="6877" spans="1:1" ht="12.75" customHeight="1">
      <c r="A6877" s="129">
        <v>6877</v>
      </c>
    </row>
    <row r="6878" spans="1:1" ht="12.75" customHeight="1">
      <c r="A6878" s="129">
        <v>6878</v>
      </c>
    </row>
    <row r="6879" spans="1:1" ht="12.75" customHeight="1">
      <c r="A6879" s="129">
        <v>6879</v>
      </c>
    </row>
    <row r="6880" spans="1:1" ht="12.75" customHeight="1">
      <c r="A6880" s="129">
        <v>6880</v>
      </c>
    </row>
    <row r="6881" spans="1:1" ht="12.75" customHeight="1">
      <c r="A6881" s="129">
        <v>6881</v>
      </c>
    </row>
    <row r="6882" spans="1:1" ht="12.75" customHeight="1">
      <c r="A6882" s="129">
        <v>6882</v>
      </c>
    </row>
    <row r="6883" spans="1:1" ht="12.75" customHeight="1">
      <c r="A6883" s="129">
        <v>6883</v>
      </c>
    </row>
    <row r="6884" spans="1:1" ht="12.75" customHeight="1">
      <c r="A6884" s="129">
        <v>6884</v>
      </c>
    </row>
    <row r="6885" spans="1:1" ht="12.75" customHeight="1">
      <c r="A6885" s="129">
        <v>6885</v>
      </c>
    </row>
    <row r="6886" spans="1:1" ht="12.75" customHeight="1">
      <c r="A6886" s="129">
        <v>6886</v>
      </c>
    </row>
    <row r="6887" spans="1:1" ht="12.75" customHeight="1">
      <c r="A6887" s="129">
        <v>6887</v>
      </c>
    </row>
    <row r="6888" spans="1:1" ht="12.75" customHeight="1">
      <c r="A6888" s="129">
        <v>6888</v>
      </c>
    </row>
    <row r="6889" spans="1:1" ht="12.75" customHeight="1">
      <c r="A6889" s="129">
        <v>6889</v>
      </c>
    </row>
    <row r="6890" spans="1:1" ht="12.75" customHeight="1">
      <c r="A6890" s="129">
        <v>6890</v>
      </c>
    </row>
    <row r="6891" spans="1:1" ht="12.75" customHeight="1">
      <c r="A6891" s="129">
        <v>6891</v>
      </c>
    </row>
    <row r="6892" spans="1:1" ht="12.75" customHeight="1">
      <c r="A6892" s="129">
        <v>6892</v>
      </c>
    </row>
    <row r="6893" spans="1:1" ht="12.75" customHeight="1">
      <c r="A6893" s="129">
        <v>6893</v>
      </c>
    </row>
    <row r="6894" spans="1:1" ht="12.75" customHeight="1">
      <c r="A6894" s="129">
        <v>6894</v>
      </c>
    </row>
    <row r="6895" spans="1:1" ht="12.75" customHeight="1">
      <c r="A6895" s="129">
        <v>6895</v>
      </c>
    </row>
    <row r="6896" spans="1:1" ht="12.75" customHeight="1">
      <c r="A6896" s="129">
        <v>6896</v>
      </c>
    </row>
    <row r="6897" spans="1:1" ht="12.75" customHeight="1">
      <c r="A6897" s="129">
        <v>6897</v>
      </c>
    </row>
    <row r="6898" spans="1:1" ht="12.75" customHeight="1">
      <c r="A6898" s="129">
        <v>6898</v>
      </c>
    </row>
    <row r="6899" spans="1:1" ht="12.75" customHeight="1">
      <c r="A6899" s="129">
        <v>6899</v>
      </c>
    </row>
    <row r="6900" spans="1:1" ht="12.75" customHeight="1">
      <c r="A6900" s="129">
        <v>6900</v>
      </c>
    </row>
    <row r="6901" spans="1:1" ht="12.75" customHeight="1">
      <c r="A6901" s="129">
        <v>6901</v>
      </c>
    </row>
    <row r="6902" spans="1:1" ht="12.75" customHeight="1">
      <c r="A6902" s="129">
        <v>6902</v>
      </c>
    </row>
    <row r="6903" spans="1:1" ht="12.75" customHeight="1">
      <c r="A6903" s="129">
        <v>6903</v>
      </c>
    </row>
    <row r="6904" spans="1:1" ht="12.75" customHeight="1">
      <c r="A6904" s="129">
        <v>6904</v>
      </c>
    </row>
    <row r="6905" spans="1:1" ht="12.75" customHeight="1">
      <c r="A6905" s="129">
        <v>6905</v>
      </c>
    </row>
    <row r="6906" spans="1:1" ht="12.75" customHeight="1">
      <c r="A6906" s="129">
        <v>6906</v>
      </c>
    </row>
    <row r="6907" spans="1:1" ht="12.75" customHeight="1">
      <c r="A6907" s="129">
        <v>6907</v>
      </c>
    </row>
    <row r="6908" spans="1:1" ht="12.75" customHeight="1">
      <c r="A6908" s="129">
        <v>6908</v>
      </c>
    </row>
    <row r="6909" spans="1:1" ht="12.75" customHeight="1">
      <c r="A6909" s="129">
        <v>6909</v>
      </c>
    </row>
    <row r="6910" spans="1:1" ht="12.75" customHeight="1">
      <c r="A6910" s="129">
        <v>6910</v>
      </c>
    </row>
    <row r="6911" spans="1:1" ht="12.75" customHeight="1">
      <c r="A6911" s="129">
        <v>6911</v>
      </c>
    </row>
    <row r="6912" spans="1:1" ht="12.75" customHeight="1">
      <c r="A6912" s="129">
        <v>6912</v>
      </c>
    </row>
    <row r="6913" spans="1:1" ht="12.75" customHeight="1">
      <c r="A6913" s="129">
        <v>6913</v>
      </c>
    </row>
    <row r="6914" spans="1:1" ht="12.75" customHeight="1">
      <c r="A6914" s="129">
        <v>6914</v>
      </c>
    </row>
    <row r="6915" spans="1:1" ht="12.75" customHeight="1">
      <c r="A6915" s="129">
        <v>6915</v>
      </c>
    </row>
    <row r="6916" spans="1:1" ht="12.75" customHeight="1">
      <c r="A6916" s="129">
        <v>6916</v>
      </c>
    </row>
    <row r="6917" spans="1:1" ht="12.75" customHeight="1">
      <c r="A6917" s="129">
        <v>6917</v>
      </c>
    </row>
    <row r="6918" spans="1:1" ht="12.75" customHeight="1">
      <c r="A6918" s="129">
        <v>6918</v>
      </c>
    </row>
    <row r="6919" spans="1:1" ht="12.75" customHeight="1">
      <c r="A6919" s="129">
        <v>6919</v>
      </c>
    </row>
    <row r="6920" spans="1:1" ht="12.75" customHeight="1">
      <c r="A6920" s="129">
        <v>6920</v>
      </c>
    </row>
    <row r="6921" spans="1:1" ht="12.75" customHeight="1">
      <c r="A6921" s="129">
        <v>6921</v>
      </c>
    </row>
    <row r="6922" spans="1:1" ht="12.75" customHeight="1">
      <c r="A6922" s="129">
        <v>6922</v>
      </c>
    </row>
    <row r="6923" spans="1:1" ht="12.75" customHeight="1">
      <c r="A6923" s="129">
        <v>6923</v>
      </c>
    </row>
    <row r="6924" spans="1:1" ht="12.75" customHeight="1">
      <c r="A6924" s="129">
        <v>6924</v>
      </c>
    </row>
    <row r="6925" spans="1:1" ht="12.75" customHeight="1">
      <c r="A6925" s="129">
        <v>6925</v>
      </c>
    </row>
    <row r="6926" spans="1:1" ht="12.75" customHeight="1">
      <c r="A6926" s="129">
        <v>6926</v>
      </c>
    </row>
    <row r="6927" spans="1:1" ht="12.75" customHeight="1">
      <c r="A6927" s="129">
        <v>6927</v>
      </c>
    </row>
    <row r="6928" spans="1:1" ht="12.75" customHeight="1">
      <c r="A6928" s="129">
        <v>6928</v>
      </c>
    </row>
    <row r="6929" spans="1:1" ht="12.75" customHeight="1">
      <c r="A6929" s="129">
        <v>6929</v>
      </c>
    </row>
    <row r="6930" spans="1:1" ht="12.75" customHeight="1">
      <c r="A6930" s="129">
        <v>6930</v>
      </c>
    </row>
    <row r="6931" spans="1:1" ht="12.75" customHeight="1">
      <c r="A6931" s="129">
        <v>6931</v>
      </c>
    </row>
    <row r="6932" spans="1:1" ht="12.75" customHeight="1">
      <c r="A6932" s="129">
        <v>6932</v>
      </c>
    </row>
    <row r="6933" spans="1:1" ht="12.75" customHeight="1">
      <c r="A6933" s="129">
        <v>6933</v>
      </c>
    </row>
    <row r="6934" spans="1:1" ht="12.75" customHeight="1">
      <c r="A6934" s="129">
        <v>6934</v>
      </c>
    </row>
    <row r="6935" spans="1:1" ht="12.75" customHeight="1">
      <c r="A6935" s="129">
        <v>6935</v>
      </c>
    </row>
    <row r="6936" spans="1:1" ht="12.75" customHeight="1">
      <c r="A6936" s="129">
        <v>6936</v>
      </c>
    </row>
    <row r="6937" spans="1:1" ht="12.75" customHeight="1">
      <c r="A6937" s="129">
        <v>6937</v>
      </c>
    </row>
    <row r="6938" spans="1:1" ht="12.75" customHeight="1">
      <c r="A6938" s="129">
        <v>6938</v>
      </c>
    </row>
    <row r="6939" spans="1:1" ht="12.75" customHeight="1">
      <c r="A6939" s="129">
        <v>6939</v>
      </c>
    </row>
    <row r="6940" spans="1:1" ht="12.75" customHeight="1">
      <c r="A6940" s="129">
        <v>6940</v>
      </c>
    </row>
    <row r="6941" spans="1:1" ht="12.75" customHeight="1">
      <c r="A6941" s="129">
        <v>6941</v>
      </c>
    </row>
    <row r="6942" spans="1:1" ht="12.75" customHeight="1">
      <c r="A6942" s="129">
        <v>6942</v>
      </c>
    </row>
    <row r="6943" spans="1:1" ht="12.75" customHeight="1">
      <c r="A6943" s="129">
        <v>6943</v>
      </c>
    </row>
    <row r="6944" spans="1:1" ht="12.75" customHeight="1">
      <c r="A6944" s="129">
        <v>6944</v>
      </c>
    </row>
    <row r="6945" spans="1:1" ht="12.75" customHeight="1">
      <c r="A6945" s="129">
        <v>6945</v>
      </c>
    </row>
    <row r="6946" spans="1:1" ht="12.75" customHeight="1">
      <c r="A6946" s="129">
        <v>6946</v>
      </c>
    </row>
    <row r="6947" spans="1:1" ht="12.75" customHeight="1">
      <c r="A6947" s="129">
        <v>6947</v>
      </c>
    </row>
    <row r="6948" spans="1:1" ht="12.75" customHeight="1">
      <c r="A6948" s="129">
        <v>6948</v>
      </c>
    </row>
    <row r="6949" spans="1:1" ht="12.75" customHeight="1">
      <c r="A6949" s="129">
        <v>6949</v>
      </c>
    </row>
    <row r="6950" spans="1:1" ht="12.75" customHeight="1">
      <c r="A6950" s="129">
        <v>6950</v>
      </c>
    </row>
    <row r="6951" spans="1:1" ht="12.75" customHeight="1">
      <c r="A6951" s="129">
        <v>6951</v>
      </c>
    </row>
    <row r="6952" spans="1:1" ht="12.75" customHeight="1">
      <c r="A6952" s="129">
        <v>6952</v>
      </c>
    </row>
    <row r="6953" spans="1:1" ht="12.75" customHeight="1">
      <c r="A6953" s="129">
        <v>6953</v>
      </c>
    </row>
    <row r="6954" spans="1:1" ht="12.75" customHeight="1">
      <c r="A6954" s="129">
        <v>6954</v>
      </c>
    </row>
    <row r="6955" spans="1:1" ht="12.75" customHeight="1">
      <c r="A6955" s="129">
        <v>6955</v>
      </c>
    </row>
    <row r="6956" spans="1:1" ht="12.75" customHeight="1">
      <c r="A6956" s="129">
        <v>6956</v>
      </c>
    </row>
    <row r="6957" spans="1:1" ht="12.75" customHeight="1">
      <c r="A6957" s="129">
        <v>6957</v>
      </c>
    </row>
    <row r="6958" spans="1:1" ht="12.75" customHeight="1">
      <c r="A6958" s="129">
        <v>6958</v>
      </c>
    </row>
    <row r="6959" spans="1:1" ht="12.75" customHeight="1">
      <c r="A6959" s="129">
        <v>6959</v>
      </c>
    </row>
    <row r="6960" spans="1:1" ht="12.75" customHeight="1">
      <c r="A6960" s="129">
        <v>6960</v>
      </c>
    </row>
    <row r="6961" spans="1:1" ht="12.75" customHeight="1">
      <c r="A6961" s="129">
        <v>6961</v>
      </c>
    </row>
    <row r="6962" spans="1:1" ht="12.75" customHeight="1">
      <c r="A6962" s="129">
        <v>6962</v>
      </c>
    </row>
    <row r="6963" spans="1:1" ht="12.75" customHeight="1">
      <c r="A6963" s="129">
        <v>6963</v>
      </c>
    </row>
    <row r="6964" spans="1:1" ht="12.75" customHeight="1">
      <c r="A6964" s="129">
        <v>6964</v>
      </c>
    </row>
    <row r="6965" spans="1:1" ht="12.75" customHeight="1">
      <c r="A6965" s="129">
        <v>6965</v>
      </c>
    </row>
    <row r="6966" spans="1:1" ht="12.75" customHeight="1">
      <c r="A6966" s="129">
        <v>6966</v>
      </c>
    </row>
    <row r="6967" spans="1:1" ht="12.75" customHeight="1">
      <c r="A6967" s="129">
        <v>6967</v>
      </c>
    </row>
    <row r="6968" spans="1:1" ht="12.75" customHeight="1">
      <c r="A6968" s="129">
        <v>6968</v>
      </c>
    </row>
    <row r="6969" spans="1:1" ht="12.75" customHeight="1">
      <c r="A6969" s="129">
        <v>6969</v>
      </c>
    </row>
    <row r="6970" spans="1:1" ht="12.75" customHeight="1">
      <c r="A6970" s="129">
        <v>6970</v>
      </c>
    </row>
    <row r="6971" spans="1:1" ht="12.75" customHeight="1">
      <c r="A6971" s="129">
        <v>6971</v>
      </c>
    </row>
    <row r="6972" spans="1:1" ht="12.75" customHeight="1">
      <c r="A6972" s="129">
        <v>6972</v>
      </c>
    </row>
    <row r="6973" spans="1:1" ht="12.75" customHeight="1">
      <c r="A6973" s="129">
        <v>6973</v>
      </c>
    </row>
    <row r="6974" spans="1:1" ht="12.75" customHeight="1">
      <c r="A6974" s="129">
        <v>6974</v>
      </c>
    </row>
    <row r="6975" spans="1:1" ht="12.75" customHeight="1">
      <c r="A6975" s="129">
        <v>6975</v>
      </c>
    </row>
    <row r="6976" spans="1:1" ht="12.75" customHeight="1">
      <c r="A6976" s="129">
        <v>6976</v>
      </c>
    </row>
    <row r="6977" spans="1:1" ht="12.75" customHeight="1">
      <c r="A6977" s="129">
        <v>6977</v>
      </c>
    </row>
    <row r="6978" spans="1:1" ht="12.75" customHeight="1">
      <c r="A6978" s="129">
        <v>6978</v>
      </c>
    </row>
    <row r="6979" spans="1:1" ht="12.75" customHeight="1">
      <c r="A6979" s="129">
        <v>6979</v>
      </c>
    </row>
    <row r="6980" spans="1:1" ht="12.75" customHeight="1">
      <c r="A6980" s="129">
        <v>6980</v>
      </c>
    </row>
    <row r="6981" spans="1:1" ht="12.75" customHeight="1">
      <c r="A6981" s="129">
        <v>6981</v>
      </c>
    </row>
    <row r="6982" spans="1:1" ht="12.75" customHeight="1">
      <c r="A6982" s="129">
        <v>6982</v>
      </c>
    </row>
    <row r="6983" spans="1:1" ht="12.75" customHeight="1">
      <c r="A6983" s="129">
        <v>6983</v>
      </c>
    </row>
    <row r="6984" spans="1:1" ht="12.75" customHeight="1">
      <c r="A6984" s="129">
        <v>6984</v>
      </c>
    </row>
    <row r="6985" spans="1:1" ht="12.75" customHeight="1">
      <c r="A6985" s="129">
        <v>6985</v>
      </c>
    </row>
    <row r="6986" spans="1:1" ht="12.75" customHeight="1">
      <c r="A6986" s="129">
        <v>6986</v>
      </c>
    </row>
    <row r="6987" spans="1:1" ht="12.75" customHeight="1">
      <c r="A6987" s="129">
        <v>6987</v>
      </c>
    </row>
    <row r="6988" spans="1:1" ht="12.75" customHeight="1">
      <c r="A6988" s="129">
        <v>6988</v>
      </c>
    </row>
    <row r="6989" spans="1:1" ht="12.75" customHeight="1">
      <c r="A6989" s="129">
        <v>6989</v>
      </c>
    </row>
    <row r="6990" spans="1:1" ht="12.75" customHeight="1">
      <c r="A6990" s="129">
        <v>6990</v>
      </c>
    </row>
    <row r="6991" spans="1:1" ht="12.75" customHeight="1">
      <c r="A6991" s="129">
        <v>6991</v>
      </c>
    </row>
    <row r="6992" spans="1:1" ht="12.75" customHeight="1">
      <c r="A6992" s="129">
        <v>6992</v>
      </c>
    </row>
    <row r="6993" spans="1:1" ht="12.75" customHeight="1">
      <c r="A6993" s="129">
        <v>6993</v>
      </c>
    </row>
    <row r="6994" spans="1:1" ht="12.75" customHeight="1">
      <c r="A6994" s="129">
        <v>6994</v>
      </c>
    </row>
    <row r="6995" spans="1:1" ht="12.75" customHeight="1">
      <c r="A6995" s="129">
        <v>6995</v>
      </c>
    </row>
    <row r="6996" spans="1:1" ht="12.75" customHeight="1">
      <c r="A6996" s="129">
        <v>6996</v>
      </c>
    </row>
    <row r="6997" spans="1:1" ht="12.75" customHeight="1">
      <c r="A6997" s="129">
        <v>6997</v>
      </c>
    </row>
    <row r="6998" spans="1:1" ht="12.75" customHeight="1">
      <c r="A6998" s="129">
        <v>6998</v>
      </c>
    </row>
    <row r="6999" spans="1:1" ht="12.75" customHeight="1">
      <c r="A6999" s="129">
        <v>6999</v>
      </c>
    </row>
    <row r="7000" spans="1:1" ht="12.75" customHeight="1">
      <c r="A7000" s="129">
        <v>7000</v>
      </c>
    </row>
    <row r="7001" spans="1:1" ht="12.75" customHeight="1">
      <c r="A7001" s="129">
        <v>7001</v>
      </c>
    </row>
    <row r="7002" spans="1:1" ht="12.75" customHeight="1">
      <c r="A7002" s="129">
        <v>7002</v>
      </c>
    </row>
    <row r="7003" spans="1:1" ht="12.75" customHeight="1">
      <c r="A7003" s="129">
        <v>7003</v>
      </c>
    </row>
    <row r="7004" spans="1:1" ht="12.75" customHeight="1">
      <c r="A7004" s="129">
        <v>7004</v>
      </c>
    </row>
    <row r="7005" spans="1:1" ht="12.75" customHeight="1">
      <c r="A7005" s="129">
        <v>7005</v>
      </c>
    </row>
    <row r="7006" spans="1:1" ht="12.75" customHeight="1">
      <c r="A7006" s="129">
        <v>7006</v>
      </c>
    </row>
    <row r="7007" spans="1:1" ht="12.75" customHeight="1">
      <c r="A7007" s="129">
        <v>7007</v>
      </c>
    </row>
    <row r="7008" spans="1:1" ht="12.75" customHeight="1">
      <c r="A7008" s="129">
        <v>7008</v>
      </c>
    </row>
    <row r="7009" spans="1:1" ht="12.75" customHeight="1">
      <c r="A7009" s="129">
        <v>7009</v>
      </c>
    </row>
    <row r="7010" spans="1:1" ht="12.75" customHeight="1">
      <c r="A7010" s="129">
        <v>7010</v>
      </c>
    </row>
    <row r="7011" spans="1:1" ht="12.75" customHeight="1">
      <c r="A7011" s="129">
        <v>7011</v>
      </c>
    </row>
    <row r="7012" spans="1:1" ht="12.75" customHeight="1">
      <c r="A7012" s="129">
        <v>7012</v>
      </c>
    </row>
    <row r="7013" spans="1:1" ht="12.75" customHeight="1">
      <c r="A7013" s="129">
        <v>7013</v>
      </c>
    </row>
    <row r="7014" spans="1:1" ht="12.75" customHeight="1">
      <c r="A7014" s="129">
        <v>7014</v>
      </c>
    </row>
    <row r="7015" spans="1:1" ht="12.75" customHeight="1">
      <c r="A7015" s="129">
        <v>7015</v>
      </c>
    </row>
    <row r="7016" spans="1:1" ht="12.75" customHeight="1">
      <c r="A7016" s="129">
        <v>7016</v>
      </c>
    </row>
    <row r="7017" spans="1:1" ht="12.75" customHeight="1">
      <c r="A7017" s="129">
        <v>7017</v>
      </c>
    </row>
    <row r="7018" spans="1:1" ht="12.75" customHeight="1">
      <c r="A7018" s="129">
        <v>7018</v>
      </c>
    </row>
    <row r="7019" spans="1:1" ht="12.75" customHeight="1">
      <c r="A7019" s="129">
        <v>7019</v>
      </c>
    </row>
    <row r="7020" spans="1:1" ht="12.75" customHeight="1">
      <c r="A7020" s="129">
        <v>7020</v>
      </c>
    </row>
    <row r="7021" spans="1:1" ht="12.75" customHeight="1">
      <c r="A7021" s="129">
        <v>7021</v>
      </c>
    </row>
    <row r="7022" spans="1:1" ht="12.75" customHeight="1">
      <c r="A7022" s="129">
        <v>7022</v>
      </c>
    </row>
    <row r="7023" spans="1:1" ht="12.75" customHeight="1">
      <c r="A7023" s="129">
        <v>7023</v>
      </c>
    </row>
    <row r="7024" spans="1:1" ht="12.75" customHeight="1">
      <c r="A7024" s="129">
        <v>7024</v>
      </c>
    </row>
    <row r="7025" spans="1:1" ht="12.75" customHeight="1">
      <c r="A7025" s="129">
        <v>7025</v>
      </c>
    </row>
    <row r="7026" spans="1:1" ht="12.75" customHeight="1">
      <c r="A7026" s="129">
        <v>7026</v>
      </c>
    </row>
    <row r="7027" spans="1:1" ht="12.75" customHeight="1">
      <c r="A7027" s="129">
        <v>7027</v>
      </c>
    </row>
    <row r="7028" spans="1:1" ht="12.75" customHeight="1">
      <c r="A7028" s="129">
        <v>7028</v>
      </c>
    </row>
    <row r="7029" spans="1:1" ht="12.75" customHeight="1">
      <c r="A7029" s="129">
        <v>7029</v>
      </c>
    </row>
    <row r="7030" spans="1:1" ht="12.75" customHeight="1">
      <c r="A7030" s="129">
        <v>7030</v>
      </c>
    </row>
    <row r="7031" spans="1:1" ht="12.75" customHeight="1">
      <c r="A7031" s="129">
        <v>7031</v>
      </c>
    </row>
    <row r="7032" spans="1:1" ht="12.75" customHeight="1">
      <c r="A7032" s="129">
        <v>7032</v>
      </c>
    </row>
    <row r="7033" spans="1:1" ht="12.75" customHeight="1">
      <c r="A7033" s="129">
        <v>7033</v>
      </c>
    </row>
    <row r="7034" spans="1:1" ht="12.75" customHeight="1">
      <c r="A7034" s="129">
        <v>7034</v>
      </c>
    </row>
    <row r="7035" spans="1:1" ht="12.75" customHeight="1">
      <c r="A7035" s="129">
        <v>7035</v>
      </c>
    </row>
    <row r="7036" spans="1:1" ht="12.75" customHeight="1">
      <c r="A7036" s="129">
        <v>7036</v>
      </c>
    </row>
    <row r="7037" spans="1:1" ht="12.75" customHeight="1">
      <c r="A7037" s="129">
        <v>7037</v>
      </c>
    </row>
    <row r="7038" spans="1:1" ht="12.75" customHeight="1">
      <c r="A7038" s="129">
        <v>7038</v>
      </c>
    </row>
    <row r="7039" spans="1:1" ht="12.75" customHeight="1">
      <c r="A7039" s="129">
        <v>7039</v>
      </c>
    </row>
    <row r="7040" spans="1:1" ht="12.75" customHeight="1">
      <c r="A7040" s="129">
        <v>7040</v>
      </c>
    </row>
    <row r="7041" spans="1:1" ht="12.75" customHeight="1">
      <c r="A7041" s="129">
        <v>7041</v>
      </c>
    </row>
    <row r="7042" spans="1:1" ht="12.75" customHeight="1">
      <c r="A7042" s="129">
        <v>7042</v>
      </c>
    </row>
    <row r="7043" spans="1:1" ht="12.75" customHeight="1">
      <c r="A7043" s="129">
        <v>7043</v>
      </c>
    </row>
    <row r="7044" spans="1:1" ht="12.75" customHeight="1">
      <c r="A7044" s="129">
        <v>7044</v>
      </c>
    </row>
    <row r="7045" spans="1:1" ht="12.75" customHeight="1">
      <c r="A7045" s="129">
        <v>7045</v>
      </c>
    </row>
    <row r="7046" spans="1:1" ht="12.75" customHeight="1">
      <c r="A7046" s="129">
        <v>7046</v>
      </c>
    </row>
    <row r="7047" spans="1:1" ht="12.75" customHeight="1">
      <c r="A7047" s="129">
        <v>7047</v>
      </c>
    </row>
    <row r="7048" spans="1:1" ht="12.75" customHeight="1">
      <c r="A7048" s="129">
        <v>7048</v>
      </c>
    </row>
    <row r="7049" spans="1:1" ht="12.75" customHeight="1">
      <c r="A7049" s="129">
        <v>7049</v>
      </c>
    </row>
    <row r="7050" spans="1:1" ht="12.75" customHeight="1">
      <c r="A7050" s="129">
        <v>7050</v>
      </c>
    </row>
    <row r="7051" spans="1:1" ht="12.75" customHeight="1">
      <c r="A7051" s="129">
        <v>7051</v>
      </c>
    </row>
    <row r="7052" spans="1:1" ht="12.75" customHeight="1">
      <c r="A7052" s="129">
        <v>7052</v>
      </c>
    </row>
    <row r="7053" spans="1:1" ht="12.75" customHeight="1">
      <c r="A7053" s="129">
        <v>7053</v>
      </c>
    </row>
    <row r="7054" spans="1:1" ht="12.75" customHeight="1">
      <c r="A7054" s="129">
        <v>7054</v>
      </c>
    </row>
    <row r="7055" spans="1:1" ht="12.75" customHeight="1">
      <c r="A7055" s="129">
        <v>7055</v>
      </c>
    </row>
    <row r="7056" spans="1:1" ht="12.75" customHeight="1">
      <c r="A7056" s="129">
        <v>7056</v>
      </c>
    </row>
    <row r="7057" spans="1:1" ht="12.75" customHeight="1">
      <c r="A7057" s="129">
        <v>7057</v>
      </c>
    </row>
    <row r="7058" spans="1:1" ht="12.75" customHeight="1">
      <c r="A7058" s="129">
        <v>7058</v>
      </c>
    </row>
    <row r="7059" spans="1:1" ht="12.75" customHeight="1">
      <c r="A7059" s="129">
        <v>7059</v>
      </c>
    </row>
    <row r="7060" spans="1:1" ht="12.75" customHeight="1">
      <c r="A7060" s="129">
        <v>7060</v>
      </c>
    </row>
    <row r="7061" spans="1:1" ht="12.75" customHeight="1">
      <c r="A7061" s="129">
        <v>7061</v>
      </c>
    </row>
    <row r="7062" spans="1:1" ht="12.75" customHeight="1">
      <c r="A7062" s="129">
        <v>7062</v>
      </c>
    </row>
    <row r="7063" spans="1:1" ht="12.75" customHeight="1">
      <c r="A7063" s="129">
        <v>7063</v>
      </c>
    </row>
    <row r="7064" spans="1:1" ht="12.75" customHeight="1">
      <c r="A7064" s="129">
        <v>7064</v>
      </c>
    </row>
    <row r="7065" spans="1:1" ht="12.75" customHeight="1">
      <c r="A7065" s="129">
        <v>7065</v>
      </c>
    </row>
    <row r="7066" spans="1:1" ht="12.75" customHeight="1">
      <c r="A7066" s="129">
        <v>7066</v>
      </c>
    </row>
    <row r="7067" spans="1:1" ht="12.75" customHeight="1">
      <c r="A7067" s="129">
        <v>7067</v>
      </c>
    </row>
    <row r="7068" spans="1:1" ht="12.75" customHeight="1">
      <c r="A7068" s="129">
        <v>7068</v>
      </c>
    </row>
    <row r="7069" spans="1:1" ht="12.75" customHeight="1">
      <c r="A7069" s="129">
        <v>7069</v>
      </c>
    </row>
    <row r="7070" spans="1:1" ht="12.75" customHeight="1">
      <c r="A7070" s="129">
        <v>7070</v>
      </c>
    </row>
    <row r="7071" spans="1:1" ht="12.75" customHeight="1">
      <c r="A7071" s="129">
        <v>7071</v>
      </c>
    </row>
    <row r="7072" spans="1:1" ht="12.75" customHeight="1">
      <c r="A7072" s="129">
        <v>7072</v>
      </c>
    </row>
    <row r="7073" spans="1:1" ht="12.75" customHeight="1">
      <c r="A7073" s="129">
        <v>7073</v>
      </c>
    </row>
    <row r="7074" spans="1:1" ht="12.75" customHeight="1">
      <c r="A7074" s="129">
        <v>7074</v>
      </c>
    </row>
    <row r="7075" spans="1:1" ht="12.75" customHeight="1">
      <c r="A7075" s="129">
        <v>7075</v>
      </c>
    </row>
    <row r="7076" spans="1:1" ht="12.75" customHeight="1">
      <c r="A7076" s="129">
        <v>7076</v>
      </c>
    </row>
    <row r="7077" spans="1:1" ht="12.75" customHeight="1">
      <c r="A7077" s="129">
        <v>7077</v>
      </c>
    </row>
    <row r="7078" spans="1:1" ht="12.75" customHeight="1">
      <c r="A7078" s="129">
        <v>7078</v>
      </c>
    </row>
    <row r="7079" spans="1:1" ht="12.75" customHeight="1">
      <c r="A7079" s="129">
        <v>7079</v>
      </c>
    </row>
    <row r="7080" spans="1:1" ht="12.75" customHeight="1">
      <c r="A7080" s="129">
        <v>7080</v>
      </c>
    </row>
    <row r="7081" spans="1:1" ht="12.75" customHeight="1">
      <c r="A7081" s="129">
        <v>7081</v>
      </c>
    </row>
    <row r="7082" spans="1:1" ht="12.75" customHeight="1">
      <c r="A7082" s="129">
        <v>7082</v>
      </c>
    </row>
    <row r="7083" spans="1:1" ht="12.75" customHeight="1">
      <c r="A7083" s="129">
        <v>7083</v>
      </c>
    </row>
    <row r="7084" spans="1:1" ht="12.75" customHeight="1">
      <c r="A7084" s="129">
        <v>7084</v>
      </c>
    </row>
    <row r="7085" spans="1:1" ht="12.75" customHeight="1">
      <c r="A7085" s="129">
        <v>7085</v>
      </c>
    </row>
    <row r="7086" spans="1:1" ht="12.75" customHeight="1">
      <c r="A7086" s="129">
        <v>7086</v>
      </c>
    </row>
    <row r="7087" spans="1:1" ht="12.75" customHeight="1">
      <c r="A7087" s="129">
        <v>7087</v>
      </c>
    </row>
    <row r="7088" spans="1:1" ht="12.75" customHeight="1">
      <c r="A7088" s="129">
        <v>7088</v>
      </c>
    </row>
    <row r="7089" spans="1:1" ht="12.75" customHeight="1">
      <c r="A7089" s="129">
        <v>7089</v>
      </c>
    </row>
    <row r="7090" spans="1:1" ht="12.75" customHeight="1">
      <c r="A7090" s="129">
        <v>7090</v>
      </c>
    </row>
    <row r="7091" spans="1:1" ht="12.75" customHeight="1">
      <c r="A7091" s="129">
        <v>7091</v>
      </c>
    </row>
    <row r="7092" spans="1:1" ht="12.75" customHeight="1">
      <c r="A7092" s="129">
        <v>7092</v>
      </c>
    </row>
    <row r="7093" spans="1:1" ht="12.75" customHeight="1">
      <c r="A7093" s="129">
        <v>7093</v>
      </c>
    </row>
    <row r="7094" spans="1:1" ht="12.75" customHeight="1">
      <c r="A7094" s="129">
        <v>7094</v>
      </c>
    </row>
    <row r="7095" spans="1:1" ht="12.75" customHeight="1">
      <c r="A7095" s="129">
        <v>7095</v>
      </c>
    </row>
    <row r="7096" spans="1:1" ht="12.75" customHeight="1">
      <c r="A7096" s="129">
        <v>7096</v>
      </c>
    </row>
    <row r="7097" spans="1:1" ht="12.75" customHeight="1">
      <c r="A7097" s="129">
        <v>7097</v>
      </c>
    </row>
    <row r="7098" spans="1:1" ht="12.75" customHeight="1">
      <c r="A7098" s="129">
        <v>7098</v>
      </c>
    </row>
    <row r="7099" spans="1:1" ht="12.75" customHeight="1">
      <c r="A7099" s="129">
        <v>7099</v>
      </c>
    </row>
    <row r="7100" spans="1:1" ht="12.75" customHeight="1">
      <c r="A7100" s="129">
        <v>7100</v>
      </c>
    </row>
    <row r="7101" spans="1:1" ht="12.75" customHeight="1">
      <c r="A7101" s="129">
        <v>7101</v>
      </c>
    </row>
    <row r="7102" spans="1:1" ht="12.75" customHeight="1">
      <c r="A7102" s="129">
        <v>7102</v>
      </c>
    </row>
    <row r="7103" spans="1:1" ht="12.75" customHeight="1">
      <c r="A7103" s="129">
        <v>7103</v>
      </c>
    </row>
    <row r="7104" spans="1:1" ht="12.75" customHeight="1">
      <c r="A7104" s="129">
        <v>7104</v>
      </c>
    </row>
    <row r="7105" spans="1:1" ht="12.75" customHeight="1">
      <c r="A7105" s="129">
        <v>7105</v>
      </c>
    </row>
    <row r="7106" spans="1:1" ht="12.75" customHeight="1">
      <c r="A7106" s="129">
        <v>7106</v>
      </c>
    </row>
    <row r="7107" spans="1:1" ht="12.75" customHeight="1">
      <c r="A7107" s="129">
        <v>7107</v>
      </c>
    </row>
    <row r="7108" spans="1:1" ht="12.75" customHeight="1">
      <c r="A7108" s="129">
        <v>7108</v>
      </c>
    </row>
    <row r="7109" spans="1:1" ht="12.75" customHeight="1">
      <c r="A7109" s="129">
        <v>7109</v>
      </c>
    </row>
    <row r="7110" spans="1:1" ht="12.75" customHeight="1">
      <c r="A7110" s="129">
        <v>7110</v>
      </c>
    </row>
    <row r="7111" spans="1:1" ht="12.75" customHeight="1">
      <c r="A7111" s="129">
        <v>7111</v>
      </c>
    </row>
    <row r="7112" spans="1:1" ht="12.75" customHeight="1">
      <c r="A7112" s="129">
        <v>7112</v>
      </c>
    </row>
    <row r="7113" spans="1:1" ht="12.75" customHeight="1">
      <c r="A7113" s="129">
        <v>7113</v>
      </c>
    </row>
    <row r="7114" spans="1:1" ht="12.75" customHeight="1">
      <c r="A7114" s="129">
        <v>7114</v>
      </c>
    </row>
    <row r="7115" spans="1:1" ht="12.75" customHeight="1">
      <c r="A7115" s="129">
        <v>7115</v>
      </c>
    </row>
    <row r="7116" spans="1:1" ht="12.75" customHeight="1">
      <c r="A7116" s="129">
        <v>7116</v>
      </c>
    </row>
    <row r="7117" spans="1:1" ht="12.75" customHeight="1">
      <c r="A7117" s="129">
        <v>7117</v>
      </c>
    </row>
    <row r="7118" spans="1:1" ht="12.75" customHeight="1">
      <c r="A7118" s="129">
        <v>7118</v>
      </c>
    </row>
    <row r="7119" spans="1:1" ht="12.75" customHeight="1">
      <c r="A7119" s="129">
        <v>7119</v>
      </c>
    </row>
    <row r="7120" spans="1:1" ht="12.75" customHeight="1">
      <c r="A7120" s="129">
        <v>7120</v>
      </c>
    </row>
    <row r="7121" spans="1:1" ht="12.75" customHeight="1">
      <c r="A7121" s="129">
        <v>7121</v>
      </c>
    </row>
    <row r="7122" spans="1:1" ht="12.75" customHeight="1">
      <c r="A7122" s="129">
        <v>7122</v>
      </c>
    </row>
    <row r="7123" spans="1:1" ht="12.75" customHeight="1">
      <c r="A7123" s="129">
        <v>7123</v>
      </c>
    </row>
    <row r="7124" spans="1:1" ht="12.75" customHeight="1">
      <c r="A7124" s="129">
        <v>7124</v>
      </c>
    </row>
    <row r="7125" spans="1:1" ht="12.75" customHeight="1">
      <c r="A7125" s="129">
        <v>7125</v>
      </c>
    </row>
    <row r="7126" spans="1:1" ht="12.75" customHeight="1">
      <c r="A7126" s="129">
        <v>7126</v>
      </c>
    </row>
    <row r="7127" spans="1:1" ht="12.75" customHeight="1">
      <c r="A7127" s="129">
        <v>7127</v>
      </c>
    </row>
    <row r="7128" spans="1:1" ht="12.75" customHeight="1">
      <c r="A7128" s="129">
        <v>7128</v>
      </c>
    </row>
    <row r="7129" spans="1:1" ht="12.75" customHeight="1">
      <c r="A7129" s="129">
        <v>7129</v>
      </c>
    </row>
    <row r="7130" spans="1:1" ht="12.75" customHeight="1">
      <c r="A7130" s="129">
        <v>7130</v>
      </c>
    </row>
    <row r="7131" spans="1:1" ht="12.75" customHeight="1">
      <c r="A7131" s="129">
        <v>7131</v>
      </c>
    </row>
    <row r="7132" spans="1:1" ht="12.75" customHeight="1">
      <c r="A7132" s="129">
        <v>7132</v>
      </c>
    </row>
    <row r="7133" spans="1:1" ht="12.75" customHeight="1">
      <c r="A7133" s="129">
        <v>7133</v>
      </c>
    </row>
    <row r="7134" spans="1:1" ht="12.75" customHeight="1">
      <c r="A7134" s="129">
        <v>7134</v>
      </c>
    </row>
    <row r="7135" spans="1:1" ht="12.75" customHeight="1">
      <c r="A7135" s="129">
        <v>7135</v>
      </c>
    </row>
    <row r="7136" spans="1:1" ht="12.75" customHeight="1">
      <c r="A7136" s="129">
        <v>7136</v>
      </c>
    </row>
    <row r="7137" spans="1:1" ht="12.75" customHeight="1">
      <c r="A7137" s="129">
        <v>7137</v>
      </c>
    </row>
    <row r="7138" spans="1:1" ht="12.75" customHeight="1">
      <c r="A7138" s="129">
        <v>7138</v>
      </c>
    </row>
    <row r="7139" spans="1:1" ht="12.75" customHeight="1">
      <c r="A7139" s="129">
        <v>7139</v>
      </c>
    </row>
    <row r="7140" spans="1:1" ht="12.75" customHeight="1">
      <c r="A7140" s="129">
        <v>7140</v>
      </c>
    </row>
    <row r="7141" spans="1:1" ht="12.75" customHeight="1">
      <c r="A7141" s="129">
        <v>7141</v>
      </c>
    </row>
    <row r="7142" spans="1:1" ht="12.75" customHeight="1">
      <c r="A7142" s="129">
        <v>7142</v>
      </c>
    </row>
    <row r="7143" spans="1:1" ht="12.75" customHeight="1">
      <c r="A7143" s="129">
        <v>7143</v>
      </c>
    </row>
    <row r="7144" spans="1:1" ht="12.75" customHeight="1">
      <c r="A7144" s="129">
        <v>7144</v>
      </c>
    </row>
    <row r="7145" spans="1:1" ht="12.75" customHeight="1">
      <c r="A7145" s="129">
        <v>7145</v>
      </c>
    </row>
    <row r="7146" spans="1:1" ht="12.75" customHeight="1">
      <c r="A7146" s="129">
        <v>7146</v>
      </c>
    </row>
    <row r="7147" spans="1:1" ht="12.75" customHeight="1">
      <c r="A7147" s="129">
        <v>7147</v>
      </c>
    </row>
    <row r="7148" spans="1:1" ht="12.75" customHeight="1">
      <c r="A7148" s="129">
        <v>7148</v>
      </c>
    </row>
    <row r="7149" spans="1:1" ht="12.75" customHeight="1">
      <c r="A7149" s="129">
        <v>7149</v>
      </c>
    </row>
    <row r="7150" spans="1:1" ht="12.75" customHeight="1">
      <c r="A7150" s="129">
        <v>7150</v>
      </c>
    </row>
    <row r="7151" spans="1:1" ht="12.75" customHeight="1">
      <c r="A7151" s="129">
        <v>7151</v>
      </c>
    </row>
    <row r="7152" spans="1:1" ht="12.75" customHeight="1">
      <c r="A7152" s="129">
        <v>7152</v>
      </c>
    </row>
    <row r="7153" spans="1:1" ht="12.75" customHeight="1">
      <c r="A7153" s="129">
        <v>7153</v>
      </c>
    </row>
    <row r="7154" spans="1:1" ht="12.75" customHeight="1">
      <c r="A7154" s="129">
        <v>7154</v>
      </c>
    </row>
    <row r="7155" spans="1:1" ht="12.75" customHeight="1">
      <c r="A7155" s="129">
        <v>7155</v>
      </c>
    </row>
    <row r="7156" spans="1:1" ht="12.75" customHeight="1">
      <c r="A7156" s="129">
        <v>7156</v>
      </c>
    </row>
    <row r="7157" spans="1:1" ht="12.75" customHeight="1">
      <c r="A7157" s="129">
        <v>7157</v>
      </c>
    </row>
    <row r="7158" spans="1:1" ht="12.75" customHeight="1">
      <c r="A7158" s="129">
        <v>7158</v>
      </c>
    </row>
    <row r="7159" spans="1:1" ht="12.75" customHeight="1">
      <c r="A7159" s="129">
        <v>7159</v>
      </c>
    </row>
    <row r="7160" spans="1:1" ht="12.75" customHeight="1">
      <c r="A7160" s="129">
        <v>7160</v>
      </c>
    </row>
    <row r="7161" spans="1:1" ht="12.75" customHeight="1">
      <c r="A7161" s="129">
        <v>7161</v>
      </c>
    </row>
    <row r="7162" spans="1:1" ht="12.75" customHeight="1">
      <c r="A7162" s="129">
        <v>7162</v>
      </c>
    </row>
    <row r="7163" spans="1:1" ht="12.75" customHeight="1">
      <c r="A7163" s="129">
        <v>7163</v>
      </c>
    </row>
    <row r="7164" spans="1:1" ht="12.75" customHeight="1">
      <c r="A7164" s="129">
        <v>7164</v>
      </c>
    </row>
    <row r="7165" spans="1:1" ht="12.75" customHeight="1">
      <c r="A7165" s="129">
        <v>7165</v>
      </c>
    </row>
    <row r="7166" spans="1:1" ht="12.75" customHeight="1">
      <c r="A7166" s="129">
        <v>7166</v>
      </c>
    </row>
    <row r="7167" spans="1:1" ht="12.75" customHeight="1">
      <c r="A7167" s="129">
        <v>7167</v>
      </c>
    </row>
    <row r="7168" spans="1:1" ht="12.75" customHeight="1">
      <c r="A7168" s="129">
        <v>7168</v>
      </c>
    </row>
    <row r="7169" spans="1:1" ht="12.75" customHeight="1">
      <c r="A7169" s="129">
        <v>7169</v>
      </c>
    </row>
    <row r="7170" spans="1:1" ht="12.75" customHeight="1">
      <c r="A7170" s="129">
        <v>7170</v>
      </c>
    </row>
    <row r="7171" spans="1:1" ht="12.75" customHeight="1">
      <c r="A7171" s="129">
        <v>7171</v>
      </c>
    </row>
    <row r="7172" spans="1:1" ht="12.75" customHeight="1">
      <c r="A7172" s="129">
        <v>7172</v>
      </c>
    </row>
    <row r="7173" spans="1:1" ht="12.75" customHeight="1">
      <c r="A7173" s="129">
        <v>7173</v>
      </c>
    </row>
    <row r="7174" spans="1:1" ht="12.75" customHeight="1">
      <c r="A7174" s="129">
        <v>7174</v>
      </c>
    </row>
    <row r="7175" spans="1:1" ht="12.75" customHeight="1">
      <c r="A7175" s="129">
        <v>7175</v>
      </c>
    </row>
    <row r="7176" spans="1:1" ht="12.75" customHeight="1">
      <c r="A7176" s="129">
        <v>7176</v>
      </c>
    </row>
    <row r="7177" spans="1:1" ht="12.75" customHeight="1">
      <c r="A7177" s="129">
        <v>7177</v>
      </c>
    </row>
    <row r="7178" spans="1:1" ht="12.75" customHeight="1">
      <c r="A7178" s="129">
        <v>7178</v>
      </c>
    </row>
    <row r="7179" spans="1:1" ht="12.75" customHeight="1">
      <c r="A7179" s="129">
        <v>7179</v>
      </c>
    </row>
    <row r="7180" spans="1:1" ht="12.75" customHeight="1">
      <c r="A7180" s="129">
        <v>7180</v>
      </c>
    </row>
    <row r="7181" spans="1:1" ht="12.75" customHeight="1">
      <c r="A7181" s="129">
        <v>7181</v>
      </c>
    </row>
    <row r="7182" spans="1:1" ht="12.75" customHeight="1">
      <c r="A7182" s="129">
        <v>7182</v>
      </c>
    </row>
    <row r="7183" spans="1:1" ht="12.75" customHeight="1">
      <c r="A7183" s="129">
        <v>7183</v>
      </c>
    </row>
    <row r="7184" spans="1:1" ht="12.75" customHeight="1">
      <c r="A7184" s="129">
        <v>7184</v>
      </c>
    </row>
    <row r="7185" spans="1:1" ht="12.75" customHeight="1">
      <c r="A7185" s="129">
        <v>7185</v>
      </c>
    </row>
    <row r="7186" spans="1:1" ht="12.75" customHeight="1">
      <c r="A7186" s="129">
        <v>7186</v>
      </c>
    </row>
    <row r="7187" spans="1:1" ht="12.75" customHeight="1">
      <c r="A7187" s="129">
        <v>7187</v>
      </c>
    </row>
    <row r="7188" spans="1:1" ht="12.75" customHeight="1">
      <c r="A7188" s="129">
        <v>7188</v>
      </c>
    </row>
    <row r="7189" spans="1:1" ht="12.75" customHeight="1">
      <c r="A7189" s="129">
        <v>7189</v>
      </c>
    </row>
    <row r="7190" spans="1:1" ht="12.75" customHeight="1">
      <c r="A7190" s="129">
        <v>7190</v>
      </c>
    </row>
    <row r="7191" spans="1:1" ht="12.75" customHeight="1">
      <c r="A7191" s="129">
        <v>7191</v>
      </c>
    </row>
    <row r="7192" spans="1:1" ht="12.75" customHeight="1">
      <c r="A7192" s="129">
        <v>7192</v>
      </c>
    </row>
    <row r="7193" spans="1:1" ht="12.75" customHeight="1">
      <c r="A7193" s="129">
        <v>7193</v>
      </c>
    </row>
    <row r="7194" spans="1:1" ht="12.75" customHeight="1">
      <c r="A7194" s="129">
        <v>7194</v>
      </c>
    </row>
    <row r="7195" spans="1:1" ht="12.75" customHeight="1">
      <c r="A7195" s="129">
        <v>7195</v>
      </c>
    </row>
    <row r="7196" spans="1:1" ht="12.75" customHeight="1">
      <c r="A7196" s="129">
        <v>7196</v>
      </c>
    </row>
    <row r="7197" spans="1:1" ht="12.75" customHeight="1">
      <c r="A7197" s="129">
        <v>7197</v>
      </c>
    </row>
    <row r="7198" spans="1:1" ht="12.75" customHeight="1">
      <c r="A7198" s="129">
        <v>7198</v>
      </c>
    </row>
    <row r="7199" spans="1:1" ht="12.75" customHeight="1">
      <c r="A7199" s="129">
        <v>7199</v>
      </c>
    </row>
    <row r="7200" spans="1:1" ht="12.75" customHeight="1">
      <c r="A7200" s="129">
        <v>7200</v>
      </c>
    </row>
    <row r="7201" spans="1:1" ht="12.75" customHeight="1">
      <c r="A7201" s="129">
        <v>7201</v>
      </c>
    </row>
    <row r="7202" spans="1:1" ht="12.75" customHeight="1">
      <c r="A7202" s="129">
        <v>7202</v>
      </c>
    </row>
    <row r="7203" spans="1:1" ht="12.75" customHeight="1">
      <c r="A7203" s="129">
        <v>7203</v>
      </c>
    </row>
    <row r="7204" spans="1:1" ht="12.75" customHeight="1">
      <c r="A7204" s="129">
        <v>7204</v>
      </c>
    </row>
    <row r="7205" spans="1:1" ht="12.75" customHeight="1">
      <c r="A7205" s="129">
        <v>7205</v>
      </c>
    </row>
    <row r="7206" spans="1:1" ht="12.75" customHeight="1">
      <c r="A7206" s="129">
        <v>7206</v>
      </c>
    </row>
    <row r="7207" spans="1:1" ht="12.75" customHeight="1">
      <c r="A7207" s="129">
        <v>7207</v>
      </c>
    </row>
    <row r="7208" spans="1:1" ht="12.75" customHeight="1">
      <c r="A7208" s="129">
        <v>7208</v>
      </c>
    </row>
    <row r="7209" spans="1:1" ht="12.75" customHeight="1">
      <c r="A7209" s="129">
        <v>7209</v>
      </c>
    </row>
    <row r="7210" spans="1:1" ht="12.75" customHeight="1">
      <c r="A7210" s="129">
        <v>7210</v>
      </c>
    </row>
    <row r="7211" spans="1:1" ht="12.75" customHeight="1">
      <c r="A7211" s="129">
        <v>7211</v>
      </c>
    </row>
    <row r="7212" spans="1:1" ht="12.75" customHeight="1">
      <c r="A7212" s="129">
        <v>7212</v>
      </c>
    </row>
    <row r="7213" spans="1:1" ht="12.75" customHeight="1">
      <c r="A7213" s="129">
        <v>7213</v>
      </c>
    </row>
    <row r="7214" spans="1:1" ht="12.75" customHeight="1">
      <c r="A7214" s="129">
        <v>7214</v>
      </c>
    </row>
    <row r="7215" spans="1:1" ht="12.75" customHeight="1">
      <c r="A7215" s="129">
        <v>7215</v>
      </c>
    </row>
    <row r="7216" spans="1:1" ht="12.75" customHeight="1">
      <c r="A7216" s="129">
        <v>7216</v>
      </c>
    </row>
    <row r="7217" spans="1:1" ht="12.75" customHeight="1">
      <c r="A7217" s="129">
        <v>7217</v>
      </c>
    </row>
    <row r="7218" spans="1:1" ht="12.75" customHeight="1">
      <c r="A7218" s="129">
        <v>7218</v>
      </c>
    </row>
    <row r="7219" spans="1:1" ht="12.75" customHeight="1">
      <c r="A7219" s="129">
        <v>7219</v>
      </c>
    </row>
    <row r="7220" spans="1:1" ht="12.75" customHeight="1">
      <c r="A7220" s="129">
        <v>7220</v>
      </c>
    </row>
    <row r="7221" spans="1:1" ht="12.75" customHeight="1">
      <c r="A7221" s="129">
        <v>7221</v>
      </c>
    </row>
    <row r="7222" spans="1:1" ht="12.75" customHeight="1">
      <c r="A7222" s="129">
        <v>7222</v>
      </c>
    </row>
    <row r="7223" spans="1:1" ht="12.75" customHeight="1">
      <c r="A7223" s="129">
        <v>7223</v>
      </c>
    </row>
    <row r="7224" spans="1:1" ht="12.75" customHeight="1">
      <c r="A7224" s="129">
        <v>7224</v>
      </c>
    </row>
    <row r="7225" spans="1:1" ht="12.75" customHeight="1">
      <c r="A7225" s="129">
        <v>7225</v>
      </c>
    </row>
    <row r="7226" spans="1:1" ht="12.75" customHeight="1">
      <c r="A7226" s="129">
        <v>7226</v>
      </c>
    </row>
    <row r="7227" spans="1:1" ht="12.75" customHeight="1">
      <c r="A7227" s="129">
        <v>7227</v>
      </c>
    </row>
    <row r="7228" spans="1:1" ht="12.75" customHeight="1">
      <c r="A7228" s="129">
        <v>7228</v>
      </c>
    </row>
    <row r="7229" spans="1:1" ht="12.75" customHeight="1">
      <c r="A7229" s="129">
        <v>7229</v>
      </c>
    </row>
    <row r="7230" spans="1:1" ht="12.75" customHeight="1">
      <c r="A7230" s="129">
        <v>7230</v>
      </c>
    </row>
    <row r="7231" spans="1:1" ht="12.75" customHeight="1">
      <c r="A7231" s="129">
        <v>7231</v>
      </c>
    </row>
    <row r="7232" spans="1:1" ht="12.75" customHeight="1">
      <c r="A7232" s="129">
        <v>7232</v>
      </c>
    </row>
    <row r="7233" spans="1:1" ht="12.75" customHeight="1">
      <c r="A7233" s="129">
        <v>7233</v>
      </c>
    </row>
    <row r="7234" spans="1:1" ht="12.75" customHeight="1">
      <c r="A7234" s="129">
        <v>7234</v>
      </c>
    </row>
    <row r="7235" spans="1:1" ht="12.75" customHeight="1">
      <c r="A7235" s="129">
        <v>7235</v>
      </c>
    </row>
    <row r="7236" spans="1:1" ht="12.75" customHeight="1">
      <c r="A7236" s="129">
        <v>7236</v>
      </c>
    </row>
    <row r="7237" spans="1:1" ht="12.75" customHeight="1">
      <c r="A7237" s="129">
        <v>7237</v>
      </c>
    </row>
    <row r="7238" spans="1:1" ht="12.75" customHeight="1">
      <c r="A7238" s="129">
        <v>7238</v>
      </c>
    </row>
    <row r="7239" spans="1:1" ht="12.75" customHeight="1">
      <c r="A7239" s="129">
        <v>7239</v>
      </c>
    </row>
    <row r="7240" spans="1:1" ht="12.75" customHeight="1">
      <c r="A7240" s="129">
        <v>7240</v>
      </c>
    </row>
    <row r="7241" spans="1:1" ht="12.75" customHeight="1">
      <c r="A7241" s="129">
        <v>7241</v>
      </c>
    </row>
    <row r="7242" spans="1:1" ht="12.75" customHeight="1">
      <c r="A7242" s="129">
        <v>7242</v>
      </c>
    </row>
    <row r="7243" spans="1:1" ht="12.75" customHeight="1">
      <c r="A7243" s="129">
        <v>7243</v>
      </c>
    </row>
    <row r="7244" spans="1:1" ht="12.75" customHeight="1">
      <c r="A7244" s="129">
        <v>7244</v>
      </c>
    </row>
    <row r="7245" spans="1:1" ht="12.75" customHeight="1">
      <c r="A7245" s="129">
        <v>7245</v>
      </c>
    </row>
    <row r="7246" spans="1:1" ht="12.75" customHeight="1">
      <c r="A7246" s="129">
        <v>7246</v>
      </c>
    </row>
    <row r="7247" spans="1:1" ht="12.75" customHeight="1">
      <c r="A7247" s="129">
        <v>7247</v>
      </c>
    </row>
    <row r="7248" spans="1:1" ht="12.75" customHeight="1">
      <c r="A7248" s="129">
        <v>7248</v>
      </c>
    </row>
    <row r="7249" spans="1:1" ht="12.75" customHeight="1">
      <c r="A7249" s="129">
        <v>7249</v>
      </c>
    </row>
    <row r="7250" spans="1:1" ht="12.75" customHeight="1">
      <c r="A7250" s="129">
        <v>7250</v>
      </c>
    </row>
    <row r="7251" spans="1:1" ht="12.75" customHeight="1">
      <c r="A7251" s="129">
        <v>7251</v>
      </c>
    </row>
    <row r="7252" spans="1:1" ht="12.75" customHeight="1">
      <c r="A7252" s="129">
        <v>7252</v>
      </c>
    </row>
    <row r="7253" spans="1:1" ht="12.75" customHeight="1">
      <c r="A7253" s="129">
        <v>7253</v>
      </c>
    </row>
    <row r="7254" spans="1:1" ht="12.75" customHeight="1">
      <c r="A7254" s="129">
        <v>7254</v>
      </c>
    </row>
    <row r="7255" spans="1:1" ht="12.75" customHeight="1">
      <c r="A7255" s="129">
        <v>7255</v>
      </c>
    </row>
    <row r="7256" spans="1:1" ht="12.75" customHeight="1">
      <c r="A7256" s="129">
        <v>7256</v>
      </c>
    </row>
    <row r="7257" spans="1:1" ht="12.75" customHeight="1">
      <c r="A7257" s="129">
        <v>7257</v>
      </c>
    </row>
    <row r="7258" spans="1:1" ht="12.75" customHeight="1">
      <c r="A7258" s="129">
        <v>7258</v>
      </c>
    </row>
    <row r="7259" spans="1:1" ht="12.75" customHeight="1">
      <c r="A7259" s="129">
        <v>7259</v>
      </c>
    </row>
    <row r="7260" spans="1:1" ht="12.75" customHeight="1">
      <c r="A7260" s="129">
        <v>7260</v>
      </c>
    </row>
    <row r="7261" spans="1:1" ht="12.75" customHeight="1">
      <c r="A7261" s="129">
        <v>7261</v>
      </c>
    </row>
    <row r="7262" spans="1:1" ht="12.75" customHeight="1">
      <c r="A7262" s="129">
        <v>7262</v>
      </c>
    </row>
    <row r="7263" spans="1:1" ht="12.75" customHeight="1">
      <c r="A7263" s="129">
        <v>7263</v>
      </c>
    </row>
    <row r="7264" spans="1:1" ht="12.75" customHeight="1">
      <c r="A7264" s="129">
        <v>7264</v>
      </c>
    </row>
    <row r="7265" spans="1:1" ht="12.75" customHeight="1">
      <c r="A7265" s="129">
        <v>7265</v>
      </c>
    </row>
    <row r="7266" spans="1:1" ht="12.75" customHeight="1">
      <c r="A7266" s="129">
        <v>7266</v>
      </c>
    </row>
    <row r="7267" spans="1:1" ht="12.75" customHeight="1">
      <c r="A7267" s="129">
        <v>7267</v>
      </c>
    </row>
    <row r="7268" spans="1:1" ht="12.75" customHeight="1">
      <c r="A7268" s="129">
        <v>7268</v>
      </c>
    </row>
    <row r="7269" spans="1:1" ht="12.75" customHeight="1">
      <c r="A7269" s="129">
        <v>7269</v>
      </c>
    </row>
    <row r="7270" spans="1:1" ht="12.75" customHeight="1">
      <c r="A7270" s="129">
        <v>7270</v>
      </c>
    </row>
    <row r="7271" spans="1:1" ht="12.75" customHeight="1">
      <c r="A7271" s="129">
        <v>7271</v>
      </c>
    </row>
    <row r="7272" spans="1:1" ht="12.75" customHeight="1">
      <c r="A7272" s="129">
        <v>7272</v>
      </c>
    </row>
    <row r="7273" spans="1:1" ht="12.75" customHeight="1">
      <c r="A7273" s="129">
        <v>7273</v>
      </c>
    </row>
    <row r="7274" spans="1:1" ht="12.75" customHeight="1">
      <c r="A7274" s="129">
        <v>7274</v>
      </c>
    </row>
    <row r="7275" spans="1:1" ht="12.75" customHeight="1">
      <c r="A7275" s="129">
        <v>7275</v>
      </c>
    </row>
    <row r="7276" spans="1:1" ht="12.75" customHeight="1">
      <c r="A7276" s="129">
        <v>7276</v>
      </c>
    </row>
    <row r="7277" spans="1:1" ht="12.75" customHeight="1">
      <c r="A7277" s="129">
        <v>7277</v>
      </c>
    </row>
    <row r="7278" spans="1:1" ht="12.75" customHeight="1">
      <c r="A7278" s="129">
        <v>7278</v>
      </c>
    </row>
    <row r="7279" spans="1:1" ht="12.75" customHeight="1">
      <c r="A7279" s="129">
        <v>7279</v>
      </c>
    </row>
    <row r="7280" spans="1:1" ht="12.75" customHeight="1">
      <c r="A7280" s="129">
        <v>7280</v>
      </c>
    </row>
    <row r="7281" spans="1:1" ht="12.75" customHeight="1">
      <c r="A7281" s="129">
        <v>7281</v>
      </c>
    </row>
    <row r="7282" spans="1:1" ht="12.75" customHeight="1">
      <c r="A7282" s="129">
        <v>7282</v>
      </c>
    </row>
    <row r="7283" spans="1:1" ht="12.75" customHeight="1">
      <c r="A7283" s="129">
        <v>7283</v>
      </c>
    </row>
    <row r="7284" spans="1:1" ht="12.75" customHeight="1">
      <c r="A7284" s="129">
        <v>7284</v>
      </c>
    </row>
    <row r="7285" spans="1:1" ht="12.75" customHeight="1">
      <c r="A7285" s="129">
        <v>7285</v>
      </c>
    </row>
    <row r="7286" spans="1:1" ht="12.75" customHeight="1">
      <c r="A7286" s="129">
        <v>7286</v>
      </c>
    </row>
    <row r="7287" spans="1:1" ht="12.75" customHeight="1">
      <c r="A7287" s="129">
        <v>7287</v>
      </c>
    </row>
    <row r="7288" spans="1:1" ht="12.75" customHeight="1">
      <c r="A7288" s="129">
        <v>7288</v>
      </c>
    </row>
    <row r="7289" spans="1:1" ht="12.75" customHeight="1">
      <c r="A7289" s="129">
        <v>7289</v>
      </c>
    </row>
    <row r="7290" spans="1:1" ht="12.75" customHeight="1">
      <c r="A7290" s="129">
        <v>7290</v>
      </c>
    </row>
    <row r="7291" spans="1:1" ht="12.75" customHeight="1">
      <c r="A7291" s="129">
        <v>7291</v>
      </c>
    </row>
    <row r="7292" spans="1:1" ht="12.75" customHeight="1">
      <c r="A7292" s="129">
        <v>7292</v>
      </c>
    </row>
    <row r="7293" spans="1:1" ht="12.75" customHeight="1">
      <c r="A7293" s="129">
        <v>7293</v>
      </c>
    </row>
    <row r="7294" spans="1:1" ht="12.75" customHeight="1">
      <c r="A7294" s="129">
        <v>7294</v>
      </c>
    </row>
    <row r="7295" spans="1:1" ht="12.75" customHeight="1">
      <c r="A7295" s="129">
        <v>7295</v>
      </c>
    </row>
    <row r="7296" spans="1:1" ht="12.75" customHeight="1">
      <c r="A7296" s="129">
        <v>7296</v>
      </c>
    </row>
    <row r="7297" spans="1:1" ht="12.75" customHeight="1">
      <c r="A7297" s="129">
        <v>7297</v>
      </c>
    </row>
    <row r="7298" spans="1:1" ht="12.75" customHeight="1">
      <c r="A7298" s="129">
        <v>7298</v>
      </c>
    </row>
    <row r="7299" spans="1:1" ht="12.75" customHeight="1">
      <c r="A7299" s="129">
        <v>7299</v>
      </c>
    </row>
    <row r="7300" spans="1:1" ht="12.75" customHeight="1">
      <c r="A7300" s="129">
        <v>7300</v>
      </c>
    </row>
    <row r="7301" spans="1:1" ht="12.75" customHeight="1">
      <c r="A7301" s="129">
        <v>7301</v>
      </c>
    </row>
    <row r="7302" spans="1:1" ht="12.75" customHeight="1">
      <c r="A7302" s="129">
        <v>7302</v>
      </c>
    </row>
    <row r="7303" spans="1:1" ht="12.75" customHeight="1">
      <c r="A7303" s="129">
        <v>7303</v>
      </c>
    </row>
    <row r="7304" spans="1:1" ht="12.75" customHeight="1">
      <c r="A7304" s="129">
        <v>7304</v>
      </c>
    </row>
    <row r="7305" spans="1:1" ht="12.75" customHeight="1">
      <c r="A7305" s="129">
        <v>7305</v>
      </c>
    </row>
    <row r="7306" spans="1:1" ht="12.75" customHeight="1">
      <c r="A7306" s="129">
        <v>7306</v>
      </c>
    </row>
    <row r="7307" spans="1:1" ht="12.75" customHeight="1">
      <c r="A7307" s="129">
        <v>7307</v>
      </c>
    </row>
    <row r="7308" spans="1:1" ht="12.75" customHeight="1">
      <c r="A7308" s="129">
        <v>7308</v>
      </c>
    </row>
    <row r="7309" spans="1:1" ht="12.75" customHeight="1">
      <c r="A7309" s="129">
        <v>7309</v>
      </c>
    </row>
    <row r="7310" spans="1:1" ht="12.75" customHeight="1">
      <c r="A7310" s="129">
        <v>7310</v>
      </c>
    </row>
    <row r="7311" spans="1:1" ht="12.75" customHeight="1">
      <c r="A7311" s="129">
        <v>7311</v>
      </c>
    </row>
    <row r="7312" spans="1:1" ht="12.75" customHeight="1">
      <c r="A7312" s="129">
        <v>7312</v>
      </c>
    </row>
    <row r="7313" spans="1:1" ht="12.75" customHeight="1">
      <c r="A7313" s="129">
        <v>7313</v>
      </c>
    </row>
    <row r="7314" spans="1:1" ht="12.75" customHeight="1">
      <c r="A7314" s="129">
        <v>7314</v>
      </c>
    </row>
    <row r="7315" spans="1:1" ht="12.75" customHeight="1">
      <c r="A7315" s="129">
        <v>7315</v>
      </c>
    </row>
    <row r="7316" spans="1:1" ht="12.75" customHeight="1">
      <c r="A7316" s="129">
        <v>7316</v>
      </c>
    </row>
    <row r="7317" spans="1:1" ht="12.75" customHeight="1">
      <c r="A7317" s="129">
        <v>7317</v>
      </c>
    </row>
    <row r="7318" spans="1:1" ht="12.75" customHeight="1">
      <c r="A7318" s="129">
        <v>7318</v>
      </c>
    </row>
    <row r="7319" spans="1:1" ht="12.75" customHeight="1">
      <c r="A7319" s="129">
        <v>7319</v>
      </c>
    </row>
    <row r="7320" spans="1:1" ht="12.75" customHeight="1">
      <c r="A7320" s="129">
        <v>7320</v>
      </c>
    </row>
    <row r="7321" spans="1:1" ht="12.75" customHeight="1">
      <c r="A7321" s="129">
        <v>7321</v>
      </c>
    </row>
    <row r="7322" spans="1:1" ht="12.75" customHeight="1">
      <c r="A7322" s="129">
        <v>7322</v>
      </c>
    </row>
    <row r="7323" spans="1:1" ht="12.75" customHeight="1">
      <c r="A7323" s="129">
        <v>7323</v>
      </c>
    </row>
    <row r="7324" spans="1:1" ht="12.75" customHeight="1">
      <c r="A7324" s="129">
        <v>7324</v>
      </c>
    </row>
    <row r="7325" spans="1:1" ht="12.75" customHeight="1">
      <c r="A7325" s="129">
        <v>7325</v>
      </c>
    </row>
    <row r="7326" spans="1:1" ht="12.75" customHeight="1">
      <c r="A7326" s="129">
        <v>7326</v>
      </c>
    </row>
    <row r="7327" spans="1:1" ht="12.75" customHeight="1">
      <c r="A7327" s="129">
        <v>7327</v>
      </c>
    </row>
    <row r="7328" spans="1:1" ht="12.75" customHeight="1">
      <c r="A7328" s="129">
        <v>7328</v>
      </c>
    </row>
    <row r="7329" spans="1:1" ht="12.75" customHeight="1">
      <c r="A7329" s="129">
        <v>7329</v>
      </c>
    </row>
    <row r="7330" spans="1:1" ht="12.75" customHeight="1">
      <c r="A7330" s="129">
        <v>7330</v>
      </c>
    </row>
    <row r="7331" spans="1:1" ht="12.75" customHeight="1">
      <c r="A7331" s="129">
        <v>7331</v>
      </c>
    </row>
    <row r="7332" spans="1:1" ht="12.75" customHeight="1">
      <c r="A7332" s="129">
        <v>7332</v>
      </c>
    </row>
    <row r="7333" spans="1:1" ht="12.75" customHeight="1">
      <c r="A7333" s="129">
        <v>7333</v>
      </c>
    </row>
    <row r="7334" spans="1:1" ht="12.75" customHeight="1">
      <c r="A7334" s="129">
        <v>7334</v>
      </c>
    </row>
    <row r="7335" spans="1:1" ht="12.75" customHeight="1">
      <c r="A7335" s="129">
        <v>7335</v>
      </c>
    </row>
    <row r="7336" spans="1:1" ht="12.75" customHeight="1">
      <c r="A7336" s="129">
        <v>7336</v>
      </c>
    </row>
    <row r="7337" spans="1:1" ht="12.75" customHeight="1">
      <c r="A7337" s="129">
        <v>7337</v>
      </c>
    </row>
    <row r="7338" spans="1:1" ht="12.75" customHeight="1">
      <c r="A7338" s="129">
        <v>7338</v>
      </c>
    </row>
    <row r="7339" spans="1:1" ht="12.75" customHeight="1">
      <c r="A7339" s="129">
        <v>7339</v>
      </c>
    </row>
    <row r="7340" spans="1:1" ht="12.75" customHeight="1">
      <c r="A7340" s="129">
        <v>7340</v>
      </c>
    </row>
    <row r="7341" spans="1:1" ht="12.75" customHeight="1">
      <c r="A7341" s="129">
        <v>7341</v>
      </c>
    </row>
    <row r="7342" spans="1:1" ht="12.75" customHeight="1">
      <c r="A7342" s="129">
        <v>7342</v>
      </c>
    </row>
    <row r="7343" spans="1:1" ht="12.75" customHeight="1">
      <c r="A7343" s="129">
        <v>7343</v>
      </c>
    </row>
    <row r="7344" spans="1:1" ht="12.75" customHeight="1">
      <c r="A7344" s="129">
        <v>7344</v>
      </c>
    </row>
    <row r="7345" spans="1:1" ht="12.75" customHeight="1">
      <c r="A7345" s="129">
        <v>7345</v>
      </c>
    </row>
    <row r="7346" spans="1:1" ht="12.75" customHeight="1">
      <c r="A7346" s="129">
        <v>7346</v>
      </c>
    </row>
    <row r="7347" spans="1:1" ht="12.75" customHeight="1">
      <c r="A7347" s="129">
        <v>7347</v>
      </c>
    </row>
    <row r="7348" spans="1:1" ht="12.75" customHeight="1">
      <c r="A7348" s="129">
        <v>7348</v>
      </c>
    </row>
    <row r="7349" spans="1:1" ht="12.75" customHeight="1">
      <c r="A7349" s="129">
        <v>7349</v>
      </c>
    </row>
    <row r="7350" spans="1:1" ht="12.75" customHeight="1">
      <c r="A7350" s="129">
        <v>7350</v>
      </c>
    </row>
    <row r="7351" spans="1:1" ht="12.75" customHeight="1">
      <c r="A7351" s="129">
        <v>7351</v>
      </c>
    </row>
    <row r="7352" spans="1:1" ht="12.75" customHeight="1">
      <c r="A7352" s="129">
        <v>7352</v>
      </c>
    </row>
    <row r="7353" spans="1:1" ht="12.75" customHeight="1">
      <c r="A7353" s="129">
        <v>7353</v>
      </c>
    </row>
    <row r="7354" spans="1:1" ht="12.75" customHeight="1">
      <c r="A7354" s="129">
        <v>7354</v>
      </c>
    </row>
    <row r="7355" spans="1:1" ht="12.75" customHeight="1">
      <c r="A7355" s="129">
        <v>7355</v>
      </c>
    </row>
    <row r="7356" spans="1:1" ht="12.75" customHeight="1">
      <c r="A7356" s="129">
        <v>7356</v>
      </c>
    </row>
    <row r="7357" spans="1:1" ht="12.75" customHeight="1">
      <c r="A7357" s="129">
        <v>7357</v>
      </c>
    </row>
    <row r="7358" spans="1:1" ht="12.75" customHeight="1">
      <c r="A7358" s="129">
        <v>7358</v>
      </c>
    </row>
    <row r="7359" spans="1:1" ht="12.75" customHeight="1">
      <c r="A7359" s="129">
        <v>7359</v>
      </c>
    </row>
    <row r="7360" spans="1:1" ht="12.75" customHeight="1">
      <c r="A7360" s="129">
        <v>7360</v>
      </c>
    </row>
    <row r="7361" spans="1:1" ht="12.75" customHeight="1">
      <c r="A7361" s="129">
        <v>7361</v>
      </c>
    </row>
    <row r="7362" spans="1:1" ht="12.75" customHeight="1">
      <c r="A7362" s="129">
        <v>7362</v>
      </c>
    </row>
    <row r="7363" spans="1:1" ht="12.75" customHeight="1">
      <c r="A7363" s="129">
        <v>7363</v>
      </c>
    </row>
    <row r="7364" spans="1:1" ht="12.75" customHeight="1">
      <c r="A7364" s="129">
        <v>7364</v>
      </c>
    </row>
    <row r="7365" spans="1:1" ht="12.75" customHeight="1">
      <c r="A7365" s="129">
        <v>7365</v>
      </c>
    </row>
    <row r="7366" spans="1:1" ht="12.75" customHeight="1">
      <c r="A7366" s="129">
        <v>7366</v>
      </c>
    </row>
    <row r="7367" spans="1:1" ht="12.75" customHeight="1">
      <c r="A7367" s="129">
        <v>7367</v>
      </c>
    </row>
    <row r="7368" spans="1:1" ht="12.75" customHeight="1">
      <c r="A7368" s="129">
        <v>7368</v>
      </c>
    </row>
    <row r="7369" spans="1:1" ht="12.75" customHeight="1">
      <c r="A7369" s="129">
        <v>7369</v>
      </c>
    </row>
    <row r="7370" spans="1:1" ht="12.75" customHeight="1">
      <c r="A7370" s="129">
        <v>7370</v>
      </c>
    </row>
    <row r="7371" spans="1:1" ht="12.75" customHeight="1">
      <c r="A7371" s="129">
        <v>7371</v>
      </c>
    </row>
    <row r="7372" spans="1:1" ht="12.75" customHeight="1">
      <c r="A7372" s="129">
        <v>7372</v>
      </c>
    </row>
    <row r="7373" spans="1:1" ht="12.75" customHeight="1">
      <c r="A7373" s="129">
        <v>7373</v>
      </c>
    </row>
    <row r="7374" spans="1:1" ht="12.75" customHeight="1">
      <c r="A7374" s="129">
        <v>7374</v>
      </c>
    </row>
    <row r="7375" spans="1:1" ht="12.75" customHeight="1">
      <c r="A7375" s="129">
        <v>7375</v>
      </c>
    </row>
    <row r="7376" spans="1:1" ht="12.75" customHeight="1">
      <c r="A7376" s="129">
        <v>7376</v>
      </c>
    </row>
    <row r="7377" spans="1:1" ht="12.75" customHeight="1">
      <c r="A7377" s="129">
        <v>7377</v>
      </c>
    </row>
    <row r="7378" spans="1:1" ht="12.75" customHeight="1">
      <c r="A7378" s="129">
        <v>7378</v>
      </c>
    </row>
    <row r="7379" spans="1:1" ht="12.75" customHeight="1">
      <c r="A7379" s="129">
        <v>7379</v>
      </c>
    </row>
    <row r="7380" spans="1:1" ht="12.75" customHeight="1">
      <c r="A7380" s="129">
        <v>7380</v>
      </c>
    </row>
    <row r="7381" spans="1:1" ht="12.75" customHeight="1">
      <c r="A7381" s="129">
        <v>7381</v>
      </c>
    </row>
    <row r="7382" spans="1:1" ht="12.75" customHeight="1">
      <c r="A7382" s="129">
        <v>7382</v>
      </c>
    </row>
    <row r="7383" spans="1:1" ht="12.75" customHeight="1">
      <c r="A7383" s="129">
        <v>7383</v>
      </c>
    </row>
    <row r="7384" spans="1:1" ht="12.75" customHeight="1">
      <c r="A7384" s="129">
        <v>7384</v>
      </c>
    </row>
    <row r="7385" spans="1:1" ht="12.75" customHeight="1">
      <c r="A7385" s="129">
        <v>7385</v>
      </c>
    </row>
    <row r="7386" spans="1:1" ht="12.75" customHeight="1">
      <c r="A7386" s="129">
        <v>7386</v>
      </c>
    </row>
    <row r="7387" spans="1:1" ht="12.75" customHeight="1">
      <c r="A7387" s="129">
        <v>7387</v>
      </c>
    </row>
    <row r="7388" spans="1:1" ht="12.75" customHeight="1">
      <c r="A7388" s="129">
        <v>7388</v>
      </c>
    </row>
    <row r="7389" spans="1:1" ht="12.75" customHeight="1">
      <c r="A7389" s="129">
        <v>7389</v>
      </c>
    </row>
    <row r="7390" spans="1:1" ht="12.75" customHeight="1">
      <c r="A7390" s="129">
        <v>7390</v>
      </c>
    </row>
    <row r="7391" spans="1:1" ht="12.75" customHeight="1">
      <c r="A7391" s="129">
        <v>7391</v>
      </c>
    </row>
    <row r="7392" spans="1:1" ht="12.75" customHeight="1">
      <c r="A7392" s="129">
        <v>7392</v>
      </c>
    </row>
    <row r="7393" spans="1:1" ht="12.75" customHeight="1">
      <c r="A7393" s="129">
        <v>7393</v>
      </c>
    </row>
    <row r="7394" spans="1:1" ht="12.75" customHeight="1">
      <c r="A7394" s="129">
        <v>7394</v>
      </c>
    </row>
    <row r="7395" spans="1:1" ht="12.75" customHeight="1">
      <c r="A7395" s="129">
        <v>7395</v>
      </c>
    </row>
    <row r="7396" spans="1:1" ht="12.75" customHeight="1">
      <c r="A7396" s="129">
        <v>7396</v>
      </c>
    </row>
    <row r="7397" spans="1:1" ht="12.75" customHeight="1">
      <c r="A7397" s="129">
        <v>7397</v>
      </c>
    </row>
    <row r="7398" spans="1:1" ht="12.75" customHeight="1">
      <c r="A7398" s="129">
        <v>7398</v>
      </c>
    </row>
    <row r="7399" spans="1:1" ht="12.75" customHeight="1">
      <c r="A7399" s="129">
        <v>7399</v>
      </c>
    </row>
    <row r="7400" spans="1:1" ht="12.75" customHeight="1">
      <c r="A7400" s="129">
        <v>7400</v>
      </c>
    </row>
    <row r="7401" spans="1:1" ht="12.75" customHeight="1">
      <c r="A7401" s="129">
        <v>7401</v>
      </c>
    </row>
    <row r="7402" spans="1:1" ht="12.75" customHeight="1">
      <c r="A7402" s="129">
        <v>7402</v>
      </c>
    </row>
    <row r="7403" spans="1:1" ht="12.75" customHeight="1">
      <c r="A7403" s="129">
        <v>7403</v>
      </c>
    </row>
    <row r="7404" spans="1:1" ht="12.75" customHeight="1">
      <c r="A7404" s="129">
        <v>7404</v>
      </c>
    </row>
    <row r="7405" spans="1:1" ht="12.75" customHeight="1">
      <c r="A7405" s="129">
        <v>7405</v>
      </c>
    </row>
    <row r="7406" spans="1:1" ht="12.75" customHeight="1">
      <c r="A7406" s="129">
        <v>7406</v>
      </c>
    </row>
    <row r="7407" spans="1:1" ht="12.75" customHeight="1">
      <c r="A7407" s="129">
        <v>7407</v>
      </c>
    </row>
    <row r="7408" spans="1:1" ht="12.75" customHeight="1">
      <c r="A7408" s="129">
        <v>7408</v>
      </c>
    </row>
    <row r="7409" spans="1:1" ht="12.75" customHeight="1">
      <c r="A7409" s="129">
        <v>7409</v>
      </c>
    </row>
    <row r="7410" spans="1:1" ht="12.75" customHeight="1">
      <c r="A7410" s="129">
        <v>7410</v>
      </c>
    </row>
    <row r="7411" spans="1:1" ht="12.75" customHeight="1">
      <c r="A7411" s="129">
        <v>7411</v>
      </c>
    </row>
    <row r="7412" spans="1:1" ht="12.75" customHeight="1">
      <c r="A7412" s="129">
        <v>7412</v>
      </c>
    </row>
    <row r="7413" spans="1:1" ht="12.75" customHeight="1">
      <c r="A7413" s="129">
        <v>7413</v>
      </c>
    </row>
    <row r="7414" spans="1:1" ht="12.75" customHeight="1">
      <c r="A7414" s="129">
        <v>7414</v>
      </c>
    </row>
    <row r="7415" spans="1:1" ht="12.75" customHeight="1">
      <c r="A7415" s="129">
        <v>7415</v>
      </c>
    </row>
    <row r="7416" spans="1:1" ht="12.75" customHeight="1">
      <c r="A7416" s="129">
        <v>7416</v>
      </c>
    </row>
    <row r="7417" spans="1:1" ht="12.75" customHeight="1">
      <c r="A7417" s="129">
        <v>7417</v>
      </c>
    </row>
    <row r="7418" spans="1:1" ht="12.75" customHeight="1">
      <c r="A7418" s="129">
        <v>7418</v>
      </c>
    </row>
    <row r="7419" spans="1:1" ht="12.75" customHeight="1">
      <c r="A7419" s="129">
        <v>7419</v>
      </c>
    </row>
    <row r="7420" spans="1:1" ht="12.75" customHeight="1">
      <c r="A7420" s="129">
        <v>7420</v>
      </c>
    </row>
    <row r="7421" spans="1:1" ht="12.75" customHeight="1">
      <c r="A7421" s="129">
        <v>7421</v>
      </c>
    </row>
    <row r="7422" spans="1:1" ht="12.75" customHeight="1">
      <c r="A7422" s="129">
        <v>7422</v>
      </c>
    </row>
    <row r="7423" spans="1:1" ht="12.75" customHeight="1">
      <c r="A7423" s="129">
        <v>7423</v>
      </c>
    </row>
    <row r="7424" spans="1:1" ht="12.75" customHeight="1">
      <c r="A7424" s="129">
        <v>7424</v>
      </c>
    </row>
    <row r="7425" spans="1:1" ht="12.75" customHeight="1">
      <c r="A7425" s="129">
        <v>7425</v>
      </c>
    </row>
    <row r="7426" spans="1:1" ht="12.75" customHeight="1">
      <c r="A7426" s="129">
        <v>7426</v>
      </c>
    </row>
    <row r="7427" spans="1:1" ht="12.75" customHeight="1">
      <c r="A7427" s="129">
        <v>7427</v>
      </c>
    </row>
    <row r="7428" spans="1:1" ht="12.75" customHeight="1">
      <c r="A7428" s="129">
        <v>7428</v>
      </c>
    </row>
    <row r="7429" spans="1:1" ht="12.75" customHeight="1">
      <c r="A7429" s="129">
        <v>7429</v>
      </c>
    </row>
    <row r="7430" spans="1:1" ht="12.75" customHeight="1">
      <c r="A7430" s="129">
        <v>7430</v>
      </c>
    </row>
    <row r="7431" spans="1:1" ht="12.75" customHeight="1">
      <c r="A7431" s="129">
        <v>7431</v>
      </c>
    </row>
    <row r="7432" spans="1:1" ht="12.75" customHeight="1">
      <c r="A7432" s="129">
        <v>7432</v>
      </c>
    </row>
    <row r="7433" spans="1:1" ht="12.75" customHeight="1">
      <c r="A7433" s="129">
        <v>7433</v>
      </c>
    </row>
    <row r="7434" spans="1:1" ht="12.75" customHeight="1">
      <c r="A7434" s="129">
        <v>7434</v>
      </c>
    </row>
    <row r="7435" spans="1:1" ht="12.75" customHeight="1">
      <c r="A7435" s="129">
        <v>7435</v>
      </c>
    </row>
    <row r="7436" spans="1:1" ht="12.75" customHeight="1">
      <c r="A7436" s="129">
        <v>7436</v>
      </c>
    </row>
    <row r="7437" spans="1:1" ht="12.75" customHeight="1">
      <c r="A7437" s="129">
        <v>7437</v>
      </c>
    </row>
    <row r="7438" spans="1:1" ht="12.75" customHeight="1">
      <c r="A7438" s="129">
        <v>7438</v>
      </c>
    </row>
    <row r="7439" spans="1:1" ht="12.75" customHeight="1">
      <c r="A7439" s="129">
        <v>7439</v>
      </c>
    </row>
    <row r="7440" spans="1:1" ht="12.75" customHeight="1">
      <c r="A7440" s="129">
        <v>7440</v>
      </c>
    </row>
    <row r="7441" spans="1:1" ht="12.75" customHeight="1">
      <c r="A7441" s="129">
        <v>7441</v>
      </c>
    </row>
    <row r="7442" spans="1:1" ht="12.75" customHeight="1">
      <c r="A7442" s="129">
        <v>7442</v>
      </c>
    </row>
    <row r="7443" spans="1:1" ht="12.75" customHeight="1">
      <c r="A7443" s="129">
        <v>7443</v>
      </c>
    </row>
    <row r="7444" spans="1:1" ht="12.75" customHeight="1">
      <c r="A7444" s="129">
        <v>7444</v>
      </c>
    </row>
    <row r="7445" spans="1:1" ht="12.75" customHeight="1">
      <c r="A7445" s="129">
        <v>7445</v>
      </c>
    </row>
    <row r="7446" spans="1:1" ht="12.75" customHeight="1">
      <c r="A7446" s="129">
        <v>7446</v>
      </c>
    </row>
    <row r="7447" spans="1:1" ht="12.75" customHeight="1">
      <c r="A7447" s="129">
        <v>7447</v>
      </c>
    </row>
    <row r="7448" spans="1:1" ht="12.75" customHeight="1">
      <c r="A7448" s="129">
        <v>7448</v>
      </c>
    </row>
    <row r="7449" spans="1:1" ht="12.75" customHeight="1">
      <c r="A7449" s="129">
        <v>7449</v>
      </c>
    </row>
    <row r="7450" spans="1:1" ht="12.75" customHeight="1">
      <c r="A7450" s="129">
        <v>7450</v>
      </c>
    </row>
    <row r="7451" spans="1:1" ht="12.75" customHeight="1">
      <c r="A7451" s="129">
        <v>7451</v>
      </c>
    </row>
    <row r="7452" spans="1:1" ht="12.75" customHeight="1">
      <c r="A7452" s="129">
        <v>7452</v>
      </c>
    </row>
    <row r="7453" spans="1:1" ht="12.75" customHeight="1">
      <c r="A7453" s="129">
        <v>7453</v>
      </c>
    </row>
    <row r="7454" spans="1:1" ht="12.75" customHeight="1">
      <c r="A7454" s="129">
        <v>7454</v>
      </c>
    </row>
    <row r="7455" spans="1:1" ht="12.75" customHeight="1">
      <c r="A7455" s="129">
        <v>7455</v>
      </c>
    </row>
    <row r="7456" spans="1:1" ht="12.75" customHeight="1">
      <c r="A7456" s="129">
        <v>7456</v>
      </c>
    </row>
    <row r="7457" spans="1:1" ht="12.75" customHeight="1">
      <c r="A7457" s="129">
        <v>7457</v>
      </c>
    </row>
    <row r="7458" spans="1:1" ht="12.75" customHeight="1">
      <c r="A7458" s="129">
        <v>7458</v>
      </c>
    </row>
    <row r="7459" spans="1:1" ht="12.75" customHeight="1">
      <c r="A7459" s="129">
        <v>7459</v>
      </c>
    </row>
    <row r="7460" spans="1:1" ht="12.75" customHeight="1">
      <c r="A7460" s="129">
        <v>7460</v>
      </c>
    </row>
    <row r="7461" spans="1:1" ht="12.75" customHeight="1">
      <c r="A7461" s="129">
        <v>7461</v>
      </c>
    </row>
    <row r="7462" spans="1:1" ht="12.75" customHeight="1">
      <c r="A7462" s="129">
        <v>7462</v>
      </c>
    </row>
    <row r="7463" spans="1:1" ht="12.75" customHeight="1">
      <c r="A7463" s="129">
        <v>7463</v>
      </c>
    </row>
    <row r="7464" spans="1:1" ht="12.75" customHeight="1">
      <c r="A7464" s="129">
        <v>7464</v>
      </c>
    </row>
    <row r="7465" spans="1:1" ht="12.75" customHeight="1">
      <c r="A7465" s="129">
        <v>7465</v>
      </c>
    </row>
    <row r="7466" spans="1:1" ht="12.75" customHeight="1">
      <c r="A7466" s="129">
        <v>7466</v>
      </c>
    </row>
    <row r="7467" spans="1:1" ht="12.75" customHeight="1">
      <c r="A7467" s="129">
        <v>7467</v>
      </c>
    </row>
    <row r="7468" spans="1:1" ht="12.75" customHeight="1">
      <c r="A7468" s="129">
        <v>7468</v>
      </c>
    </row>
    <row r="7469" spans="1:1" ht="12.75" customHeight="1">
      <c r="A7469" s="129">
        <v>7469</v>
      </c>
    </row>
    <row r="7470" spans="1:1" ht="12.75" customHeight="1">
      <c r="A7470" s="129">
        <v>7470</v>
      </c>
    </row>
    <row r="7471" spans="1:1" ht="12.75" customHeight="1">
      <c r="A7471" s="129">
        <v>7471</v>
      </c>
    </row>
    <row r="7472" spans="1:1" ht="12.75" customHeight="1">
      <c r="A7472" s="129">
        <v>7472</v>
      </c>
    </row>
    <row r="7473" spans="1:1" ht="12.75" customHeight="1">
      <c r="A7473" s="129">
        <v>7473</v>
      </c>
    </row>
    <row r="7474" spans="1:1" ht="12.75" customHeight="1">
      <c r="A7474" s="129">
        <v>7474</v>
      </c>
    </row>
    <row r="7475" spans="1:1" ht="12.75" customHeight="1">
      <c r="A7475" s="129">
        <v>7475</v>
      </c>
    </row>
    <row r="7476" spans="1:1" ht="12.75" customHeight="1">
      <c r="A7476" s="129">
        <v>7476</v>
      </c>
    </row>
    <row r="7477" spans="1:1" ht="12.75" customHeight="1">
      <c r="A7477" s="129">
        <v>7477</v>
      </c>
    </row>
    <row r="7478" spans="1:1" ht="12.75" customHeight="1">
      <c r="A7478" s="129">
        <v>7478</v>
      </c>
    </row>
    <row r="7479" spans="1:1" ht="12.75" customHeight="1">
      <c r="A7479" s="129">
        <v>7479</v>
      </c>
    </row>
    <row r="7480" spans="1:1" ht="12.75" customHeight="1">
      <c r="A7480" s="129">
        <v>7480</v>
      </c>
    </row>
    <row r="7481" spans="1:1" ht="12.75" customHeight="1">
      <c r="A7481" s="129">
        <v>7481</v>
      </c>
    </row>
    <row r="7482" spans="1:1" ht="12.75" customHeight="1">
      <c r="A7482" s="129">
        <v>7482</v>
      </c>
    </row>
    <row r="7483" spans="1:1" ht="12.75" customHeight="1">
      <c r="A7483" s="129">
        <v>7483</v>
      </c>
    </row>
    <row r="7484" spans="1:1" ht="12.75" customHeight="1">
      <c r="A7484" s="129">
        <v>7484</v>
      </c>
    </row>
    <row r="7485" spans="1:1" ht="12.75" customHeight="1">
      <c r="A7485" s="129">
        <v>7485</v>
      </c>
    </row>
    <row r="7486" spans="1:1" ht="12.75" customHeight="1">
      <c r="A7486" s="129">
        <v>7486</v>
      </c>
    </row>
    <row r="7487" spans="1:1" ht="12.75" customHeight="1">
      <c r="A7487" s="129">
        <v>7487</v>
      </c>
    </row>
    <row r="7488" spans="1:1" ht="12.75" customHeight="1">
      <c r="A7488" s="129">
        <v>7488</v>
      </c>
    </row>
    <row r="7489" spans="1:1" ht="12.75" customHeight="1">
      <c r="A7489" s="129">
        <v>7489</v>
      </c>
    </row>
    <row r="7490" spans="1:1" ht="12.75" customHeight="1">
      <c r="A7490" s="129">
        <v>7490</v>
      </c>
    </row>
    <row r="7491" spans="1:1" ht="12.75" customHeight="1">
      <c r="A7491" s="129">
        <v>7491</v>
      </c>
    </row>
    <row r="7492" spans="1:1" ht="12.75" customHeight="1">
      <c r="A7492" s="129">
        <v>7492</v>
      </c>
    </row>
    <row r="7493" spans="1:1" ht="12.75" customHeight="1">
      <c r="A7493" s="129">
        <v>7493</v>
      </c>
    </row>
    <row r="7494" spans="1:1" ht="12.75" customHeight="1">
      <c r="A7494" s="129">
        <v>7494</v>
      </c>
    </row>
    <row r="7495" spans="1:1" ht="12.75" customHeight="1">
      <c r="A7495" s="129">
        <v>7495</v>
      </c>
    </row>
    <row r="7496" spans="1:1" ht="12.75" customHeight="1">
      <c r="A7496" s="129">
        <v>7496</v>
      </c>
    </row>
    <row r="7497" spans="1:1" ht="12.75" customHeight="1">
      <c r="A7497" s="129">
        <v>7497</v>
      </c>
    </row>
    <row r="7498" spans="1:1" ht="12.75" customHeight="1">
      <c r="A7498" s="129">
        <v>7498</v>
      </c>
    </row>
    <row r="7499" spans="1:1" ht="12.75" customHeight="1">
      <c r="A7499" s="129">
        <v>7499</v>
      </c>
    </row>
    <row r="7500" spans="1:1" ht="12.75" customHeight="1">
      <c r="A7500" s="129">
        <v>7500</v>
      </c>
    </row>
    <row r="7501" spans="1:1" ht="12.75" customHeight="1">
      <c r="A7501" s="129">
        <v>7501</v>
      </c>
    </row>
    <row r="7502" spans="1:1" ht="12.75" customHeight="1">
      <c r="A7502" s="129">
        <v>7502</v>
      </c>
    </row>
    <row r="7503" spans="1:1" ht="12.75" customHeight="1">
      <c r="A7503" s="129">
        <v>7503</v>
      </c>
    </row>
    <row r="7504" spans="1:1" ht="12.75" customHeight="1">
      <c r="A7504" s="129">
        <v>7504</v>
      </c>
    </row>
    <row r="7505" spans="1:1" ht="12.75" customHeight="1">
      <c r="A7505" s="129">
        <v>7505</v>
      </c>
    </row>
    <row r="7506" spans="1:1" ht="12.75" customHeight="1">
      <c r="A7506" s="129">
        <v>7506</v>
      </c>
    </row>
    <row r="7507" spans="1:1" ht="12.75" customHeight="1">
      <c r="A7507" s="129">
        <v>7507</v>
      </c>
    </row>
    <row r="7508" spans="1:1" ht="12.75" customHeight="1">
      <c r="A7508" s="129">
        <v>7508</v>
      </c>
    </row>
    <row r="7509" spans="1:1" ht="12.75" customHeight="1">
      <c r="A7509" s="129">
        <v>7509</v>
      </c>
    </row>
    <row r="7510" spans="1:1" ht="12.75" customHeight="1">
      <c r="A7510" s="129">
        <v>7510</v>
      </c>
    </row>
    <row r="7511" spans="1:1" ht="12.75" customHeight="1">
      <c r="A7511" s="129">
        <v>7511</v>
      </c>
    </row>
    <row r="7512" spans="1:1" ht="12.75" customHeight="1">
      <c r="A7512" s="129">
        <v>7512</v>
      </c>
    </row>
    <row r="7513" spans="1:1" ht="12.75" customHeight="1">
      <c r="A7513" s="129">
        <v>7513</v>
      </c>
    </row>
    <row r="7514" spans="1:1" ht="12.75" customHeight="1">
      <c r="A7514" s="129">
        <v>7514</v>
      </c>
    </row>
    <row r="7515" spans="1:1" ht="12.75" customHeight="1">
      <c r="A7515" s="129">
        <v>7515</v>
      </c>
    </row>
    <row r="7516" spans="1:1" ht="12.75" customHeight="1">
      <c r="A7516" s="129">
        <v>7516</v>
      </c>
    </row>
    <row r="7517" spans="1:1" ht="12.75" customHeight="1">
      <c r="A7517" s="129">
        <v>7517</v>
      </c>
    </row>
    <row r="7518" spans="1:1" ht="12.75" customHeight="1">
      <c r="A7518" s="129">
        <v>7518</v>
      </c>
    </row>
    <row r="7519" spans="1:1" ht="12.75" customHeight="1">
      <c r="A7519" s="129">
        <v>7519</v>
      </c>
    </row>
    <row r="7520" spans="1:1" ht="12.75" customHeight="1">
      <c r="A7520" s="129">
        <v>7520</v>
      </c>
    </row>
    <row r="7521" spans="1:1" ht="12.75" customHeight="1">
      <c r="A7521" s="129">
        <v>7521</v>
      </c>
    </row>
    <row r="7522" spans="1:1" ht="12.75" customHeight="1">
      <c r="A7522" s="129">
        <v>7522</v>
      </c>
    </row>
    <row r="7523" spans="1:1" ht="12.75" customHeight="1">
      <c r="A7523" s="129">
        <v>7523</v>
      </c>
    </row>
    <row r="7524" spans="1:1" ht="12.75" customHeight="1">
      <c r="A7524" s="129">
        <v>7524</v>
      </c>
    </row>
    <row r="7525" spans="1:1" ht="12.75" customHeight="1">
      <c r="A7525" s="129">
        <v>7525</v>
      </c>
    </row>
    <row r="7526" spans="1:1" ht="12.75" customHeight="1">
      <c r="A7526" s="129">
        <v>7526</v>
      </c>
    </row>
    <row r="7527" spans="1:1" ht="12.75" customHeight="1">
      <c r="A7527" s="129">
        <v>7527</v>
      </c>
    </row>
    <row r="7528" spans="1:1" ht="12.75" customHeight="1">
      <c r="A7528" s="129">
        <v>7528</v>
      </c>
    </row>
    <row r="7529" spans="1:1" ht="12.75" customHeight="1">
      <c r="A7529" s="129">
        <v>7529</v>
      </c>
    </row>
    <row r="7530" spans="1:1" ht="12.75" customHeight="1">
      <c r="A7530" s="129">
        <v>7530</v>
      </c>
    </row>
    <row r="7531" spans="1:1" ht="12.75" customHeight="1">
      <c r="A7531" s="129">
        <v>7531</v>
      </c>
    </row>
    <row r="7532" spans="1:1" ht="12.75" customHeight="1">
      <c r="A7532" s="129">
        <v>7532</v>
      </c>
    </row>
    <row r="7533" spans="1:1" ht="12.75" customHeight="1">
      <c r="A7533" s="129">
        <v>7533</v>
      </c>
    </row>
    <row r="7534" spans="1:1" ht="12.75" customHeight="1">
      <c r="A7534" s="129">
        <v>7534</v>
      </c>
    </row>
    <row r="7535" spans="1:1" ht="12.75" customHeight="1">
      <c r="A7535" s="129">
        <v>7535</v>
      </c>
    </row>
    <row r="7536" spans="1:1" ht="12.75" customHeight="1">
      <c r="A7536" s="129">
        <v>7536</v>
      </c>
    </row>
    <row r="7537" spans="1:1" ht="12.75" customHeight="1">
      <c r="A7537" s="129">
        <v>7537</v>
      </c>
    </row>
    <row r="7538" spans="1:1" ht="12.75" customHeight="1">
      <c r="A7538" s="129">
        <v>7538</v>
      </c>
    </row>
    <row r="7539" spans="1:1" ht="12.75" customHeight="1">
      <c r="A7539" s="129">
        <v>7539</v>
      </c>
    </row>
    <row r="7540" spans="1:1" ht="12.75" customHeight="1">
      <c r="A7540" s="129">
        <v>7540</v>
      </c>
    </row>
    <row r="7541" spans="1:1" ht="12.75" customHeight="1">
      <c r="A7541" s="129">
        <v>7541</v>
      </c>
    </row>
    <row r="7542" spans="1:1" ht="12.75" customHeight="1">
      <c r="A7542" s="129">
        <v>7542</v>
      </c>
    </row>
    <row r="7543" spans="1:1" ht="12.75" customHeight="1">
      <c r="A7543" s="129">
        <v>7543</v>
      </c>
    </row>
    <row r="7544" spans="1:1" ht="12.75" customHeight="1">
      <c r="A7544" s="129">
        <v>7544</v>
      </c>
    </row>
    <row r="7545" spans="1:1" ht="12.75" customHeight="1">
      <c r="A7545" s="129">
        <v>7545</v>
      </c>
    </row>
    <row r="7546" spans="1:1" ht="12.75" customHeight="1">
      <c r="A7546" s="129">
        <v>7546</v>
      </c>
    </row>
    <row r="7547" spans="1:1" ht="12.75" customHeight="1">
      <c r="A7547" s="129">
        <v>7547</v>
      </c>
    </row>
    <row r="7548" spans="1:1" ht="12.75" customHeight="1">
      <c r="A7548" s="129">
        <v>7548</v>
      </c>
    </row>
    <row r="7549" spans="1:1" ht="12.75" customHeight="1">
      <c r="A7549" s="129">
        <v>7549</v>
      </c>
    </row>
    <row r="7550" spans="1:1" ht="12.75" customHeight="1">
      <c r="A7550" s="129">
        <v>7550</v>
      </c>
    </row>
    <row r="7551" spans="1:1" ht="12.75" customHeight="1">
      <c r="A7551" s="129">
        <v>7551</v>
      </c>
    </row>
    <row r="7552" spans="1:1" ht="12.75" customHeight="1">
      <c r="A7552" s="129">
        <v>7552</v>
      </c>
    </row>
    <row r="7553" spans="1:1" ht="12.75" customHeight="1">
      <c r="A7553" s="129">
        <v>7553</v>
      </c>
    </row>
    <row r="7554" spans="1:1" ht="12.75" customHeight="1">
      <c r="A7554" s="129">
        <v>7554</v>
      </c>
    </row>
    <row r="7555" spans="1:1" ht="12.75" customHeight="1">
      <c r="A7555" s="129">
        <v>7555</v>
      </c>
    </row>
    <row r="7556" spans="1:1" ht="12.75" customHeight="1">
      <c r="A7556" s="129">
        <v>7556</v>
      </c>
    </row>
    <row r="7557" spans="1:1" ht="12.75" customHeight="1">
      <c r="A7557" s="129">
        <v>7557</v>
      </c>
    </row>
    <row r="7558" spans="1:1" ht="12.75" customHeight="1">
      <c r="A7558" s="129">
        <v>7558</v>
      </c>
    </row>
    <row r="7559" spans="1:1" ht="12.75" customHeight="1">
      <c r="A7559" s="129">
        <v>7559</v>
      </c>
    </row>
    <row r="7560" spans="1:1" ht="12.75" customHeight="1">
      <c r="A7560" s="129">
        <v>7560</v>
      </c>
    </row>
    <row r="7561" spans="1:1" ht="12.75" customHeight="1">
      <c r="A7561" s="129">
        <v>7561</v>
      </c>
    </row>
    <row r="7562" spans="1:1" ht="12.75" customHeight="1">
      <c r="A7562" s="129">
        <v>7562</v>
      </c>
    </row>
    <row r="7563" spans="1:1" ht="12.75" customHeight="1">
      <c r="A7563" s="129">
        <v>7563</v>
      </c>
    </row>
    <row r="7564" spans="1:1" ht="12.75" customHeight="1">
      <c r="A7564" s="129">
        <v>7564</v>
      </c>
    </row>
    <row r="7565" spans="1:1" ht="12.75" customHeight="1">
      <c r="A7565" s="129">
        <v>7565</v>
      </c>
    </row>
    <row r="7566" spans="1:1" ht="12.75" customHeight="1">
      <c r="A7566" s="129">
        <v>7566</v>
      </c>
    </row>
    <row r="7567" spans="1:1" ht="12.75" customHeight="1">
      <c r="A7567" s="129">
        <v>7567</v>
      </c>
    </row>
    <row r="7568" spans="1:1" ht="12.75" customHeight="1">
      <c r="A7568" s="129">
        <v>7568</v>
      </c>
    </row>
    <row r="7569" spans="1:1" ht="12.75" customHeight="1">
      <c r="A7569" s="129">
        <v>7569</v>
      </c>
    </row>
    <row r="7570" spans="1:1" ht="12.75" customHeight="1">
      <c r="A7570" s="129">
        <v>7570</v>
      </c>
    </row>
    <row r="7571" spans="1:1" ht="12.75" customHeight="1">
      <c r="A7571" s="129">
        <v>7571</v>
      </c>
    </row>
    <row r="7572" spans="1:1" ht="12.75" customHeight="1">
      <c r="A7572" s="129">
        <v>7572</v>
      </c>
    </row>
    <row r="7573" spans="1:1" ht="12.75" customHeight="1">
      <c r="A7573" s="129">
        <v>7573</v>
      </c>
    </row>
    <row r="7574" spans="1:1" ht="12.75" customHeight="1">
      <c r="A7574" s="129">
        <v>7574</v>
      </c>
    </row>
    <row r="7575" spans="1:1" ht="12.75" customHeight="1">
      <c r="A7575" s="129">
        <v>7575</v>
      </c>
    </row>
    <row r="7576" spans="1:1" ht="12.75" customHeight="1">
      <c r="A7576" s="129">
        <v>7576</v>
      </c>
    </row>
    <row r="7577" spans="1:1" ht="12.75" customHeight="1">
      <c r="A7577" s="129">
        <v>7577</v>
      </c>
    </row>
    <row r="7578" spans="1:1" ht="12.75" customHeight="1">
      <c r="A7578" s="129">
        <v>7578</v>
      </c>
    </row>
    <row r="7579" spans="1:1" ht="12.75" customHeight="1">
      <c r="A7579" s="129">
        <v>7579</v>
      </c>
    </row>
    <row r="7580" spans="1:1" ht="12.75" customHeight="1">
      <c r="A7580" s="129">
        <v>7580</v>
      </c>
    </row>
    <row r="7581" spans="1:1" ht="12.75" customHeight="1">
      <c r="A7581" s="129">
        <v>7581</v>
      </c>
    </row>
    <row r="7582" spans="1:1" ht="12.75" customHeight="1">
      <c r="A7582" s="129">
        <v>7582</v>
      </c>
    </row>
    <row r="7583" spans="1:1" ht="12.75" customHeight="1">
      <c r="A7583" s="129">
        <v>7583</v>
      </c>
    </row>
    <row r="7584" spans="1:1" ht="12.75" customHeight="1">
      <c r="A7584" s="129">
        <v>7584</v>
      </c>
    </row>
    <row r="7585" spans="1:1" ht="12.75" customHeight="1">
      <c r="A7585" s="129">
        <v>7585</v>
      </c>
    </row>
    <row r="7586" spans="1:1" ht="12.75" customHeight="1">
      <c r="A7586" s="129">
        <v>7586</v>
      </c>
    </row>
    <row r="7587" spans="1:1" ht="12.75" customHeight="1">
      <c r="A7587" s="129">
        <v>7587</v>
      </c>
    </row>
    <row r="7588" spans="1:1" ht="12.75" customHeight="1">
      <c r="A7588" s="129">
        <v>7588</v>
      </c>
    </row>
    <row r="7589" spans="1:1" ht="12.75" customHeight="1">
      <c r="A7589" s="129">
        <v>7589</v>
      </c>
    </row>
    <row r="7590" spans="1:1" ht="12.75" customHeight="1">
      <c r="A7590" s="129">
        <v>7590</v>
      </c>
    </row>
    <row r="7591" spans="1:1" ht="12.75" customHeight="1">
      <c r="A7591" s="129">
        <v>7591</v>
      </c>
    </row>
    <row r="7592" spans="1:1" ht="12.75" customHeight="1">
      <c r="A7592" s="129">
        <v>7592</v>
      </c>
    </row>
    <row r="7593" spans="1:1" ht="12.75" customHeight="1">
      <c r="A7593" s="129">
        <v>7593</v>
      </c>
    </row>
    <row r="7594" spans="1:1" ht="12.75" customHeight="1">
      <c r="A7594" s="129">
        <v>7594</v>
      </c>
    </row>
    <row r="7595" spans="1:1" ht="12.75" customHeight="1">
      <c r="A7595" s="129">
        <v>7595</v>
      </c>
    </row>
    <row r="7596" spans="1:1" ht="12.75" customHeight="1">
      <c r="A7596" s="129">
        <v>7596</v>
      </c>
    </row>
    <row r="7597" spans="1:1" ht="12.75" customHeight="1">
      <c r="A7597" s="129">
        <v>7597</v>
      </c>
    </row>
    <row r="7598" spans="1:1" ht="12.75" customHeight="1">
      <c r="A7598" s="129">
        <v>7598</v>
      </c>
    </row>
    <row r="7599" spans="1:1" ht="12.75" customHeight="1">
      <c r="A7599" s="129">
        <v>7599</v>
      </c>
    </row>
    <row r="7600" spans="1:1" ht="12.75" customHeight="1">
      <c r="A7600" s="129">
        <v>7600</v>
      </c>
    </row>
    <row r="7601" spans="1:1" ht="12.75" customHeight="1">
      <c r="A7601" s="129">
        <v>7601</v>
      </c>
    </row>
    <row r="7602" spans="1:1" ht="12.75" customHeight="1">
      <c r="A7602" s="129">
        <v>7602</v>
      </c>
    </row>
    <row r="7603" spans="1:1" ht="12.75" customHeight="1">
      <c r="A7603" s="129">
        <v>7603</v>
      </c>
    </row>
    <row r="7604" spans="1:1" ht="12.75" customHeight="1">
      <c r="A7604" s="129">
        <v>7604</v>
      </c>
    </row>
    <row r="7605" spans="1:1" ht="12.75" customHeight="1">
      <c r="A7605" s="129">
        <v>7605</v>
      </c>
    </row>
    <row r="7606" spans="1:1" ht="12.75" customHeight="1">
      <c r="A7606" s="129">
        <v>7606</v>
      </c>
    </row>
    <row r="7607" spans="1:1" ht="12.75" customHeight="1">
      <c r="A7607" s="129">
        <v>7607</v>
      </c>
    </row>
    <row r="7608" spans="1:1" ht="12.75" customHeight="1">
      <c r="A7608" s="129">
        <v>7608</v>
      </c>
    </row>
    <row r="7609" spans="1:1" ht="12.75" customHeight="1">
      <c r="A7609" s="129">
        <v>7609</v>
      </c>
    </row>
    <row r="7610" spans="1:1" ht="12.75" customHeight="1">
      <c r="A7610" s="129">
        <v>7610</v>
      </c>
    </row>
    <row r="7611" spans="1:1" ht="12.75" customHeight="1">
      <c r="A7611" s="129">
        <v>7611</v>
      </c>
    </row>
    <row r="7612" spans="1:1" ht="12.75" customHeight="1">
      <c r="A7612" s="129">
        <v>7612</v>
      </c>
    </row>
    <row r="7613" spans="1:1" ht="12.75" customHeight="1">
      <c r="A7613" s="129">
        <v>7613</v>
      </c>
    </row>
    <row r="7614" spans="1:1" ht="12.75" customHeight="1">
      <c r="A7614" s="129">
        <v>7614</v>
      </c>
    </row>
    <row r="7615" spans="1:1" ht="12.75" customHeight="1">
      <c r="A7615" s="129">
        <v>7615</v>
      </c>
    </row>
    <row r="7616" spans="1:1" ht="12.75" customHeight="1">
      <c r="A7616" s="129">
        <v>7616</v>
      </c>
    </row>
    <row r="7617" spans="1:1" ht="12.75" customHeight="1">
      <c r="A7617" s="129">
        <v>7617</v>
      </c>
    </row>
    <row r="7618" spans="1:1" ht="12.75" customHeight="1">
      <c r="A7618" s="129">
        <v>7618</v>
      </c>
    </row>
    <row r="7619" spans="1:1" ht="12.75" customHeight="1">
      <c r="A7619" s="129">
        <v>7619</v>
      </c>
    </row>
    <row r="7620" spans="1:1" ht="12.75" customHeight="1">
      <c r="A7620" s="129">
        <v>7620</v>
      </c>
    </row>
    <row r="7621" spans="1:1" ht="12.75" customHeight="1">
      <c r="A7621" s="129">
        <v>7621</v>
      </c>
    </row>
    <row r="7622" spans="1:1" ht="12.75" customHeight="1">
      <c r="A7622" s="129">
        <v>7622</v>
      </c>
    </row>
    <row r="7623" spans="1:1" ht="12.75" customHeight="1">
      <c r="A7623" s="129">
        <v>7623</v>
      </c>
    </row>
    <row r="7624" spans="1:1" ht="12.75" customHeight="1">
      <c r="A7624" s="129">
        <v>7624</v>
      </c>
    </row>
    <row r="7625" spans="1:1" ht="12.75" customHeight="1">
      <c r="A7625" s="129">
        <v>7625</v>
      </c>
    </row>
    <row r="7626" spans="1:1" ht="12.75" customHeight="1">
      <c r="A7626" s="129">
        <v>7626</v>
      </c>
    </row>
    <row r="7627" spans="1:1" ht="12.75" customHeight="1">
      <c r="A7627" s="129">
        <v>7627</v>
      </c>
    </row>
    <row r="7628" spans="1:1" ht="12.75" customHeight="1">
      <c r="A7628" s="129">
        <v>7628</v>
      </c>
    </row>
    <row r="7629" spans="1:1" ht="12.75" customHeight="1">
      <c r="A7629" s="129">
        <v>7629</v>
      </c>
    </row>
    <row r="7630" spans="1:1" ht="12.75" customHeight="1">
      <c r="A7630" s="129">
        <v>7630</v>
      </c>
    </row>
    <row r="7631" spans="1:1" ht="12.75" customHeight="1">
      <c r="A7631" s="129">
        <v>7631</v>
      </c>
    </row>
    <row r="7632" spans="1:1" ht="12.75" customHeight="1">
      <c r="A7632" s="129">
        <v>7632</v>
      </c>
    </row>
    <row r="7633" spans="1:1" ht="12.75" customHeight="1">
      <c r="A7633" s="129">
        <v>7633</v>
      </c>
    </row>
    <row r="7634" spans="1:1" ht="12.75" customHeight="1">
      <c r="A7634" s="129">
        <v>7634</v>
      </c>
    </row>
    <row r="7635" spans="1:1" ht="12.75" customHeight="1">
      <c r="A7635" s="129">
        <v>7635</v>
      </c>
    </row>
    <row r="7636" spans="1:1" ht="12.75" customHeight="1">
      <c r="A7636" s="129">
        <v>7636</v>
      </c>
    </row>
    <row r="7637" spans="1:1" ht="12.75" customHeight="1">
      <c r="A7637" s="129">
        <v>7637</v>
      </c>
    </row>
    <row r="7638" spans="1:1" ht="12.75" customHeight="1">
      <c r="A7638" s="129">
        <v>7638</v>
      </c>
    </row>
    <row r="7639" spans="1:1" ht="12.75" customHeight="1">
      <c r="A7639" s="129">
        <v>7639</v>
      </c>
    </row>
    <row r="7640" spans="1:1" ht="12.75" customHeight="1">
      <c r="A7640" s="129">
        <v>7640</v>
      </c>
    </row>
    <row r="7641" spans="1:1" ht="12.75" customHeight="1">
      <c r="A7641" s="129">
        <v>7641</v>
      </c>
    </row>
    <row r="7642" spans="1:1" ht="12.75" customHeight="1">
      <c r="A7642" s="129">
        <v>7642</v>
      </c>
    </row>
    <row r="7643" spans="1:1" ht="12.75" customHeight="1">
      <c r="A7643" s="129">
        <v>7643</v>
      </c>
    </row>
    <row r="7644" spans="1:1" ht="12.75" customHeight="1">
      <c r="A7644" s="129">
        <v>7644</v>
      </c>
    </row>
    <row r="7645" spans="1:1" ht="12.75" customHeight="1">
      <c r="A7645" s="129">
        <v>7645</v>
      </c>
    </row>
    <row r="7646" spans="1:1" ht="12.75" customHeight="1">
      <c r="A7646" s="129">
        <v>7646</v>
      </c>
    </row>
    <row r="7647" spans="1:1" ht="12.75" customHeight="1">
      <c r="A7647" s="129">
        <v>7647</v>
      </c>
    </row>
    <row r="7648" spans="1:1" ht="12.75" customHeight="1">
      <c r="A7648" s="129">
        <v>7648</v>
      </c>
    </row>
    <row r="7649" spans="1:1" ht="12.75" customHeight="1">
      <c r="A7649" s="129">
        <v>7649</v>
      </c>
    </row>
    <row r="7650" spans="1:1" ht="12.75" customHeight="1">
      <c r="A7650" s="129">
        <v>7650</v>
      </c>
    </row>
    <row r="7651" spans="1:1" ht="12.75" customHeight="1">
      <c r="A7651" s="129">
        <v>7651</v>
      </c>
    </row>
    <row r="7652" spans="1:1" ht="12.75" customHeight="1">
      <c r="A7652" s="129">
        <v>7652</v>
      </c>
    </row>
    <row r="7653" spans="1:1" ht="12.75" customHeight="1">
      <c r="A7653" s="129">
        <v>7653</v>
      </c>
    </row>
    <row r="7654" spans="1:1" ht="12.75" customHeight="1">
      <c r="A7654" s="129">
        <v>7654</v>
      </c>
    </row>
    <row r="7655" spans="1:1" ht="12.75" customHeight="1">
      <c r="A7655" s="129">
        <v>7655</v>
      </c>
    </row>
    <row r="7656" spans="1:1" ht="12.75" customHeight="1">
      <c r="A7656" s="129">
        <v>7656</v>
      </c>
    </row>
    <row r="7657" spans="1:1" ht="12.75" customHeight="1">
      <c r="A7657" s="129">
        <v>7657</v>
      </c>
    </row>
    <row r="7658" spans="1:1" ht="12.75" customHeight="1">
      <c r="A7658" s="129">
        <v>7658</v>
      </c>
    </row>
    <row r="7659" spans="1:1" ht="12.75" customHeight="1">
      <c r="A7659" s="129">
        <v>7659</v>
      </c>
    </row>
    <row r="7660" spans="1:1" ht="12.75" customHeight="1">
      <c r="A7660" s="129">
        <v>7660</v>
      </c>
    </row>
    <row r="7661" spans="1:1" ht="12.75" customHeight="1">
      <c r="A7661" s="129">
        <v>7661</v>
      </c>
    </row>
    <row r="7662" spans="1:1" ht="12.75" customHeight="1">
      <c r="A7662" s="129">
        <v>7662</v>
      </c>
    </row>
    <row r="7663" spans="1:1" ht="12.75" customHeight="1">
      <c r="A7663" s="129">
        <v>7663</v>
      </c>
    </row>
    <row r="7664" spans="1:1" ht="12.75" customHeight="1">
      <c r="A7664" s="129">
        <v>7664</v>
      </c>
    </row>
    <row r="7665" spans="1:1" ht="12.75" customHeight="1">
      <c r="A7665" s="129">
        <v>7665</v>
      </c>
    </row>
    <row r="7666" spans="1:1" ht="12.75" customHeight="1">
      <c r="A7666" s="129">
        <v>7666</v>
      </c>
    </row>
    <row r="7667" spans="1:1" ht="12.75" customHeight="1">
      <c r="A7667" s="129">
        <v>7667</v>
      </c>
    </row>
    <row r="7668" spans="1:1" ht="12.75" customHeight="1">
      <c r="A7668" s="129">
        <v>7668</v>
      </c>
    </row>
    <row r="7669" spans="1:1" ht="12.75" customHeight="1">
      <c r="A7669" s="129">
        <v>7669</v>
      </c>
    </row>
    <row r="7670" spans="1:1" ht="12.75" customHeight="1">
      <c r="A7670" s="129">
        <v>7670</v>
      </c>
    </row>
    <row r="7671" spans="1:1" ht="12.75" customHeight="1">
      <c r="A7671" s="129">
        <v>7671</v>
      </c>
    </row>
    <row r="7672" spans="1:1" ht="12.75" customHeight="1">
      <c r="A7672" s="129">
        <v>7672</v>
      </c>
    </row>
    <row r="7673" spans="1:1" ht="12.75" customHeight="1">
      <c r="A7673" s="129">
        <v>7673</v>
      </c>
    </row>
    <row r="7674" spans="1:1" ht="12.75" customHeight="1">
      <c r="A7674" s="129">
        <v>7674</v>
      </c>
    </row>
    <row r="7675" spans="1:1" ht="12.75" customHeight="1">
      <c r="A7675" s="129">
        <v>7675</v>
      </c>
    </row>
    <row r="7676" spans="1:1" ht="12.75" customHeight="1">
      <c r="A7676" s="129">
        <v>7676</v>
      </c>
    </row>
    <row r="7677" spans="1:1" ht="12.75" customHeight="1">
      <c r="A7677" s="129">
        <v>7677</v>
      </c>
    </row>
    <row r="7678" spans="1:1" ht="12.75" customHeight="1">
      <c r="A7678" s="129">
        <v>7678</v>
      </c>
    </row>
    <row r="7679" spans="1:1" ht="12.75" customHeight="1">
      <c r="A7679" s="129">
        <v>7679</v>
      </c>
    </row>
    <row r="7680" spans="1:1" ht="12.75" customHeight="1">
      <c r="A7680" s="129">
        <v>7680</v>
      </c>
    </row>
    <row r="7681" spans="1:1" ht="12.75" customHeight="1">
      <c r="A7681" s="129">
        <v>7681</v>
      </c>
    </row>
    <row r="7682" spans="1:1" ht="12.75" customHeight="1">
      <c r="A7682" s="129">
        <v>7682</v>
      </c>
    </row>
    <row r="7683" spans="1:1" ht="12.75" customHeight="1">
      <c r="A7683" s="129">
        <v>7683</v>
      </c>
    </row>
    <row r="7684" spans="1:1" ht="12.75" customHeight="1">
      <c r="A7684" s="129">
        <v>7684</v>
      </c>
    </row>
    <row r="7685" spans="1:1" ht="12.75" customHeight="1">
      <c r="A7685" s="129">
        <v>7685</v>
      </c>
    </row>
    <row r="7686" spans="1:1" ht="12.75" customHeight="1">
      <c r="A7686" s="129">
        <v>7686</v>
      </c>
    </row>
    <row r="7687" spans="1:1" ht="12.75" customHeight="1">
      <c r="A7687" s="129">
        <v>7687</v>
      </c>
    </row>
    <row r="7688" spans="1:1" ht="12.75" customHeight="1">
      <c r="A7688" s="129">
        <v>7688</v>
      </c>
    </row>
    <row r="7689" spans="1:1" ht="12.75" customHeight="1">
      <c r="A7689" s="129">
        <v>7689</v>
      </c>
    </row>
    <row r="7690" spans="1:1" ht="12.75" customHeight="1">
      <c r="A7690" s="129">
        <v>7690</v>
      </c>
    </row>
    <row r="7691" spans="1:1" ht="12.75" customHeight="1">
      <c r="A7691" s="129">
        <v>7691</v>
      </c>
    </row>
    <row r="7692" spans="1:1" ht="12.75" customHeight="1">
      <c r="A7692" s="129">
        <v>7692</v>
      </c>
    </row>
    <row r="7693" spans="1:1" ht="12.75" customHeight="1">
      <c r="A7693" s="129">
        <v>7693</v>
      </c>
    </row>
    <row r="7694" spans="1:1" ht="12.75" customHeight="1">
      <c r="A7694" s="129">
        <v>7694</v>
      </c>
    </row>
    <row r="7695" spans="1:1" ht="12.75" customHeight="1">
      <c r="A7695" s="129">
        <v>7695</v>
      </c>
    </row>
    <row r="7696" spans="1:1" ht="12.75" customHeight="1">
      <c r="A7696" s="129">
        <v>7696</v>
      </c>
    </row>
    <row r="7697" spans="1:1" ht="12.75" customHeight="1">
      <c r="A7697" s="129">
        <v>7697</v>
      </c>
    </row>
    <row r="7698" spans="1:1" ht="12.75" customHeight="1">
      <c r="A7698" s="129">
        <v>7698</v>
      </c>
    </row>
    <row r="7699" spans="1:1" ht="12.75" customHeight="1">
      <c r="A7699" s="129">
        <v>7699</v>
      </c>
    </row>
    <row r="7700" spans="1:1" ht="12.75" customHeight="1">
      <c r="A7700" s="129">
        <v>7700</v>
      </c>
    </row>
    <row r="7701" spans="1:1" ht="12.75" customHeight="1">
      <c r="A7701" s="129">
        <v>7701</v>
      </c>
    </row>
    <row r="7702" spans="1:1" ht="12.75" customHeight="1">
      <c r="A7702" s="129">
        <v>7702</v>
      </c>
    </row>
    <row r="7703" spans="1:1" ht="12.75" customHeight="1">
      <c r="A7703" s="129">
        <v>7703</v>
      </c>
    </row>
    <row r="7704" spans="1:1" ht="12.75" customHeight="1">
      <c r="A7704" s="129">
        <v>7704</v>
      </c>
    </row>
    <row r="7705" spans="1:1" ht="12.75" customHeight="1">
      <c r="A7705" s="129">
        <v>7705</v>
      </c>
    </row>
    <row r="7706" spans="1:1" ht="12.75" customHeight="1">
      <c r="A7706" s="129">
        <v>7706</v>
      </c>
    </row>
    <row r="7707" spans="1:1" ht="12.75" customHeight="1">
      <c r="A7707" s="129">
        <v>7707</v>
      </c>
    </row>
    <row r="7708" spans="1:1" ht="12.75" customHeight="1">
      <c r="A7708" s="129">
        <v>7708</v>
      </c>
    </row>
    <row r="7709" spans="1:1" ht="12.75" customHeight="1">
      <c r="A7709" s="129">
        <v>7709</v>
      </c>
    </row>
    <row r="7710" spans="1:1" ht="12.75" customHeight="1">
      <c r="A7710" s="129">
        <v>7710</v>
      </c>
    </row>
    <row r="7711" spans="1:1" ht="12.75" customHeight="1">
      <c r="A7711" s="129">
        <v>7711</v>
      </c>
    </row>
    <row r="7712" spans="1:1" ht="12.75" customHeight="1">
      <c r="A7712" s="129">
        <v>7712</v>
      </c>
    </row>
    <row r="7713" spans="1:1" ht="12.75" customHeight="1">
      <c r="A7713" s="129">
        <v>7713</v>
      </c>
    </row>
    <row r="7714" spans="1:1" ht="12.75" customHeight="1">
      <c r="A7714" s="129">
        <v>7714</v>
      </c>
    </row>
    <row r="7715" spans="1:1" ht="12.75" customHeight="1">
      <c r="A7715" s="129">
        <v>7715</v>
      </c>
    </row>
    <row r="7716" spans="1:1" ht="12.75" customHeight="1">
      <c r="A7716" s="129">
        <v>7716</v>
      </c>
    </row>
    <row r="7717" spans="1:1" ht="12.75" customHeight="1">
      <c r="A7717" s="129">
        <v>7717</v>
      </c>
    </row>
    <row r="7718" spans="1:1" ht="12.75" customHeight="1">
      <c r="A7718" s="129">
        <v>7718</v>
      </c>
    </row>
    <row r="7719" spans="1:1" ht="12.75" customHeight="1">
      <c r="A7719" s="129">
        <v>7719</v>
      </c>
    </row>
    <row r="7720" spans="1:1" ht="12.75" customHeight="1">
      <c r="A7720" s="129">
        <v>7720</v>
      </c>
    </row>
    <row r="7721" spans="1:1" ht="12.75" customHeight="1">
      <c r="A7721" s="129">
        <v>7721</v>
      </c>
    </row>
    <row r="7722" spans="1:1" ht="12.75" customHeight="1">
      <c r="A7722" s="129">
        <v>7722</v>
      </c>
    </row>
    <row r="7723" spans="1:1" ht="12.75" customHeight="1">
      <c r="A7723" s="129">
        <v>7723</v>
      </c>
    </row>
    <row r="7724" spans="1:1" ht="12.75" customHeight="1">
      <c r="A7724" s="129">
        <v>7724</v>
      </c>
    </row>
    <row r="7725" spans="1:1" ht="12.75" customHeight="1">
      <c r="A7725" s="129">
        <v>7725</v>
      </c>
    </row>
    <row r="7726" spans="1:1" ht="12.75" customHeight="1">
      <c r="A7726" s="129">
        <v>7726</v>
      </c>
    </row>
    <row r="7727" spans="1:1" ht="12.75" customHeight="1">
      <c r="A7727" s="129">
        <v>7727</v>
      </c>
    </row>
    <row r="7728" spans="1:1" ht="12.75" customHeight="1">
      <c r="A7728" s="129">
        <v>7728</v>
      </c>
    </row>
    <row r="7729" spans="1:1" ht="12.75" customHeight="1">
      <c r="A7729" s="129">
        <v>7729</v>
      </c>
    </row>
    <row r="7730" spans="1:1" ht="12.75" customHeight="1">
      <c r="A7730" s="129">
        <v>7730</v>
      </c>
    </row>
    <row r="7731" spans="1:1" ht="12.75" customHeight="1">
      <c r="A7731" s="129">
        <v>7731</v>
      </c>
    </row>
    <row r="7732" spans="1:1" ht="12.75" customHeight="1">
      <c r="A7732" s="129">
        <v>7732</v>
      </c>
    </row>
    <row r="7733" spans="1:1" ht="12.75" customHeight="1">
      <c r="A7733" s="129">
        <v>7733</v>
      </c>
    </row>
    <row r="7734" spans="1:1" ht="12.75" customHeight="1">
      <c r="A7734" s="129">
        <v>7734</v>
      </c>
    </row>
    <row r="7735" spans="1:1" ht="12.75" customHeight="1">
      <c r="A7735" s="129">
        <v>7735</v>
      </c>
    </row>
    <row r="7736" spans="1:1" ht="12.75" customHeight="1">
      <c r="A7736" s="129">
        <v>7736</v>
      </c>
    </row>
    <row r="7737" spans="1:1" ht="12.75" customHeight="1">
      <c r="A7737" s="129">
        <v>7737</v>
      </c>
    </row>
    <row r="7738" spans="1:1" ht="12.75" customHeight="1">
      <c r="A7738" s="129">
        <v>7738</v>
      </c>
    </row>
    <row r="7739" spans="1:1" ht="12.75" customHeight="1">
      <c r="A7739" s="129">
        <v>7739</v>
      </c>
    </row>
    <row r="7740" spans="1:1" ht="12.75" customHeight="1">
      <c r="A7740" s="129">
        <v>7740</v>
      </c>
    </row>
    <row r="7741" spans="1:1" ht="12.75" customHeight="1">
      <c r="A7741" s="129">
        <v>7741</v>
      </c>
    </row>
    <row r="7742" spans="1:1" ht="12.75" customHeight="1">
      <c r="A7742" s="129">
        <v>7742</v>
      </c>
    </row>
    <row r="7743" spans="1:1" ht="12.75" customHeight="1">
      <c r="A7743" s="129">
        <v>7743</v>
      </c>
    </row>
    <row r="7744" spans="1:1" ht="12.75" customHeight="1">
      <c r="A7744" s="129">
        <v>7744</v>
      </c>
    </row>
    <row r="7745" spans="1:1" ht="12.75" customHeight="1">
      <c r="A7745" s="129">
        <v>7745</v>
      </c>
    </row>
    <row r="7746" spans="1:1" ht="12.75" customHeight="1">
      <c r="A7746" s="129">
        <v>7746</v>
      </c>
    </row>
    <row r="7747" spans="1:1" ht="12.75" customHeight="1">
      <c r="A7747" s="129">
        <v>7747</v>
      </c>
    </row>
    <row r="7748" spans="1:1" ht="12.75" customHeight="1">
      <c r="A7748" s="129">
        <v>7748</v>
      </c>
    </row>
    <row r="7749" spans="1:1" ht="12.75" customHeight="1">
      <c r="A7749" s="129">
        <v>7749</v>
      </c>
    </row>
    <row r="7750" spans="1:1" ht="12.75" customHeight="1">
      <c r="A7750" s="129">
        <v>7750</v>
      </c>
    </row>
    <row r="7751" spans="1:1" ht="12.75" customHeight="1">
      <c r="A7751" s="129">
        <v>7751</v>
      </c>
    </row>
    <row r="7752" spans="1:1" ht="12.75" customHeight="1">
      <c r="A7752" s="129">
        <v>7752</v>
      </c>
    </row>
    <row r="7753" spans="1:1" ht="12.75" customHeight="1">
      <c r="A7753" s="129">
        <v>7753</v>
      </c>
    </row>
    <row r="7754" spans="1:1" ht="12.75" customHeight="1">
      <c r="A7754" s="129">
        <v>7754</v>
      </c>
    </row>
    <row r="7755" spans="1:1" ht="12.75" customHeight="1">
      <c r="A7755" s="129">
        <v>7755</v>
      </c>
    </row>
    <row r="7756" spans="1:1" ht="12.75" customHeight="1">
      <c r="A7756" s="129">
        <v>7756</v>
      </c>
    </row>
    <row r="7757" spans="1:1" ht="12.75" customHeight="1">
      <c r="A7757" s="129">
        <v>7757</v>
      </c>
    </row>
    <row r="7758" spans="1:1" ht="12.75" customHeight="1">
      <c r="A7758" s="129">
        <v>7758</v>
      </c>
    </row>
    <row r="7759" spans="1:1" ht="12.75" customHeight="1">
      <c r="A7759" s="129">
        <v>7759</v>
      </c>
    </row>
    <row r="7760" spans="1:1" ht="12.75" customHeight="1">
      <c r="A7760" s="129">
        <v>7760</v>
      </c>
    </row>
    <row r="7761" spans="1:1" ht="12.75" customHeight="1">
      <c r="A7761" s="129">
        <v>7761</v>
      </c>
    </row>
    <row r="7762" spans="1:1" ht="12.75" customHeight="1">
      <c r="A7762" s="129">
        <v>7762</v>
      </c>
    </row>
    <row r="7763" spans="1:1" ht="12.75" customHeight="1">
      <c r="A7763" s="129">
        <v>7763</v>
      </c>
    </row>
    <row r="7764" spans="1:1" ht="12.75" customHeight="1">
      <c r="A7764" s="129">
        <v>7764</v>
      </c>
    </row>
    <row r="7765" spans="1:1" ht="12.75" customHeight="1">
      <c r="A7765" s="129">
        <v>7765</v>
      </c>
    </row>
    <row r="7766" spans="1:1" ht="12.75" customHeight="1">
      <c r="A7766" s="129">
        <v>7766</v>
      </c>
    </row>
    <row r="7767" spans="1:1" ht="12.75" customHeight="1">
      <c r="A7767" s="129">
        <v>7767</v>
      </c>
    </row>
    <row r="7768" spans="1:1" ht="12.75" customHeight="1">
      <c r="A7768" s="129">
        <v>7768</v>
      </c>
    </row>
    <row r="7769" spans="1:1" ht="12.75" customHeight="1">
      <c r="A7769" s="129">
        <v>7769</v>
      </c>
    </row>
    <row r="7770" spans="1:1" ht="12.75" customHeight="1">
      <c r="A7770" s="129">
        <v>7770</v>
      </c>
    </row>
    <row r="7771" spans="1:1" ht="12.75" customHeight="1">
      <c r="A7771" s="129">
        <v>7771</v>
      </c>
    </row>
    <row r="7772" spans="1:1" ht="12.75" customHeight="1">
      <c r="A7772" s="129">
        <v>7772</v>
      </c>
    </row>
    <row r="7773" spans="1:1" ht="12.75" customHeight="1">
      <c r="A7773" s="129">
        <v>7773</v>
      </c>
    </row>
    <row r="7774" spans="1:1" ht="12.75" customHeight="1">
      <c r="A7774" s="129">
        <v>7774</v>
      </c>
    </row>
    <row r="7775" spans="1:1" ht="12.75" customHeight="1">
      <c r="A7775" s="129">
        <v>7775</v>
      </c>
    </row>
    <row r="7776" spans="1:1" ht="12.75" customHeight="1">
      <c r="A7776" s="129">
        <v>7776</v>
      </c>
    </row>
    <row r="7777" spans="1:1" ht="12.75" customHeight="1">
      <c r="A7777" s="129">
        <v>7777</v>
      </c>
    </row>
    <row r="7778" spans="1:1" ht="12.75" customHeight="1">
      <c r="A7778" s="129">
        <v>7778</v>
      </c>
    </row>
    <row r="7779" spans="1:1" ht="12.75" customHeight="1">
      <c r="A7779" s="129">
        <v>7779</v>
      </c>
    </row>
    <row r="7780" spans="1:1" ht="12.75" customHeight="1">
      <c r="A7780" s="129">
        <v>7780</v>
      </c>
    </row>
    <row r="7781" spans="1:1" ht="12.75" customHeight="1">
      <c r="A7781" s="129">
        <v>7781</v>
      </c>
    </row>
    <row r="7782" spans="1:1" ht="12.75" customHeight="1">
      <c r="A7782" s="129">
        <v>7782</v>
      </c>
    </row>
    <row r="7783" spans="1:1" ht="12.75" customHeight="1">
      <c r="A7783" s="129">
        <v>7783</v>
      </c>
    </row>
    <row r="7784" spans="1:1" ht="12.75" customHeight="1">
      <c r="A7784" s="129">
        <v>7784</v>
      </c>
    </row>
    <row r="7785" spans="1:1" ht="12.75" customHeight="1">
      <c r="A7785" s="129">
        <v>7785</v>
      </c>
    </row>
    <row r="7786" spans="1:1" ht="12.75" customHeight="1">
      <c r="A7786" s="129">
        <v>7786</v>
      </c>
    </row>
    <row r="7787" spans="1:1" ht="12.75" customHeight="1">
      <c r="A7787" s="129">
        <v>7787</v>
      </c>
    </row>
    <row r="7788" spans="1:1" ht="12.75" customHeight="1">
      <c r="A7788" s="129">
        <v>7788</v>
      </c>
    </row>
    <row r="7789" spans="1:1" ht="12.75" customHeight="1">
      <c r="A7789" s="129">
        <v>7789</v>
      </c>
    </row>
    <row r="7790" spans="1:1" ht="12.75" customHeight="1">
      <c r="A7790" s="129">
        <v>7790</v>
      </c>
    </row>
    <row r="7791" spans="1:1" ht="12.75" customHeight="1">
      <c r="A7791" s="129">
        <v>7791</v>
      </c>
    </row>
    <row r="7792" spans="1:1" ht="12.75" customHeight="1">
      <c r="A7792" s="129">
        <v>7792</v>
      </c>
    </row>
    <row r="7793" spans="1:1" ht="12.75" customHeight="1">
      <c r="A7793" s="129">
        <v>7793</v>
      </c>
    </row>
    <row r="7794" spans="1:1" ht="12.75" customHeight="1">
      <c r="A7794" s="129">
        <v>7794</v>
      </c>
    </row>
    <row r="7795" spans="1:1" ht="12.75" customHeight="1">
      <c r="A7795" s="129">
        <v>7795</v>
      </c>
    </row>
    <row r="7796" spans="1:1" ht="12.75" customHeight="1">
      <c r="A7796" s="129">
        <v>7796</v>
      </c>
    </row>
    <row r="7797" spans="1:1" ht="12.75" customHeight="1">
      <c r="A7797" s="129">
        <v>7797</v>
      </c>
    </row>
    <row r="7798" spans="1:1" ht="12.75" customHeight="1">
      <c r="A7798" s="129">
        <v>7798</v>
      </c>
    </row>
    <row r="7799" spans="1:1" ht="12.75" customHeight="1">
      <c r="A7799" s="129">
        <v>7799</v>
      </c>
    </row>
    <row r="7800" spans="1:1" ht="12.75" customHeight="1">
      <c r="A7800" s="129">
        <v>7800</v>
      </c>
    </row>
    <row r="7801" spans="1:1" ht="12.75" customHeight="1">
      <c r="A7801" s="129">
        <v>7801</v>
      </c>
    </row>
    <row r="7802" spans="1:1" ht="12.75" customHeight="1">
      <c r="A7802" s="129">
        <v>7802</v>
      </c>
    </row>
    <row r="7803" spans="1:1" ht="12.75" customHeight="1">
      <c r="A7803" s="129">
        <v>7803</v>
      </c>
    </row>
    <row r="7804" spans="1:1" ht="12.75" customHeight="1">
      <c r="A7804" s="129">
        <v>7804</v>
      </c>
    </row>
    <row r="7805" spans="1:1" ht="12.75" customHeight="1">
      <c r="A7805" s="129">
        <v>7805</v>
      </c>
    </row>
    <row r="7806" spans="1:1" ht="12.75" customHeight="1">
      <c r="A7806" s="129">
        <v>7806</v>
      </c>
    </row>
    <row r="7807" spans="1:1" ht="12.75" customHeight="1">
      <c r="A7807" s="129">
        <v>7807</v>
      </c>
    </row>
    <row r="7808" spans="1:1" ht="12.75" customHeight="1">
      <c r="A7808" s="129">
        <v>7808</v>
      </c>
    </row>
    <row r="7809" spans="1:1" ht="12.75" customHeight="1">
      <c r="A7809" s="129">
        <v>7809</v>
      </c>
    </row>
    <row r="7810" spans="1:1" ht="12.75" customHeight="1">
      <c r="A7810" s="129">
        <v>7810</v>
      </c>
    </row>
    <row r="7811" spans="1:1" ht="12.75" customHeight="1">
      <c r="A7811" s="129">
        <v>7811</v>
      </c>
    </row>
    <row r="7812" spans="1:1" ht="12.75" customHeight="1">
      <c r="A7812" s="129">
        <v>7812</v>
      </c>
    </row>
    <row r="7813" spans="1:1" ht="12.75" customHeight="1">
      <c r="A7813" s="129">
        <v>7813</v>
      </c>
    </row>
    <row r="7814" spans="1:1" ht="12.75" customHeight="1">
      <c r="A7814" s="129">
        <v>7814</v>
      </c>
    </row>
    <row r="7815" spans="1:1" ht="12.75" customHeight="1">
      <c r="A7815" s="129">
        <v>7815</v>
      </c>
    </row>
    <row r="7816" spans="1:1" ht="12.75" customHeight="1">
      <c r="A7816" s="129">
        <v>7816</v>
      </c>
    </row>
    <row r="7817" spans="1:1" ht="12.75" customHeight="1">
      <c r="A7817" s="129">
        <v>7817</v>
      </c>
    </row>
    <row r="7818" spans="1:1" ht="12.75" customHeight="1">
      <c r="A7818" s="129">
        <v>7818</v>
      </c>
    </row>
    <row r="7819" spans="1:1" ht="12.75" customHeight="1">
      <c r="A7819" s="129">
        <v>7819</v>
      </c>
    </row>
    <row r="7820" spans="1:1" ht="12.75" customHeight="1">
      <c r="A7820" s="129">
        <v>7820</v>
      </c>
    </row>
    <row r="7821" spans="1:1" ht="12.75" customHeight="1">
      <c r="A7821" s="129">
        <v>7821</v>
      </c>
    </row>
    <row r="7822" spans="1:1" ht="12.75" customHeight="1">
      <c r="A7822" s="129">
        <v>7822</v>
      </c>
    </row>
    <row r="7823" spans="1:1" ht="12.75" customHeight="1">
      <c r="A7823" s="129">
        <v>7823</v>
      </c>
    </row>
    <row r="7824" spans="1:1" ht="12.75" customHeight="1">
      <c r="A7824" s="129">
        <v>7824</v>
      </c>
    </row>
    <row r="7825" spans="1:1" ht="12.75" customHeight="1">
      <c r="A7825" s="129">
        <v>7825</v>
      </c>
    </row>
    <row r="7826" spans="1:1" ht="12.75" customHeight="1">
      <c r="A7826" s="129">
        <v>7826</v>
      </c>
    </row>
    <row r="7827" spans="1:1" ht="12.75" customHeight="1">
      <c r="A7827" s="129">
        <v>7827</v>
      </c>
    </row>
    <row r="7828" spans="1:1" ht="12.75" customHeight="1">
      <c r="A7828" s="129">
        <v>7828</v>
      </c>
    </row>
    <row r="7829" spans="1:1" ht="12.75" customHeight="1">
      <c r="A7829" s="129">
        <v>7829</v>
      </c>
    </row>
    <row r="7830" spans="1:1" ht="12.75" customHeight="1">
      <c r="A7830" s="129">
        <v>7830</v>
      </c>
    </row>
    <row r="7831" spans="1:1" ht="12.75" customHeight="1">
      <c r="A7831" s="129">
        <v>7831</v>
      </c>
    </row>
    <row r="7832" spans="1:1" ht="12.75" customHeight="1">
      <c r="A7832" s="129">
        <v>7832</v>
      </c>
    </row>
    <row r="7833" spans="1:1" ht="12.75" customHeight="1">
      <c r="A7833" s="129">
        <v>7833</v>
      </c>
    </row>
    <row r="7834" spans="1:1" ht="12.75" customHeight="1">
      <c r="A7834" s="129">
        <v>7834</v>
      </c>
    </row>
    <row r="7835" spans="1:1" ht="12.75" customHeight="1">
      <c r="A7835" s="129">
        <v>7835</v>
      </c>
    </row>
    <row r="7836" spans="1:1" ht="12.75" customHeight="1">
      <c r="A7836" s="129">
        <v>7836</v>
      </c>
    </row>
    <row r="7837" spans="1:1" ht="12.75" customHeight="1">
      <c r="A7837" s="129">
        <v>7837</v>
      </c>
    </row>
    <row r="7838" spans="1:1" ht="12.75" customHeight="1">
      <c r="A7838" s="129">
        <v>7838</v>
      </c>
    </row>
    <row r="7839" spans="1:1" ht="12.75" customHeight="1">
      <c r="A7839" s="129">
        <v>7839</v>
      </c>
    </row>
    <row r="7840" spans="1:1" ht="12.75" customHeight="1">
      <c r="A7840" s="129">
        <v>7840</v>
      </c>
    </row>
    <row r="7841" spans="1:1" ht="12.75" customHeight="1">
      <c r="A7841" s="129">
        <v>7841</v>
      </c>
    </row>
    <row r="7842" spans="1:1" ht="12.75" customHeight="1">
      <c r="A7842" s="129">
        <v>7842</v>
      </c>
    </row>
    <row r="7843" spans="1:1" ht="12.75" customHeight="1">
      <c r="A7843" s="129">
        <v>7843</v>
      </c>
    </row>
    <row r="7844" spans="1:1" ht="12.75" customHeight="1">
      <c r="A7844" s="129">
        <v>7844</v>
      </c>
    </row>
    <row r="7845" spans="1:1" ht="12.75" customHeight="1">
      <c r="A7845" s="129">
        <v>7845</v>
      </c>
    </row>
    <row r="7846" spans="1:1" ht="12.75" customHeight="1">
      <c r="A7846" s="129">
        <v>7846</v>
      </c>
    </row>
    <row r="7847" spans="1:1" ht="12.75" customHeight="1">
      <c r="A7847" s="129">
        <v>7847</v>
      </c>
    </row>
    <row r="7848" spans="1:1" ht="12.75" customHeight="1">
      <c r="A7848" s="129">
        <v>7848</v>
      </c>
    </row>
    <row r="7849" spans="1:1" ht="12.75" customHeight="1">
      <c r="A7849" s="129">
        <v>7849</v>
      </c>
    </row>
    <row r="7850" spans="1:1" ht="12.75" customHeight="1">
      <c r="A7850" s="129">
        <v>7850</v>
      </c>
    </row>
    <row r="7851" spans="1:1" ht="12.75" customHeight="1">
      <c r="A7851" s="129">
        <v>7851</v>
      </c>
    </row>
    <row r="7852" spans="1:1" ht="12.75" customHeight="1">
      <c r="A7852" s="129">
        <v>7852</v>
      </c>
    </row>
    <row r="7853" spans="1:1" ht="12.75" customHeight="1">
      <c r="A7853" s="129">
        <v>7853</v>
      </c>
    </row>
    <row r="7854" spans="1:1" ht="12.75" customHeight="1">
      <c r="A7854" s="129">
        <v>7854</v>
      </c>
    </row>
    <row r="7855" spans="1:1" ht="12.75" customHeight="1">
      <c r="A7855" s="129">
        <v>7855</v>
      </c>
    </row>
    <row r="7856" spans="1:1" ht="12.75" customHeight="1">
      <c r="A7856" s="129">
        <v>7856</v>
      </c>
    </row>
    <row r="7857" spans="1:1" ht="12.75" customHeight="1">
      <c r="A7857" s="129">
        <v>7857</v>
      </c>
    </row>
    <row r="7858" spans="1:1" ht="12.75" customHeight="1">
      <c r="A7858" s="129">
        <v>7858</v>
      </c>
    </row>
    <row r="7859" spans="1:1" ht="12.75" customHeight="1">
      <c r="A7859" s="129">
        <v>7859</v>
      </c>
    </row>
    <row r="7860" spans="1:1" ht="12.75" customHeight="1">
      <c r="A7860" s="129">
        <v>7860</v>
      </c>
    </row>
    <row r="7861" spans="1:1" ht="12.75" customHeight="1">
      <c r="A7861" s="129">
        <v>7861</v>
      </c>
    </row>
    <row r="7862" spans="1:1" ht="12.75" customHeight="1">
      <c r="A7862" s="129">
        <v>7862</v>
      </c>
    </row>
    <row r="7863" spans="1:1" ht="12.75" customHeight="1">
      <c r="A7863" s="129">
        <v>7863</v>
      </c>
    </row>
    <row r="7864" spans="1:1" ht="12.75" customHeight="1">
      <c r="A7864" s="129">
        <v>7864</v>
      </c>
    </row>
    <row r="7865" spans="1:1" ht="12.75" customHeight="1">
      <c r="A7865" s="129">
        <v>7865</v>
      </c>
    </row>
    <row r="7866" spans="1:1" ht="12.75" customHeight="1">
      <c r="A7866" s="129">
        <v>7866</v>
      </c>
    </row>
    <row r="7867" spans="1:1" ht="12.75" customHeight="1">
      <c r="A7867" s="129">
        <v>7867</v>
      </c>
    </row>
    <row r="7868" spans="1:1" ht="12.75" customHeight="1">
      <c r="A7868" s="129">
        <v>7868</v>
      </c>
    </row>
    <row r="7869" spans="1:1" ht="12.75" customHeight="1">
      <c r="A7869" s="129">
        <v>7869</v>
      </c>
    </row>
    <row r="7870" spans="1:1" ht="12.75" customHeight="1">
      <c r="A7870" s="129">
        <v>7870</v>
      </c>
    </row>
    <row r="7871" spans="1:1" ht="12.75" customHeight="1">
      <c r="A7871" s="129">
        <v>7871</v>
      </c>
    </row>
    <row r="7872" spans="1:1" ht="12.75" customHeight="1">
      <c r="A7872" s="129">
        <v>7872</v>
      </c>
    </row>
    <row r="7873" spans="1:1" ht="12.75" customHeight="1">
      <c r="A7873" s="129">
        <v>7873</v>
      </c>
    </row>
    <row r="7874" spans="1:1" ht="12.75" customHeight="1">
      <c r="A7874" s="129">
        <v>7874</v>
      </c>
    </row>
    <row r="7875" spans="1:1" ht="12.75" customHeight="1">
      <c r="A7875" s="129">
        <v>7875</v>
      </c>
    </row>
    <row r="7876" spans="1:1" ht="12.75" customHeight="1">
      <c r="A7876" s="129">
        <v>7876</v>
      </c>
    </row>
    <row r="7877" spans="1:1" ht="12.75" customHeight="1">
      <c r="A7877" s="129">
        <v>7877</v>
      </c>
    </row>
    <row r="7878" spans="1:1" ht="12.75" customHeight="1">
      <c r="A7878" s="129">
        <v>7878</v>
      </c>
    </row>
    <row r="7879" spans="1:1" ht="12.75" customHeight="1">
      <c r="A7879" s="129">
        <v>7879</v>
      </c>
    </row>
    <row r="7880" spans="1:1" ht="12.75" customHeight="1">
      <c r="A7880" s="129">
        <v>7880</v>
      </c>
    </row>
    <row r="7881" spans="1:1" ht="12.75" customHeight="1">
      <c r="A7881" s="129">
        <v>7881</v>
      </c>
    </row>
    <row r="7882" spans="1:1" ht="12.75" customHeight="1">
      <c r="A7882" s="129">
        <v>7882</v>
      </c>
    </row>
    <row r="7883" spans="1:1" ht="12.75" customHeight="1">
      <c r="A7883" s="129">
        <v>7883</v>
      </c>
    </row>
    <row r="7884" spans="1:1" ht="12.75" customHeight="1">
      <c r="A7884" s="129">
        <v>7884</v>
      </c>
    </row>
    <row r="7885" spans="1:1" ht="12.75" customHeight="1">
      <c r="A7885" s="129">
        <v>7885</v>
      </c>
    </row>
    <row r="7886" spans="1:1" ht="12.75" customHeight="1">
      <c r="A7886" s="129">
        <v>7886</v>
      </c>
    </row>
    <row r="7887" spans="1:1" ht="12.75" customHeight="1">
      <c r="A7887" s="129">
        <v>7887</v>
      </c>
    </row>
    <row r="7888" spans="1:1" ht="12.75" customHeight="1">
      <c r="A7888" s="129">
        <v>7888</v>
      </c>
    </row>
    <row r="7889" spans="1:1" ht="12.75" customHeight="1">
      <c r="A7889" s="129">
        <v>7889</v>
      </c>
    </row>
    <row r="7890" spans="1:1" ht="12.75" customHeight="1">
      <c r="A7890" s="129">
        <v>7890</v>
      </c>
    </row>
    <row r="7891" spans="1:1" ht="12.75" customHeight="1">
      <c r="A7891" s="129">
        <v>7891</v>
      </c>
    </row>
    <row r="7892" spans="1:1" ht="12.75" customHeight="1">
      <c r="A7892" s="129">
        <v>7892</v>
      </c>
    </row>
    <row r="7893" spans="1:1" ht="12.75" customHeight="1">
      <c r="A7893" s="129">
        <v>7893</v>
      </c>
    </row>
    <row r="7894" spans="1:1" ht="12.75" customHeight="1">
      <c r="A7894" s="129">
        <v>7894</v>
      </c>
    </row>
    <row r="7895" spans="1:1" ht="12.75" customHeight="1">
      <c r="A7895" s="129">
        <v>7895</v>
      </c>
    </row>
    <row r="7896" spans="1:1" ht="12.75" customHeight="1">
      <c r="A7896" s="129">
        <v>7896</v>
      </c>
    </row>
    <row r="7897" spans="1:1" ht="12.75" customHeight="1">
      <c r="A7897" s="129">
        <v>7897</v>
      </c>
    </row>
    <row r="7898" spans="1:1" ht="12.75" customHeight="1">
      <c r="A7898" s="129">
        <v>7898</v>
      </c>
    </row>
    <row r="7899" spans="1:1" ht="12.75" customHeight="1">
      <c r="A7899" s="129">
        <v>7899</v>
      </c>
    </row>
    <row r="7900" spans="1:1" ht="12.75" customHeight="1">
      <c r="A7900" s="129">
        <v>7900</v>
      </c>
    </row>
    <row r="7901" spans="1:1" ht="12.75" customHeight="1">
      <c r="A7901" s="129">
        <v>7901</v>
      </c>
    </row>
    <row r="7902" spans="1:1" ht="12.75" customHeight="1">
      <c r="A7902" s="129">
        <v>7902</v>
      </c>
    </row>
    <row r="7903" spans="1:1" ht="12.75" customHeight="1">
      <c r="A7903" s="129">
        <v>7903</v>
      </c>
    </row>
    <row r="7904" spans="1:1" ht="12.75" customHeight="1">
      <c r="A7904" s="129">
        <v>7904</v>
      </c>
    </row>
    <row r="7905" spans="1:1" ht="12.75" customHeight="1">
      <c r="A7905" s="129">
        <v>7905</v>
      </c>
    </row>
    <row r="7906" spans="1:1" ht="12.75" customHeight="1">
      <c r="A7906" s="129">
        <v>7906</v>
      </c>
    </row>
    <row r="7907" spans="1:1" ht="12.75" customHeight="1">
      <c r="A7907" s="129">
        <v>7907</v>
      </c>
    </row>
    <row r="7908" spans="1:1" ht="12.75" customHeight="1">
      <c r="A7908" s="129">
        <v>7908</v>
      </c>
    </row>
    <row r="7909" spans="1:1" ht="12.75" customHeight="1">
      <c r="A7909" s="129">
        <v>7909</v>
      </c>
    </row>
    <row r="7910" spans="1:1" ht="12.75" customHeight="1">
      <c r="A7910" s="129">
        <v>7910</v>
      </c>
    </row>
    <row r="7911" spans="1:1" ht="12.75" customHeight="1">
      <c r="A7911" s="129">
        <v>7911</v>
      </c>
    </row>
    <row r="7912" spans="1:1" ht="12.75" customHeight="1">
      <c r="A7912" s="129">
        <v>7912</v>
      </c>
    </row>
    <row r="7913" spans="1:1" ht="12.75" customHeight="1">
      <c r="A7913" s="129">
        <v>7913</v>
      </c>
    </row>
    <row r="7914" spans="1:1" ht="12.75" customHeight="1">
      <c r="A7914" s="129">
        <v>7914</v>
      </c>
    </row>
    <row r="7915" spans="1:1" ht="12.75" customHeight="1">
      <c r="A7915" s="129">
        <v>7915</v>
      </c>
    </row>
    <row r="7916" spans="1:1" ht="12.75" customHeight="1">
      <c r="A7916" s="129">
        <v>7916</v>
      </c>
    </row>
    <row r="7917" spans="1:1" ht="12.75" customHeight="1">
      <c r="A7917" s="129">
        <v>7917</v>
      </c>
    </row>
    <row r="7918" spans="1:1" ht="12.75" customHeight="1">
      <c r="A7918" s="129">
        <v>7918</v>
      </c>
    </row>
    <row r="7919" spans="1:1" ht="12.75" customHeight="1">
      <c r="A7919" s="129">
        <v>7919</v>
      </c>
    </row>
    <row r="7920" spans="1:1" ht="12.75" customHeight="1">
      <c r="A7920" s="129">
        <v>7920</v>
      </c>
    </row>
    <row r="7921" spans="1:1" ht="12.75" customHeight="1">
      <c r="A7921" s="129">
        <v>7921</v>
      </c>
    </row>
    <row r="7922" spans="1:1" ht="12.75" customHeight="1">
      <c r="A7922" s="129">
        <v>7922</v>
      </c>
    </row>
    <row r="7923" spans="1:1" ht="12.75" customHeight="1">
      <c r="A7923" s="129">
        <v>7923</v>
      </c>
    </row>
    <row r="7924" spans="1:1" ht="12.75" customHeight="1">
      <c r="A7924" s="129">
        <v>7924</v>
      </c>
    </row>
    <row r="7925" spans="1:1" ht="12.75" customHeight="1">
      <c r="A7925" s="129">
        <v>7925</v>
      </c>
    </row>
    <row r="7926" spans="1:1" ht="12.75" customHeight="1">
      <c r="A7926" s="129">
        <v>7926</v>
      </c>
    </row>
    <row r="7927" spans="1:1" ht="12.75" customHeight="1">
      <c r="A7927" s="129">
        <v>7927</v>
      </c>
    </row>
    <row r="7928" spans="1:1" ht="12.75" customHeight="1">
      <c r="A7928" s="129">
        <v>7928</v>
      </c>
    </row>
    <row r="7929" spans="1:1" ht="12.75" customHeight="1">
      <c r="A7929" s="129">
        <v>7929</v>
      </c>
    </row>
    <row r="7930" spans="1:1" ht="12.75" customHeight="1">
      <c r="A7930" s="129">
        <v>7930</v>
      </c>
    </row>
    <row r="7931" spans="1:1" ht="12.75" customHeight="1">
      <c r="A7931" s="129">
        <v>7931</v>
      </c>
    </row>
    <row r="7932" spans="1:1" ht="12.75" customHeight="1">
      <c r="A7932" s="129">
        <v>7932</v>
      </c>
    </row>
    <row r="7933" spans="1:1" ht="12.75" customHeight="1">
      <c r="A7933" s="129">
        <v>7933</v>
      </c>
    </row>
    <row r="7934" spans="1:1" ht="12.75" customHeight="1">
      <c r="A7934" s="129">
        <v>7934</v>
      </c>
    </row>
    <row r="7935" spans="1:1" ht="12.75" customHeight="1">
      <c r="A7935" s="129">
        <v>7935</v>
      </c>
    </row>
    <row r="7936" spans="1:1" ht="12.75" customHeight="1">
      <c r="A7936" s="129">
        <v>7936</v>
      </c>
    </row>
    <row r="7937" spans="1:1" ht="12.75" customHeight="1">
      <c r="A7937" s="129">
        <v>7937</v>
      </c>
    </row>
    <row r="7938" spans="1:1" ht="12.75" customHeight="1">
      <c r="A7938" s="129">
        <v>7938</v>
      </c>
    </row>
    <row r="7939" spans="1:1" ht="12.75" customHeight="1">
      <c r="A7939" s="129">
        <v>7939</v>
      </c>
    </row>
    <row r="7940" spans="1:1" ht="12.75" customHeight="1">
      <c r="A7940" s="129">
        <v>7940</v>
      </c>
    </row>
    <row r="7941" spans="1:1" ht="12.75" customHeight="1">
      <c r="A7941" s="129">
        <v>7941</v>
      </c>
    </row>
    <row r="7942" spans="1:1" ht="12.75" customHeight="1">
      <c r="A7942" s="129">
        <v>7942</v>
      </c>
    </row>
    <row r="7943" spans="1:1" ht="12.75" customHeight="1">
      <c r="A7943" s="129">
        <v>7943</v>
      </c>
    </row>
    <row r="7944" spans="1:1" ht="12.75" customHeight="1">
      <c r="A7944" s="129">
        <v>7944</v>
      </c>
    </row>
    <row r="7945" spans="1:1" ht="12.75" customHeight="1">
      <c r="A7945" s="129">
        <v>7945</v>
      </c>
    </row>
    <row r="7946" spans="1:1" ht="12.75" customHeight="1">
      <c r="A7946" s="129">
        <v>7946</v>
      </c>
    </row>
    <row r="7947" spans="1:1" ht="12.75" customHeight="1">
      <c r="A7947" s="129">
        <v>7947</v>
      </c>
    </row>
    <row r="7948" spans="1:1" ht="12.75" customHeight="1">
      <c r="A7948" s="129">
        <v>7948</v>
      </c>
    </row>
    <row r="7949" spans="1:1" ht="12.75" customHeight="1">
      <c r="A7949" s="129">
        <v>7949</v>
      </c>
    </row>
    <row r="7950" spans="1:1" ht="12.75" customHeight="1">
      <c r="A7950" s="129">
        <v>7950</v>
      </c>
    </row>
    <row r="7951" spans="1:1" ht="12.75" customHeight="1">
      <c r="A7951" s="129">
        <v>7951</v>
      </c>
    </row>
    <row r="7952" spans="1:1" ht="12.75" customHeight="1">
      <c r="A7952" s="129">
        <v>7952</v>
      </c>
    </row>
    <row r="7953" spans="1:1" ht="12.75" customHeight="1">
      <c r="A7953" s="129">
        <v>7953</v>
      </c>
    </row>
    <row r="7954" spans="1:1" ht="12.75" customHeight="1">
      <c r="A7954" s="129">
        <v>7954</v>
      </c>
    </row>
    <row r="7955" spans="1:1" ht="12.75" customHeight="1">
      <c r="A7955" s="129">
        <v>7955</v>
      </c>
    </row>
    <row r="7956" spans="1:1" ht="12.75" customHeight="1">
      <c r="A7956" s="129">
        <v>7956</v>
      </c>
    </row>
    <row r="7957" spans="1:1" ht="12.75" customHeight="1">
      <c r="A7957" s="129">
        <v>7957</v>
      </c>
    </row>
    <row r="7958" spans="1:1" ht="12.75" customHeight="1">
      <c r="A7958" s="129">
        <v>7958</v>
      </c>
    </row>
    <row r="7959" spans="1:1" ht="12.75" customHeight="1">
      <c r="A7959" s="129">
        <v>7959</v>
      </c>
    </row>
    <row r="7960" spans="1:1" ht="12.75" customHeight="1">
      <c r="A7960" s="129">
        <v>7960</v>
      </c>
    </row>
    <row r="7961" spans="1:1" ht="12.75" customHeight="1">
      <c r="A7961" s="129">
        <v>7961</v>
      </c>
    </row>
    <row r="7962" spans="1:1" ht="12.75" customHeight="1">
      <c r="A7962" s="129">
        <v>7962</v>
      </c>
    </row>
    <row r="7963" spans="1:1" ht="12.75" customHeight="1">
      <c r="A7963" s="129">
        <v>7963</v>
      </c>
    </row>
    <row r="7964" spans="1:1" ht="12.75" customHeight="1">
      <c r="A7964" s="129">
        <v>7964</v>
      </c>
    </row>
    <row r="7965" spans="1:1" ht="12.75" customHeight="1">
      <c r="A7965" s="129">
        <v>7965</v>
      </c>
    </row>
    <row r="7966" spans="1:1" ht="12.75" customHeight="1">
      <c r="A7966" s="129">
        <v>7966</v>
      </c>
    </row>
    <row r="7967" spans="1:1" ht="12.75" customHeight="1">
      <c r="A7967" s="129">
        <v>7967</v>
      </c>
    </row>
    <row r="7968" spans="1:1" ht="12.75" customHeight="1">
      <c r="A7968" s="129">
        <v>7968</v>
      </c>
    </row>
    <row r="7969" spans="1:1" ht="12.75" customHeight="1">
      <c r="A7969" s="129">
        <v>7969</v>
      </c>
    </row>
    <row r="7970" spans="1:1" ht="12.75" customHeight="1">
      <c r="A7970" s="129">
        <v>7970</v>
      </c>
    </row>
    <row r="7971" spans="1:1" ht="12.75" customHeight="1">
      <c r="A7971" s="129">
        <v>7971</v>
      </c>
    </row>
    <row r="7972" spans="1:1" ht="12.75" customHeight="1">
      <c r="A7972" s="129">
        <v>7972</v>
      </c>
    </row>
    <row r="7973" spans="1:1" ht="12.75" customHeight="1">
      <c r="A7973" s="129">
        <v>7973</v>
      </c>
    </row>
    <row r="7974" spans="1:1" ht="12.75" customHeight="1">
      <c r="A7974" s="129">
        <v>7974</v>
      </c>
    </row>
    <row r="7975" spans="1:1" ht="12.75" customHeight="1">
      <c r="A7975" s="129">
        <v>7975</v>
      </c>
    </row>
    <row r="7976" spans="1:1" ht="12.75" customHeight="1">
      <c r="A7976" s="129">
        <v>7976</v>
      </c>
    </row>
    <row r="7977" spans="1:1" ht="12.75" customHeight="1">
      <c r="A7977" s="129">
        <v>7977</v>
      </c>
    </row>
    <row r="7978" spans="1:1" ht="12.75" customHeight="1">
      <c r="A7978" s="129">
        <v>7978</v>
      </c>
    </row>
    <row r="7979" spans="1:1" ht="12.75" customHeight="1">
      <c r="A7979" s="129">
        <v>7979</v>
      </c>
    </row>
    <row r="7980" spans="1:1" ht="12.75" customHeight="1">
      <c r="A7980" s="129">
        <v>7980</v>
      </c>
    </row>
    <row r="7981" spans="1:1" ht="12.75" customHeight="1">
      <c r="A7981" s="129">
        <v>7981</v>
      </c>
    </row>
    <row r="7982" spans="1:1" ht="12.75" customHeight="1">
      <c r="A7982" s="129">
        <v>7982</v>
      </c>
    </row>
    <row r="7983" spans="1:1" ht="12.75" customHeight="1">
      <c r="A7983" s="129">
        <v>7983</v>
      </c>
    </row>
    <row r="7984" spans="1:1" ht="12.75" customHeight="1">
      <c r="A7984" s="129">
        <v>7984</v>
      </c>
    </row>
    <row r="7985" spans="1:1" ht="12.75" customHeight="1">
      <c r="A7985" s="129">
        <v>7985</v>
      </c>
    </row>
    <row r="7986" spans="1:1" ht="12.75" customHeight="1">
      <c r="A7986" s="129">
        <v>7986</v>
      </c>
    </row>
    <row r="7987" spans="1:1" ht="12.75" customHeight="1">
      <c r="A7987" s="129">
        <v>7987</v>
      </c>
    </row>
    <row r="7988" spans="1:1" ht="12.75" customHeight="1">
      <c r="A7988" s="129">
        <v>7988</v>
      </c>
    </row>
    <row r="7989" spans="1:1" ht="12.75" customHeight="1">
      <c r="A7989" s="129">
        <v>7989</v>
      </c>
    </row>
    <row r="7990" spans="1:1" ht="12.75" customHeight="1">
      <c r="A7990" s="129">
        <v>7990</v>
      </c>
    </row>
    <row r="7991" spans="1:1" ht="12.75" customHeight="1">
      <c r="A7991" s="129">
        <v>7991</v>
      </c>
    </row>
    <row r="7992" spans="1:1" ht="12.75" customHeight="1">
      <c r="A7992" s="129">
        <v>7992</v>
      </c>
    </row>
    <row r="7993" spans="1:1" ht="12.75" customHeight="1">
      <c r="A7993" s="129">
        <v>7993</v>
      </c>
    </row>
    <row r="7994" spans="1:1" ht="12.75" customHeight="1">
      <c r="A7994" s="129">
        <v>7994</v>
      </c>
    </row>
    <row r="7995" spans="1:1" ht="12.75" customHeight="1">
      <c r="A7995" s="129">
        <v>7995</v>
      </c>
    </row>
    <row r="7996" spans="1:1" ht="12.75" customHeight="1">
      <c r="A7996" s="129">
        <v>7996</v>
      </c>
    </row>
    <row r="7997" spans="1:1" ht="12.75" customHeight="1">
      <c r="A7997" s="129">
        <v>7997</v>
      </c>
    </row>
    <row r="7998" spans="1:1" ht="12.75" customHeight="1">
      <c r="A7998" s="129">
        <v>7998</v>
      </c>
    </row>
    <row r="7999" spans="1:1" ht="12.75" customHeight="1">
      <c r="A7999" s="129">
        <v>7999</v>
      </c>
    </row>
    <row r="8000" spans="1:1" ht="12.75" customHeight="1">
      <c r="A8000" s="129">
        <v>8000</v>
      </c>
    </row>
    <row r="8001" spans="1:1" ht="12.75" customHeight="1">
      <c r="A8001" s="129">
        <v>8001</v>
      </c>
    </row>
    <row r="8002" spans="1:1" ht="12.75" customHeight="1">
      <c r="A8002" s="129">
        <v>8002</v>
      </c>
    </row>
    <row r="8003" spans="1:1" ht="12.75" customHeight="1">
      <c r="A8003" s="129">
        <v>8003</v>
      </c>
    </row>
    <row r="8004" spans="1:1" ht="12.75" customHeight="1">
      <c r="A8004" s="129">
        <v>8004</v>
      </c>
    </row>
    <row r="8005" spans="1:1" ht="12.75" customHeight="1">
      <c r="A8005" s="129">
        <v>8005</v>
      </c>
    </row>
    <row r="8006" spans="1:1" ht="12.75" customHeight="1">
      <c r="A8006" s="129">
        <v>8006</v>
      </c>
    </row>
    <row r="8007" spans="1:1" ht="12.75" customHeight="1">
      <c r="A8007" s="129">
        <v>8007</v>
      </c>
    </row>
    <row r="8008" spans="1:1" ht="12.75" customHeight="1">
      <c r="A8008" s="129">
        <v>8008</v>
      </c>
    </row>
    <row r="8009" spans="1:1" ht="12.75" customHeight="1">
      <c r="A8009" s="129">
        <v>8009</v>
      </c>
    </row>
    <row r="8010" spans="1:1" ht="12.75" customHeight="1">
      <c r="A8010" s="129">
        <v>8010</v>
      </c>
    </row>
    <row r="8011" spans="1:1" ht="12.75" customHeight="1">
      <c r="A8011" s="129">
        <v>8011</v>
      </c>
    </row>
    <row r="8012" spans="1:1" ht="12.75" customHeight="1">
      <c r="A8012" s="129">
        <v>8012</v>
      </c>
    </row>
    <row r="8013" spans="1:1" ht="12.75" customHeight="1">
      <c r="A8013" s="129">
        <v>8013</v>
      </c>
    </row>
    <row r="8014" spans="1:1" ht="12.75" customHeight="1">
      <c r="A8014" s="129">
        <v>8014</v>
      </c>
    </row>
    <row r="8015" spans="1:1" ht="12.75" customHeight="1">
      <c r="A8015" s="129">
        <v>8015</v>
      </c>
    </row>
    <row r="8016" spans="1:1" ht="12.75" customHeight="1">
      <c r="A8016" s="129">
        <v>8016</v>
      </c>
    </row>
    <row r="8017" spans="1:1" ht="12.75" customHeight="1">
      <c r="A8017" s="129">
        <v>8017</v>
      </c>
    </row>
    <row r="8018" spans="1:1" ht="12.75" customHeight="1">
      <c r="A8018" s="129">
        <v>8018</v>
      </c>
    </row>
    <row r="8019" spans="1:1" ht="12.75" customHeight="1">
      <c r="A8019" s="129">
        <v>8019</v>
      </c>
    </row>
    <row r="8020" spans="1:1" ht="12.75" customHeight="1">
      <c r="A8020" s="129">
        <v>8020</v>
      </c>
    </row>
    <row r="8021" spans="1:1" ht="12.75" customHeight="1">
      <c r="A8021" s="129">
        <v>8021</v>
      </c>
    </row>
    <row r="8022" spans="1:1" ht="12.75" customHeight="1">
      <c r="A8022" s="129">
        <v>8022</v>
      </c>
    </row>
    <row r="8023" spans="1:1" ht="12.75" customHeight="1">
      <c r="A8023" s="129">
        <v>8023</v>
      </c>
    </row>
    <row r="8024" spans="1:1" ht="12.75" customHeight="1">
      <c r="A8024" s="129">
        <v>8024</v>
      </c>
    </row>
    <row r="8025" spans="1:1" ht="12.75" customHeight="1">
      <c r="A8025" s="129">
        <v>8025</v>
      </c>
    </row>
    <row r="8026" spans="1:1" ht="12.75" customHeight="1">
      <c r="A8026" s="129">
        <v>8026</v>
      </c>
    </row>
    <row r="8027" spans="1:1" ht="12.75" customHeight="1">
      <c r="A8027" s="129">
        <v>8027</v>
      </c>
    </row>
    <row r="8028" spans="1:1" ht="12.75" customHeight="1">
      <c r="A8028" s="129">
        <v>8028</v>
      </c>
    </row>
    <row r="8029" spans="1:1" ht="12.75" customHeight="1">
      <c r="A8029" s="129">
        <v>8029</v>
      </c>
    </row>
    <row r="8030" spans="1:1" ht="12.75" customHeight="1">
      <c r="A8030" s="129">
        <v>8030</v>
      </c>
    </row>
    <row r="8031" spans="1:1" ht="12.75" customHeight="1">
      <c r="A8031" s="129">
        <v>8031</v>
      </c>
    </row>
    <row r="8032" spans="1:1" ht="12.75" customHeight="1">
      <c r="A8032" s="129">
        <v>8032</v>
      </c>
    </row>
    <row r="8033" spans="1:1" ht="12.75" customHeight="1">
      <c r="A8033" s="129">
        <v>8033</v>
      </c>
    </row>
    <row r="8034" spans="1:1" ht="12.75" customHeight="1">
      <c r="A8034" s="129">
        <v>8034</v>
      </c>
    </row>
    <row r="8035" spans="1:1" ht="12.75" customHeight="1">
      <c r="A8035" s="129">
        <v>8035</v>
      </c>
    </row>
    <row r="8036" spans="1:1" ht="12.75" customHeight="1">
      <c r="A8036" s="129">
        <v>8036</v>
      </c>
    </row>
    <row r="8037" spans="1:1" ht="12.75" customHeight="1">
      <c r="A8037" s="129">
        <v>8037</v>
      </c>
    </row>
    <row r="8038" spans="1:1" ht="12.75" customHeight="1">
      <c r="A8038" s="129">
        <v>8038</v>
      </c>
    </row>
    <row r="8039" spans="1:1" ht="12.75" customHeight="1">
      <c r="A8039" s="129">
        <v>8039</v>
      </c>
    </row>
    <row r="8040" spans="1:1" ht="12.75" customHeight="1">
      <c r="A8040" s="129">
        <v>8040</v>
      </c>
    </row>
    <row r="8041" spans="1:1" ht="12.75" customHeight="1">
      <c r="A8041" s="129">
        <v>8041</v>
      </c>
    </row>
    <row r="8042" spans="1:1" ht="12.75" customHeight="1">
      <c r="A8042" s="129">
        <v>8042</v>
      </c>
    </row>
    <row r="8043" spans="1:1" ht="12.75" customHeight="1">
      <c r="A8043" s="129">
        <v>8043</v>
      </c>
    </row>
    <row r="8044" spans="1:1" ht="12.75" customHeight="1">
      <c r="A8044" s="129">
        <v>8044</v>
      </c>
    </row>
    <row r="8045" spans="1:1" ht="12.75" customHeight="1">
      <c r="A8045" s="129">
        <v>8045</v>
      </c>
    </row>
    <row r="8046" spans="1:1" ht="12.75" customHeight="1">
      <c r="A8046" s="129">
        <v>8046</v>
      </c>
    </row>
    <row r="8047" spans="1:1" ht="12.75" customHeight="1">
      <c r="A8047" s="129">
        <v>8047</v>
      </c>
    </row>
    <row r="8048" spans="1:1" ht="12.75" customHeight="1">
      <c r="A8048" s="129">
        <v>8048</v>
      </c>
    </row>
    <row r="8049" spans="1:1" ht="12.75" customHeight="1">
      <c r="A8049" s="129">
        <v>8049</v>
      </c>
    </row>
    <row r="8050" spans="1:1" ht="12.75" customHeight="1">
      <c r="A8050" s="129">
        <v>8050</v>
      </c>
    </row>
    <row r="8051" spans="1:1" ht="12.75" customHeight="1">
      <c r="A8051" s="129">
        <v>8051</v>
      </c>
    </row>
    <row r="8052" spans="1:1" ht="12.75" customHeight="1">
      <c r="A8052" s="129">
        <v>8052</v>
      </c>
    </row>
    <row r="8053" spans="1:1" ht="12.75" customHeight="1">
      <c r="A8053" s="129">
        <v>8053</v>
      </c>
    </row>
    <row r="8054" spans="1:1" ht="12.75" customHeight="1">
      <c r="A8054" s="129">
        <v>8054</v>
      </c>
    </row>
    <row r="8055" spans="1:1" ht="12.75" customHeight="1">
      <c r="A8055" s="129">
        <v>8055</v>
      </c>
    </row>
    <row r="8056" spans="1:1" ht="12.75" customHeight="1">
      <c r="A8056" s="129">
        <v>8056</v>
      </c>
    </row>
    <row r="8057" spans="1:1" ht="12.75" customHeight="1">
      <c r="A8057" s="129">
        <v>8057</v>
      </c>
    </row>
    <row r="8058" spans="1:1" ht="12.75" customHeight="1">
      <c r="A8058" s="129">
        <v>8058</v>
      </c>
    </row>
    <row r="8059" spans="1:1" ht="12.75" customHeight="1">
      <c r="A8059" s="129">
        <v>8059</v>
      </c>
    </row>
    <row r="8060" spans="1:1" ht="12.75" customHeight="1">
      <c r="A8060" s="129">
        <v>8060</v>
      </c>
    </row>
    <row r="8061" spans="1:1" ht="12.75" customHeight="1">
      <c r="A8061" s="129">
        <v>8061</v>
      </c>
    </row>
    <row r="8062" spans="1:1" ht="12.75" customHeight="1">
      <c r="A8062" s="129">
        <v>8062</v>
      </c>
    </row>
    <row r="8063" spans="1:1" ht="12.75" customHeight="1">
      <c r="A8063" s="129">
        <v>8063</v>
      </c>
    </row>
    <row r="8064" spans="1:1" ht="12.75" customHeight="1">
      <c r="A8064" s="129">
        <v>8064</v>
      </c>
    </row>
    <row r="8065" spans="1:1" ht="12.75" customHeight="1">
      <c r="A8065" s="129">
        <v>8065</v>
      </c>
    </row>
    <row r="8066" spans="1:1" ht="12.75" customHeight="1">
      <c r="A8066" s="129">
        <v>8066</v>
      </c>
    </row>
    <row r="8067" spans="1:1" ht="12.75" customHeight="1">
      <c r="A8067" s="129">
        <v>8067</v>
      </c>
    </row>
    <row r="8068" spans="1:1" ht="12.75" customHeight="1">
      <c r="A8068" s="129">
        <v>8068</v>
      </c>
    </row>
    <row r="8069" spans="1:1" ht="12.75" customHeight="1">
      <c r="A8069" s="129">
        <v>8069</v>
      </c>
    </row>
    <row r="8070" spans="1:1" ht="12.75" customHeight="1">
      <c r="A8070" s="129">
        <v>8070</v>
      </c>
    </row>
    <row r="8071" spans="1:1" ht="12.75" customHeight="1">
      <c r="A8071" s="129">
        <v>8071</v>
      </c>
    </row>
    <row r="8072" spans="1:1" ht="12.75" customHeight="1">
      <c r="A8072" s="129">
        <v>8072</v>
      </c>
    </row>
    <row r="8073" spans="1:1" ht="12.75" customHeight="1">
      <c r="A8073" s="129">
        <v>8073</v>
      </c>
    </row>
    <row r="8074" spans="1:1" ht="12.75" customHeight="1">
      <c r="A8074" s="129">
        <v>8074</v>
      </c>
    </row>
    <row r="8075" spans="1:1" ht="12.75" customHeight="1">
      <c r="A8075" s="129">
        <v>8075</v>
      </c>
    </row>
    <row r="8076" spans="1:1" ht="12.75" customHeight="1">
      <c r="A8076" s="129">
        <v>8076</v>
      </c>
    </row>
    <row r="8077" spans="1:1" ht="12.75" customHeight="1">
      <c r="A8077" s="129">
        <v>8077</v>
      </c>
    </row>
    <row r="8078" spans="1:1" ht="12.75" customHeight="1">
      <c r="A8078" s="129">
        <v>8078</v>
      </c>
    </row>
    <row r="8079" spans="1:1" ht="12.75" customHeight="1">
      <c r="A8079" s="129">
        <v>8079</v>
      </c>
    </row>
    <row r="8080" spans="1:1" ht="12.75" customHeight="1">
      <c r="A8080" s="129">
        <v>8080</v>
      </c>
    </row>
    <row r="8081" spans="1:1" ht="12.75" customHeight="1">
      <c r="A8081" s="129">
        <v>8081</v>
      </c>
    </row>
    <row r="8082" spans="1:1" ht="12.75" customHeight="1">
      <c r="A8082" s="129">
        <v>8082</v>
      </c>
    </row>
    <row r="8083" spans="1:1" ht="12.75" customHeight="1">
      <c r="A8083" s="129">
        <v>8083</v>
      </c>
    </row>
    <row r="8084" spans="1:1" ht="12.75" customHeight="1">
      <c r="A8084" s="129">
        <v>8084</v>
      </c>
    </row>
    <row r="8085" spans="1:1" ht="12.75" customHeight="1">
      <c r="A8085" s="129">
        <v>8085</v>
      </c>
    </row>
    <row r="8086" spans="1:1" ht="12.75" customHeight="1">
      <c r="A8086" s="129">
        <v>8086</v>
      </c>
    </row>
    <row r="8087" spans="1:1" ht="12.75" customHeight="1">
      <c r="A8087" s="129">
        <v>8087</v>
      </c>
    </row>
    <row r="8088" spans="1:1" ht="12.75" customHeight="1">
      <c r="A8088" s="129">
        <v>8088</v>
      </c>
    </row>
    <row r="8089" spans="1:1" ht="12.75" customHeight="1">
      <c r="A8089" s="129">
        <v>8089</v>
      </c>
    </row>
    <row r="8090" spans="1:1" ht="12.75" customHeight="1">
      <c r="A8090" s="129">
        <v>8090</v>
      </c>
    </row>
    <row r="8091" spans="1:1" ht="12.75" customHeight="1">
      <c r="A8091" s="129">
        <v>8091</v>
      </c>
    </row>
    <row r="8092" spans="1:1" ht="12.75" customHeight="1">
      <c r="A8092" s="129">
        <v>8092</v>
      </c>
    </row>
    <row r="8093" spans="1:1" ht="12.75" customHeight="1">
      <c r="A8093" s="129">
        <v>8093</v>
      </c>
    </row>
    <row r="8094" spans="1:1" ht="12.75" customHeight="1">
      <c r="A8094" s="129">
        <v>8094</v>
      </c>
    </row>
    <row r="8095" spans="1:1" ht="12.75" customHeight="1">
      <c r="A8095" s="129">
        <v>8095</v>
      </c>
    </row>
    <row r="8096" spans="1:1" ht="12.75" customHeight="1">
      <c r="A8096" s="129">
        <v>8096</v>
      </c>
    </row>
    <row r="8097" spans="1:1" ht="12.75" customHeight="1">
      <c r="A8097" s="129">
        <v>8097</v>
      </c>
    </row>
    <row r="8098" spans="1:1" ht="12.75" customHeight="1">
      <c r="A8098" s="129">
        <v>8098</v>
      </c>
    </row>
    <row r="8099" spans="1:1" ht="12.75" customHeight="1">
      <c r="A8099" s="129">
        <v>8099</v>
      </c>
    </row>
    <row r="8100" spans="1:1" ht="12.75" customHeight="1">
      <c r="A8100" s="129">
        <v>8100</v>
      </c>
    </row>
    <row r="8101" spans="1:1" ht="12.75" customHeight="1">
      <c r="A8101" s="129">
        <v>8101</v>
      </c>
    </row>
    <row r="8102" spans="1:1" ht="12.75" customHeight="1">
      <c r="A8102" s="129">
        <v>8102</v>
      </c>
    </row>
    <row r="8103" spans="1:1" ht="12.75" customHeight="1">
      <c r="A8103" s="129">
        <v>8103</v>
      </c>
    </row>
    <row r="8104" spans="1:1" ht="12.75" customHeight="1">
      <c r="A8104" s="129">
        <v>8104</v>
      </c>
    </row>
    <row r="8105" spans="1:1" ht="12.75" customHeight="1">
      <c r="A8105" s="129">
        <v>8105</v>
      </c>
    </row>
    <row r="8106" spans="1:1" ht="12.75" customHeight="1">
      <c r="A8106" s="129">
        <v>8106</v>
      </c>
    </row>
    <row r="8107" spans="1:1" ht="12.75" customHeight="1">
      <c r="A8107" s="129">
        <v>8107</v>
      </c>
    </row>
    <row r="8108" spans="1:1" ht="12.75" customHeight="1">
      <c r="A8108" s="129">
        <v>8108</v>
      </c>
    </row>
    <row r="8109" spans="1:1" ht="12.75" customHeight="1">
      <c r="A8109" s="129">
        <v>8109</v>
      </c>
    </row>
    <row r="8110" spans="1:1" ht="12.75" customHeight="1">
      <c r="A8110" s="129">
        <v>8110</v>
      </c>
    </row>
    <row r="8111" spans="1:1" ht="12.75" customHeight="1">
      <c r="A8111" s="129">
        <v>8111</v>
      </c>
    </row>
    <row r="8112" spans="1:1" ht="12.75" customHeight="1">
      <c r="A8112" s="129">
        <v>8112</v>
      </c>
    </row>
    <row r="8113" spans="1:1" ht="12.75" customHeight="1">
      <c r="A8113" s="129">
        <v>8113</v>
      </c>
    </row>
    <row r="8114" spans="1:1" ht="12.75" customHeight="1">
      <c r="A8114" s="129">
        <v>8114</v>
      </c>
    </row>
    <row r="8115" spans="1:1" ht="12.75" customHeight="1">
      <c r="A8115" s="129">
        <v>8115</v>
      </c>
    </row>
    <row r="8116" spans="1:1" ht="12.75" customHeight="1">
      <c r="A8116" s="129">
        <v>8116</v>
      </c>
    </row>
    <row r="8117" spans="1:1" ht="12.75" customHeight="1">
      <c r="A8117" s="129">
        <v>8117</v>
      </c>
    </row>
    <row r="8118" spans="1:1" ht="12.75" customHeight="1">
      <c r="A8118" s="129">
        <v>8118</v>
      </c>
    </row>
    <row r="8119" spans="1:1" ht="12.75" customHeight="1">
      <c r="A8119" s="129">
        <v>8119</v>
      </c>
    </row>
    <row r="8120" spans="1:1" ht="12.75" customHeight="1">
      <c r="A8120" s="129">
        <v>8120</v>
      </c>
    </row>
    <row r="8121" spans="1:1" ht="12.75" customHeight="1">
      <c r="A8121" s="129">
        <v>8121</v>
      </c>
    </row>
    <row r="8122" spans="1:1" ht="12.75" customHeight="1">
      <c r="A8122" s="129">
        <v>8122</v>
      </c>
    </row>
    <row r="8123" spans="1:1" ht="12.75" customHeight="1">
      <c r="A8123" s="129">
        <v>8123</v>
      </c>
    </row>
    <row r="8124" spans="1:1" ht="12.75" customHeight="1">
      <c r="A8124" s="129">
        <v>8124</v>
      </c>
    </row>
    <row r="8125" spans="1:1" ht="12.75" customHeight="1">
      <c r="A8125" s="129">
        <v>8125</v>
      </c>
    </row>
    <row r="8126" spans="1:1" ht="12.75" customHeight="1">
      <c r="A8126" s="129">
        <v>8126</v>
      </c>
    </row>
    <row r="8127" spans="1:1" ht="12.75" customHeight="1">
      <c r="A8127" s="129">
        <v>8127</v>
      </c>
    </row>
    <row r="8128" spans="1:1" ht="12.75" customHeight="1">
      <c r="A8128" s="129">
        <v>8128</v>
      </c>
    </row>
    <row r="8129" spans="1:1" ht="12.75" customHeight="1">
      <c r="A8129" s="129">
        <v>8129</v>
      </c>
    </row>
    <row r="8130" spans="1:1" ht="12.75" customHeight="1">
      <c r="A8130" s="129">
        <v>8130</v>
      </c>
    </row>
    <row r="8131" spans="1:1" ht="12.75" customHeight="1">
      <c r="A8131" s="129">
        <v>8131</v>
      </c>
    </row>
    <row r="8132" spans="1:1" ht="12.75" customHeight="1">
      <c r="A8132" s="129">
        <v>8132</v>
      </c>
    </row>
    <row r="8133" spans="1:1" ht="12.75" customHeight="1">
      <c r="A8133" s="129">
        <v>8133</v>
      </c>
    </row>
    <row r="8134" spans="1:1" ht="12.75" customHeight="1">
      <c r="A8134" s="129">
        <v>8134</v>
      </c>
    </row>
    <row r="8135" spans="1:1" ht="12.75" customHeight="1">
      <c r="A8135" s="129">
        <v>8135</v>
      </c>
    </row>
    <row r="8136" spans="1:1" ht="12.75" customHeight="1">
      <c r="A8136" s="129">
        <v>8136</v>
      </c>
    </row>
    <row r="8137" spans="1:1" ht="12.75" customHeight="1">
      <c r="A8137" s="129">
        <v>8137</v>
      </c>
    </row>
    <row r="8138" spans="1:1" ht="12.75" customHeight="1">
      <c r="A8138" s="129">
        <v>8138</v>
      </c>
    </row>
    <row r="8139" spans="1:1" ht="12.75" customHeight="1">
      <c r="A8139" s="129">
        <v>8139</v>
      </c>
    </row>
    <row r="8140" spans="1:1" ht="12.75" customHeight="1">
      <c r="A8140" s="129">
        <v>8140</v>
      </c>
    </row>
    <row r="8141" spans="1:1" ht="12.75" customHeight="1">
      <c r="A8141" s="129">
        <v>8141</v>
      </c>
    </row>
    <row r="8142" spans="1:1" ht="12.75" customHeight="1">
      <c r="A8142" s="129">
        <v>8142</v>
      </c>
    </row>
    <row r="8143" spans="1:1" ht="12.75" customHeight="1">
      <c r="A8143" s="129">
        <v>8143</v>
      </c>
    </row>
    <row r="8144" spans="1:1" ht="12.75" customHeight="1">
      <c r="A8144" s="129">
        <v>8144</v>
      </c>
    </row>
    <row r="8145" spans="1:1" ht="12.75" customHeight="1">
      <c r="A8145" s="129">
        <v>8145</v>
      </c>
    </row>
    <row r="8146" spans="1:1" ht="12.75" customHeight="1">
      <c r="A8146" s="129">
        <v>8146</v>
      </c>
    </row>
    <row r="8147" spans="1:1" ht="12.75" customHeight="1">
      <c r="A8147" s="129">
        <v>8147</v>
      </c>
    </row>
    <row r="8148" spans="1:1" ht="12.75" customHeight="1">
      <c r="A8148" s="129">
        <v>8148</v>
      </c>
    </row>
    <row r="8149" spans="1:1" ht="12.75" customHeight="1">
      <c r="A8149" s="129">
        <v>8149</v>
      </c>
    </row>
    <row r="8150" spans="1:1" ht="12.75" customHeight="1">
      <c r="A8150" s="129">
        <v>8150</v>
      </c>
    </row>
    <row r="8151" spans="1:1" ht="12.75" customHeight="1">
      <c r="A8151" s="129">
        <v>8151</v>
      </c>
    </row>
    <row r="8152" spans="1:1" ht="12.75" customHeight="1">
      <c r="A8152" s="129">
        <v>8152</v>
      </c>
    </row>
    <row r="8153" spans="1:1" ht="12.75" customHeight="1">
      <c r="A8153" s="129">
        <v>8153</v>
      </c>
    </row>
    <row r="8154" spans="1:1" ht="12.75" customHeight="1">
      <c r="A8154" s="129">
        <v>8154</v>
      </c>
    </row>
    <row r="8155" spans="1:1" ht="12.75" customHeight="1">
      <c r="A8155" s="129">
        <v>8155</v>
      </c>
    </row>
    <row r="8156" spans="1:1" ht="12.75" customHeight="1">
      <c r="A8156" s="129">
        <v>8156</v>
      </c>
    </row>
    <row r="8157" spans="1:1" ht="12.75" customHeight="1">
      <c r="A8157" s="129">
        <v>8157</v>
      </c>
    </row>
    <row r="8158" spans="1:1" ht="12.75" customHeight="1">
      <c r="A8158" s="129">
        <v>8158</v>
      </c>
    </row>
    <row r="8159" spans="1:1" ht="12.75" customHeight="1">
      <c r="A8159" s="129">
        <v>8159</v>
      </c>
    </row>
    <row r="8160" spans="1:1" ht="12.75" customHeight="1">
      <c r="A8160" s="129">
        <v>8160</v>
      </c>
    </row>
    <row r="8161" spans="1:1" ht="12.75" customHeight="1">
      <c r="A8161" s="129">
        <v>8161</v>
      </c>
    </row>
    <row r="8162" spans="1:1" ht="12.75" customHeight="1">
      <c r="A8162" s="129">
        <v>8162</v>
      </c>
    </row>
    <row r="8163" spans="1:1" ht="12.75" customHeight="1">
      <c r="A8163" s="129">
        <v>8163</v>
      </c>
    </row>
    <row r="8164" spans="1:1" ht="12.75" customHeight="1">
      <c r="A8164" s="129">
        <v>8164</v>
      </c>
    </row>
    <row r="8165" spans="1:1" ht="12.75" customHeight="1">
      <c r="A8165" s="129">
        <v>8165</v>
      </c>
    </row>
    <row r="8166" spans="1:1" ht="12.75" customHeight="1">
      <c r="A8166" s="129">
        <v>8166</v>
      </c>
    </row>
    <row r="8167" spans="1:1" ht="12.75" customHeight="1">
      <c r="A8167" s="129">
        <v>8167</v>
      </c>
    </row>
    <row r="8168" spans="1:1" ht="12.75" customHeight="1">
      <c r="A8168" s="129">
        <v>8168</v>
      </c>
    </row>
    <row r="8169" spans="1:1" ht="12.75" customHeight="1">
      <c r="A8169" s="129">
        <v>8169</v>
      </c>
    </row>
    <row r="8170" spans="1:1" ht="12.75" customHeight="1">
      <c r="A8170" s="129">
        <v>8170</v>
      </c>
    </row>
    <row r="8171" spans="1:1" ht="12.75" customHeight="1">
      <c r="A8171" s="129">
        <v>8171</v>
      </c>
    </row>
    <row r="8172" spans="1:1" ht="12.75" customHeight="1">
      <c r="A8172" s="129">
        <v>8172</v>
      </c>
    </row>
    <row r="8173" spans="1:1" ht="12.75" customHeight="1">
      <c r="A8173" s="129">
        <v>8173</v>
      </c>
    </row>
    <row r="8174" spans="1:1" ht="12.75" customHeight="1">
      <c r="A8174" s="129">
        <v>8174</v>
      </c>
    </row>
    <row r="8175" spans="1:1" ht="12.75" customHeight="1">
      <c r="A8175" s="129">
        <v>8175</v>
      </c>
    </row>
    <row r="8176" spans="1:1" ht="12.75" customHeight="1">
      <c r="A8176" s="129">
        <v>8176</v>
      </c>
    </row>
    <row r="8177" spans="1:1" ht="12.75" customHeight="1">
      <c r="A8177" s="129">
        <v>8177</v>
      </c>
    </row>
    <row r="8178" spans="1:1" ht="12.75" customHeight="1">
      <c r="A8178" s="129">
        <v>8178</v>
      </c>
    </row>
    <row r="8179" spans="1:1" ht="12.75" customHeight="1">
      <c r="A8179" s="129">
        <v>8179</v>
      </c>
    </row>
    <row r="8180" spans="1:1" ht="12.75" customHeight="1">
      <c r="A8180" s="129">
        <v>8180</v>
      </c>
    </row>
    <row r="8181" spans="1:1" ht="12.75" customHeight="1">
      <c r="A8181" s="129">
        <v>8181</v>
      </c>
    </row>
    <row r="8182" spans="1:1" ht="12.75" customHeight="1">
      <c r="A8182" s="129">
        <v>8182</v>
      </c>
    </row>
    <row r="8183" spans="1:1" ht="12.75" customHeight="1">
      <c r="A8183" s="129">
        <v>8183</v>
      </c>
    </row>
    <row r="8184" spans="1:1" ht="12.75" customHeight="1">
      <c r="A8184" s="129">
        <v>8184</v>
      </c>
    </row>
    <row r="8185" spans="1:1" ht="12.75" customHeight="1">
      <c r="A8185" s="129">
        <v>8185</v>
      </c>
    </row>
    <row r="8186" spans="1:1" ht="12.75" customHeight="1">
      <c r="A8186" s="129">
        <v>8186</v>
      </c>
    </row>
    <row r="8187" spans="1:1" ht="12.75" customHeight="1">
      <c r="A8187" s="129">
        <v>8187</v>
      </c>
    </row>
    <row r="8188" spans="1:1" ht="12.75" customHeight="1">
      <c r="A8188" s="129">
        <v>8188</v>
      </c>
    </row>
    <row r="8189" spans="1:1" ht="12.75" customHeight="1">
      <c r="A8189" s="129">
        <v>8189</v>
      </c>
    </row>
    <row r="8190" spans="1:1" ht="12.75" customHeight="1">
      <c r="A8190" s="129">
        <v>8190</v>
      </c>
    </row>
    <row r="8191" spans="1:1" ht="12.75" customHeight="1">
      <c r="A8191" s="129">
        <v>8191</v>
      </c>
    </row>
    <row r="8192" spans="1:1" ht="12.75" customHeight="1">
      <c r="A8192" s="129">
        <v>8192</v>
      </c>
    </row>
    <row r="8193" spans="1:1" ht="12.75" customHeight="1">
      <c r="A8193" s="129">
        <v>8193</v>
      </c>
    </row>
    <row r="8194" spans="1:1" ht="12.75" customHeight="1">
      <c r="A8194" s="129">
        <v>8194</v>
      </c>
    </row>
    <row r="8195" spans="1:1" ht="12.75" customHeight="1">
      <c r="A8195" s="129">
        <v>8195</v>
      </c>
    </row>
    <row r="8196" spans="1:1" ht="12.75" customHeight="1">
      <c r="A8196" s="129">
        <v>8196</v>
      </c>
    </row>
    <row r="8197" spans="1:1" ht="12.75" customHeight="1">
      <c r="A8197" s="129">
        <v>8197</v>
      </c>
    </row>
    <row r="8198" spans="1:1" ht="12.75" customHeight="1">
      <c r="A8198" s="129">
        <v>8198</v>
      </c>
    </row>
    <row r="8199" spans="1:1" ht="12.75" customHeight="1">
      <c r="A8199" s="129">
        <v>8199</v>
      </c>
    </row>
    <row r="8200" spans="1:1" ht="12.75" customHeight="1">
      <c r="A8200" s="129">
        <v>8200</v>
      </c>
    </row>
    <row r="8201" spans="1:1" ht="12.75" customHeight="1">
      <c r="A8201" s="129">
        <v>8201</v>
      </c>
    </row>
    <row r="8202" spans="1:1" ht="12.75" customHeight="1">
      <c r="A8202" s="129">
        <v>8202</v>
      </c>
    </row>
    <row r="8203" spans="1:1" ht="12.75" customHeight="1">
      <c r="A8203" s="129">
        <v>8203</v>
      </c>
    </row>
    <row r="8204" spans="1:1" ht="12.75" customHeight="1">
      <c r="A8204" s="129">
        <v>8204</v>
      </c>
    </row>
    <row r="8205" spans="1:1" ht="12.75" customHeight="1">
      <c r="A8205" s="129">
        <v>8205</v>
      </c>
    </row>
    <row r="8206" spans="1:1" ht="12.75" customHeight="1">
      <c r="A8206" s="129">
        <v>8206</v>
      </c>
    </row>
    <row r="8207" spans="1:1" ht="12.75" customHeight="1">
      <c r="A8207" s="129">
        <v>8207</v>
      </c>
    </row>
    <row r="8208" spans="1:1" ht="12.75" customHeight="1">
      <c r="A8208" s="129">
        <v>8208</v>
      </c>
    </row>
    <row r="8209" spans="1:1" ht="12.75" customHeight="1">
      <c r="A8209" s="129">
        <v>8209</v>
      </c>
    </row>
    <row r="8210" spans="1:1" ht="12.75" customHeight="1">
      <c r="A8210" s="129">
        <v>8210</v>
      </c>
    </row>
    <row r="8211" spans="1:1" ht="12.75" customHeight="1">
      <c r="A8211" s="129">
        <v>8211</v>
      </c>
    </row>
    <row r="8212" spans="1:1" ht="12.75" customHeight="1">
      <c r="A8212" s="129">
        <v>8212</v>
      </c>
    </row>
    <row r="8213" spans="1:1" ht="12.75" customHeight="1">
      <c r="A8213" s="129">
        <v>8213</v>
      </c>
    </row>
    <row r="8214" spans="1:1" ht="12.75" customHeight="1">
      <c r="A8214" s="129">
        <v>8214</v>
      </c>
    </row>
    <row r="8215" spans="1:1" ht="12.75" customHeight="1">
      <c r="A8215" s="129">
        <v>8215</v>
      </c>
    </row>
    <row r="8216" spans="1:1" ht="12.75" customHeight="1">
      <c r="A8216" s="129">
        <v>8216</v>
      </c>
    </row>
    <row r="8217" spans="1:1" ht="12.75" customHeight="1">
      <c r="A8217" s="129">
        <v>8217</v>
      </c>
    </row>
    <row r="8218" spans="1:1" ht="12.75" customHeight="1">
      <c r="A8218" s="129">
        <v>8218</v>
      </c>
    </row>
    <row r="8219" spans="1:1" ht="12.75" customHeight="1">
      <c r="A8219" s="129">
        <v>8219</v>
      </c>
    </row>
    <row r="8220" spans="1:1" ht="12.75" customHeight="1">
      <c r="A8220" s="129">
        <v>8220</v>
      </c>
    </row>
    <row r="8221" spans="1:1" ht="12.75" customHeight="1">
      <c r="A8221" s="129">
        <v>8221</v>
      </c>
    </row>
    <row r="8222" spans="1:1" ht="12.75" customHeight="1">
      <c r="A8222" s="129">
        <v>8222</v>
      </c>
    </row>
    <row r="8223" spans="1:1" ht="12.75" customHeight="1">
      <c r="A8223" s="129">
        <v>8223</v>
      </c>
    </row>
    <row r="8224" spans="1:1" ht="12.75" customHeight="1">
      <c r="A8224" s="129">
        <v>8224</v>
      </c>
    </row>
    <row r="8225" spans="1:1" ht="12.75" customHeight="1">
      <c r="A8225" s="129">
        <v>8225</v>
      </c>
    </row>
    <row r="8226" spans="1:1" ht="12.75" customHeight="1">
      <c r="A8226" s="129">
        <v>8226</v>
      </c>
    </row>
    <row r="8227" spans="1:1" ht="12.75" customHeight="1">
      <c r="A8227" s="129">
        <v>8227</v>
      </c>
    </row>
    <row r="8228" spans="1:1" ht="12.75" customHeight="1">
      <c r="A8228" s="129">
        <v>8228</v>
      </c>
    </row>
    <row r="8229" spans="1:1" ht="12.75" customHeight="1">
      <c r="A8229" s="129">
        <v>8229</v>
      </c>
    </row>
    <row r="8230" spans="1:1" ht="12.75" customHeight="1">
      <c r="A8230" s="129">
        <v>8230</v>
      </c>
    </row>
    <row r="8231" spans="1:1" ht="12.75" customHeight="1">
      <c r="A8231" s="129">
        <v>8231</v>
      </c>
    </row>
    <row r="8232" spans="1:1" ht="12.75" customHeight="1">
      <c r="A8232" s="129">
        <v>8232</v>
      </c>
    </row>
    <row r="8233" spans="1:1" ht="12.75" customHeight="1">
      <c r="A8233" s="129">
        <v>8233</v>
      </c>
    </row>
    <row r="8234" spans="1:1" ht="12.75" customHeight="1">
      <c r="A8234" s="129">
        <v>8234</v>
      </c>
    </row>
    <row r="8235" spans="1:1" ht="12.75" customHeight="1">
      <c r="A8235" s="129">
        <v>8235</v>
      </c>
    </row>
    <row r="8236" spans="1:1" ht="12.75" customHeight="1">
      <c r="A8236" s="129">
        <v>8236</v>
      </c>
    </row>
    <row r="8237" spans="1:1" ht="12.75" customHeight="1">
      <c r="A8237" s="129">
        <v>8237</v>
      </c>
    </row>
    <row r="8238" spans="1:1" ht="12.75" customHeight="1">
      <c r="A8238" s="129">
        <v>8238</v>
      </c>
    </row>
    <row r="8239" spans="1:1" ht="12.75" customHeight="1">
      <c r="A8239" s="129">
        <v>8239</v>
      </c>
    </row>
    <row r="8240" spans="1:1" ht="12.75" customHeight="1">
      <c r="A8240" s="129">
        <v>8240</v>
      </c>
    </row>
    <row r="8241" spans="1:1" ht="12.75" customHeight="1">
      <c r="A8241" s="129">
        <v>8241</v>
      </c>
    </row>
    <row r="8242" spans="1:1" ht="12.75" customHeight="1">
      <c r="A8242" s="129">
        <v>8242</v>
      </c>
    </row>
    <row r="8243" spans="1:1" ht="12.75" customHeight="1">
      <c r="A8243" s="129">
        <v>8243</v>
      </c>
    </row>
    <row r="8244" spans="1:1" ht="12.75" customHeight="1">
      <c r="A8244" s="129">
        <v>8244</v>
      </c>
    </row>
    <row r="8245" spans="1:1" ht="12.75" customHeight="1">
      <c r="A8245" s="129">
        <v>8245</v>
      </c>
    </row>
    <row r="8246" spans="1:1" ht="12.75" customHeight="1">
      <c r="A8246" s="129">
        <v>8246</v>
      </c>
    </row>
    <row r="8247" spans="1:1" ht="12.75" customHeight="1">
      <c r="A8247" s="129">
        <v>8247</v>
      </c>
    </row>
    <row r="8248" spans="1:1" ht="12.75" customHeight="1">
      <c r="A8248" s="129">
        <v>8248</v>
      </c>
    </row>
    <row r="8249" spans="1:1" ht="12.75" customHeight="1">
      <c r="A8249" s="129">
        <v>8249</v>
      </c>
    </row>
    <row r="8250" spans="1:1" ht="12.75" customHeight="1">
      <c r="A8250" s="129">
        <v>8250</v>
      </c>
    </row>
    <row r="8251" spans="1:1" ht="12.75" customHeight="1">
      <c r="A8251" s="129">
        <v>8251</v>
      </c>
    </row>
    <row r="8252" spans="1:1" ht="12.75" customHeight="1">
      <c r="A8252" s="129">
        <v>8252</v>
      </c>
    </row>
    <row r="8253" spans="1:1" ht="12.75" customHeight="1">
      <c r="A8253" s="129">
        <v>8253</v>
      </c>
    </row>
    <row r="8254" spans="1:1" ht="12.75" customHeight="1">
      <c r="A8254" s="129">
        <v>8254</v>
      </c>
    </row>
    <row r="8255" spans="1:1" ht="12.75" customHeight="1">
      <c r="A8255" s="129">
        <v>8255</v>
      </c>
    </row>
    <row r="8256" spans="1:1" ht="12.75" customHeight="1">
      <c r="A8256" s="129">
        <v>8256</v>
      </c>
    </row>
    <row r="8257" spans="1:1" ht="12.75" customHeight="1">
      <c r="A8257" s="129">
        <v>8257</v>
      </c>
    </row>
    <row r="8258" spans="1:1" ht="12.75" customHeight="1">
      <c r="A8258" s="129">
        <v>8258</v>
      </c>
    </row>
    <row r="8259" spans="1:1" ht="12.75" customHeight="1">
      <c r="A8259" s="129">
        <v>8259</v>
      </c>
    </row>
    <row r="8260" spans="1:1" ht="12.75" customHeight="1">
      <c r="A8260" s="129">
        <v>8260</v>
      </c>
    </row>
    <row r="8261" spans="1:1" ht="12.75" customHeight="1">
      <c r="A8261" s="129">
        <v>8261</v>
      </c>
    </row>
    <row r="8262" spans="1:1" ht="12.75" customHeight="1">
      <c r="A8262" s="129">
        <v>8262</v>
      </c>
    </row>
    <row r="8263" spans="1:1" ht="12.75" customHeight="1">
      <c r="A8263" s="129">
        <v>8263</v>
      </c>
    </row>
    <row r="8264" spans="1:1" ht="12.75" customHeight="1">
      <c r="A8264" s="129">
        <v>8264</v>
      </c>
    </row>
    <row r="8265" spans="1:1" ht="12.75" customHeight="1">
      <c r="A8265" s="129">
        <v>8265</v>
      </c>
    </row>
    <row r="8266" spans="1:1" ht="12.75" customHeight="1">
      <c r="A8266" s="129">
        <v>8266</v>
      </c>
    </row>
    <row r="8267" spans="1:1" ht="12.75" customHeight="1">
      <c r="A8267" s="129">
        <v>8267</v>
      </c>
    </row>
    <row r="8268" spans="1:1" ht="12.75" customHeight="1">
      <c r="A8268" s="129">
        <v>8268</v>
      </c>
    </row>
    <row r="8269" spans="1:1" ht="12.75" customHeight="1">
      <c r="A8269" s="129">
        <v>8269</v>
      </c>
    </row>
    <row r="8270" spans="1:1" ht="12.75" customHeight="1">
      <c r="A8270" s="129">
        <v>8270</v>
      </c>
    </row>
    <row r="8271" spans="1:1" ht="12.75" customHeight="1">
      <c r="A8271" s="129">
        <v>8271</v>
      </c>
    </row>
    <row r="8272" spans="1:1" ht="12.75" customHeight="1">
      <c r="A8272" s="129">
        <v>8272</v>
      </c>
    </row>
    <row r="8273" spans="1:1" ht="12.75" customHeight="1">
      <c r="A8273" s="129">
        <v>8273</v>
      </c>
    </row>
    <row r="8274" spans="1:1" ht="12.75" customHeight="1">
      <c r="A8274" s="129">
        <v>8274</v>
      </c>
    </row>
    <row r="8275" spans="1:1" ht="12.75" customHeight="1">
      <c r="A8275" s="129">
        <v>8275</v>
      </c>
    </row>
    <row r="8276" spans="1:1" ht="12.75" customHeight="1">
      <c r="A8276" s="129">
        <v>8276</v>
      </c>
    </row>
    <row r="8277" spans="1:1" ht="12.75" customHeight="1">
      <c r="A8277" s="129">
        <v>8277</v>
      </c>
    </row>
    <row r="8278" spans="1:1" ht="12.75" customHeight="1">
      <c r="A8278" s="129">
        <v>8278</v>
      </c>
    </row>
    <row r="8279" spans="1:1" ht="12.75" customHeight="1">
      <c r="A8279" s="129">
        <v>8279</v>
      </c>
    </row>
    <row r="8280" spans="1:1" ht="12.75" customHeight="1">
      <c r="A8280" s="129">
        <v>8280</v>
      </c>
    </row>
    <row r="8281" spans="1:1" ht="12.75" customHeight="1">
      <c r="A8281" s="129">
        <v>8281</v>
      </c>
    </row>
    <row r="8282" spans="1:1" ht="12.75" customHeight="1">
      <c r="A8282" s="129">
        <v>8282</v>
      </c>
    </row>
    <row r="8283" spans="1:1" ht="12.75" customHeight="1">
      <c r="A8283" s="129">
        <v>8283</v>
      </c>
    </row>
    <row r="8284" spans="1:1" ht="12.75" customHeight="1">
      <c r="A8284" s="129">
        <v>8284</v>
      </c>
    </row>
    <row r="8285" spans="1:1" ht="12.75" customHeight="1">
      <c r="A8285" s="129">
        <v>8285</v>
      </c>
    </row>
    <row r="8286" spans="1:1" ht="12.75" customHeight="1">
      <c r="A8286" s="129">
        <v>8286</v>
      </c>
    </row>
    <row r="8287" spans="1:1" ht="12.75" customHeight="1">
      <c r="A8287" s="129">
        <v>8287</v>
      </c>
    </row>
    <row r="8288" spans="1:1" ht="12.75" customHeight="1">
      <c r="A8288" s="129">
        <v>8288</v>
      </c>
    </row>
    <row r="8289" spans="1:1" ht="12.75" customHeight="1">
      <c r="A8289" s="129">
        <v>8289</v>
      </c>
    </row>
    <row r="8290" spans="1:1" ht="12.75" customHeight="1">
      <c r="A8290" s="129">
        <v>8290</v>
      </c>
    </row>
    <row r="8291" spans="1:1" ht="12.75" customHeight="1">
      <c r="A8291" s="129">
        <v>8291</v>
      </c>
    </row>
    <row r="8292" spans="1:1" ht="12.75" customHeight="1">
      <c r="A8292" s="129">
        <v>8292</v>
      </c>
    </row>
    <row r="8293" spans="1:1" ht="12.75" customHeight="1">
      <c r="A8293" s="129">
        <v>8293</v>
      </c>
    </row>
    <row r="8294" spans="1:1" ht="12.75" customHeight="1">
      <c r="A8294" s="129">
        <v>8294</v>
      </c>
    </row>
    <row r="8295" spans="1:1" ht="12.75" customHeight="1">
      <c r="A8295" s="129">
        <v>8295</v>
      </c>
    </row>
    <row r="8296" spans="1:1" ht="12.75" customHeight="1">
      <c r="A8296" s="129">
        <v>8296</v>
      </c>
    </row>
    <row r="8297" spans="1:1" ht="12.75" customHeight="1">
      <c r="A8297" s="129">
        <v>8297</v>
      </c>
    </row>
    <row r="8298" spans="1:1" ht="12.75" customHeight="1">
      <c r="A8298" s="129">
        <v>8298</v>
      </c>
    </row>
    <row r="8299" spans="1:1" ht="12.75" customHeight="1">
      <c r="A8299" s="129">
        <v>8299</v>
      </c>
    </row>
    <row r="8300" spans="1:1" ht="12.75" customHeight="1">
      <c r="A8300" s="129">
        <v>8300</v>
      </c>
    </row>
    <row r="8301" spans="1:1" ht="12.75" customHeight="1">
      <c r="A8301" s="129">
        <v>8301</v>
      </c>
    </row>
    <row r="8302" spans="1:1" ht="12.75" customHeight="1">
      <c r="A8302" s="129">
        <v>8302</v>
      </c>
    </row>
    <row r="8303" spans="1:1" ht="12.75" customHeight="1">
      <c r="A8303" s="129">
        <v>8303</v>
      </c>
    </row>
    <row r="8304" spans="1:1" ht="12.75" customHeight="1">
      <c r="A8304" s="129">
        <v>8304</v>
      </c>
    </row>
    <row r="8305" spans="1:1" ht="12.75" customHeight="1">
      <c r="A8305" s="129">
        <v>8305</v>
      </c>
    </row>
    <row r="8306" spans="1:1" ht="12.75" customHeight="1">
      <c r="A8306" s="129">
        <v>8306</v>
      </c>
    </row>
    <row r="8307" spans="1:1" ht="12.75" customHeight="1">
      <c r="A8307" s="129">
        <v>8307</v>
      </c>
    </row>
    <row r="8308" spans="1:1" ht="12.75" customHeight="1">
      <c r="A8308" s="129">
        <v>8308</v>
      </c>
    </row>
    <row r="8309" spans="1:1" ht="12.75" customHeight="1">
      <c r="A8309" s="129">
        <v>8309</v>
      </c>
    </row>
    <row r="8310" spans="1:1" ht="12.75" customHeight="1">
      <c r="A8310" s="129">
        <v>8310</v>
      </c>
    </row>
    <row r="8311" spans="1:1" ht="12.75" customHeight="1">
      <c r="A8311" s="129">
        <v>8311</v>
      </c>
    </row>
    <row r="8312" spans="1:1" ht="12.75" customHeight="1">
      <c r="A8312" s="129">
        <v>8312</v>
      </c>
    </row>
    <row r="8313" spans="1:1" ht="12.75" customHeight="1">
      <c r="A8313" s="129">
        <v>8313</v>
      </c>
    </row>
    <row r="8314" spans="1:1" ht="12.75" customHeight="1">
      <c r="A8314" s="129">
        <v>8314</v>
      </c>
    </row>
    <row r="8315" spans="1:1" ht="12.75" customHeight="1">
      <c r="A8315" s="129">
        <v>8315</v>
      </c>
    </row>
    <row r="8316" spans="1:1" ht="12.75" customHeight="1">
      <c r="A8316" s="129">
        <v>8316</v>
      </c>
    </row>
    <row r="8317" spans="1:1" ht="12.75" customHeight="1">
      <c r="A8317" s="129">
        <v>8317</v>
      </c>
    </row>
    <row r="8318" spans="1:1" ht="12.75" customHeight="1">
      <c r="A8318" s="129">
        <v>8318</v>
      </c>
    </row>
    <row r="8319" spans="1:1" ht="12.75" customHeight="1">
      <c r="A8319" s="129">
        <v>8319</v>
      </c>
    </row>
    <row r="8320" spans="1:1" ht="12.75" customHeight="1">
      <c r="A8320" s="129">
        <v>8320</v>
      </c>
    </row>
    <row r="8321" spans="1:1" ht="12.75" customHeight="1">
      <c r="A8321" s="129">
        <v>8321</v>
      </c>
    </row>
    <row r="8322" spans="1:1" ht="12.75" customHeight="1">
      <c r="A8322" s="129">
        <v>8322</v>
      </c>
    </row>
    <row r="8323" spans="1:1" ht="12.75" customHeight="1">
      <c r="A8323" s="129">
        <v>8323</v>
      </c>
    </row>
    <row r="8324" spans="1:1" ht="12.75" customHeight="1">
      <c r="A8324" s="129">
        <v>8324</v>
      </c>
    </row>
    <row r="8325" spans="1:1" ht="12.75" customHeight="1">
      <c r="A8325" s="129">
        <v>8325</v>
      </c>
    </row>
    <row r="8326" spans="1:1" ht="12.75" customHeight="1">
      <c r="A8326" s="129">
        <v>8326</v>
      </c>
    </row>
    <row r="8327" spans="1:1" ht="12.75" customHeight="1">
      <c r="A8327" s="129">
        <v>8327</v>
      </c>
    </row>
    <row r="8328" spans="1:1" ht="12.75" customHeight="1">
      <c r="A8328" s="129">
        <v>8328</v>
      </c>
    </row>
    <row r="8329" spans="1:1" ht="12.75" customHeight="1">
      <c r="A8329" s="129">
        <v>8329</v>
      </c>
    </row>
    <row r="8330" spans="1:1" ht="12.75" customHeight="1">
      <c r="A8330" s="129">
        <v>8330</v>
      </c>
    </row>
    <row r="8331" spans="1:1" ht="12.75" customHeight="1">
      <c r="A8331" s="129">
        <v>8331</v>
      </c>
    </row>
    <row r="8332" spans="1:1" ht="12.75" customHeight="1">
      <c r="A8332" s="129">
        <v>8332</v>
      </c>
    </row>
    <row r="8333" spans="1:1" ht="12.75" customHeight="1">
      <c r="A8333" s="129">
        <v>8333</v>
      </c>
    </row>
    <row r="8334" spans="1:1" ht="12.75" customHeight="1">
      <c r="A8334" s="129">
        <v>8334</v>
      </c>
    </row>
    <row r="8335" spans="1:1" ht="12.75" customHeight="1">
      <c r="A8335" s="129">
        <v>8335</v>
      </c>
    </row>
    <row r="8336" spans="1:1" ht="12.75" customHeight="1">
      <c r="A8336" s="129">
        <v>8336</v>
      </c>
    </row>
    <row r="8337" spans="1:1" ht="12.75" customHeight="1">
      <c r="A8337" s="129">
        <v>8337</v>
      </c>
    </row>
    <row r="8338" spans="1:1" ht="12.75" customHeight="1">
      <c r="A8338" s="129">
        <v>8338</v>
      </c>
    </row>
    <row r="8339" spans="1:1" ht="12.75" customHeight="1">
      <c r="A8339" s="129">
        <v>8339</v>
      </c>
    </row>
    <row r="8340" spans="1:1" ht="12.75" customHeight="1">
      <c r="A8340" s="129">
        <v>8340</v>
      </c>
    </row>
    <row r="8341" spans="1:1" ht="12.75" customHeight="1">
      <c r="A8341" s="129">
        <v>8341</v>
      </c>
    </row>
    <row r="8342" spans="1:1" ht="12.75" customHeight="1">
      <c r="A8342" s="129">
        <v>8342</v>
      </c>
    </row>
    <row r="8343" spans="1:1" ht="12.75" customHeight="1">
      <c r="A8343" s="129">
        <v>8343</v>
      </c>
    </row>
    <row r="8344" spans="1:1" ht="12.75" customHeight="1">
      <c r="A8344" s="129">
        <v>8344</v>
      </c>
    </row>
    <row r="8345" spans="1:1" ht="12.75" customHeight="1">
      <c r="A8345" s="129">
        <v>8345</v>
      </c>
    </row>
    <row r="8346" spans="1:1" ht="12.75" customHeight="1">
      <c r="A8346" s="129">
        <v>8346</v>
      </c>
    </row>
    <row r="8347" spans="1:1" ht="12.75" customHeight="1">
      <c r="A8347" s="129">
        <v>8347</v>
      </c>
    </row>
    <row r="8348" spans="1:1" ht="12.75" customHeight="1">
      <c r="A8348" s="129">
        <v>8348</v>
      </c>
    </row>
    <row r="8349" spans="1:1" ht="12.75" customHeight="1">
      <c r="A8349" s="129">
        <v>8349</v>
      </c>
    </row>
    <row r="8350" spans="1:1" ht="12.75" customHeight="1">
      <c r="A8350" s="129">
        <v>8350</v>
      </c>
    </row>
    <row r="8351" spans="1:1" ht="12.75" customHeight="1">
      <c r="A8351" s="129">
        <v>8351</v>
      </c>
    </row>
    <row r="8352" spans="1:1" ht="12.75" customHeight="1">
      <c r="A8352" s="129">
        <v>8352</v>
      </c>
    </row>
    <row r="8353" spans="1:1" ht="12.75" customHeight="1">
      <c r="A8353" s="129">
        <v>8353</v>
      </c>
    </row>
    <row r="8354" spans="1:1" ht="12.75" customHeight="1">
      <c r="A8354" s="129">
        <v>8354</v>
      </c>
    </row>
    <row r="8355" spans="1:1" ht="12.75" customHeight="1">
      <c r="A8355" s="129">
        <v>8355</v>
      </c>
    </row>
    <row r="8356" spans="1:1" ht="12.75" customHeight="1">
      <c r="A8356" s="129">
        <v>8356</v>
      </c>
    </row>
    <row r="8357" spans="1:1" ht="12.75" customHeight="1">
      <c r="A8357" s="129">
        <v>8357</v>
      </c>
    </row>
    <row r="8358" spans="1:1" ht="12.75" customHeight="1">
      <c r="A8358" s="129">
        <v>8358</v>
      </c>
    </row>
    <row r="8359" spans="1:1" ht="12.75" customHeight="1">
      <c r="A8359" s="129">
        <v>8359</v>
      </c>
    </row>
    <row r="8360" spans="1:1" ht="12.75" customHeight="1">
      <c r="A8360" s="129">
        <v>8360</v>
      </c>
    </row>
    <row r="8361" spans="1:1" ht="12.75" customHeight="1">
      <c r="A8361" s="129">
        <v>8361</v>
      </c>
    </row>
    <row r="8362" spans="1:1" ht="12.75" customHeight="1">
      <c r="A8362" s="129">
        <v>8362</v>
      </c>
    </row>
    <row r="8363" spans="1:1" ht="12.75" customHeight="1">
      <c r="A8363" s="129">
        <v>8363</v>
      </c>
    </row>
    <row r="8364" spans="1:1" ht="12.75" customHeight="1">
      <c r="A8364" s="129">
        <v>8364</v>
      </c>
    </row>
    <row r="8365" spans="1:1" ht="12.75" customHeight="1">
      <c r="A8365" s="129">
        <v>8365</v>
      </c>
    </row>
    <row r="8366" spans="1:1" ht="12.75" customHeight="1">
      <c r="A8366" s="129">
        <v>8366</v>
      </c>
    </row>
    <row r="8367" spans="1:1" ht="12.75" customHeight="1">
      <c r="A8367" s="129">
        <v>8367</v>
      </c>
    </row>
    <row r="8368" spans="1:1" ht="12.75" customHeight="1">
      <c r="A8368" s="129">
        <v>8368</v>
      </c>
    </row>
    <row r="8369" spans="1:1" ht="12.75" customHeight="1">
      <c r="A8369" s="129">
        <v>8369</v>
      </c>
    </row>
    <row r="8370" spans="1:1" ht="12.75" customHeight="1">
      <c r="A8370" s="129">
        <v>8370</v>
      </c>
    </row>
    <row r="8371" spans="1:1" ht="12.75" customHeight="1">
      <c r="A8371" s="129">
        <v>8371</v>
      </c>
    </row>
    <row r="8372" spans="1:1" ht="12.75" customHeight="1">
      <c r="A8372" s="129">
        <v>8372</v>
      </c>
    </row>
    <row r="8373" spans="1:1" ht="12.75" customHeight="1">
      <c r="A8373" s="129">
        <v>8373</v>
      </c>
    </row>
    <row r="8374" spans="1:1" ht="12.75" customHeight="1">
      <c r="A8374" s="129">
        <v>8374</v>
      </c>
    </row>
    <row r="8375" spans="1:1" ht="12.75" customHeight="1">
      <c r="A8375" s="129">
        <v>8375</v>
      </c>
    </row>
    <row r="8376" spans="1:1" ht="12.75" customHeight="1">
      <c r="A8376" s="129">
        <v>8376</v>
      </c>
    </row>
    <row r="8377" spans="1:1" ht="12.75" customHeight="1">
      <c r="A8377" s="129">
        <v>8377</v>
      </c>
    </row>
    <row r="8378" spans="1:1" ht="12.75" customHeight="1">
      <c r="A8378" s="129">
        <v>8378</v>
      </c>
    </row>
    <row r="8379" spans="1:1" ht="12.75" customHeight="1">
      <c r="A8379" s="129">
        <v>8379</v>
      </c>
    </row>
    <row r="8380" spans="1:1" ht="12.75" customHeight="1">
      <c r="A8380" s="129">
        <v>8380</v>
      </c>
    </row>
    <row r="8381" spans="1:1" ht="12.75" customHeight="1">
      <c r="A8381" s="129">
        <v>8381</v>
      </c>
    </row>
    <row r="8382" spans="1:1" ht="12.75" customHeight="1">
      <c r="A8382" s="129">
        <v>8382</v>
      </c>
    </row>
    <row r="8383" spans="1:1" ht="12.75" customHeight="1">
      <c r="A8383" s="129">
        <v>8383</v>
      </c>
    </row>
    <row r="8384" spans="1:1" ht="12.75" customHeight="1">
      <c r="A8384" s="129">
        <v>8384</v>
      </c>
    </row>
    <row r="8385" spans="1:1" ht="12.75" customHeight="1">
      <c r="A8385" s="129">
        <v>8385</v>
      </c>
    </row>
    <row r="8386" spans="1:1" ht="12.75" customHeight="1">
      <c r="A8386" s="129">
        <v>8386</v>
      </c>
    </row>
    <row r="8387" spans="1:1" ht="12.75" customHeight="1">
      <c r="A8387" s="129">
        <v>8387</v>
      </c>
    </row>
    <row r="8388" spans="1:1" ht="12.75" customHeight="1">
      <c r="A8388" s="129">
        <v>8388</v>
      </c>
    </row>
    <row r="8389" spans="1:1" ht="12.75" customHeight="1">
      <c r="A8389" s="129">
        <v>8389</v>
      </c>
    </row>
    <row r="8390" spans="1:1" ht="12.75" customHeight="1">
      <c r="A8390" s="129">
        <v>8390</v>
      </c>
    </row>
    <row r="8391" spans="1:1" ht="12.75" customHeight="1">
      <c r="A8391" s="129">
        <v>8391</v>
      </c>
    </row>
    <row r="8392" spans="1:1" ht="12.75" customHeight="1">
      <c r="A8392" s="129">
        <v>8392</v>
      </c>
    </row>
    <row r="8393" spans="1:1" ht="12.75" customHeight="1">
      <c r="A8393" s="129">
        <v>8393</v>
      </c>
    </row>
    <row r="8394" spans="1:1" ht="12.75" customHeight="1">
      <c r="A8394" s="129">
        <v>8394</v>
      </c>
    </row>
    <row r="8395" spans="1:1" ht="12.75" customHeight="1">
      <c r="A8395" s="129">
        <v>8395</v>
      </c>
    </row>
    <row r="8396" spans="1:1" ht="12.75" customHeight="1">
      <c r="A8396" s="129">
        <v>8396</v>
      </c>
    </row>
    <row r="8397" spans="1:1" ht="12.75" customHeight="1">
      <c r="A8397" s="129">
        <v>8397</v>
      </c>
    </row>
    <row r="8398" spans="1:1" ht="12.75" customHeight="1">
      <c r="A8398" s="129">
        <v>8398</v>
      </c>
    </row>
    <row r="8399" spans="1:1" ht="12.75" customHeight="1">
      <c r="A8399" s="129">
        <v>8399</v>
      </c>
    </row>
    <row r="8400" spans="1:1" ht="12.75" customHeight="1">
      <c r="A8400" s="129">
        <v>8400</v>
      </c>
    </row>
    <row r="8401" spans="1:1" ht="12.75" customHeight="1">
      <c r="A8401" s="129">
        <v>8401</v>
      </c>
    </row>
    <row r="8402" spans="1:1" ht="12.75" customHeight="1">
      <c r="A8402" s="129">
        <v>8402</v>
      </c>
    </row>
    <row r="8403" spans="1:1" ht="12.75" customHeight="1">
      <c r="A8403" s="129">
        <v>8403</v>
      </c>
    </row>
    <row r="8404" spans="1:1" ht="12.75" customHeight="1">
      <c r="A8404" s="129">
        <v>8404</v>
      </c>
    </row>
    <row r="8405" spans="1:1" ht="12.75" customHeight="1">
      <c r="A8405" s="129">
        <v>8405</v>
      </c>
    </row>
    <row r="8406" spans="1:1" ht="12.75" customHeight="1">
      <c r="A8406" s="129">
        <v>8406</v>
      </c>
    </row>
    <row r="8407" spans="1:1" ht="12.75" customHeight="1">
      <c r="A8407" s="129">
        <v>8407</v>
      </c>
    </row>
    <row r="8408" spans="1:1" ht="12.75" customHeight="1">
      <c r="A8408" s="129">
        <v>8408</v>
      </c>
    </row>
    <row r="8409" spans="1:1" ht="12.75" customHeight="1">
      <c r="A8409" s="129">
        <v>8409</v>
      </c>
    </row>
    <row r="8410" spans="1:1" ht="12.75" customHeight="1">
      <c r="A8410" s="129">
        <v>8410</v>
      </c>
    </row>
    <row r="8411" spans="1:1" ht="12.75" customHeight="1">
      <c r="A8411" s="129">
        <v>8411</v>
      </c>
    </row>
    <row r="8412" spans="1:1" ht="12.75" customHeight="1">
      <c r="A8412" s="129">
        <v>8412</v>
      </c>
    </row>
    <row r="8413" spans="1:1" ht="12.75" customHeight="1">
      <c r="A8413" s="129">
        <v>8413</v>
      </c>
    </row>
    <row r="8414" spans="1:1" ht="12.75" customHeight="1">
      <c r="A8414" s="129">
        <v>8414</v>
      </c>
    </row>
    <row r="8415" spans="1:1" ht="12.75" customHeight="1">
      <c r="A8415" s="129">
        <v>8415</v>
      </c>
    </row>
    <row r="8416" spans="1:1" ht="12.75" customHeight="1">
      <c r="A8416" s="129">
        <v>8416</v>
      </c>
    </row>
    <row r="8417" spans="1:1" ht="12.75" customHeight="1">
      <c r="A8417" s="129">
        <v>8417</v>
      </c>
    </row>
    <row r="8418" spans="1:1" ht="12.75" customHeight="1">
      <c r="A8418" s="129">
        <v>8418</v>
      </c>
    </row>
    <row r="8419" spans="1:1" ht="12.75" customHeight="1">
      <c r="A8419" s="129">
        <v>8419</v>
      </c>
    </row>
    <row r="8420" spans="1:1" ht="12.75" customHeight="1">
      <c r="A8420" s="129">
        <v>8420</v>
      </c>
    </row>
    <row r="8421" spans="1:1" ht="12.75" customHeight="1">
      <c r="A8421" s="129">
        <v>8421</v>
      </c>
    </row>
    <row r="8422" spans="1:1" ht="12.75" customHeight="1">
      <c r="A8422" s="129">
        <v>8422</v>
      </c>
    </row>
    <row r="8423" spans="1:1" ht="12.75" customHeight="1">
      <c r="A8423" s="129">
        <v>8423</v>
      </c>
    </row>
    <row r="8424" spans="1:1" ht="12.75" customHeight="1">
      <c r="A8424" s="129">
        <v>8424</v>
      </c>
    </row>
    <row r="8425" spans="1:1" ht="12.75" customHeight="1">
      <c r="A8425" s="129">
        <v>8425</v>
      </c>
    </row>
    <row r="8426" spans="1:1" ht="12.75" customHeight="1">
      <c r="A8426" s="129">
        <v>8426</v>
      </c>
    </row>
    <row r="8427" spans="1:1" ht="12.75" customHeight="1">
      <c r="A8427" s="129">
        <v>8427</v>
      </c>
    </row>
    <row r="8428" spans="1:1" ht="12.75" customHeight="1">
      <c r="A8428" s="129">
        <v>8428</v>
      </c>
    </row>
    <row r="8429" spans="1:1" ht="12.75" customHeight="1">
      <c r="A8429" s="129">
        <v>8429</v>
      </c>
    </row>
    <row r="8430" spans="1:1" ht="12.75" customHeight="1">
      <c r="A8430" s="129">
        <v>8430</v>
      </c>
    </row>
    <row r="8431" spans="1:1" ht="12.75" customHeight="1">
      <c r="A8431" s="129">
        <v>8431</v>
      </c>
    </row>
    <row r="8432" spans="1:1" ht="12.75" customHeight="1">
      <c r="A8432" s="129">
        <v>8432</v>
      </c>
    </row>
    <row r="8433" spans="1:1" ht="12.75" customHeight="1">
      <c r="A8433" s="129">
        <v>8433</v>
      </c>
    </row>
    <row r="8434" spans="1:1" ht="12.75" customHeight="1">
      <c r="A8434" s="129">
        <v>8434</v>
      </c>
    </row>
    <row r="8435" spans="1:1" ht="12.75" customHeight="1">
      <c r="A8435" s="129">
        <v>8435</v>
      </c>
    </row>
    <row r="8436" spans="1:1" ht="12.75" customHeight="1">
      <c r="A8436" s="129">
        <v>8436</v>
      </c>
    </row>
    <row r="8437" spans="1:1" ht="12.75" customHeight="1">
      <c r="A8437" s="129">
        <v>8437</v>
      </c>
    </row>
    <row r="8438" spans="1:1" ht="12.75" customHeight="1">
      <c r="A8438" s="129">
        <v>8438</v>
      </c>
    </row>
    <row r="8439" spans="1:1" ht="12.75" customHeight="1">
      <c r="A8439" s="129">
        <v>8439</v>
      </c>
    </row>
    <row r="8440" spans="1:1" ht="12.75" customHeight="1">
      <c r="A8440" s="129">
        <v>8440</v>
      </c>
    </row>
    <row r="8441" spans="1:1" ht="12.75" customHeight="1">
      <c r="A8441" s="129">
        <v>8441</v>
      </c>
    </row>
    <row r="8442" spans="1:1" ht="12.75" customHeight="1">
      <c r="A8442" s="129">
        <v>8442</v>
      </c>
    </row>
    <row r="8443" spans="1:1" ht="12.75" customHeight="1">
      <c r="A8443" s="129">
        <v>8443</v>
      </c>
    </row>
    <row r="8444" spans="1:1" ht="12.75" customHeight="1">
      <c r="A8444" s="129">
        <v>8444</v>
      </c>
    </row>
    <row r="8445" spans="1:1" ht="12.75" customHeight="1">
      <c r="A8445" s="129">
        <v>8445</v>
      </c>
    </row>
    <row r="8446" spans="1:1" ht="12.75" customHeight="1">
      <c r="A8446" s="129">
        <v>8446</v>
      </c>
    </row>
    <row r="8447" spans="1:1" ht="12.75" customHeight="1">
      <c r="A8447" s="129">
        <v>8447</v>
      </c>
    </row>
    <row r="8448" spans="1:1" ht="12.75" customHeight="1">
      <c r="A8448" s="129">
        <v>8448</v>
      </c>
    </row>
    <row r="8449" spans="1:1" ht="12.75" customHeight="1">
      <c r="A8449" s="129">
        <v>8449</v>
      </c>
    </row>
    <row r="8450" spans="1:1" ht="12.75" customHeight="1">
      <c r="A8450" s="129">
        <v>8450</v>
      </c>
    </row>
    <row r="8451" spans="1:1" ht="12.75" customHeight="1">
      <c r="A8451" s="129">
        <v>8451</v>
      </c>
    </row>
    <row r="8452" spans="1:1" ht="12.75" customHeight="1">
      <c r="A8452" s="129">
        <v>8452</v>
      </c>
    </row>
    <row r="8453" spans="1:1" ht="12.75" customHeight="1">
      <c r="A8453" s="129">
        <v>8453</v>
      </c>
    </row>
    <row r="8454" spans="1:1" ht="12.75" customHeight="1">
      <c r="A8454" s="129">
        <v>8454</v>
      </c>
    </row>
    <row r="8455" spans="1:1" ht="12.75" customHeight="1">
      <c r="A8455" s="129">
        <v>8455</v>
      </c>
    </row>
    <row r="8456" spans="1:1" ht="12.75" customHeight="1">
      <c r="A8456" s="129">
        <v>8456</v>
      </c>
    </row>
    <row r="8457" spans="1:1" ht="12.75" customHeight="1">
      <c r="A8457" s="129">
        <v>8457</v>
      </c>
    </row>
    <row r="8458" spans="1:1" ht="12.75" customHeight="1">
      <c r="A8458" s="129">
        <v>8458</v>
      </c>
    </row>
    <row r="8459" spans="1:1" ht="12.75" customHeight="1">
      <c r="A8459" s="129">
        <v>8459</v>
      </c>
    </row>
    <row r="8460" spans="1:1" ht="12.75" customHeight="1">
      <c r="A8460" s="129">
        <v>8460</v>
      </c>
    </row>
    <row r="8461" spans="1:1" ht="12.75" customHeight="1">
      <c r="A8461" s="129">
        <v>8461</v>
      </c>
    </row>
    <row r="8462" spans="1:1" ht="12.75" customHeight="1">
      <c r="A8462" s="129">
        <v>8462</v>
      </c>
    </row>
    <row r="8463" spans="1:1" ht="12.75" customHeight="1">
      <c r="A8463" s="129">
        <v>8463</v>
      </c>
    </row>
    <row r="8464" spans="1:1" ht="12.75" customHeight="1">
      <c r="A8464" s="129">
        <v>8464</v>
      </c>
    </row>
    <row r="8465" spans="1:1" ht="12.75" customHeight="1">
      <c r="A8465" s="129">
        <v>8465</v>
      </c>
    </row>
    <row r="8466" spans="1:1" ht="12.75" customHeight="1">
      <c r="A8466" s="129">
        <v>8466</v>
      </c>
    </row>
    <row r="8467" spans="1:1" ht="12.75" customHeight="1">
      <c r="A8467" s="129">
        <v>8467</v>
      </c>
    </row>
    <row r="8468" spans="1:1" ht="12.75" customHeight="1">
      <c r="A8468" s="129">
        <v>8468</v>
      </c>
    </row>
    <row r="8469" spans="1:1" ht="12.75" customHeight="1">
      <c r="A8469" s="129">
        <v>8469</v>
      </c>
    </row>
    <row r="8470" spans="1:1" ht="12.75" customHeight="1">
      <c r="A8470" s="129">
        <v>8470</v>
      </c>
    </row>
    <row r="8471" spans="1:1" ht="12.75" customHeight="1">
      <c r="A8471" s="129">
        <v>8471</v>
      </c>
    </row>
    <row r="8472" spans="1:1" ht="12.75" customHeight="1">
      <c r="A8472" s="129">
        <v>8472</v>
      </c>
    </row>
    <row r="8473" spans="1:1" ht="12.75" customHeight="1">
      <c r="A8473" s="129">
        <v>8473</v>
      </c>
    </row>
    <row r="8474" spans="1:1" ht="12.75" customHeight="1">
      <c r="A8474" s="129">
        <v>8474</v>
      </c>
    </row>
    <row r="8475" spans="1:1" ht="12.75" customHeight="1">
      <c r="A8475" s="129">
        <v>8475</v>
      </c>
    </row>
    <row r="8476" spans="1:1" ht="12.75" customHeight="1">
      <c r="A8476" s="129">
        <v>8476</v>
      </c>
    </row>
    <row r="8477" spans="1:1" ht="12.75" customHeight="1">
      <c r="A8477" s="129">
        <v>8477</v>
      </c>
    </row>
    <row r="8478" spans="1:1" ht="12.75" customHeight="1">
      <c r="A8478" s="129">
        <v>8478</v>
      </c>
    </row>
    <row r="8479" spans="1:1" ht="12.75" customHeight="1">
      <c r="A8479" s="129">
        <v>8479</v>
      </c>
    </row>
    <row r="8480" spans="1:1" ht="12.75" customHeight="1">
      <c r="A8480" s="129">
        <v>8480</v>
      </c>
    </row>
    <row r="8481" spans="1:1" ht="12.75" customHeight="1">
      <c r="A8481" s="129">
        <v>8481</v>
      </c>
    </row>
    <row r="8482" spans="1:1" ht="12.75" customHeight="1">
      <c r="A8482" s="129">
        <v>8482</v>
      </c>
    </row>
    <row r="8483" spans="1:1" ht="12.75" customHeight="1">
      <c r="A8483" s="129">
        <v>8483</v>
      </c>
    </row>
    <row r="8484" spans="1:1" ht="12.75" customHeight="1">
      <c r="A8484" s="129">
        <v>8484</v>
      </c>
    </row>
    <row r="8485" spans="1:1" ht="12.75" customHeight="1">
      <c r="A8485" s="129">
        <v>8485</v>
      </c>
    </row>
    <row r="8486" spans="1:1" ht="12.75" customHeight="1">
      <c r="A8486" s="129">
        <v>8486</v>
      </c>
    </row>
    <row r="8487" spans="1:1" ht="12.75" customHeight="1">
      <c r="A8487" s="129">
        <v>8487</v>
      </c>
    </row>
    <row r="8488" spans="1:1" ht="12.75" customHeight="1">
      <c r="A8488" s="129">
        <v>8488</v>
      </c>
    </row>
    <row r="8489" spans="1:1" ht="12.75" customHeight="1">
      <c r="A8489" s="129">
        <v>8489</v>
      </c>
    </row>
    <row r="8490" spans="1:1" ht="12.75" customHeight="1">
      <c r="A8490" s="129">
        <v>8490</v>
      </c>
    </row>
    <row r="8491" spans="1:1" ht="12.75" customHeight="1">
      <c r="A8491" s="129">
        <v>8491</v>
      </c>
    </row>
    <row r="8492" spans="1:1" ht="12.75" customHeight="1">
      <c r="A8492" s="129">
        <v>8492</v>
      </c>
    </row>
    <row r="8493" spans="1:1" ht="12.75" customHeight="1">
      <c r="A8493" s="129">
        <v>8493</v>
      </c>
    </row>
    <row r="8494" spans="1:1" ht="12.75" customHeight="1">
      <c r="A8494" s="129">
        <v>8494</v>
      </c>
    </row>
    <row r="8495" spans="1:1" ht="12.75" customHeight="1">
      <c r="A8495" s="129">
        <v>8495</v>
      </c>
    </row>
    <row r="8496" spans="1:1" ht="12.75" customHeight="1">
      <c r="A8496" s="129">
        <v>8496</v>
      </c>
    </row>
    <row r="8497" spans="1:1" ht="12.75" customHeight="1">
      <c r="A8497" s="129">
        <v>8497</v>
      </c>
    </row>
    <row r="8498" spans="1:1" ht="12.75" customHeight="1">
      <c r="A8498" s="129">
        <v>8498</v>
      </c>
    </row>
    <row r="8499" spans="1:1" ht="12.75" customHeight="1">
      <c r="A8499" s="129">
        <v>8499</v>
      </c>
    </row>
    <row r="8500" spans="1:1" ht="12.75" customHeight="1">
      <c r="A8500" s="129">
        <v>8500</v>
      </c>
    </row>
    <row r="8501" spans="1:1" ht="12.75" customHeight="1">
      <c r="A8501" s="129">
        <v>8501</v>
      </c>
    </row>
    <row r="8502" spans="1:1" ht="12.75" customHeight="1">
      <c r="A8502" s="129">
        <v>8502</v>
      </c>
    </row>
    <row r="8503" spans="1:1" ht="12.75" customHeight="1">
      <c r="A8503" s="129">
        <v>8503</v>
      </c>
    </row>
    <row r="8504" spans="1:1" ht="12.75" customHeight="1">
      <c r="A8504" s="129">
        <v>8504</v>
      </c>
    </row>
    <row r="8505" spans="1:1" ht="12.75" customHeight="1">
      <c r="A8505" s="129">
        <v>8505</v>
      </c>
    </row>
    <row r="8506" spans="1:1" ht="12.75" customHeight="1">
      <c r="A8506" s="129">
        <v>8506</v>
      </c>
    </row>
    <row r="8507" spans="1:1" ht="12.75" customHeight="1">
      <c r="A8507" s="129">
        <v>8507</v>
      </c>
    </row>
    <row r="8508" spans="1:1" ht="12.75" customHeight="1">
      <c r="A8508" s="129">
        <v>8508</v>
      </c>
    </row>
    <row r="8509" spans="1:1" ht="12.75" customHeight="1">
      <c r="A8509" s="129">
        <v>8509</v>
      </c>
    </row>
    <row r="8510" spans="1:1" ht="12.75" customHeight="1">
      <c r="A8510" s="129">
        <v>8510</v>
      </c>
    </row>
    <row r="8511" spans="1:1" ht="12.75" customHeight="1">
      <c r="A8511" s="129">
        <v>8511</v>
      </c>
    </row>
    <row r="8512" spans="1:1" ht="12.75" customHeight="1">
      <c r="A8512" s="129">
        <v>8512</v>
      </c>
    </row>
    <row r="8513" spans="1:1" ht="12.75" customHeight="1">
      <c r="A8513" s="129">
        <v>8513</v>
      </c>
    </row>
    <row r="8514" spans="1:1" ht="12.75" customHeight="1">
      <c r="A8514" s="129">
        <v>8514</v>
      </c>
    </row>
    <row r="8515" spans="1:1" ht="12.75" customHeight="1">
      <c r="A8515" s="129">
        <v>8515</v>
      </c>
    </row>
    <row r="8516" spans="1:1" ht="12.75" customHeight="1">
      <c r="A8516" s="129">
        <v>8516</v>
      </c>
    </row>
    <row r="8517" spans="1:1" ht="12.75" customHeight="1">
      <c r="A8517" s="129">
        <v>8517</v>
      </c>
    </row>
    <row r="8518" spans="1:1" ht="12.75" customHeight="1">
      <c r="A8518" s="129">
        <v>8518</v>
      </c>
    </row>
    <row r="8519" spans="1:1" ht="12.75" customHeight="1">
      <c r="A8519" s="129">
        <v>8519</v>
      </c>
    </row>
    <row r="8520" spans="1:1" ht="12.75" customHeight="1">
      <c r="A8520" s="129">
        <v>8520</v>
      </c>
    </row>
    <row r="8521" spans="1:1" ht="12.75" customHeight="1">
      <c r="A8521" s="129">
        <v>8521</v>
      </c>
    </row>
    <row r="8522" spans="1:1" ht="12.75" customHeight="1">
      <c r="A8522" s="129">
        <v>8522</v>
      </c>
    </row>
    <row r="8523" spans="1:1" ht="12.75" customHeight="1">
      <c r="A8523" s="129">
        <v>8523</v>
      </c>
    </row>
    <row r="8524" spans="1:1" ht="12.75" customHeight="1">
      <c r="A8524" s="129">
        <v>8524</v>
      </c>
    </row>
    <row r="8525" spans="1:1" ht="12.75" customHeight="1">
      <c r="A8525" s="129">
        <v>8525</v>
      </c>
    </row>
    <row r="8526" spans="1:1" ht="12.75" customHeight="1">
      <c r="A8526" s="129">
        <v>8526</v>
      </c>
    </row>
    <row r="8527" spans="1:1" ht="12.75" customHeight="1">
      <c r="A8527" s="129">
        <v>8527</v>
      </c>
    </row>
    <row r="8528" spans="1:1" ht="12.75" customHeight="1">
      <c r="A8528" s="129">
        <v>8528</v>
      </c>
    </row>
    <row r="8529" spans="1:1" ht="12.75" customHeight="1">
      <c r="A8529" s="129">
        <v>8529</v>
      </c>
    </row>
    <row r="8530" spans="1:1" ht="12.75" customHeight="1">
      <c r="A8530" s="129">
        <v>8530</v>
      </c>
    </row>
    <row r="8531" spans="1:1" ht="12.75" customHeight="1">
      <c r="A8531" s="129">
        <v>8531</v>
      </c>
    </row>
    <row r="8532" spans="1:1" ht="12.75" customHeight="1">
      <c r="A8532" s="129">
        <v>8532</v>
      </c>
    </row>
    <row r="8533" spans="1:1" ht="12.75" customHeight="1">
      <c r="A8533" s="129">
        <v>8533</v>
      </c>
    </row>
    <row r="8534" spans="1:1" ht="12.75" customHeight="1">
      <c r="A8534" s="129">
        <v>8534</v>
      </c>
    </row>
    <row r="8535" spans="1:1" ht="12.75" customHeight="1">
      <c r="A8535" s="129">
        <v>8535</v>
      </c>
    </row>
    <row r="8536" spans="1:1" ht="12.75" customHeight="1">
      <c r="A8536" s="129">
        <v>8536</v>
      </c>
    </row>
    <row r="8537" spans="1:1" ht="12.75" customHeight="1">
      <c r="A8537" s="129">
        <v>8537</v>
      </c>
    </row>
    <row r="8538" spans="1:1" ht="12.75" customHeight="1">
      <c r="A8538" s="129">
        <v>8538</v>
      </c>
    </row>
    <row r="8539" spans="1:1" ht="12.75" customHeight="1">
      <c r="A8539" s="129">
        <v>8539</v>
      </c>
    </row>
    <row r="8540" spans="1:1" ht="12.75" customHeight="1">
      <c r="A8540" s="129">
        <v>8540</v>
      </c>
    </row>
    <row r="8541" spans="1:1" ht="12.75" customHeight="1">
      <c r="A8541" s="129">
        <v>8541</v>
      </c>
    </row>
    <row r="8542" spans="1:1" ht="12.75" customHeight="1">
      <c r="A8542" s="129">
        <v>8542</v>
      </c>
    </row>
    <row r="8543" spans="1:1" ht="12.75" customHeight="1">
      <c r="A8543" s="129">
        <v>8543</v>
      </c>
    </row>
    <row r="8544" spans="1:1" ht="12.75" customHeight="1">
      <c r="A8544" s="129">
        <v>8544</v>
      </c>
    </row>
    <row r="8545" spans="1:1" ht="12.75" customHeight="1">
      <c r="A8545" s="129">
        <v>8545</v>
      </c>
    </row>
    <row r="8546" spans="1:1" ht="12.75" customHeight="1">
      <c r="A8546" s="129">
        <v>8546</v>
      </c>
    </row>
    <row r="8547" spans="1:1" ht="12.75" customHeight="1">
      <c r="A8547" s="129">
        <v>8547</v>
      </c>
    </row>
    <row r="8548" spans="1:1" ht="12.75" customHeight="1">
      <c r="A8548" s="129">
        <v>8548</v>
      </c>
    </row>
    <row r="8549" spans="1:1" ht="12.75" customHeight="1">
      <c r="A8549" s="129">
        <v>8549</v>
      </c>
    </row>
    <row r="8550" spans="1:1" ht="12.75" customHeight="1">
      <c r="A8550" s="129">
        <v>8550</v>
      </c>
    </row>
    <row r="8551" spans="1:1" ht="12.75" customHeight="1">
      <c r="A8551" s="129">
        <v>8551</v>
      </c>
    </row>
    <row r="8552" spans="1:1" ht="12.75" customHeight="1">
      <c r="A8552" s="129">
        <v>8552</v>
      </c>
    </row>
    <row r="8553" spans="1:1" ht="12.75" customHeight="1">
      <c r="A8553" s="129">
        <v>8553</v>
      </c>
    </row>
    <row r="8554" spans="1:1" ht="12.75" customHeight="1">
      <c r="A8554" s="129">
        <v>8554</v>
      </c>
    </row>
    <row r="8555" spans="1:1" ht="12.75" customHeight="1">
      <c r="A8555" s="129">
        <v>8555</v>
      </c>
    </row>
    <row r="8556" spans="1:1" ht="12.75" customHeight="1">
      <c r="A8556" s="129">
        <v>8556</v>
      </c>
    </row>
    <row r="8557" spans="1:1" ht="12.75" customHeight="1">
      <c r="A8557" s="129">
        <v>8557</v>
      </c>
    </row>
    <row r="8558" spans="1:1" ht="12.75" customHeight="1">
      <c r="A8558" s="129">
        <v>8558</v>
      </c>
    </row>
    <row r="8559" spans="1:1" ht="12.75" customHeight="1">
      <c r="A8559" s="129">
        <v>8559</v>
      </c>
    </row>
    <row r="8560" spans="1:1" ht="12.75" customHeight="1">
      <c r="A8560" s="129">
        <v>8560</v>
      </c>
    </row>
    <row r="8561" spans="1:1" ht="12.75" customHeight="1">
      <c r="A8561" s="129">
        <v>8561</v>
      </c>
    </row>
    <row r="8562" spans="1:1" ht="12.75" customHeight="1">
      <c r="A8562" s="129">
        <v>8562</v>
      </c>
    </row>
    <row r="8563" spans="1:1" ht="12.75" customHeight="1">
      <c r="A8563" s="129">
        <v>8563</v>
      </c>
    </row>
    <row r="8564" spans="1:1" ht="12.75" customHeight="1">
      <c r="A8564" s="129">
        <v>8564</v>
      </c>
    </row>
    <row r="8565" spans="1:1" ht="12.75" customHeight="1">
      <c r="A8565" s="129">
        <v>8565</v>
      </c>
    </row>
    <row r="8566" spans="1:1" ht="12.75" customHeight="1">
      <c r="A8566" s="129">
        <v>8566</v>
      </c>
    </row>
    <row r="8567" spans="1:1" ht="12.75" customHeight="1">
      <c r="A8567" s="129">
        <v>8567</v>
      </c>
    </row>
    <row r="8568" spans="1:1" ht="12.75" customHeight="1">
      <c r="A8568" s="129">
        <v>8568</v>
      </c>
    </row>
    <row r="8569" spans="1:1" ht="12.75" customHeight="1">
      <c r="A8569" s="129">
        <v>8569</v>
      </c>
    </row>
    <row r="8570" spans="1:1" ht="12.75" customHeight="1">
      <c r="A8570" s="129">
        <v>8570</v>
      </c>
    </row>
    <row r="8571" spans="1:1" ht="12.75" customHeight="1">
      <c r="A8571" s="129">
        <v>8571</v>
      </c>
    </row>
    <row r="8572" spans="1:1" ht="12.75" customHeight="1">
      <c r="A8572" s="129">
        <v>8572</v>
      </c>
    </row>
    <row r="8573" spans="1:1" ht="12.75" customHeight="1">
      <c r="A8573" s="129">
        <v>8573</v>
      </c>
    </row>
    <row r="8574" spans="1:1" ht="12.75" customHeight="1">
      <c r="A8574" s="129">
        <v>8574</v>
      </c>
    </row>
    <row r="8575" spans="1:1" ht="12.75" customHeight="1">
      <c r="A8575" s="129">
        <v>8575</v>
      </c>
    </row>
    <row r="8576" spans="1:1" ht="12.75" customHeight="1">
      <c r="A8576" s="129">
        <v>8576</v>
      </c>
    </row>
    <row r="8577" spans="1:1" ht="12.75" customHeight="1">
      <c r="A8577" s="129">
        <v>8577</v>
      </c>
    </row>
    <row r="8578" spans="1:1" ht="12.75" customHeight="1">
      <c r="A8578" s="129">
        <v>8578</v>
      </c>
    </row>
    <row r="8579" spans="1:1" ht="12.75" customHeight="1">
      <c r="A8579" s="129">
        <v>8579</v>
      </c>
    </row>
    <row r="8580" spans="1:1" ht="12.75" customHeight="1">
      <c r="A8580" s="129">
        <v>8580</v>
      </c>
    </row>
    <row r="8581" spans="1:1" ht="12.75" customHeight="1">
      <c r="A8581" s="129">
        <v>8581</v>
      </c>
    </row>
    <row r="8582" spans="1:1" ht="12.75" customHeight="1">
      <c r="A8582" s="129">
        <v>8582</v>
      </c>
    </row>
    <row r="8583" spans="1:1" ht="12.75" customHeight="1">
      <c r="A8583" s="129">
        <v>8583</v>
      </c>
    </row>
    <row r="8584" spans="1:1" ht="12.75" customHeight="1">
      <c r="A8584" s="129">
        <v>8584</v>
      </c>
    </row>
    <row r="8585" spans="1:1" ht="12.75" customHeight="1">
      <c r="A8585" s="129">
        <v>8585</v>
      </c>
    </row>
    <row r="8586" spans="1:1" ht="12.75" customHeight="1">
      <c r="A8586" s="129">
        <v>8586</v>
      </c>
    </row>
    <row r="8587" spans="1:1" ht="12.75" customHeight="1">
      <c r="A8587" s="129">
        <v>8587</v>
      </c>
    </row>
    <row r="8588" spans="1:1" ht="12.75" customHeight="1">
      <c r="A8588" s="129">
        <v>8588</v>
      </c>
    </row>
    <row r="8589" spans="1:1" ht="12.75" customHeight="1">
      <c r="A8589" s="129">
        <v>8589</v>
      </c>
    </row>
    <row r="8590" spans="1:1" ht="12.75" customHeight="1">
      <c r="A8590" s="129">
        <v>8590</v>
      </c>
    </row>
    <row r="8591" spans="1:1" ht="12.75" customHeight="1">
      <c r="A8591" s="129">
        <v>8591</v>
      </c>
    </row>
    <row r="8592" spans="1:1" ht="12.75" customHeight="1">
      <c r="A8592" s="129">
        <v>8592</v>
      </c>
    </row>
    <row r="8593" spans="1:1" ht="12.75" customHeight="1">
      <c r="A8593" s="129">
        <v>8593</v>
      </c>
    </row>
    <row r="8594" spans="1:1" ht="12.75" customHeight="1">
      <c r="A8594" s="129">
        <v>8594</v>
      </c>
    </row>
    <row r="8595" spans="1:1" ht="12.75" customHeight="1">
      <c r="A8595" s="129">
        <v>8595</v>
      </c>
    </row>
    <row r="8596" spans="1:1" ht="12.75" customHeight="1">
      <c r="A8596" s="129">
        <v>8596</v>
      </c>
    </row>
    <row r="8597" spans="1:1" ht="12.75" customHeight="1">
      <c r="A8597" s="129">
        <v>8597</v>
      </c>
    </row>
    <row r="8598" spans="1:1" ht="12.75" customHeight="1">
      <c r="A8598" s="129">
        <v>8598</v>
      </c>
    </row>
    <row r="8599" spans="1:1" ht="12.75" customHeight="1">
      <c r="A8599" s="129">
        <v>8599</v>
      </c>
    </row>
    <row r="8600" spans="1:1" ht="12.75" customHeight="1">
      <c r="A8600" s="129">
        <v>8600</v>
      </c>
    </row>
    <row r="8601" spans="1:1" ht="12.75" customHeight="1">
      <c r="A8601" s="129">
        <v>8601</v>
      </c>
    </row>
    <row r="8602" spans="1:1" ht="12.75" customHeight="1">
      <c r="A8602" s="129">
        <v>8602</v>
      </c>
    </row>
    <row r="8603" spans="1:1" ht="12.75" customHeight="1">
      <c r="A8603" s="129">
        <v>8603</v>
      </c>
    </row>
    <row r="8604" spans="1:1" ht="12.75" customHeight="1">
      <c r="A8604" s="129">
        <v>8604</v>
      </c>
    </row>
    <row r="8605" spans="1:1" ht="12.75" customHeight="1">
      <c r="A8605" s="129">
        <v>8605</v>
      </c>
    </row>
    <row r="8606" spans="1:1" ht="12.75" customHeight="1">
      <c r="A8606" s="129">
        <v>8606</v>
      </c>
    </row>
    <row r="8607" spans="1:1" ht="12.75" customHeight="1">
      <c r="A8607" s="129">
        <v>8607</v>
      </c>
    </row>
    <row r="8608" spans="1:1" ht="12.75" customHeight="1">
      <c r="A8608" s="129">
        <v>8608</v>
      </c>
    </row>
    <row r="8609" spans="1:1" ht="12.75" customHeight="1">
      <c r="A8609" s="129">
        <v>8609</v>
      </c>
    </row>
    <row r="8610" spans="1:1" ht="12.75" customHeight="1">
      <c r="A8610" s="129">
        <v>8610</v>
      </c>
    </row>
    <row r="8611" spans="1:1" ht="12.75" customHeight="1">
      <c r="A8611" s="129">
        <v>8611</v>
      </c>
    </row>
    <row r="8612" spans="1:1" ht="12.75" customHeight="1">
      <c r="A8612" s="129">
        <v>8612</v>
      </c>
    </row>
    <row r="8613" spans="1:1" ht="12.75" customHeight="1">
      <c r="A8613" s="129">
        <v>8613</v>
      </c>
    </row>
    <row r="8614" spans="1:1" ht="12.75" customHeight="1">
      <c r="A8614" s="129">
        <v>8614</v>
      </c>
    </row>
    <row r="8615" spans="1:1" ht="12.75" customHeight="1">
      <c r="A8615" s="129">
        <v>8615</v>
      </c>
    </row>
    <row r="8616" spans="1:1" ht="12.75" customHeight="1">
      <c r="A8616" s="129">
        <v>8616</v>
      </c>
    </row>
    <row r="8617" spans="1:1" ht="12.75" customHeight="1">
      <c r="A8617" s="129">
        <v>8617</v>
      </c>
    </row>
    <row r="8618" spans="1:1" ht="12.75" customHeight="1">
      <c r="A8618" s="129">
        <v>8618</v>
      </c>
    </row>
    <row r="8619" spans="1:1" ht="12.75" customHeight="1">
      <c r="A8619" s="129">
        <v>8619</v>
      </c>
    </row>
    <row r="8620" spans="1:1" ht="12.75" customHeight="1">
      <c r="A8620" s="129">
        <v>8620</v>
      </c>
    </row>
    <row r="8621" spans="1:1" ht="12.75" customHeight="1">
      <c r="A8621" s="129">
        <v>8621</v>
      </c>
    </row>
    <row r="8622" spans="1:1" ht="12.75" customHeight="1">
      <c r="A8622" s="129">
        <v>8622</v>
      </c>
    </row>
    <row r="8623" spans="1:1" ht="12.75" customHeight="1">
      <c r="A8623" s="129">
        <v>8623</v>
      </c>
    </row>
    <row r="8624" spans="1:1" ht="12.75" customHeight="1">
      <c r="A8624" s="129">
        <v>8624</v>
      </c>
    </row>
    <row r="8625" spans="1:1" ht="12.75" customHeight="1">
      <c r="A8625" s="129">
        <v>8625</v>
      </c>
    </row>
    <row r="8626" spans="1:1" ht="12.75" customHeight="1">
      <c r="A8626" s="129">
        <v>8626</v>
      </c>
    </row>
    <row r="8627" spans="1:1" ht="12.75" customHeight="1">
      <c r="A8627" s="129">
        <v>8627</v>
      </c>
    </row>
    <row r="8628" spans="1:1" ht="12.75" customHeight="1">
      <c r="A8628" s="129">
        <v>8628</v>
      </c>
    </row>
    <row r="8629" spans="1:1" ht="12.75" customHeight="1">
      <c r="A8629" s="129">
        <v>8629</v>
      </c>
    </row>
    <row r="8630" spans="1:1" ht="12.75" customHeight="1">
      <c r="A8630" s="129">
        <v>8630</v>
      </c>
    </row>
    <row r="8631" spans="1:1" ht="12.75" customHeight="1">
      <c r="A8631" s="129">
        <v>8631</v>
      </c>
    </row>
    <row r="8632" spans="1:1" ht="12.75" customHeight="1">
      <c r="A8632" s="129">
        <v>8632</v>
      </c>
    </row>
    <row r="8633" spans="1:1" ht="12.75" customHeight="1">
      <c r="A8633" s="129">
        <v>8633</v>
      </c>
    </row>
    <row r="8634" spans="1:1" ht="12.75" customHeight="1">
      <c r="A8634" s="129">
        <v>8634</v>
      </c>
    </row>
    <row r="8635" spans="1:1" ht="12.75" customHeight="1">
      <c r="A8635" s="129">
        <v>8635</v>
      </c>
    </row>
    <row r="8636" spans="1:1" ht="12.75" customHeight="1">
      <c r="A8636" s="129">
        <v>8636</v>
      </c>
    </row>
    <row r="8637" spans="1:1" ht="12.75" customHeight="1">
      <c r="A8637" s="129">
        <v>8637</v>
      </c>
    </row>
    <row r="8638" spans="1:1" ht="12.75" customHeight="1">
      <c r="A8638" s="129">
        <v>8638</v>
      </c>
    </row>
    <row r="8639" spans="1:1" ht="12.75" customHeight="1">
      <c r="A8639" s="129">
        <v>8639</v>
      </c>
    </row>
    <row r="8640" spans="1:1" ht="12.75" customHeight="1">
      <c r="A8640" s="129">
        <v>8640</v>
      </c>
    </row>
    <row r="8641" spans="1:1" ht="12.75" customHeight="1">
      <c r="A8641" s="129">
        <v>8641</v>
      </c>
    </row>
    <row r="8642" spans="1:1" ht="12.75" customHeight="1">
      <c r="A8642" s="129">
        <v>8642</v>
      </c>
    </row>
    <row r="8643" spans="1:1" ht="12.75" customHeight="1">
      <c r="A8643" s="129">
        <v>8643</v>
      </c>
    </row>
    <row r="8644" spans="1:1" ht="12.75" customHeight="1">
      <c r="A8644" s="129">
        <v>8644</v>
      </c>
    </row>
    <row r="8645" spans="1:1" ht="12.75" customHeight="1">
      <c r="A8645" s="129">
        <v>8645</v>
      </c>
    </row>
    <row r="8646" spans="1:1" ht="12.75" customHeight="1">
      <c r="A8646" s="129">
        <v>8646</v>
      </c>
    </row>
    <row r="8647" spans="1:1" ht="12.75" customHeight="1">
      <c r="A8647" s="129">
        <v>8647</v>
      </c>
    </row>
    <row r="8648" spans="1:1" ht="12.75" customHeight="1">
      <c r="A8648" s="129">
        <v>8648</v>
      </c>
    </row>
    <row r="8649" spans="1:1" ht="12.75" customHeight="1">
      <c r="A8649" s="129">
        <v>8649</v>
      </c>
    </row>
    <row r="8650" spans="1:1" ht="12.75" customHeight="1">
      <c r="A8650" s="129">
        <v>8650</v>
      </c>
    </row>
    <row r="8651" spans="1:1" ht="12.75" customHeight="1">
      <c r="A8651" s="129">
        <v>8651</v>
      </c>
    </row>
    <row r="8652" spans="1:1" ht="12.75" customHeight="1">
      <c r="A8652" s="129">
        <v>8652</v>
      </c>
    </row>
    <row r="8653" spans="1:1" ht="12.75" customHeight="1">
      <c r="A8653" s="129">
        <v>8653</v>
      </c>
    </row>
    <row r="8654" spans="1:1" ht="12.75" customHeight="1">
      <c r="A8654" s="129">
        <v>8654</v>
      </c>
    </row>
    <row r="8655" spans="1:1" ht="12.75" customHeight="1">
      <c r="A8655" s="129">
        <v>8655</v>
      </c>
    </row>
    <row r="8656" spans="1:1" ht="12.75" customHeight="1">
      <c r="A8656" s="129">
        <v>8656</v>
      </c>
    </row>
    <row r="8657" spans="1:1" ht="12.75" customHeight="1">
      <c r="A8657" s="129">
        <v>8657</v>
      </c>
    </row>
    <row r="8658" spans="1:1" ht="12.75" customHeight="1">
      <c r="A8658" s="129">
        <v>8658</v>
      </c>
    </row>
    <row r="8659" spans="1:1" ht="12.75" customHeight="1">
      <c r="A8659" s="129">
        <v>8659</v>
      </c>
    </row>
    <row r="8660" spans="1:1" ht="12.75" customHeight="1">
      <c r="A8660" s="129">
        <v>8660</v>
      </c>
    </row>
    <row r="8661" spans="1:1" ht="12.75" customHeight="1">
      <c r="A8661" s="129">
        <v>8661</v>
      </c>
    </row>
    <row r="8662" spans="1:1" ht="12.75" customHeight="1">
      <c r="A8662" s="129">
        <v>8662</v>
      </c>
    </row>
    <row r="8663" spans="1:1" ht="12.75" customHeight="1">
      <c r="A8663" s="129">
        <v>8663</v>
      </c>
    </row>
    <row r="8664" spans="1:1" ht="12.75" customHeight="1">
      <c r="A8664" s="129">
        <v>8664</v>
      </c>
    </row>
    <row r="8665" spans="1:1" ht="12.75" customHeight="1">
      <c r="A8665" s="129">
        <v>8665</v>
      </c>
    </row>
    <row r="8666" spans="1:1" ht="12.75" customHeight="1">
      <c r="A8666" s="129">
        <v>8666</v>
      </c>
    </row>
    <row r="8667" spans="1:1" ht="12.75" customHeight="1">
      <c r="A8667" s="129">
        <v>8667</v>
      </c>
    </row>
    <row r="8668" spans="1:1" ht="12.75" customHeight="1">
      <c r="A8668" s="129">
        <v>8668</v>
      </c>
    </row>
    <row r="8669" spans="1:1" ht="12.75" customHeight="1">
      <c r="A8669" s="129">
        <v>8669</v>
      </c>
    </row>
    <row r="8670" spans="1:1" ht="12.75" customHeight="1">
      <c r="A8670" s="129">
        <v>8670</v>
      </c>
    </row>
    <row r="8671" spans="1:1" ht="12.75" customHeight="1">
      <c r="A8671" s="129">
        <v>8671</v>
      </c>
    </row>
    <row r="8672" spans="1:1" ht="12.75" customHeight="1">
      <c r="A8672" s="129">
        <v>8672</v>
      </c>
    </row>
    <row r="8673" spans="1:1" ht="12.75" customHeight="1">
      <c r="A8673" s="129">
        <v>8673</v>
      </c>
    </row>
    <row r="8674" spans="1:1" ht="12.75" customHeight="1">
      <c r="A8674" s="129">
        <v>8674</v>
      </c>
    </row>
    <row r="8675" spans="1:1" ht="12.75" customHeight="1">
      <c r="A8675" s="129">
        <v>8675</v>
      </c>
    </row>
    <row r="8676" spans="1:1" ht="12.75" customHeight="1">
      <c r="A8676" s="129">
        <v>8676</v>
      </c>
    </row>
    <row r="8677" spans="1:1" ht="12.75" customHeight="1">
      <c r="A8677" s="129">
        <v>8677</v>
      </c>
    </row>
    <row r="8678" spans="1:1" ht="12.75" customHeight="1">
      <c r="A8678" s="129">
        <v>8678</v>
      </c>
    </row>
    <row r="8679" spans="1:1" ht="12.75" customHeight="1">
      <c r="A8679" s="129">
        <v>8679</v>
      </c>
    </row>
    <row r="8680" spans="1:1" ht="12.75" customHeight="1">
      <c r="A8680" s="129">
        <v>8680</v>
      </c>
    </row>
    <row r="8681" spans="1:1" ht="12.75" customHeight="1">
      <c r="A8681" s="129">
        <v>8681</v>
      </c>
    </row>
    <row r="8682" spans="1:1" ht="12.75" customHeight="1">
      <c r="A8682" s="129">
        <v>8682</v>
      </c>
    </row>
    <row r="8683" spans="1:1" ht="12.75" customHeight="1">
      <c r="A8683" s="129">
        <v>8683</v>
      </c>
    </row>
    <row r="8684" spans="1:1" ht="12.75" customHeight="1">
      <c r="A8684" s="129">
        <v>8684</v>
      </c>
    </row>
    <row r="8685" spans="1:1" ht="12.75" customHeight="1">
      <c r="A8685" s="129">
        <v>8685</v>
      </c>
    </row>
    <row r="8686" spans="1:1" ht="12.75" customHeight="1">
      <c r="A8686" s="129">
        <v>8686</v>
      </c>
    </row>
    <row r="8687" spans="1:1" ht="12.75" customHeight="1">
      <c r="A8687" s="129">
        <v>8687</v>
      </c>
    </row>
    <row r="8688" spans="1:1" ht="12.75" customHeight="1">
      <c r="A8688" s="129">
        <v>8688</v>
      </c>
    </row>
    <row r="8689" spans="1:1" ht="12.75" customHeight="1">
      <c r="A8689" s="129">
        <v>8689</v>
      </c>
    </row>
    <row r="8690" spans="1:1" ht="12.75" customHeight="1">
      <c r="A8690" s="129">
        <v>8690</v>
      </c>
    </row>
    <row r="8691" spans="1:1" ht="12.75" customHeight="1">
      <c r="A8691" s="129">
        <v>8691</v>
      </c>
    </row>
    <row r="8692" spans="1:1" ht="12.75" customHeight="1">
      <c r="A8692" s="129">
        <v>8692</v>
      </c>
    </row>
    <row r="8693" spans="1:1" ht="12.75" customHeight="1">
      <c r="A8693" s="129">
        <v>8693</v>
      </c>
    </row>
    <row r="8694" spans="1:1" ht="12.75" customHeight="1">
      <c r="A8694" s="129">
        <v>8694</v>
      </c>
    </row>
    <row r="8695" spans="1:1" ht="12.75" customHeight="1">
      <c r="A8695" s="129">
        <v>8695</v>
      </c>
    </row>
    <row r="8696" spans="1:1" ht="12.75" customHeight="1">
      <c r="A8696" s="129">
        <v>8696</v>
      </c>
    </row>
    <row r="8697" spans="1:1" ht="12.75" customHeight="1">
      <c r="A8697" s="129">
        <v>8697</v>
      </c>
    </row>
    <row r="8698" spans="1:1" ht="12.75" customHeight="1">
      <c r="A8698" s="129">
        <v>8698</v>
      </c>
    </row>
    <row r="8699" spans="1:1" ht="12.75" customHeight="1">
      <c r="A8699" s="129">
        <v>8699</v>
      </c>
    </row>
    <row r="8700" spans="1:1" ht="12.75" customHeight="1">
      <c r="A8700" s="129">
        <v>8700</v>
      </c>
    </row>
    <row r="8701" spans="1:1" ht="12.75" customHeight="1">
      <c r="A8701" s="129">
        <v>8701</v>
      </c>
    </row>
    <row r="8702" spans="1:1" ht="12.75" customHeight="1">
      <c r="A8702" s="129">
        <v>8702</v>
      </c>
    </row>
    <row r="8703" spans="1:1" ht="12.75" customHeight="1">
      <c r="A8703" s="129">
        <v>8703</v>
      </c>
    </row>
    <row r="8704" spans="1:1" ht="12.75" customHeight="1">
      <c r="A8704" s="129">
        <v>8704</v>
      </c>
    </row>
    <row r="8705" spans="1:1" ht="12.75" customHeight="1">
      <c r="A8705" s="129">
        <v>8705</v>
      </c>
    </row>
    <row r="8706" spans="1:1" ht="12.75" customHeight="1">
      <c r="A8706" s="129">
        <v>8706</v>
      </c>
    </row>
    <row r="8707" spans="1:1" ht="12.75" customHeight="1">
      <c r="A8707" s="129">
        <v>8707</v>
      </c>
    </row>
    <row r="8708" spans="1:1" ht="12.75" customHeight="1">
      <c r="A8708" s="129">
        <v>8708</v>
      </c>
    </row>
    <row r="8709" spans="1:1" ht="12.75" customHeight="1">
      <c r="A8709" s="129">
        <v>8709</v>
      </c>
    </row>
    <row r="8710" spans="1:1" ht="12.75" customHeight="1">
      <c r="A8710" s="129">
        <v>8710</v>
      </c>
    </row>
    <row r="8711" spans="1:1" ht="12.75" customHeight="1">
      <c r="A8711" s="129">
        <v>8711</v>
      </c>
    </row>
    <row r="8712" spans="1:1" ht="12.75" customHeight="1">
      <c r="A8712" s="129">
        <v>8712</v>
      </c>
    </row>
    <row r="8713" spans="1:1" ht="12.75" customHeight="1">
      <c r="A8713" s="129">
        <v>8713</v>
      </c>
    </row>
    <row r="8714" spans="1:1" ht="12.75" customHeight="1">
      <c r="A8714" s="129">
        <v>8714</v>
      </c>
    </row>
    <row r="8715" spans="1:1" ht="12.75" customHeight="1">
      <c r="A8715" s="129">
        <v>8715</v>
      </c>
    </row>
    <row r="8716" spans="1:1" ht="12.75" customHeight="1">
      <c r="A8716" s="129">
        <v>8716</v>
      </c>
    </row>
    <row r="8717" spans="1:1" ht="12.75" customHeight="1">
      <c r="A8717" s="129">
        <v>8717</v>
      </c>
    </row>
    <row r="8718" spans="1:1" ht="12.75" customHeight="1">
      <c r="A8718" s="129">
        <v>8718</v>
      </c>
    </row>
    <row r="8719" spans="1:1" ht="12.75" customHeight="1">
      <c r="A8719" s="129">
        <v>8719</v>
      </c>
    </row>
    <row r="8720" spans="1:1" ht="12.75" customHeight="1">
      <c r="A8720" s="129">
        <v>8720</v>
      </c>
    </row>
    <row r="8721" spans="1:1" ht="12.75" customHeight="1">
      <c r="A8721" s="129">
        <v>8721</v>
      </c>
    </row>
    <row r="8722" spans="1:1" ht="12.75" customHeight="1">
      <c r="A8722" s="129">
        <v>8722</v>
      </c>
    </row>
    <row r="8723" spans="1:1" ht="12.75" customHeight="1">
      <c r="A8723" s="129">
        <v>8723</v>
      </c>
    </row>
    <row r="8724" spans="1:1" ht="12.75" customHeight="1">
      <c r="A8724" s="129">
        <v>8724</v>
      </c>
    </row>
    <row r="8725" spans="1:1" ht="12.75" customHeight="1">
      <c r="A8725" s="129">
        <v>8725</v>
      </c>
    </row>
    <row r="8726" spans="1:1" ht="12.75" customHeight="1">
      <c r="A8726" s="129">
        <v>8726</v>
      </c>
    </row>
    <row r="8727" spans="1:1" ht="12.75" customHeight="1">
      <c r="A8727" s="129">
        <v>8727</v>
      </c>
    </row>
    <row r="8728" spans="1:1" ht="12.75" customHeight="1">
      <c r="A8728" s="129">
        <v>8728</v>
      </c>
    </row>
    <row r="8729" spans="1:1" ht="12.75" customHeight="1">
      <c r="A8729" s="129">
        <v>8729</v>
      </c>
    </row>
    <row r="8730" spans="1:1" ht="12.75" customHeight="1">
      <c r="A8730" s="129">
        <v>8730</v>
      </c>
    </row>
    <row r="8731" spans="1:1" ht="12.75" customHeight="1">
      <c r="A8731" s="129">
        <v>8731</v>
      </c>
    </row>
    <row r="8732" spans="1:1" ht="12.75" customHeight="1">
      <c r="A8732" s="129">
        <v>8732</v>
      </c>
    </row>
    <row r="8733" spans="1:1" ht="12.75" customHeight="1">
      <c r="A8733" s="129">
        <v>8733</v>
      </c>
    </row>
    <row r="8734" spans="1:1" ht="12.75" customHeight="1">
      <c r="A8734" s="129">
        <v>8734</v>
      </c>
    </row>
    <row r="8735" spans="1:1" ht="12.75" customHeight="1">
      <c r="A8735" s="129">
        <v>8735</v>
      </c>
    </row>
    <row r="8736" spans="1:1" ht="12.75" customHeight="1">
      <c r="A8736" s="129">
        <v>8736</v>
      </c>
    </row>
    <row r="8737" spans="1:1" ht="12.75" customHeight="1">
      <c r="A8737" s="129">
        <v>8737</v>
      </c>
    </row>
    <row r="8738" spans="1:1" ht="12.75" customHeight="1">
      <c r="A8738" s="129">
        <v>8738</v>
      </c>
    </row>
    <row r="8739" spans="1:1" ht="12.75" customHeight="1">
      <c r="A8739" s="129">
        <v>8739</v>
      </c>
    </row>
    <row r="8740" spans="1:1" ht="12.75" customHeight="1">
      <c r="A8740" s="129">
        <v>8740</v>
      </c>
    </row>
    <row r="8741" spans="1:1" ht="12.75" customHeight="1">
      <c r="A8741" s="129">
        <v>8741</v>
      </c>
    </row>
    <row r="8742" spans="1:1" ht="12.75" customHeight="1">
      <c r="A8742" s="129">
        <v>8742</v>
      </c>
    </row>
    <row r="8743" spans="1:1" ht="12.75" customHeight="1">
      <c r="A8743" s="129">
        <v>8743</v>
      </c>
    </row>
    <row r="8744" spans="1:1" ht="12.75" customHeight="1">
      <c r="A8744" s="129">
        <v>8744</v>
      </c>
    </row>
    <row r="8745" spans="1:1" ht="12.75" customHeight="1">
      <c r="A8745" s="129">
        <v>8745</v>
      </c>
    </row>
    <row r="8746" spans="1:1" ht="12.75" customHeight="1">
      <c r="A8746" s="129">
        <v>8746</v>
      </c>
    </row>
    <row r="8747" spans="1:1" ht="12.75" customHeight="1">
      <c r="A8747" s="129">
        <v>8747</v>
      </c>
    </row>
    <row r="8748" spans="1:1" ht="12.75" customHeight="1">
      <c r="A8748" s="129">
        <v>8748</v>
      </c>
    </row>
    <row r="8749" spans="1:1" ht="12.75" customHeight="1">
      <c r="A8749" s="129">
        <v>8749</v>
      </c>
    </row>
    <row r="8750" spans="1:1" ht="12.75" customHeight="1">
      <c r="A8750" s="129">
        <v>8750</v>
      </c>
    </row>
    <row r="8751" spans="1:1" ht="12.75" customHeight="1">
      <c r="A8751" s="129">
        <v>8751</v>
      </c>
    </row>
    <row r="8752" spans="1:1" ht="12.75" customHeight="1">
      <c r="A8752" s="129">
        <v>8752</v>
      </c>
    </row>
    <row r="8753" spans="1:1" ht="12.75" customHeight="1">
      <c r="A8753" s="129">
        <v>8753</v>
      </c>
    </row>
    <row r="8754" spans="1:1" ht="12.75" customHeight="1">
      <c r="A8754" s="129">
        <v>8754</v>
      </c>
    </row>
    <row r="8755" spans="1:1" ht="12.75" customHeight="1">
      <c r="A8755" s="129">
        <v>8755</v>
      </c>
    </row>
    <row r="8756" spans="1:1" ht="12.75" customHeight="1">
      <c r="A8756" s="129">
        <v>8756</v>
      </c>
    </row>
    <row r="8757" spans="1:1" ht="12.75" customHeight="1">
      <c r="A8757" s="129">
        <v>8757</v>
      </c>
    </row>
    <row r="8758" spans="1:1" ht="12.75" customHeight="1">
      <c r="A8758" s="129">
        <v>8758</v>
      </c>
    </row>
    <row r="8759" spans="1:1" ht="12.75" customHeight="1">
      <c r="A8759" s="129">
        <v>8759</v>
      </c>
    </row>
    <row r="8760" spans="1:1" ht="12.75" customHeight="1">
      <c r="A8760" s="129">
        <v>8760</v>
      </c>
    </row>
    <row r="8761" spans="1:1" ht="12.75" customHeight="1">
      <c r="A8761" s="129">
        <v>8761</v>
      </c>
    </row>
    <row r="8762" spans="1:1" ht="12.75" customHeight="1">
      <c r="A8762" s="129">
        <v>8762</v>
      </c>
    </row>
    <row r="8763" spans="1:1" ht="12.75" customHeight="1">
      <c r="A8763" s="129">
        <v>8763</v>
      </c>
    </row>
    <row r="8764" spans="1:1" ht="12.75" customHeight="1">
      <c r="A8764" s="129">
        <v>8764</v>
      </c>
    </row>
    <row r="8765" spans="1:1" ht="12.75" customHeight="1">
      <c r="A8765" s="129">
        <v>8765</v>
      </c>
    </row>
    <row r="8766" spans="1:1" ht="12.75" customHeight="1">
      <c r="A8766" s="129">
        <v>8766</v>
      </c>
    </row>
    <row r="8767" spans="1:1" ht="12.75" customHeight="1">
      <c r="A8767" s="129">
        <v>8767</v>
      </c>
    </row>
    <row r="8768" spans="1:1" ht="12.75" customHeight="1">
      <c r="A8768" s="129">
        <v>8768</v>
      </c>
    </row>
    <row r="8769" spans="1:1" ht="12.75" customHeight="1">
      <c r="A8769" s="129">
        <v>8769</v>
      </c>
    </row>
    <row r="8770" spans="1:1" ht="12.75" customHeight="1">
      <c r="A8770" s="129">
        <v>8770</v>
      </c>
    </row>
    <row r="8771" spans="1:1" ht="12.75" customHeight="1">
      <c r="A8771" s="129">
        <v>8771</v>
      </c>
    </row>
    <row r="8772" spans="1:1" ht="12.75" customHeight="1">
      <c r="A8772" s="129">
        <v>8772</v>
      </c>
    </row>
    <row r="8773" spans="1:1" ht="12.75" customHeight="1">
      <c r="A8773" s="129">
        <v>8773</v>
      </c>
    </row>
    <row r="8774" spans="1:1" ht="12.75" customHeight="1">
      <c r="A8774" s="129">
        <v>8774</v>
      </c>
    </row>
    <row r="8775" spans="1:1" ht="12.75" customHeight="1">
      <c r="A8775" s="129">
        <v>8775</v>
      </c>
    </row>
    <row r="8776" spans="1:1" ht="12.75" customHeight="1">
      <c r="A8776" s="129">
        <v>8776</v>
      </c>
    </row>
    <row r="8777" spans="1:1" ht="12.75" customHeight="1">
      <c r="A8777" s="129">
        <v>8777</v>
      </c>
    </row>
    <row r="8778" spans="1:1" ht="12.75" customHeight="1">
      <c r="A8778" s="129">
        <v>8778</v>
      </c>
    </row>
    <row r="8779" spans="1:1" ht="12.75" customHeight="1">
      <c r="A8779" s="129">
        <v>8779</v>
      </c>
    </row>
    <row r="8780" spans="1:1" ht="12.75" customHeight="1">
      <c r="A8780" s="129">
        <v>8780</v>
      </c>
    </row>
    <row r="8781" spans="1:1" ht="12.75" customHeight="1">
      <c r="A8781" s="129">
        <v>8781</v>
      </c>
    </row>
    <row r="8782" spans="1:1" ht="12.75" customHeight="1">
      <c r="A8782" s="129">
        <v>8782</v>
      </c>
    </row>
    <row r="8783" spans="1:1" ht="12.75" customHeight="1">
      <c r="A8783" s="129">
        <v>8783</v>
      </c>
    </row>
    <row r="8784" spans="1:1" ht="12.75" customHeight="1">
      <c r="A8784" s="129">
        <v>8784</v>
      </c>
    </row>
    <row r="8785" spans="1:1" ht="12.75" customHeight="1">
      <c r="A8785" s="129">
        <v>8785</v>
      </c>
    </row>
    <row r="8786" spans="1:1" ht="12.75" customHeight="1">
      <c r="A8786" s="129">
        <v>8786</v>
      </c>
    </row>
    <row r="8787" spans="1:1" ht="12.75" customHeight="1">
      <c r="A8787" s="129">
        <v>8787</v>
      </c>
    </row>
    <row r="8788" spans="1:1" ht="12.75" customHeight="1">
      <c r="A8788" s="129">
        <v>8788</v>
      </c>
    </row>
    <row r="8789" spans="1:1" ht="12.75" customHeight="1">
      <c r="A8789" s="129">
        <v>8789</v>
      </c>
    </row>
    <row r="8790" spans="1:1" ht="12.75" customHeight="1">
      <c r="A8790" s="129">
        <v>8790</v>
      </c>
    </row>
    <row r="8791" spans="1:1" ht="12.75" customHeight="1">
      <c r="A8791" s="129">
        <v>8791</v>
      </c>
    </row>
    <row r="8792" spans="1:1" ht="12.75" customHeight="1">
      <c r="A8792" s="129">
        <v>8792</v>
      </c>
    </row>
    <row r="8793" spans="1:1" ht="12.75" customHeight="1">
      <c r="A8793" s="129">
        <v>8793</v>
      </c>
    </row>
    <row r="8794" spans="1:1" ht="12.75" customHeight="1">
      <c r="A8794" s="129">
        <v>8794</v>
      </c>
    </row>
    <row r="8795" spans="1:1" ht="12.75" customHeight="1">
      <c r="A8795" s="129">
        <v>8795</v>
      </c>
    </row>
    <row r="8796" spans="1:1" ht="12.75" customHeight="1">
      <c r="A8796" s="129">
        <v>8796</v>
      </c>
    </row>
    <row r="8797" spans="1:1" ht="12.75" customHeight="1">
      <c r="A8797" s="129">
        <v>8797</v>
      </c>
    </row>
    <row r="8798" spans="1:1" ht="12.75" customHeight="1">
      <c r="A8798" s="129">
        <v>8798</v>
      </c>
    </row>
    <row r="8799" spans="1:1" ht="12.75" customHeight="1">
      <c r="A8799" s="129">
        <v>8799</v>
      </c>
    </row>
    <row r="8800" spans="1:1" ht="12.75" customHeight="1">
      <c r="A8800" s="129">
        <v>8800</v>
      </c>
    </row>
    <row r="8801" spans="1:1" ht="12.75" customHeight="1">
      <c r="A8801" s="129">
        <v>8801</v>
      </c>
    </row>
    <row r="8802" spans="1:1" ht="12.75" customHeight="1">
      <c r="A8802" s="129">
        <v>8802</v>
      </c>
    </row>
    <row r="8803" spans="1:1" ht="12.75" customHeight="1">
      <c r="A8803" s="129">
        <v>8803</v>
      </c>
    </row>
    <row r="8804" spans="1:1" ht="12.75" customHeight="1">
      <c r="A8804" s="129">
        <v>8804</v>
      </c>
    </row>
    <row r="8805" spans="1:1" ht="12.75" customHeight="1">
      <c r="A8805" s="129">
        <v>8805</v>
      </c>
    </row>
    <row r="8806" spans="1:1" ht="12.75" customHeight="1">
      <c r="A8806" s="129">
        <v>8806</v>
      </c>
    </row>
    <row r="8807" spans="1:1" ht="12.75" customHeight="1">
      <c r="A8807" s="129">
        <v>8807</v>
      </c>
    </row>
    <row r="8808" spans="1:1" ht="12.75" customHeight="1">
      <c r="A8808" s="129">
        <v>8808</v>
      </c>
    </row>
    <row r="8809" spans="1:1" ht="12.75" customHeight="1">
      <c r="A8809" s="129">
        <v>8809</v>
      </c>
    </row>
    <row r="8810" spans="1:1" ht="12.75" customHeight="1">
      <c r="A8810" s="129">
        <v>8810</v>
      </c>
    </row>
    <row r="8811" spans="1:1" ht="12.75" customHeight="1">
      <c r="A8811" s="129">
        <v>8811</v>
      </c>
    </row>
    <row r="8812" spans="1:1" ht="12.75" customHeight="1">
      <c r="A8812" s="129">
        <v>8812</v>
      </c>
    </row>
    <row r="8813" spans="1:1" ht="12.75" customHeight="1">
      <c r="A8813" s="129">
        <v>8813</v>
      </c>
    </row>
    <row r="8814" spans="1:1" ht="12.75" customHeight="1">
      <c r="A8814" s="129">
        <v>8814</v>
      </c>
    </row>
    <row r="8815" spans="1:1" ht="12.75" customHeight="1">
      <c r="A8815" s="129">
        <v>8815</v>
      </c>
    </row>
    <row r="8816" spans="1:1" ht="12.75" customHeight="1">
      <c r="A8816" s="129">
        <v>8816</v>
      </c>
    </row>
    <row r="8817" spans="1:1" ht="12.75" customHeight="1">
      <c r="A8817" s="129">
        <v>8817</v>
      </c>
    </row>
    <row r="8818" spans="1:1" ht="12.75" customHeight="1">
      <c r="A8818" s="129">
        <v>8818</v>
      </c>
    </row>
    <row r="8819" spans="1:1" ht="12.75" customHeight="1">
      <c r="A8819" s="129">
        <v>8819</v>
      </c>
    </row>
    <row r="8820" spans="1:1" ht="12.75" customHeight="1">
      <c r="A8820" s="129">
        <v>8820</v>
      </c>
    </row>
    <row r="8821" spans="1:1" ht="12.75" customHeight="1">
      <c r="A8821" s="129">
        <v>8821</v>
      </c>
    </row>
    <row r="8822" spans="1:1" ht="12.75" customHeight="1">
      <c r="A8822" s="129">
        <v>8822</v>
      </c>
    </row>
    <row r="8823" spans="1:1" ht="12.75" customHeight="1">
      <c r="A8823" s="129">
        <v>8823</v>
      </c>
    </row>
    <row r="8824" spans="1:1" ht="12.75" customHeight="1">
      <c r="A8824" s="129">
        <v>8824</v>
      </c>
    </row>
    <row r="8825" spans="1:1" ht="12.75" customHeight="1">
      <c r="A8825" s="129">
        <v>8825</v>
      </c>
    </row>
    <row r="8826" spans="1:1" ht="12.75" customHeight="1">
      <c r="A8826" s="129">
        <v>8826</v>
      </c>
    </row>
    <row r="8827" spans="1:1" ht="12.75" customHeight="1">
      <c r="A8827" s="129">
        <v>8827</v>
      </c>
    </row>
    <row r="8828" spans="1:1" ht="12.75" customHeight="1">
      <c r="A8828" s="129">
        <v>8828</v>
      </c>
    </row>
    <row r="8829" spans="1:1" ht="12.75" customHeight="1">
      <c r="A8829" s="129">
        <v>8829</v>
      </c>
    </row>
    <row r="8830" spans="1:1" ht="12.75" customHeight="1">
      <c r="A8830" s="129">
        <v>8830</v>
      </c>
    </row>
    <row r="8831" spans="1:1" ht="12.75" customHeight="1">
      <c r="A8831" s="129">
        <v>8831</v>
      </c>
    </row>
    <row r="8832" spans="1:1" ht="12.75" customHeight="1">
      <c r="A8832" s="129">
        <v>8832</v>
      </c>
    </row>
    <row r="8833" spans="1:1" ht="12.75" customHeight="1">
      <c r="A8833" s="129">
        <v>8833</v>
      </c>
    </row>
    <row r="8834" spans="1:1" ht="12.75" customHeight="1">
      <c r="A8834" s="129">
        <v>8834</v>
      </c>
    </row>
    <row r="8835" spans="1:1" ht="12.75" customHeight="1">
      <c r="A8835" s="129">
        <v>8835</v>
      </c>
    </row>
    <row r="8836" spans="1:1" ht="12.75" customHeight="1">
      <c r="A8836" s="129">
        <v>8836</v>
      </c>
    </row>
    <row r="8837" spans="1:1" ht="12.75" customHeight="1">
      <c r="A8837" s="129">
        <v>8837</v>
      </c>
    </row>
    <row r="8838" spans="1:1" ht="12.75" customHeight="1">
      <c r="A8838" s="129">
        <v>8838</v>
      </c>
    </row>
    <row r="8839" spans="1:1" ht="12.75" customHeight="1">
      <c r="A8839" s="129">
        <v>8839</v>
      </c>
    </row>
    <row r="8840" spans="1:1" ht="12.75" customHeight="1">
      <c r="A8840" s="129">
        <v>8840</v>
      </c>
    </row>
    <row r="8841" spans="1:1" ht="12.75" customHeight="1">
      <c r="A8841" s="129">
        <v>8841</v>
      </c>
    </row>
    <row r="8842" spans="1:1" ht="12.75" customHeight="1">
      <c r="A8842" s="129">
        <v>8842</v>
      </c>
    </row>
    <row r="8843" spans="1:1" ht="12.75" customHeight="1">
      <c r="A8843" s="129">
        <v>8843</v>
      </c>
    </row>
    <row r="8844" spans="1:1" ht="12.75" customHeight="1">
      <c r="A8844" s="129">
        <v>8844</v>
      </c>
    </row>
    <row r="8845" spans="1:1" ht="12.75" customHeight="1">
      <c r="A8845" s="129">
        <v>8845</v>
      </c>
    </row>
    <row r="8846" spans="1:1" ht="12.75" customHeight="1">
      <c r="A8846" s="129">
        <v>8846</v>
      </c>
    </row>
    <row r="8847" spans="1:1" ht="12.75" customHeight="1">
      <c r="A8847" s="129">
        <v>8847</v>
      </c>
    </row>
    <row r="8848" spans="1:1" ht="12.75" customHeight="1">
      <c r="A8848" s="129">
        <v>8848</v>
      </c>
    </row>
    <row r="8849" spans="1:1" ht="12.75" customHeight="1">
      <c r="A8849" s="129">
        <v>8849</v>
      </c>
    </row>
    <row r="8850" spans="1:1" ht="12.75" customHeight="1">
      <c r="A8850" s="129">
        <v>8850</v>
      </c>
    </row>
    <row r="8851" spans="1:1" ht="12.75" customHeight="1">
      <c r="A8851" s="129">
        <v>8851</v>
      </c>
    </row>
    <row r="8852" spans="1:1" ht="12.75" customHeight="1">
      <c r="A8852" s="129">
        <v>8852</v>
      </c>
    </row>
    <row r="8853" spans="1:1" ht="12.75" customHeight="1">
      <c r="A8853" s="129">
        <v>8853</v>
      </c>
    </row>
    <row r="8854" spans="1:1" ht="12.75" customHeight="1">
      <c r="A8854" s="129">
        <v>8854</v>
      </c>
    </row>
    <row r="8855" spans="1:1" ht="12.75" customHeight="1">
      <c r="A8855" s="129">
        <v>8855</v>
      </c>
    </row>
    <row r="8856" spans="1:1" ht="12.75" customHeight="1">
      <c r="A8856" s="129">
        <v>8856</v>
      </c>
    </row>
    <row r="8857" spans="1:1" ht="12.75" customHeight="1">
      <c r="A8857" s="129">
        <v>8857</v>
      </c>
    </row>
    <row r="8858" spans="1:1" ht="12.75" customHeight="1">
      <c r="A8858" s="129">
        <v>8858</v>
      </c>
    </row>
    <row r="8859" spans="1:1" ht="12.75" customHeight="1">
      <c r="A8859" s="129">
        <v>8859</v>
      </c>
    </row>
    <row r="8860" spans="1:1" ht="12.75" customHeight="1">
      <c r="A8860" s="129">
        <v>8860</v>
      </c>
    </row>
    <row r="8861" spans="1:1" ht="12.75" customHeight="1">
      <c r="A8861" s="129">
        <v>8861</v>
      </c>
    </row>
    <row r="8862" spans="1:1" ht="12.75" customHeight="1">
      <c r="A8862" s="129">
        <v>8862</v>
      </c>
    </row>
    <row r="8863" spans="1:1" ht="12.75" customHeight="1">
      <c r="A8863" s="129">
        <v>8863</v>
      </c>
    </row>
    <row r="8864" spans="1:1" ht="12.75" customHeight="1">
      <c r="A8864" s="129">
        <v>8864</v>
      </c>
    </row>
    <row r="8865" spans="1:1" ht="12.75" customHeight="1">
      <c r="A8865" s="129">
        <v>8865</v>
      </c>
    </row>
    <row r="8866" spans="1:1" ht="12.75" customHeight="1">
      <c r="A8866" s="129">
        <v>8866</v>
      </c>
    </row>
    <row r="8867" spans="1:1" ht="12.75" customHeight="1">
      <c r="A8867" s="129">
        <v>8867</v>
      </c>
    </row>
    <row r="8868" spans="1:1" ht="12.75" customHeight="1">
      <c r="A8868" s="129">
        <v>8868</v>
      </c>
    </row>
    <row r="8869" spans="1:1" ht="12.75" customHeight="1">
      <c r="A8869" s="129">
        <v>8869</v>
      </c>
    </row>
    <row r="8870" spans="1:1" ht="12.75" customHeight="1">
      <c r="A8870" s="129">
        <v>8870</v>
      </c>
    </row>
    <row r="8871" spans="1:1" ht="12.75" customHeight="1">
      <c r="A8871" s="129">
        <v>8871</v>
      </c>
    </row>
    <row r="8872" spans="1:1" ht="12.75" customHeight="1">
      <c r="A8872" s="129">
        <v>8872</v>
      </c>
    </row>
    <row r="8873" spans="1:1" ht="12.75" customHeight="1">
      <c r="A8873" s="129">
        <v>8873</v>
      </c>
    </row>
    <row r="8874" spans="1:1" ht="12.75" customHeight="1">
      <c r="A8874" s="129">
        <v>8874</v>
      </c>
    </row>
    <row r="8875" spans="1:1" ht="12.75" customHeight="1">
      <c r="A8875" s="129">
        <v>8875</v>
      </c>
    </row>
    <row r="8876" spans="1:1" ht="12.75" customHeight="1">
      <c r="A8876" s="129">
        <v>8876</v>
      </c>
    </row>
    <row r="8877" spans="1:1" ht="12.75" customHeight="1">
      <c r="A8877" s="129">
        <v>8877</v>
      </c>
    </row>
    <row r="8878" spans="1:1" ht="12.75" customHeight="1">
      <c r="A8878" s="129">
        <v>8878</v>
      </c>
    </row>
    <row r="8879" spans="1:1" ht="12.75" customHeight="1">
      <c r="A8879" s="129">
        <v>8879</v>
      </c>
    </row>
    <row r="8880" spans="1:1" ht="12.75" customHeight="1">
      <c r="A8880" s="129">
        <v>8880</v>
      </c>
    </row>
    <row r="8881" spans="1:1" ht="12.75" customHeight="1">
      <c r="A8881" s="129">
        <v>8881</v>
      </c>
    </row>
    <row r="8882" spans="1:1" ht="12.75" customHeight="1">
      <c r="A8882" s="129">
        <v>8882</v>
      </c>
    </row>
    <row r="8883" spans="1:1" ht="12.75" customHeight="1">
      <c r="A8883" s="129">
        <v>8883</v>
      </c>
    </row>
    <row r="8884" spans="1:1" ht="12.75" customHeight="1">
      <c r="A8884" s="129">
        <v>8884</v>
      </c>
    </row>
    <row r="8885" spans="1:1" ht="12.75" customHeight="1">
      <c r="A8885" s="129">
        <v>8885</v>
      </c>
    </row>
    <row r="8886" spans="1:1" ht="12.75" customHeight="1">
      <c r="A8886" s="129">
        <v>8886</v>
      </c>
    </row>
    <row r="8887" spans="1:1" ht="12.75" customHeight="1">
      <c r="A8887" s="129">
        <v>8887</v>
      </c>
    </row>
    <row r="8888" spans="1:1" ht="12.75" customHeight="1">
      <c r="A8888" s="129">
        <v>8888</v>
      </c>
    </row>
    <row r="8889" spans="1:1" ht="12.75" customHeight="1">
      <c r="A8889" s="129">
        <v>8889</v>
      </c>
    </row>
    <row r="8890" spans="1:1" ht="12.75" customHeight="1">
      <c r="A8890" s="129">
        <v>8890</v>
      </c>
    </row>
    <row r="8891" spans="1:1" ht="12.75" customHeight="1">
      <c r="A8891" s="129">
        <v>8891</v>
      </c>
    </row>
    <row r="8892" spans="1:1" ht="12.75" customHeight="1">
      <c r="A8892" s="129">
        <v>8892</v>
      </c>
    </row>
    <row r="8893" spans="1:1" ht="12.75" customHeight="1">
      <c r="A8893" s="129">
        <v>8893</v>
      </c>
    </row>
    <row r="8894" spans="1:1" ht="12.75" customHeight="1">
      <c r="A8894" s="129">
        <v>8894</v>
      </c>
    </row>
    <row r="8895" spans="1:1" ht="12.75" customHeight="1">
      <c r="A8895" s="129">
        <v>8895</v>
      </c>
    </row>
    <row r="8896" spans="1:1" ht="12.75" customHeight="1">
      <c r="A8896" s="129">
        <v>8896</v>
      </c>
    </row>
    <row r="8897" spans="1:1" ht="12.75" customHeight="1">
      <c r="A8897" s="129">
        <v>8897</v>
      </c>
    </row>
    <row r="8898" spans="1:1" ht="12.75" customHeight="1">
      <c r="A8898" s="129">
        <v>8898</v>
      </c>
    </row>
    <row r="8899" spans="1:1" ht="12.75" customHeight="1">
      <c r="A8899" s="129">
        <v>8899</v>
      </c>
    </row>
    <row r="8900" spans="1:1" ht="12.75" customHeight="1">
      <c r="A8900" s="129">
        <v>8900</v>
      </c>
    </row>
    <row r="8901" spans="1:1" ht="12.75" customHeight="1">
      <c r="A8901" s="129">
        <v>8901</v>
      </c>
    </row>
    <row r="8902" spans="1:1" ht="12.75" customHeight="1">
      <c r="A8902" s="129">
        <v>8902</v>
      </c>
    </row>
    <row r="8903" spans="1:1" ht="12.75" customHeight="1">
      <c r="A8903" s="129">
        <v>8903</v>
      </c>
    </row>
    <row r="8904" spans="1:1" ht="12.75" customHeight="1">
      <c r="A8904" s="129">
        <v>8904</v>
      </c>
    </row>
    <row r="8905" spans="1:1" ht="12.75" customHeight="1">
      <c r="A8905" s="129">
        <v>8905</v>
      </c>
    </row>
    <row r="8906" spans="1:1" ht="12.75" customHeight="1">
      <c r="A8906" s="129">
        <v>8906</v>
      </c>
    </row>
    <row r="8907" spans="1:1" ht="12.75" customHeight="1">
      <c r="A8907" s="129">
        <v>8907</v>
      </c>
    </row>
    <row r="8908" spans="1:1" ht="12.75" customHeight="1">
      <c r="A8908" s="129">
        <v>8908</v>
      </c>
    </row>
    <row r="8909" spans="1:1" ht="12.75" customHeight="1">
      <c r="A8909" s="129">
        <v>8909</v>
      </c>
    </row>
    <row r="8910" spans="1:1" ht="12.75" customHeight="1">
      <c r="A8910" s="129">
        <v>8910</v>
      </c>
    </row>
    <row r="8911" spans="1:1" ht="12.75" customHeight="1">
      <c r="A8911" s="129">
        <v>8911</v>
      </c>
    </row>
    <row r="8912" spans="1:1" ht="12.75" customHeight="1">
      <c r="A8912" s="129">
        <v>8912</v>
      </c>
    </row>
    <row r="8913" spans="1:1" ht="12.75" customHeight="1">
      <c r="A8913" s="129">
        <v>8913</v>
      </c>
    </row>
    <row r="8914" spans="1:1" ht="12.75" customHeight="1">
      <c r="A8914" s="129">
        <v>8914</v>
      </c>
    </row>
    <row r="8915" spans="1:1" ht="12.75" customHeight="1">
      <c r="A8915" s="129">
        <v>8915</v>
      </c>
    </row>
    <row r="8916" spans="1:1" ht="12.75" customHeight="1">
      <c r="A8916" s="129">
        <v>8916</v>
      </c>
    </row>
    <row r="8917" spans="1:1" ht="12.75" customHeight="1">
      <c r="A8917" s="129">
        <v>8917</v>
      </c>
    </row>
    <row r="8918" spans="1:1" ht="12.75" customHeight="1">
      <c r="A8918" s="129">
        <v>8918</v>
      </c>
    </row>
    <row r="8919" spans="1:1" ht="12.75" customHeight="1">
      <c r="A8919" s="129">
        <v>8919</v>
      </c>
    </row>
    <row r="8920" spans="1:1" ht="12.75" customHeight="1">
      <c r="A8920" s="129">
        <v>8920</v>
      </c>
    </row>
    <row r="8921" spans="1:1" ht="12.75" customHeight="1">
      <c r="A8921" s="129">
        <v>8921</v>
      </c>
    </row>
    <row r="8922" spans="1:1" ht="12.75" customHeight="1">
      <c r="A8922" s="129">
        <v>8922</v>
      </c>
    </row>
    <row r="8923" spans="1:1" ht="12.75" customHeight="1">
      <c r="A8923" s="129">
        <v>8923</v>
      </c>
    </row>
    <row r="8924" spans="1:1" ht="12.75" customHeight="1">
      <c r="A8924" s="129">
        <v>8924</v>
      </c>
    </row>
    <row r="8925" spans="1:1" ht="12.75" customHeight="1">
      <c r="A8925" s="129">
        <v>8925</v>
      </c>
    </row>
    <row r="8926" spans="1:1" ht="12.75" customHeight="1">
      <c r="A8926" s="129">
        <v>8926</v>
      </c>
    </row>
    <row r="8927" spans="1:1" ht="12.75" customHeight="1">
      <c r="A8927" s="129">
        <v>8927</v>
      </c>
    </row>
    <row r="8928" spans="1:1" ht="12.75" customHeight="1">
      <c r="A8928" s="129">
        <v>8928</v>
      </c>
    </row>
    <row r="8929" spans="1:1" ht="12.75" customHeight="1">
      <c r="A8929" s="129">
        <v>8929</v>
      </c>
    </row>
    <row r="8930" spans="1:1" ht="12.75" customHeight="1">
      <c r="A8930" s="129">
        <v>8930</v>
      </c>
    </row>
    <row r="8931" spans="1:1" ht="12.75" customHeight="1">
      <c r="A8931" s="129">
        <v>8931</v>
      </c>
    </row>
    <row r="8932" spans="1:1" ht="12.75" customHeight="1">
      <c r="A8932" s="129">
        <v>8932</v>
      </c>
    </row>
    <row r="8933" spans="1:1" ht="12.75" customHeight="1">
      <c r="A8933" s="129">
        <v>8933</v>
      </c>
    </row>
    <row r="8934" spans="1:1" ht="12.75" customHeight="1">
      <c r="A8934" s="129">
        <v>8934</v>
      </c>
    </row>
    <row r="8935" spans="1:1" ht="12.75" customHeight="1">
      <c r="A8935" s="129">
        <v>8935</v>
      </c>
    </row>
    <row r="8936" spans="1:1" ht="12.75" customHeight="1">
      <c r="A8936" s="129">
        <v>8936</v>
      </c>
    </row>
    <row r="8937" spans="1:1" ht="12.75" customHeight="1">
      <c r="A8937" s="129">
        <v>8937</v>
      </c>
    </row>
    <row r="8938" spans="1:1" ht="12.75" customHeight="1">
      <c r="A8938" s="129">
        <v>8938</v>
      </c>
    </row>
    <row r="8939" spans="1:1" ht="12.75" customHeight="1">
      <c r="A8939" s="129">
        <v>8939</v>
      </c>
    </row>
    <row r="8940" spans="1:1" ht="12.75" customHeight="1">
      <c r="A8940" s="129">
        <v>8940</v>
      </c>
    </row>
    <row r="8941" spans="1:1" ht="12.75" customHeight="1">
      <c r="A8941" s="129">
        <v>8941</v>
      </c>
    </row>
    <row r="8942" spans="1:1" ht="12.75" customHeight="1">
      <c r="A8942" s="129">
        <v>8942</v>
      </c>
    </row>
    <row r="8943" spans="1:1" ht="12.75" customHeight="1">
      <c r="A8943" s="129">
        <v>8943</v>
      </c>
    </row>
    <row r="8944" spans="1:1" ht="12.75" customHeight="1">
      <c r="A8944" s="129">
        <v>8944</v>
      </c>
    </row>
    <row r="8945" spans="1:1" ht="12.75" customHeight="1">
      <c r="A8945" s="129">
        <v>8945</v>
      </c>
    </row>
    <row r="8946" spans="1:1" ht="12.75" customHeight="1">
      <c r="A8946" s="129">
        <v>8946</v>
      </c>
    </row>
    <row r="8947" spans="1:1" ht="12.75" customHeight="1">
      <c r="A8947" s="129">
        <v>8947</v>
      </c>
    </row>
    <row r="8948" spans="1:1" ht="12.75" customHeight="1">
      <c r="A8948" s="129">
        <v>8948</v>
      </c>
    </row>
    <row r="8949" spans="1:1" ht="12.75" customHeight="1">
      <c r="A8949" s="129">
        <v>8949</v>
      </c>
    </row>
    <row r="8950" spans="1:1" ht="12.75" customHeight="1">
      <c r="A8950" s="129">
        <v>8950</v>
      </c>
    </row>
    <row r="8951" spans="1:1" ht="12.75" customHeight="1">
      <c r="A8951" s="129">
        <v>8951</v>
      </c>
    </row>
    <row r="8952" spans="1:1" ht="12.75" customHeight="1">
      <c r="A8952" s="129">
        <v>8952</v>
      </c>
    </row>
    <row r="8953" spans="1:1" ht="12.75" customHeight="1">
      <c r="A8953" s="129">
        <v>8953</v>
      </c>
    </row>
    <row r="8954" spans="1:1" ht="12.75" customHeight="1">
      <c r="A8954" s="129">
        <v>8954</v>
      </c>
    </row>
    <row r="8955" spans="1:1" ht="12.75" customHeight="1">
      <c r="A8955" s="129">
        <v>8955</v>
      </c>
    </row>
    <row r="8956" spans="1:1" ht="12.75" customHeight="1">
      <c r="A8956" s="129">
        <v>8956</v>
      </c>
    </row>
    <row r="8957" spans="1:1" ht="12.75" customHeight="1">
      <c r="A8957" s="129">
        <v>8957</v>
      </c>
    </row>
    <row r="8958" spans="1:1" ht="12.75" customHeight="1">
      <c r="A8958" s="129">
        <v>8958</v>
      </c>
    </row>
    <row r="8959" spans="1:1" ht="12.75" customHeight="1">
      <c r="A8959" s="129">
        <v>8959</v>
      </c>
    </row>
    <row r="8960" spans="1:1" ht="12.75" customHeight="1">
      <c r="A8960" s="129">
        <v>8960</v>
      </c>
    </row>
    <row r="8961" spans="1:1" ht="12.75" customHeight="1">
      <c r="A8961" s="129">
        <v>8961</v>
      </c>
    </row>
    <row r="8962" spans="1:1" ht="12.75" customHeight="1">
      <c r="A8962" s="129">
        <v>8962</v>
      </c>
    </row>
    <row r="8963" spans="1:1" ht="12.75" customHeight="1">
      <c r="A8963" s="129">
        <v>8963</v>
      </c>
    </row>
    <row r="8964" spans="1:1" ht="12.75" customHeight="1">
      <c r="A8964" s="129">
        <v>8964</v>
      </c>
    </row>
    <row r="8965" spans="1:1" ht="12.75" customHeight="1">
      <c r="A8965" s="129">
        <v>8965</v>
      </c>
    </row>
    <row r="8966" spans="1:1" ht="12.75" customHeight="1">
      <c r="A8966" s="129">
        <v>8966</v>
      </c>
    </row>
    <row r="8967" spans="1:1" ht="12.75" customHeight="1">
      <c r="A8967" s="129">
        <v>8967</v>
      </c>
    </row>
    <row r="8968" spans="1:1" ht="12.75" customHeight="1">
      <c r="A8968" s="129">
        <v>8968</v>
      </c>
    </row>
    <row r="8969" spans="1:1" ht="12.75" customHeight="1">
      <c r="A8969" s="129">
        <v>8969</v>
      </c>
    </row>
    <row r="8970" spans="1:1" ht="12.75" customHeight="1">
      <c r="A8970" s="129">
        <v>8970</v>
      </c>
    </row>
    <row r="8971" spans="1:1" ht="12.75" customHeight="1">
      <c r="A8971" s="129">
        <v>8971</v>
      </c>
    </row>
    <row r="8972" spans="1:1" ht="12.75" customHeight="1">
      <c r="A8972" s="129">
        <v>8972</v>
      </c>
    </row>
    <row r="8973" spans="1:1" ht="12.75" customHeight="1">
      <c r="A8973" s="129">
        <v>8973</v>
      </c>
    </row>
    <row r="8974" spans="1:1" ht="12.75" customHeight="1">
      <c r="A8974" s="129">
        <v>8974</v>
      </c>
    </row>
    <row r="8975" spans="1:1" ht="12.75" customHeight="1">
      <c r="A8975" s="129">
        <v>8975</v>
      </c>
    </row>
    <row r="8976" spans="1:1" ht="12.75" customHeight="1">
      <c r="A8976" s="129">
        <v>8976</v>
      </c>
    </row>
    <row r="8977" spans="1:1" ht="12.75" customHeight="1">
      <c r="A8977" s="129">
        <v>8977</v>
      </c>
    </row>
    <row r="8978" spans="1:1" ht="12.75" customHeight="1">
      <c r="A8978" s="129">
        <v>8978</v>
      </c>
    </row>
    <row r="8979" spans="1:1" ht="12.75" customHeight="1">
      <c r="A8979" s="129">
        <v>8979</v>
      </c>
    </row>
    <row r="8980" spans="1:1" ht="12.75" customHeight="1">
      <c r="A8980" s="129">
        <v>8980</v>
      </c>
    </row>
    <row r="8981" spans="1:1" ht="12.75" customHeight="1">
      <c r="A8981" s="129">
        <v>8981</v>
      </c>
    </row>
    <row r="8982" spans="1:1" ht="12.75" customHeight="1">
      <c r="A8982" s="129">
        <v>8982</v>
      </c>
    </row>
    <row r="8983" spans="1:1" ht="12.75" customHeight="1">
      <c r="A8983" s="129">
        <v>8983</v>
      </c>
    </row>
    <row r="8984" spans="1:1" ht="12.75" customHeight="1">
      <c r="A8984" s="129">
        <v>8984</v>
      </c>
    </row>
    <row r="8985" spans="1:1" ht="12.75" customHeight="1">
      <c r="A8985" s="129">
        <v>8985</v>
      </c>
    </row>
    <row r="8986" spans="1:1" ht="12.75" customHeight="1">
      <c r="A8986" s="129">
        <v>8986</v>
      </c>
    </row>
    <row r="8987" spans="1:1" ht="12.75" customHeight="1">
      <c r="A8987" s="129">
        <v>8987</v>
      </c>
    </row>
    <row r="8988" spans="1:1" ht="12.75" customHeight="1">
      <c r="A8988" s="129">
        <v>8988</v>
      </c>
    </row>
    <row r="8989" spans="1:1" ht="12.75" customHeight="1">
      <c r="A8989" s="129">
        <v>8989</v>
      </c>
    </row>
    <row r="8990" spans="1:1" ht="12.75" customHeight="1">
      <c r="A8990" s="129">
        <v>8990</v>
      </c>
    </row>
    <row r="8991" spans="1:1" ht="12.75" customHeight="1">
      <c r="A8991" s="129">
        <v>8991</v>
      </c>
    </row>
    <row r="8992" spans="1:1" ht="12.75" customHeight="1">
      <c r="A8992" s="129">
        <v>8992</v>
      </c>
    </row>
    <row r="8993" spans="1:1" ht="12.75" customHeight="1">
      <c r="A8993" s="129">
        <v>8993</v>
      </c>
    </row>
    <row r="8994" spans="1:1" ht="12.75" customHeight="1">
      <c r="A8994" s="129">
        <v>8994</v>
      </c>
    </row>
    <row r="8995" spans="1:1" ht="12.75" customHeight="1">
      <c r="A8995" s="129">
        <v>8995</v>
      </c>
    </row>
    <row r="8996" spans="1:1" ht="12.75" customHeight="1">
      <c r="A8996" s="129">
        <v>8996</v>
      </c>
    </row>
    <row r="8997" spans="1:1" ht="12.75" customHeight="1">
      <c r="A8997" s="129">
        <v>8997</v>
      </c>
    </row>
    <row r="8998" spans="1:1" ht="12.75" customHeight="1">
      <c r="A8998" s="129">
        <v>8998</v>
      </c>
    </row>
    <row r="8999" spans="1:1" ht="12.75" customHeight="1">
      <c r="A8999" s="129">
        <v>8999</v>
      </c>
    </row>
    <row r="9000" spans="1:1" ht="12.75" customHeight="1">
      <c r="A9000" s="129">
        <v>9000</v>
      </c>
    </row>
    <row r="9001" spans="1:1" ht="12.75" customHeight="1">
      <c r="A9001" s="129">
        <v>9001</v>
      </c>
    </row>
    <row r="9002" spans="1:1" ht="12.75" customHeight="1">
      <c r="A9002" s="129">
        <v>9002</v>
      </c>
    </row>
    <row r="9003" spans="1:1" ht="12.75" customHeight="1">
      <c r="A9003" s="129">
        <v>9003</v>
      </c>
    </row>
    <row r="9004" spans="1:1" ht="12.75" customHeight="1">
      <c r="A9004" s="129">
        <v>9004</v>
      </c>
    </row>
    <row r="9005" spans="1:1" ht="12.75" customHeight="1">
      <c r="A9005" s="129">
        <v>9005</v>
      </c>
    </row>
    <row r="9006" spans="1:1" ht="12.75" customHeight="1">
      <c r="A9006" s="129">
        <v>9006</v>
      </c>
    </row>
    <row r="9007" spans="1:1" ht="12.75" customHeight="1">
      <c r="A9007" s="129">
        <v>9007</v>
      </c>
    </row>
    <row r="9008" spans="1:1" ht="12.75" customHeight="1">
      <c r="A9008" s="129">
        <v>9008</v>
      </c>
    </row>
    <row r="9009" spans="1:1" ht="12.75" customHeight="1">
      <c r="A9009" s="129">
        <v>9009</v>
      </c>
    </row>
    <row r="9010" spans="1:1" ht="12.75" customHeight="1">
      <c r="A9010" s="129">
        <v>9010</v>
      </c>
    </row>
    <row r="9011" spans="1:1" ht="12.75" customHeight="1">
      <c r="A9011" s="129">
        <v>9011</v>
      </c>
    </row>
    <row r="9012" spans="1:1" ht="12.75" customHeight="1">
      <c r="A9012" s="129">
        <v>9012</v>
      </c>
    </row>
    <row r="9013" spans="1:1" ht="12.75" customHeight="1">
      <c r="A9013" s="129">
        <v>9013</v>
      </c>
    </row>
    <row r="9014" spans="1:1" ht="12.75" customHeight="1">
      <c r="A9014" s="129">
        <v>9014</v>
      </c>
    </row>
    <row r="9015" spans="1:1" ht="12.75" customHeight="1">
      <c r="A9015" s="129">
        <v>9015</v>
      </c>
    </row>
    <row r="9016" spans="1:1" ht="12.75" customHeight="1">
      <c r="A9016" s="129">
        <v>9016</v>
      </c>
    </row>
    <row r="9017" spans="1:1" ht="12.75" customHeight="1">
      <c r="A9017" s="129">
        <v>9017</v>
      </c>
    </row>
    <row r="9018" spans="1:1" ht="12.75" customHeight="1">
      <c r="A9018" s="129">
        <v>9018</v>
      </c>
    </row>
    <row r="9019" spans="1:1" ht="12.75" customHeight="1">
      <c r="A9019" s="129">
        <v>9019</v>
      </c>
    </row>
    <row r="9020" spans="1:1" ht="12.75" customHeight="1">
      <c r="A9020" s="129">
        <v>9020</v>
      </c>
    </row>
    <row r="9021" spans="1:1" ht="12.75" customHeight="1">
      <c r="A9021" s="129">
        <v>9021</v>
      </c>
    </row>
    <row r="9022" spans="1:1" ht="12.75" customHeight="1">
      <c r="A9022" s="129">
        <v>9022</v>
      </c>
    </row>
    <row r="9023" spans="1:1" ht="12.75" customHeight="1">
      <c r="A9023" s="129">
        <v>9023</v>
      </c>
    </row>
    <row r="9024" spans="1:1" ht="12.75" customHeight="1">
      <c r="A9024" s="129">
        <v>9024</v>
      </c>
    </row>
    <row r="9025" spans="1:1" ht="12.75" customHeight="1">
      <c r="A9025" s="129">
        <v>9025</v>
      </c>
    </row>
    <row r="9026" spans="1:1" ht="12.75" customHeight="1">
      <c r="A9026" s="129">
        <v>9026</v>
      </c>
    </row>
    <row r="9027" spans="1:1" ht="12.75" customHeight="1">
      <c r="A9027" s="129">
        <v>9027</v>
      </c>
    </row>
    <row r="9028" spans="1:1" ht="12.75" customHeight="1">
      <c r="A9028" s="129">
        <v>9028</v>
      </c>
    </row>
    <row r="9029" spans="1:1" ht="12.75" customHeight="1">
      <c r="A9029" s="129">
        <v>9029</v>
      </c>
    </row>
    <row r="9030" spans="1:1" ht="12.75" customHeight="1">
      <c r="A9030" s="129">
        <v>9030</v>
      </c>
    </row>
    <row r="9031" spans="1:1" ht="12.75" customHeight="1">
      <c r="A9031" s="129">
        <v>9031</v>
      </c>
    </row>
    <row r="9032" spans="1:1" ht="12.75" customHeight="1">
      <c r="A9032" s="129">
        <v>9032</v>
      </c>
    </row>
    <row r="9033" spans="1:1" ht="12.75" customHeight="1">
      <c r="A9033" s="129">
        <v>9033</v>
      </c>
    </row>
    <row r="9034" spans="1:1" ht="12.75" customHeight="1">
      <c r="A9034" s="129">
        <v>9034</v>
      </c>
    </row>
    <row r="9035" spans="1:1" ht="12.75" customHeight="1">
      <c r="A9035" s="129">
        <v>9035</v>
      </c>
    </row>
    <row r="9036" spans="1:1" ht="12.75" customHeight="1">
      <c r="A9036" s="129">
        <v>9036</v>
      </c>
    </row>
    <row r="9037" spans="1:1" ht="12.75" customHeight="1">
      <c r="A9037" s="129">
        <v>9037</v>
      </c>
    </row>
    <row r="9038" spans="1:1" ht="12.75" customHeight="1">
      <c r="A9038" s="129">
        <v>9038</v>
      </c>
    </row>
    <row r="9039" spans="1:1" ht="12.75" customHeight="1">
      <c r="A9039" s="129">
        <v>9039</v>
      </c>
    </row>
    <row r="9040" spans="1:1" ht="12.75" customHeight="1">
      <c r="A9040" s="129">
        <v>9040</v>
      </c>
    </row>
    <row r="9041" spans="1:1" ht="12.75" customHeight="1">
      <c r="A9041" s="129">
        <v>9041</v>
      </c>
    </row>
    <row r="9042" spans="1:1" ht="12.75" customHeight="1">
      <c r="A9042" s="129">
        <v>9042</v>
      </c>
    </row>
    <row r="9043" spans="1:1" ht="12.75" customHeight="1">
      <c r="A9043" s="129">
        <v>9043</v>
      </c>
    </row>
    <row r="9044" spans="1:1" ht="12.75" customHeight="1">
      <c r="A9044" s="129">
        <v>9044</v>
      </c>
    </row>
    <row r="9045" spans="1:1" ht="12.75" customHeight="1">
      <c r="A9045" s="129">
        <v>9045</v>
      </c>
    </row>
    <row r="9046" spans="1:1" ht="12.75" customHeight="1">
      <c r="A9046" s="129">
        <v>9046</v>
      </c>
    </row>
    <row r="9047" spans="1:1" ht="12.75" customHeight="1">
      <c r="A9047" s="129">
        <v>9047</v>
      </c>
    </row>
    <row r="9048" spans="1:1" ht="12.75" customHeight="1">
      <c r="A9048" s="129">
        <v>9048</v>
      </c>
    </row>
    <row r="9049" spans="1:1" ht="12.75" customHeight="1">
      <c r="A9049" s="129">
        <v>9049</v>
      </c>
    </row>
    <row r="9050" spans="1:1" ht="12.75" customHeight="1">
      <c r="A9050" s="129">
        <v>9050</v>
      </c>
    </row>
    <row r="9051" spans="1:1" ht="12.75" customHeight="1">
      <c r="A9051" s="129">
        <v>9051</v>
      </c>
    </row>
    <row r="9052" spans="1:1" ht="12.75" customHeight="1">
      <c r="A9052" s="129">
        <v>9052</v>
      </c>
    </row>
    <row r="9053" spans="1:1" ht="12.75" customHeight="1">
      <c r="A9053" s="129">
        <v>9053</v>
      </c>
    </row>
    <row r="9054" spans="1:1" ht="12.75" customHeight="1">
      <c r="A9054" s="129">
        <v>9054</v>
      </c>
    </row>
    <row r="9055" spans="1:1" ht="12.75" customHeight="1">
      <c r="A9055" s="129">
        <v>9055</v>
      </c>
    </row>
    <row r="9056" spans="1:1" ht="12.75" customHeight="1">
      <c r="A9056" s="129">
        <v>9056</v>
      </c>
    </row>
    <row r="9057" spans="1:1" ht="12.75" customHeight="1">
      <c r="A9057" s="129">
        <v>9057</v>
      </c>
    </row>
    <row r="9058" spans="1:1" ht="12.75" customHeight="1">
      <c r="A9058" s="129">
        <v>9058</v>
      </c>
    </row>
    <row r="9059" spans="1:1" ht="12.75" customHeight="1">
      <c r="A9059" s="129">
        <v>9059</v>
      </c>
    </row>
    <row r="9060" spans="1:1" ht="12.75" customHeight="1">
      <c r="A9060" s="129">
        <v>9060</v>
      </c>
    </row>
    <row r="9061" spans="1:1" ht="12.75" customHeight="1">
      <c r="A9061" s="129">
        <v>9061</v>
      </c>
    </row>
    <row r="9062" spans="1:1" ht="12.75" customHeight="1">
      <c r="A9062" s="129">
        <v>9062</v>
      </c>
    </row>
    <row r="9063" spans="1:1" ht="12.75" customHeight="1">
      <c r="A9063" s="129">
        <v>9063</v>
      </c>
    </row>
    <row r="9064" spans="1:1" ht="12.75" customHeight="1">
      <c r="A9064" s="129">
        <v>9064</v>
      </c>
    </row>
    <row r="9065" spans="1:1" ht="12.75" customHeight="1">
      <c r="A9065" s="129">
        <v>9065</v>
      </c>
    </row>
    <row r="9066" spans="1:1" ht="12.75" customHeight="1">
      <c r="A9066" s="129">
        <v>9066</v>
      </c>
    </row>
    <row r="9067" spans="1:1" ht="12.75" customHeight="1">
      <c r="A9067" s="129">
        <v>9067</v>
      </c>
    </row>
    <row r="9068" spans="1:1" ht="12.75" customHeight="1">
      <c r="A9068" s="129">
        <v>9068</v>
      </c>
    </row>
    <row r="9069" spans="1:1" ht="12.75" customHeight="1">
      <c r="A9069" s="129">
        <v>9069</v>
      </c>
    </row>
    <row r="9070" spans="1:1" ht="12.75" customHeight="1">
      <c r="A9070" s="129">
        <v>9070</v>
      </c>
    </row>
    <row r="9071" spans="1:1" ht="12.75" customHeight="1">
      <c r="A9071" s="129">
        <v>9071</v>
      </c>
    </row>
    <row r="9072" spans="1:1" ht="12.75" customHeight="1">
      <c r="A9072" s="129">
        <v>9072</v>
      </c>
    </row>
    <row r="9073" spans="1:1" ht="12.75" customHeight="1">
      <c r="A9073" s="129">
        <v>9073</v>
      </c>
    </row>
    <row r="9074" spans="1:1" ht="12.75" customHeight="1">
      <c r="A9074" s="129">
        <v>9074</v>
      </c>
    </row>
    <row r="9075" spans="1:1" ht="12.75" customHeight="1">
      <c r="A9075" s="129">
        <v>9075</v>
      </c>
    </row>
    <row r="9076" spans="1:1" ht="12.75" customHeight="1">
      <c r="A9076" s="129">
        <v>9076</v>
      </c>
    </row>
    <row r="9077" spans="1:1" ht="12.75" customHeight="1">
      <c r="A9077" s="129">
        <v>9077</v>
      </c>
    </row>
    <row r="9078" spans="1:1" ht="12.75" customHeight="1">
      <c r="A9078" s="129">
        <v>9078</v>
      </c>
    </row>
    <row r="9079" spans="1:1" ht="12.75" customHeight="1">
      <c r="A9079" s="129">
        <v>9079</v>
      </c>
    </row>
    <row r="9080" spans="1:1" ht="12.75" customHeight="1">
      <c r="A9080" s="129">
        <v>9080</v>
      </c>
    </row>
    <row r="9081" spans="1:1" ht="12.75" customHeight="1">
      <c r="A9081" s="129">
        <v>9081</v>
      </c>
    </row>
    <row r="9082" spans="1:1" ht="12.75" customHeight="1">
      <c r="A9082" s="129">
        <v>9082</v>
      </c>
    </row>
    <row r="9083" spans="1:1" ht="12.75" customHeight="1">
      <c r="A9083" s="129">
        <v>9083</v>
      </c>
    </row>
    <row r="9084" spans="1:1" ht="12.75" customHeight="1">
      <c r="A9084" s="129">
        <v>9084</v>
      </c>
    </row>
    <row r="9085" spans="1:1" ht="12.75" customHeight="1">
      <c r="A9085" s="129">
        <v>9085</v>
      </c>
    </row>
    <row r="9086" spans="1:1" ht="12.75" customHeight="1">
      <c r="A9086" s="129">
        <v>9086</v>
      </c>
    </row>
    <row r="9087" spans="1:1" ht="12.75" customHeight="1">
      <c r="A9087" s="129">
        <v>9087</v>
      </c>
    </row>
    <row r="9088" spans="1:1" ht="12.75" customHeight="1">
      <c r="A9088" s="129">
        <v>9088</v>
      </c>
    </row>
    <row r="9089" spans="1:1" ht="12.75" customHeight="1">
      <c r="A9089" s="129">
        <v>9089</v>
      </c>
    </row>
    <row r="9090" spans="1:1" ht="12.75" customHeight="1">
      <c r="A9090" s="129">
        <v>9090</v>
      </c>
    </row>
    <row r="9091" spans="1:1" ht="12.75" customHeight="1">
      <c r="A9091" s="129">
        <v>9091</v>
      </c>
    </row>
    <row r="9092" spans="1:1" ht="12.75" customHeight="1">
      <c r="A9092" s="129">
        <v>9092</v>
      </c>
    </row>
    <row r="9093" spans="1:1" ht="12.75" customHeight="1">
      <c r="A9093" s="129">
        <v>9093</v>
      </c>
    </row>
    <row r="9094" spans="1:1" ht="12.75" customHeight="1">
      <c r="A9094" s="129">
        <v>9094</v>
      </c>
    </row>
    <row r="9095" spans="1:1" ht="12.75" customHeight="1">
      <c r="A9095" s="129">
        <v>9095</v>
      </c>
    </row>
    <row r="9096" spans="1:1" ht="12.75" customHeight="1">
      <c r="A9096" s="129">
        <v>9096</v>
      </c>
    </row>
    <row r="9097" spans="1:1" ht="12.75" customHeight="1">
      <c r="A9097" s="129">
        <v>9097</v>
      </c>
    </row>
    <row r="9098" spans="1:1" ht="12.75" customHeight="1">
      <c r="A9098" s="129">
        <v>9098</v>
      </c>
    </row>
    <row r="9099" spans="1:1" ht="12.75" customHeight="1">
      <c r="A9099" s="129">
        <v>9099</v>
      </c>
    </row>
    <row r="9100" spans="1:1" ht="12.75" customHeight="1">
      <c r="A9100" s="129">
        <v>9100</v>
      </c>
    </row>
    <row r="9101" spans="1:1" ht="12.75" customHeight="1">
      <c r="A9101" s="129">
        <v>9101</v>
      </c>
    </row>
    <row r="9102" spans="1:1" ht="12.75" customHeight="1">
      <c r="A9102" s="129">
        <v>9102</v>
      </c>
    </row>
    <row r="9103" spans="1:1" ht="12.75" customHeight="1">
      <c r="A9103" s="129">
        <v>9103</v>
      </c>
    </row>
    <row r="9104" spans="1:1" ht="12.75" customHeight="1">
      <c r="A9104" s="129">
        <v>9104</v>
      </c>
    </row>
    <row r="9105" spans="1:1" ht="12.75" customHeight="1">
      <c r="A9105" s="129">
        <v>9105</v>
      </c>
    </row>
    <row r="9106" spans="1:1" ht="12.75" customHeight="1">
      <c r="A9106" s="129">
        <v>9106</v>
      </c>
    </row>
    <row r="9107" spans="1:1" ht="12.75" customHeight="1">
      <c r="A9107" s="129">
        <v>9107</v>
      </c>
    </row>
    <row r="9108" spans="1:1" ht="12.75" customHeight="1">
      <c r="A9108" s="129">
        <v>9108</v>
      </c>
    </row>
    <row r="9109" spans="1:1" ht="12.75" customHeight="1">
      <c r="A9109" s="129">
        <v>9109</v>
      </c>
    </row>
    <row r="9110" spans="1:1" ht="12.75" customHeight="1">
      <c r="A9110" s="129">
        <v>9110</v>
      </c>
    </row>
    <row r="9111" spans="1:1" ht="12.75" customHeight="1">
      <c r="A9111" s="129">
        <v>9111</v>
      </c>
    </row>
    <row r="9112" spans="1:1" ht="12.75" customHeight="1">
      <c r="A9112" s="129">
        <v>9112</v>
      </c>
    </row>
    <row r="9113" spans="1:1" ht="12.75" customHeight="1">
      <c r="A9113" s="129">
        <v>9113</v>
      </c>
    </row>
    <row r="9114" spans="1:1" ht="12.75" customHeight="1">
      <c r="A9114" s="129">
        <v>9114</v>
      </c>
    </row>
    <row r="9115" spans="1:1" ht="12.75" customHeight="1">
      <c r="A9115" s="129">
        <v>9115</v>
      </c>
    </row>
    <row r="9116" spans="1:1" ht="12.75" customHeight="1">
      <c r="A9116" s="129">
        <v>9116</v>
      </c>
    </row>
    <row r="9117" spans="1:1" ht="12.75" customHeight="1">
      <c r="A9117" s="129">
        <v>9117</v>
      </c>
    </row>
    <row r="9118" spans="1:1" ht="12.75" customHeight="1">
      <c r="A9118" s="129">
        <v>9118</v>
      </c>
    </row>
    <row r="9119" spans="1:1" ht="12.75" customHeight="1">
      <c r="A9119" s="129">
        <v>9119</v>
      </c>
    </row>
    <row r="9120" spans="1:1" ht="12.75" customHeight="1">
      <c r="A9120" s="129">
        <v>9120</v>
      </c>
    </row>
    <row r="9121" spans="1:1" ht="12.75" customHeight="1">
      <c r="A9121" s="129">
        <v>9121</v>
      </c>
    </row>
    <row r="9122" spans="1:1" ht="12.75" customHeight="1">
      <c r="A9122" s="129">
        <v>9122</v>
      </c>
    </row>
    <row r="9123" spans="1:1" ht="12.75" customHeight="1">
      <c r="A9123" s="129">
        <v>9123</v>
      </c>
    </row>
    <row r="9124" spans="1:1" ht="12.75" customHeight="1">
      <c r="A9124" s="129">
        <v>9124</v>
      </c>
    </row>
    <row r="9125" spans="1:1" ht="12.75" customHeight="1">
      <c r="A9125" s="129">
        <v>9125</v>
      </c>
    </row>
    <row r="9126" spans="1:1" ht="12.75" customHeight="1">
      <c r="A9126" s="129">
        <v>9126</v>
      </c>
    </row>
    <row r="9127" spans="1:1" ht="12.75" customHeight="1">
      <c r="A9127" s="129">
        <v>9127</v>
      </c>
    </row>
    <row r="9128" spans="1:1" ht="12.75" customHeight="1">
      <c r="A9128" s="129">
        <v>9128</v>
      </c>
    </row>
    <row r="9129" spans="1:1" ht="12.75" customHeight="1">
      <c r="A9129" s="129">
        <v>9129</v>
      </c>
    </row>
    <row r="9130" spans="1:1" ht="12.75" customHeight="1">
      <c r="A9130" s="129">
        <v>9130</v>
      </c>
    </row>
    <row r="9131" spans="1:1" ht="12.75" customHeight="1">
      <c r="A9131" s="129">
        <v>9131</v>
      </c>
    </row>
    <row r="9132" spans="1:1" ht="12.75" customHeight="1">
      <c r="A9132" s="129">
        <v>9132</v>
      </c>
    </row>
    <row r="9133" spans="1:1" ht="12.75" customHeight="1">
      <c r="A9133" s="129">
        <v>9133</v>
      </c>
    </row>
    <row r="9134" spans="1:1" ht="12.75" customHeight="1">
      <c r="A9134" s="129">
        <v>9134</v>
      </c>
    </row>
    <row r="9135" spans="1:1" ht="12.75" customHeight="1">
      <c r="A9135" s="129">
        <v>9135</v>
      </c>
    </row>
    <row r="9136" spans="1:1" ht="12.75" customHeight="1">
      <c r="A9136" s="129">
        <v>9136</v>
      </c>
    </row>
    <row r="9137" spans="1:1" ht="12.75" customHeight="1">
      <c r="A9137" s="129">
        <v>9137</v>
      </c>
    </row>
    <row r="9138" spans="1:1" ht="12.75" customHeight="1">
      <c r="A9138" s="129">
        <v>9138</v>
      </c>
    </row>
    <row r="9139" spans="1:1" ht="12.75" customHeight="1">
      <c r="A9139" s="129">
        <v>9139</v>
      </c>
    </row>
    <row r="9140" spans="1:1" ht="12.75" customHeight="1">
      <c r="A9140" s="129">
        <v>9140</v>
      </c>
    </row>
    <row r="9141" spans="1:1" ht="12.75" customHeight="1">
      <c r="A9141" s="129">
        <v>9141</v>
      </c>
    </row>
    <row r="9142" spans="1:1" ht="12.75" customHeight="1">
      <c r="A9142" s="129">
        <v>9142</v>
      </c>
    </row>
    <row r="9143" spans="1:1" ht="12.75" customHeight="1">
      <c r="A9143" s="129">
        <v>9143</v>
      </c>
    </row>
    <row r="9144" spans="1:1" ht="12.75" customHeight="1">
      <c r="A9144" s="129">
        <v>9144</v>
      </c>
    </row>
    <row r="9145" spans="1:1" ht="12.75" customHeight="1">
      <c r="A9145" s="129">
        <v>9145</v>
      </c>
    </row>
    <row r="9146" spans="1:1" ht="12.75" customHeight="1">
      <c r="A9146" s="129">
        <v>9146</v>
      </c>
    </row>
    <row r="9147" spans="1:1" ht="12.75" customHeight="1">
      <c r="A9147" s="129">
        <v>9147</v>
      </c>
    </row>
    <row r="9148" spans="1:1" ht="12.75" customHeight="1">
      <c r="A9148" s="129">
        <v>9148</v>
      </c>
    </row>
    <row r="9149" spans="1:1" ht="12.75" customHeight="1">
      <c r="A9149" s="129">
        <v>9149</v>
      </c>
    </row>
    <row r="9150" spans="1:1" ht="12.75" customHeight="1">
      <c r="A9150" s="129">
        <v>9150</v>
      </c>
    </row>
    <row r="9151" spans="1:1" ht="12.75" customHeight="1">
      <c r="A9151" s="129">
        <v>9151</v>
      </c>
    </row>
    <row r="9152" spans="1:1" ht="12.75" customHeight="1">
      <c r="A9152" s="129">
        <v>9152</v>
      </c>
    </row>
    <row r="9153" spans="1:1" ht="12.75" customHeight="1">
      <c r="A9153" s="129">
        <v>9153</v>
      </c>
    </row>
    <row r="9154" spans="1:1" ht="12.75" customHeight="1">
      <c r="A9154" s="129">
        <v>9154</v>
      </c>
    </row>
    <row r="9155" spans="1:1" ht="12.75" customHeight="1">
      <c r="A9155" s="129">
        <v>9155</v>
      </c>
    </row>
    <row r="9156" spans="1:1" ht="12.75" customHeight="1">
      <c r="A9156" s="129">
        <v>9156</v>
      </c>
    </row>
    <row r="9157" spans="1:1" ht="12.75" customHeight="1">
      <c r="A9157" s="129">
        <v>9157</v>
      </c>
    </row>
    <row r="9158" spans="1:1" ht="12.75" customHeight="1">
      <c r="A9158" s="129">
        <v>9158</v>
      </c>
    </row>
    <row r="9159" spans="1:1" ht="12.75" customHeight="1">
      <c r="A9159" s="129">
        <v>9159</v>
      </c>
    </row>
    <row r="9160" spans="1:1" ht="12.75" customHeight="1">
      <c r="A9160" s="129">
        <v>9160</v>
      </c>
    </row>
    <row r="9161" spans="1:1" ht="12.75" customHeight="1">
      <c r="A9161" s="129">
        <v>9161</v>
      </c>
    </row>
    <row r="9162" spans="1:1" ht="12.75" customHeight="1">
      <c r="A9162" s="129">
        <v>9162</v>
      </c>
    </row>
    <row r="9163" spans="1:1" ht="12.75" customHeight="1">
      <c r="A9163" s="129">
        <v>9163</v>
      </c>
    </row>
    <row r="9164" spans="1:1" ht="12.75" customHeight="1">
      <c r="A9164" s="129">
        <v>9164</v>
      </c>
    </row>
    <row r="9165" spans="1:1" ht="12.75" customHeight="1">
      <c r="A9165" s="129">
        <v>9165</v>
      </c>
    </row>
    <row r="9166" spans="1:1" ht="12.75" customHeight="1">
      <c r="A9166" s="129">
        <v>9166</v>
      </c>
    </row>
    <row r="9167" spans="1:1" ht="12.75" customHeight="1">
      <c r="A9167" s="129">
        <v>9167</v>
      </c>
    </row>
    <row r="9168" spans="1:1" ht="12.75" customHeight="1">
      <c r="A9168" s="129">
        <v>9168</v>
      </c>
    </row>
    <row r="9169" spans="1:1" ht="12.75" customHeight="1">
      <c r="A9169" s="129">
        <v>9169</v>
      </c>
    </row>
    <row r="9170" spans="1:1" ht="12.75" customHeight="1">
      <c r="A9170" s="129">
        <v>9170</v>
      </c>
    </row>
    <row r="9171" spans="1:1" ht="12.75" customHeight="1">
      <c r="A9171" s="129">
        <v>9171</v>
      </c>
    </row>
    <row r="9172" spans="1:1" ht="12.75" customHeight="1">
      <c r="A9172" s="129">
        <v>9172</v>
      </c>
    </row>
    <row r="9173" spans="1:1" ht="12.75" customHeight="1">
      <c r="A9173" s="129">
        <v>9173</v>
      </c>
    </row>
    <row r="9174" spans="1:1" ht="12.75" customHeight="1">
      <c r="A9174" s="129">
        <v>9174</v>
      </c>
    </row>
    <row r="9175" spans="1:1" ht="12.75" customHeight="1">
      <c r="A9175" s="129">
        <v>9175</v>
      </c>
    </row>
    <row r="9176" spans="1:1" ht="12.75" customHeight="1">
      <c r="A9176" s="129">
        <v>9176</v>
      </c>
    </row>
    <row r="9177" spans="1:1" ht="12.75" customHeight="1">
      <c r="A9177" s="129">
        <v>9177</v>
      </c>
    </row>
    <row r="9178" spans="1:1" ht="12.75" customHeight="1">
      <c r="A9178" s="129">
        <v>9178</v>
      </c>
    </row>
    <row r="9179" spans="1:1" ht="12.75" customHeight="1">
      <c r="A9179" s="129">
        <v>9179</v>
      </c>
    </row>
    <row r="9180" spans="1:1" ht="12.75" customHeight="1">
      <c r="A9180" s="129">
        <v>9180</v>
      </c>
    </row>
    <row r="9181" spans="1:1" ht="12.75" customHeight="1">
      <c r="A9181" s="129">
        <v>9181</v>
      </c>
    </row>
    <row r="9182" spans="1:1" ht="12.75" customHeight="1">
      <c r="A9182" s="129">
        <v>9182</v>
      </c>
    </row>
    <row r="9183" spans="1:1" ht="12.75" customHeight="1">
      <c r="A9183" s="129">
        <v>9183</v>
      </c>
    </row>
    <row r="9184" spans="1:1" ht="12.75" customHeight="1">
      <c r="A9184" s="129">
        <v>9184</v>
      </c>
    </row>
    <row r="9185" spans="1:1" ht="12.75" customHeight="1">
      <c r="A9185" s="129">
        <v>9185</v>
      </c>
    </row>
    <row r="9186" spans="1:1" ht="12.75" customHeight="1">
      <c r="A9186" s="129">
        <v>9186</v>
      </c>
    </row>
    <row r="9187" spans="1:1" ht="12.75" customHeight="1">
      <c r="A9187" s="129">
        <v>9187</v>
      </c>
    </row>
    <row r="9188" spans="1:1" ht="12.75" customHeight="1">
      <c r="A9188" s="129">
        <v>9188</v>
      </c>
    </row>
    <row r="9189" spans="1:1" ht="12.75" customHeight="1">
      <c r="A9189" s="129">
        <v>9189</v>
      </c>
    </row>
    <row r="9190" spans="1:1" ht="12.75" customHeight="1">
      <c r="A9190" s="129">
        <v>9190</v>
      </c>
    </row>
    <row r="9191" spans="1:1" ht="12.75" customHeight="1">
      <c r="A9191" s="129">
        <v>9191</v>
      </c>
    </row>
    <row r="9192" spans="1:1" ht="12.75" customHeight="1">
      <c r="A9192" s="129">
        <v>9192</v>
      </c>
    </row>
    <row r="9193" spans="1:1" ht="12.75" customHeight="1">
      <c r="A9193" s="129">
        <v>9193</v>
      </c>
    </row>
    <row r="9194" spans="1:1" ht="12.75" customHeight="1">
      <c r="A9194" s="129">
        <v>9194</v>
      </c>
    </row>
    <row r="9195" spans="1:1" ht="12.75" customHeight="1">
      <c r="A9195" s="129">
        <v>9195</v>
      </c>
    </row>
    <row r="9196" spans="1:1" ht="12.75" customHeight="1">
      <c r="A9196" s="129">
        <v>9196</v>
      </c>
    </row>
    <row r="9197" spans="1:1" ht="12.75" customHeight="1">
      <c r="A9197" s="129">
        <v>9197</v>
      </c>
    </row>
    <row r="9198" spans="1:1" ht="12.75" customHeight="1">
      <c r="A9198" s="129">
        <v>9198</v>
      </c>
    </row>
    <row r="9199" spans="1:1" ht="12.75" customHeight="1">
      <c r="A9199" s="129">
        <v>9199</v>
      </c>
    </row>
    <row r="9200" spans="1:1" ht="12.75" customHeight="1">
      <c r="A9200" s="129">
        <v>9200</v>
      </c>
    </row>
    <row r="9201" spans="1:1" ht="12.75" customHeight="1">
      <c r="A9201" s="129">
        <v>9201</v>
      </c>
    </row>
    <row r="9202" spans="1:1" ht="12.75" customHeight="1">
      <c r="A9202" s="129">
        <v>9202</v>
      </c>
    </row>
    <row r="9203" spans="1:1" ht="12.75" customHeight="1">
      <c r="A9203" s="129">
        <v>9203</v>
      </c>
    </row>
    <row r="9204" spans="1:1" ht="12.75" customHeight="1">
      <c r="A9204" s="129">
        <v>9204</v>
      </c>
    </row>
    <row r="9205" spans="1:1" ht="12.75" customHeight="1">
      <c r="A9205" s="129">
        <v>9205</v>
      </c>
    </row>
    <row r="9206" spans="1:1" ht="12.75" customHeight="1">
      <c r="A9206" s="129">
        <v>9206</v>
      </c>
    </row>
    <row r="9207" spans="1:1" ht="12.75" customHeight="1">
      <c r="A9207" s="129">
        <v>9207</v>
      </c>
    </row>
    <row r="9208" spans="1:1" ht="12.75" customHeight="1">
      <c r="A9208" s="129">
        <v>9208</v>
      </c>
    </row>
    <row r="9209" spans="1:1" ht="12.75" customHeight="1">
      <c r="A9209" s="129">
        <v>9209</v>
      </c>
    </row>
    <row r="9210" spans="1:1" ht="12.75" customHeight="1">
      <c r="A9210" s="129">
        <v>9210</v>
      </c>
    </row>
    <row r="9211" spans="1:1" ht="12.75" customHeight="1">
      <c r="A9211" s="129">
        <v>9211</v>
      </c>
    </row>
    <row r="9212" spans="1:1" ht="12.75" customHeight="1">
      <c r="A9212" s="129">
        <v>9212</v>
      </c>
    </row>
    <row r="9213" spans="1:1" ht="12.75" customHeight="1">
      <c r="A9213" s="129">
        <v>9213</v>
      </c>
    </row>
    <row r="9214" spans="1:1" ht="12.75" customHeight="1">
      <c r="A9214" s="129">
        <v>9214</v>
      </c>
    </row>
    <row r="9215" spans="1:1" ht="12.75" customHeight="1">
      <c r="A9215" s="129">
        <v>9215</v>
      </c>
    </row>
    <row r="9216" spans="1:1" ht="12.75" customHeight="1">
      <c r="A9216" s="129">
        <v>9216</v>
      </c>
    </row>
    <row r="9217" spans="1:1" ht="12.75" customHeight="1">
      <c r="A9217" s="129">
        <v>9217</v>
      </c>
    </row>
    <row r="9218" spans="1:1" ht="12.75" customHeight="1">
      <c r="A9218" s="129">
        <v>9218</v>
      </c>
    </row>
    <row r="9219" spans="1:1" ht="12.75" customHeight="1">
      <c r="A9219" s="129">
        <v>9219</v>
      </c>
    </row>
    <row r="9220" spans="1:1" ht="12.75" customHeight="1">
      <c r="A9220" s="129">
        <v>9220</v>
      </c>
    </row>
    <row r="9221" spans="1:1" ht="12.75" customHeight="1">
      <c r="A9221" s="129">
        <v>9221</v>
      </c>
    </row>
    <row r="9222" spans="1:1" ht="12.75" customHeight="1">
      <c r="A9222" s="129">
        <v>9222</v>
      </c>
    </row>
    <row r="9223" spans="1:1" ht="12.75" customHeight="1">
      <c r="A9223" s="129">
        <v>9223</v>
      </c>
    </row>
    <row r="9224" spans="1:1" ht="12.75" customHeight="1">
      <c r="A9224" s="129">
        <v>9224</v>
      </c>
    </row>
    <row r="9225" spans="1:1" ht="12.75" customHeight="1">
      <c r="A9225" s="129">
        <v>9225</v>
      </c>
    </row>
    <row r="9226" spans="1:1" ht="12.75" customHeight="1">
      <c r="A9226" s="129">
        <v>9226</v>
      </c>
    </row>
    <row r="9227" spans="1:1" ht="12.75" customHeight="1">
      <c r="A9227" s="129">
        <v>9227</v>
      </c>
    </row>
    <row r="9228" spans="1:1" ht="12.75" customHeight="1">
      <c r="A9228" s="129">
        <v>9228</v>
      </c>
    </row>
    <row r="9229" spans="1:1" ht="12.75" customHeight="1">
      <c r="A9229" s="129">
        <v>9229</v>
      </c>
    </row>
    <row r="9230" spans="1:1" ht="12.75" customHeight="1">
      <c r="A9230" s="129">
        <v>9230</v>
      </c>
    </row>
    <row r="9231" spans="1:1" ht="12.75" customHeight="1">
      <c r="A9231" s="129">
        <v>9231</v>
      </c>
    </row>
    <row r="9232" spans="1:1" ht="12.75" customHeight="1">
      <c r="A9232" s="129">
        <v>9232</v>
      </c>
    </row>
    <row r="9233" spans="1:1" ht="12.75" customHeight="1">
      <c r="A9233" s="129">
        <v>9233</v>
      </c>
    </row>
    <row r="9234" spans="1:1" ht="12.75" customHeight="1">
      <c r="A9234" s="129">
        <v>9234</v>
      </c>
    </row>
    <row r="9235" spans="1:1" ht="12.75" customHeight="1">
      <c r="A9235" s="129">
        <v>9235</v>
      </c>
    </row>
    <row r="9236" spans="1:1" ht="12.75" customHeight="1">
      <c r="A9236" s="129">
        <v>9236</v>
      </c>
    </row>
    <row r="9237" spans="1:1" ht="12.75" customHeight="1">
      <c r="A9237" s="129">
        <v>9237</v>
      </c>
    </row>
    <row r="9238" spans="1:1" ht="12.75" customHeight="1">
      <c r="A9238" s="129">
        <v>9238</v>
      </c>
    </row>
    <row r="9239" spans="1:1" ht="12.75" customHeight="1">
      <c r="A9239" s="129">
        <v>9239</v>
      </c>
    </row>
    <row r="9240" spans="1:1" ht="12.75" customHeight="1">
      <c r="A9240" s="129">
        <v>9240</v>
      </c>
    </row>
    <row r="9241" spans="1:1" ht="12.75" customHeight="1">
      <c r="A9241" s="129">
        <v>9241</v>
      </c>
    </row>
    <row r="9242" spans="1:1" ht="12.75" customHeight="1">
      <c r="A9242" s="129">
        <v>9242</v>
      </c>
    </row>
    <row r="9243" spans="1:1" ht="12.75" customHeight="1">
      <c r="A9243" s="129">
        <v>9243</v>
      </c>
    </row>
    <row r="9244" spans="1:1" ht="12.75" customHeight="1">
      <c r="A9244" s="129">
        <v>9244</v>
      </c>
    </row>
    <row r="9245" spans="1:1" ht="12.75" customHeight="1">
      <c r="A9245" s="129">
        <v>9245</v>
      </c>
    </row>
    <row r="9246" spans="1:1" ht="12.75" customHeight="1">
      <c r="A9246" s="129">
        <v>9246</v>
      </c>
    </row>
    <row r="9247" spans="1:1" ht="12.75" customHeight="1">
      <c r="A9247" s="129">
        <v>9247</v>
      </c>
    </row>
    <row r="9248" spans="1:1" ht="12.75" customHeight="1">
      <c r="A9248" s="129">
        <v>9248</v>
      </c>
    </row>
    <row r="9249" spans="1:1" ht="12.75" customHeight="1">
      <c r="A9249" s="129">
        <v>9249</v>
      </c>
    </row>
    <row r="9250" spans="1:1" ht="12.75" customHeight="1">
      <c r="A9250" s="129">
        <v>9250</v>
      </c>
    </row>
    <row r="9251" spans="1:1" ht="12.75" customHeight="1">
      <c r="A9251" s="129">
        <v>9251</v>
      </c>
    </row>
    <row r="9252" spans="1:1" ht="12.75" customHeight="1">
      <c r="A9252" s="129">
        <v>9252</v>
      </c>
    </row>
    <row r="9253" spans="1:1" ht="12.75" customHeight="1">
      <c r="A9253" s="129">
        <v>9253</v>
      </c>
    </row>
    <row r="9254" spans="1:1" ht="12.75" customHeight="1">
      <c r="A9254" s="129">
        <v>9254</v>
      </c>
    </row>
    <row r="9255" spans="1:1" ht="12.75" customHeight="1">
      <c r="A9255" s="129">
        <v>9255</v>
      </c>
    </row>
    <row r="9256" spans="1:1" ht="12.75" customHeight="1">
      <c r="A9256" s="129">
        <v>9256</v>
      </c>
    </row>
    <row r="9257" spans="1:1" ht="12.75" customHeight="1">
      <c r="A9257" s="129">
        <v>9257</v>
      </c>
    </row>
    <row r="9258" spans="1:1" ht="12.75" customHeight="1">
      <c r="A9258" s="129">
        <v>9258</v>
      </c>
    </row>
    <row r="9259" spans="1:1" ht="12.75" customHeight="1">
      <c r="A9259" s="129">
        <v>9259</v>
      </c>
    </row>
    <row r="9260" spans="1:1" ht="12.75" customHeight="1">
      <c r="A9260" s="129">
        <v>9260</v>
      </c>
    </row>
    <row r="9261" spans="1:1" ht="12.75" customHeight="1">
      <c r="A9261" s="129">
        <v>9261</v>
      </c>
    </row>
    <row r="9262" spans="1:1" ht="12.75" customHeight="1">
      <c r="A9262" s="129">
        <v>9262</v>
      </c>
    </row>
    <row r="9263" spans="1:1" ht="12.75" customHeight="1">
      <c r="A9263" s="129">
        <v>9263</v>
      </c>
    </row>
    <row r="9264" spans="1:1" ht="12.75" customHeight="1">
      <c r="A9264" s="129">
        <v>9264</v>
      </c>
    </row>
    <row r="9265" spans="1:1" ht="12.75" customHeight="1">
      <c r="A9265" s="129">
        <v>9265</v>
      </c>
    </row>
    <row r="9266" spans="1:1" ht="12.75" customHeight="1">
      <c r="A9266" s="129">
        <v>9266</v>
      </c>
    </row>
    <row r="9267" spans="1:1" ht="12.75" customHeight="1">
      <c r="A9267" s="129">
        <v>9267</v>
      </c>
    </row>
    <row r="9268" spans="1:1" ht="12.75" customHeight="1">
      <c r="A9268" s="129">
        <v>9268</v>
      </c>
    </row>
    <row r="9269" spans="1:1" ht="12.75" customHeight="1">
      <c r="A9269" s="129">
        <v>9269</v>
      </c>
    </row>
    <row r="9270" spans="1:1" ht="12.75" customHeight="1">
      <c r="A9270" s="129">
        <v>9270</v>
      </c>
    </row>
    <row r="9271" spans="1:1" ht="12.75" customHeight="1">
      <c r="A9271" s="129">
        <v>9271</v>
      </c>
    </row>
    <row r="9272" spans="1:1" ht="12.75" customHeight="1">
      <c r="A9272" s="129">
        <v>9272</v>
      </c>
    </row>
    <row r="9273" spans="1:1" ht="12.75" customHeight="1">
      <c r="A9273" s="129">
        <v>9273</v>
      </c>
    </row>
    <row r="9274" spans="1:1" ht="12.75" customHeight="1">
      <c r="A9274" s="129">
        <v>9274</v>
      </c>
    </row>
    <row r="9275" spans="1:1" ht="12.75" customHeight="1">
      <c r="A9275" s="129">
        <v>9275</v>
      </c>
    </row>
    <row r="9276" spans="1:1" ht="12.75" customHeight="1">
      <c r="A9276" s="129">
        <v>9276</v>
      </c>
    </row>
    <row r="9277" spans="1:1" ht="12.75" customHeight="1">
      <c r="A9277" s="129">
        <v>9277</v>
      </c>
    </row>
    <row r="9278" spans="1:1" ht="12.75" customHeight="1">
      <c r="A9278" s="129">
        <v>9278</v>
      </c>
    </row>
    <row r="9279" spans="1:1" ht="12.75" customHeight="1">
      <c r="A9279" s="129">
        <v>9279</v>
      </c>
    </row>
    <row r="9280" spans="1:1" ht="12.75" customHeight="1">
      <c r="A9280" s="129">
        <v>9280</v>
      </c>
    </row>
    <row r="9281" spans="1:1" ht="12.75" customHeight="1">
      <c r="A9281" s="129">
        <v>9281</v>
      </c>
    </row>
    <row r="9282" spans="1:1" ht="12.75" customHeight="1">
      <c r="A9282" s="129">
        <v>9282</v>
      </c>
    </row>
    <row r="9283" spans="1:1" ht="12.75" customHeight="1">
      <c r="A9283" s="129">
        <v>9283</v>
      </c>
    </row>
    <row r="9284" spans="1:1" ht="12.75" customHeight="1">
      <c r="A9284" s="129">
        <v>9284</v>
      </c>
    </row>
    <row r="9285" spans="1:1" ht="12.75" customHeight="1">
      <c r="A9285" s="129">
        <v>9285</v>
      </c>
    </row>
    <row r="9286" spans="1:1" ht="12.75" customHeight="1">
      <c r="A9286" s="129">
        <v>9286</v>
      </c>
    </row>
    <row r="9287" spans="1:1" ht="12.75" customHeight="1">
      <c r="A9287" s="129">
        <v>9287</v>
      </c>
    </row>
    <row r="9288" spans="1:1" ht="12.75" customHeight="1">
      <c r="A9288" s="129">
        <v>9288</v>
      </c>
    </row>
    <row r="9289" spans="1:1" ht="12.75" customHeight="1">
      <c r="A9289" s="129">
        <v>9289</v>
      </c>
    </row>
    <row r="9290" spans="1:1" ht="12.75" customHeight="1">
      <c r="A9290" s="129">
        <v>9290</v>
      </c>
    </row>
    <row r="9291" spans="1:1" ht="12.75" customHeight="1">
      <c r="A9291" s="129">
        <v>9291</v>
      </c>
    </row>
    <row r="9292" spans="1:1" ht="12.75" customHeight="1">
      <c r="A9292" s="129">
        <v>9292</v>
      </c>
    </row>
    <row r="9293" spans="1:1" ht="12.75" customHeight="1">
      <c r="A9293" s="129">
        <v>9293</v>
      </c>
    </row>
    <row r="9294" spans="1:1" ht="12.75" customHeight="1">
      <c r="A9294" s="129">
        <v>9294</v>
      </c>
    </row>
    <row r="9295" spans="1:1" ht="12.75" customHeight="1">
      <c r="A9295" s="129">
        <v>9295</v>
      </c>
    </row>
    <row r="9296" spans="1:1" ht="12.75" customHeight="1">
      <c r="A9296" s="129">
        <v>9296</v>
      </c>
    </row>
    <row r="9297" spans="1:1" ht="12.75" customHeight="1">
      <c r="A9297" s="129">
        <v>9297</v>
      </c>
    </row>
    <row r="9298" spans="1:1" ht="12.75" customHeight="1">
      <c r="A9298" s="129">
        <v>9298</v>
      </c>
    </row>
    <row r="9299" spans="1:1" ht="12.75" customHeight="1">
      <c r="A9299" s="129">
        <v>9299</v>
      </c>
    </row>
    <row r="9300" spans="1:1" ht="12.75" customHeight="1">
      <c r="A9300" s="129">
        <v>9300</v>
      </c>
    </row>
    <row r="9301" spans="1:1" ht="12.75" customHeight="1">
      <c r="A9301" s="129">
        <v>9301</v>
      </c>
    </row>
    <row r="9302" spans="1:1" ht="12.75" customHeight="1">
      <c r="A9302" s="129">
        <v>9302</v>
      </c>
    </row>
    <row r="9303" spans="1:1" ht="12.75" customHeight="1">
      <c r="A9303" s="129">
        <v>9303</v>
      </c>
    </row>
    <row r="9304" spans="1:1" ht="12.75" customHeight="1">
      <c r="A9304" s="129">
        <v>9304</v>
      </c>
    </row>
    <row r="9305" spans="1:1" ht="12.75" customHeight="1">
      <c r="A9305" s="129">
        <v>9305</v>
      </c>
    </row>
    <row r="9306" spans="1:1" ht="12.75" customHeight="1">
      <c r="A9306" s="129">
        <v>9306</v>
      </c>
    </row>
    <row r="9307" spans="1:1" ht="12.75" customHeight="1">
      <c r="A9307" s="129">
        <v>9307</v>
      </c>
    </row>
    <row r="9308" spans="1:1" ht="12.75" customHeight="1">
      <c r="A9308" s="129">
        <v>9308</v>
      </c>
    </row>
    <row r="9309" spans="1:1" ht="12.75" customHeight="1">
      <c r="A9309" s="129">
        <v>9309</v>
      </c>
    </row>
    <row r="9310" spans="1:1" ht="12.75" customHeight="1">
      <c r="A9310" s="129">
        <v>9310</v>
      </c>
    </row>
    <row r="9311" spans="1:1" ht="12.75" customHeight="1">
      <c r="A9311" s="129">
        <v>9311</v>
      </c>
    </row>
    <row r="9312" spans="1:1" ht="12.75" customHeight="1">
      <c r="A9312" s="129">
        <v>9312</v>
      </c>
    </row>
    <row r="9313" spans="1:1" ht="12.75" customHeight="1">
      <c r="A9313" s="129">
        <v>9313</v>
      </c>
    </row>
    <row r="9314" spans="1:1" ht="12.75" customHeight="1">
      <c r="A9314" s="129">
        <v>9314</v>
      </c>
    </row>
    <row r="9315" spans="1:1" ht="12.75" customHeight="1">
      <c r="A9315" s="129">
        <v>9315</v>
      </c>
    </row>
    <row r="9316" spans="1:1" ht="12.75" customHeight="1">
      <c r="A9316" s="129">
        <v>9316</v>
      </c>
    </row>
    <row r="9317" spans="1:1" ht="12.75" customHeight="1">
      <c r="A9317" s="129">
        <v>9317</v>
      </c>
    </row>
    <row r="9318" spans="1:1" ht="12.75" customHeight="1">
      <c r="A9318" s="129">
        <v>9318</v>
      </c>
    </row>
    <row r="9319" spans="1:1" ht="12.75" customHeight="1">
      <c r="A9319" s="129">
        <v>9319</v>
      </c>
    </row>
    <row r="9320" spans="1:1" ht="12.75" customHeight="1">
      <c r="A9320" s="129">
        <v>9320</v>
      </c>
    </row>
    <row r="9321" spans="1:1" ht="12.75" customHeight="1">
      <c r="A9321" s="129">
        <v>9321</v>
      </c>
    </row>
    <row r="9322" spans="1:1" ht="12.75" customHeight="1">
      <c r="A9322" s="129">
        <v>9322</v>
      </c>
    </row>
    <row r="9323" spans="1:1" ht="12.75" customHeight="1">
      <c r="A9323" s="129">
        <v>9323</v>
      </c>
    </row>
    <row r="9324" spans="1:1" ht="12.75" customHeight="1">
      <c r="A9324" s="129">
        <v>9324</v>
      </c>
    </row>
    <row r="9325" spans="1:1" ht="12.75" customHeight="1">
      <c r="A9325" s="129">
        <v>9325</v>
      </c>
    </row>
    <row r="9326" spans="1:1" ht="12.75" customHeight="1">
      <c r="A9326" s="129">
        <v>9326</v>
      </c>
    </row>
    <row r="9327" spans="1:1" ht="12.75" customHeight="1">
      <c r="A9327" s="129">
        <v>9327</v>
      </c>
    </row>
    <row r="9328" spans="1:1" ht="12.75" customHeight="1">
      <c r="A9328" s="129">
        <v>9328</v>
      </c>
    </row>
    <row r="9329" spans="1:1" ht="12.75" customHeight="1">
      <c r="A9329" s="129">
        <v>9329</v>
      </c>
    </row>
    <row r="9330" spans="1:1" ht="12.75" customHeight="1">
      <c r="A9330" s="129">
        <v>9330</v>
      </c>
    </row>
    <row r="9331" spans="1:1" ht="12.75" customHeight="1">
      <c r="A9331" s="129">
        <v>9331</v>
      </c>
    </row>
    <row r="9332" spans="1:1" ht="12.75" customHeight="1">
      <c r="A9332" s="129">
        <v>9332</v>
      </c>
    </row>
    <row r="9333" spans="1:1" ht="12.75" customHeight="1">
      <c r="A9333" s="129">
        <v>9333</v>
      </c>
    </row>
    <row r="9334" spans="1:1" ht="12.75" customHeight="1">
      <c r="A9334" s="129">
        <v>9334</v>
      </c>
    </row>
    <row r="9335" spans="1:1" ht="12.75" customHeight="1">
      <c r="A9335" s="129">
        <v>9335</v>
      </c>
    </row>
    <row r="9336" spans="1:1" ht="12.75" customHeight="1">
      <c r="A9336" s="129">
        <v>9336</v>
      </c>
    </row>
    <row r="9337" spans="1:1" ht="12.75" customHeight="1">
      <c r="A9337" s="129">
        <v>9337</v>
      </c>
    </row>
    <row r="9338" spans="1:1" ht="12.75" customHeight="1">
      <c r="A9338" s="129">
        <v>9338</v>
      </c>
    </row>
    <row r="9339" spans="1:1" ht="12.75" customHeight="1">
      <c r="A9339" s="129">
        <v>9339</v>
      </c>
    </row>
    <row r="9340" spans="1:1" ht="12.75" customHeight="1">
      <c r="A9340" s="129">
        <v>9340</v>
      </c>
    </row>
    <row r="9341" spans="1:1" ht="12.75" customHeight="1">
      <c r="A9341" s="129">
        <v>9341</v>
      </c>
    </row>
    <row r="9342" spans="1:1" ht="12.75" customHeight="1">
      <c r="A9342" s="129">
        <v>9342</v>
      </c>
    </row>
    <row r="9343" spans="1:1" ht="12.75" customHeight="1">
      <c r="A9343" s="129">
        <v>9343</v>
      </c>
    </row>
    <row r="9344" spans="1:1" ht="12.75" customHeight="1">
      <c r="A9344" s="129">
        <v>9344</v>
      </c>
    </row>
    <row r="9345" spans="1:1" ht="12.75" customHeight="1">
      <c r="A9345" s="129">
        <v>9345</v>
      </c>
    </row>
    <row r="9346" spans="1:1" ht="12.75" customHeight="1">
      <c r="A9346" s="129">
        <v>9346</v>
      </c>
    </row>
    <row r="9347" spans="1:1" ht="12.75" customHeight="1">
      <c r="A9347" s="129">
        <v>9347</v>
      </c>
    </row>
    <row r="9348" spans="1:1" ht="12.75" customHeight="1">
      <c r="A9348" s="129">
        <v>9348</v>
      </c>
    </row>
    <row r="9349" spans="1:1" ht="12.75" customHeight="1">
      <c r="A9349" s="129">
        <v>9349</v>
      </c>
    </row>
    <row r="9350" spans="1:1" ht="12.75" customHeight="1">
      <c r="A9350" s="129">
        <v>9350</v>
      </c>
    </row>
    <row r="9351" spans="1:1" ht="12.75" customHeight="1">
      <c r="A9351" s="129">
        <v>9351</v>
      </c>
    </row>
    <row r="9352" spans="1:1" ht="12.75" customHeight="1">
      <c r="A9352" s="129">
        <v>9352</v>
      </c>
    </row>
    <row r="9353" spans="1:1" ht="12.75" customHeight="1">
      <c r="A9353" s="129">
        <v>9353</v>
      </c>
    </row>
    <row r="9354" spans="1:1" ht="12.75" customHeight="1">
      <c r="A9354" s="129">
        <v>9354</v>
      </c>
    </row>
    <row r="9355" spans="1:1" ht="12.75" customHeight="1">
      <c r="A9355" s="129">
        <v>9355</v>
      </c>
    </row>
    <row r="9356" spans="1:1" ht="12.75" customHeight="1">
      <c r="A9356" s="129">
        <v>9356</v>
      </c>
    </row>
    <row r="9357" spans="1:1" ht="12.75" customHeight="1">
      <c r="A9357" s="129">
        <v>9357</v>
      </c>
    </row>
    <row r="9358" spans="1:1" ht="12.75" customHeight="1">
      <c r="A9358" s="129">
        <v>9358</v>
      </c>
    </row>
    <row r="9359" spans="1:1" ht="12.75" customHeight="1">
      <c r="A9359" s="129">
        <v>9359</v>
      </c>
    </row>
    <row r="9360" spans="1:1" ht="12.75" customHeight="1">
      <c r="A9360" s="129">
        <v>9360</v>
      </c>
    </row>
    <row r="9361" spans="1:1" ht="12.75" customHeight="1">
      <c r="A9361" s="129">
        <v>9361</v>
      </c>
    </row>
    <row r="9362" spans="1:1" ht="12.75" customHeight="1">
      <c r="A9362" s="129">
        <v>9362</v>
      </c>
    </row>
    <row r="9363" spans="1:1" ht="12.75" customHeight="1">
      <c r="A9363" s="129">
        <v>9363</v>
      </c>
    </row>
    <row r="9364" spans="1:1" ht="12.75" customHeight="1">
      <c r="A9364" s="129">
        <v>9364</v>
      </c>
    </row>
    <row r="9365" spans="1:1" ht="12.75" customHeight="1">
      <c r="A9365" s="129">
        <v>9365</v>
      </c>
    </row>
    <row r="9366" spans="1:1" ht="12.75" customHeight="1">
      <c r="A9366" s="129">
        <v>9366</v>
      </c>
    </row>
    <row r="9367" spans="1:1" ht="12.75" customHeight="1">
      <c r="A9367" s="129">
        <v>9367</v>
      </c>
    </row>
    <row r="9368" spans="1:1" ht="12.75" customHeight="1">
      <c r="A9368" s="129">
        <v>9368</v>
      </c>
    </row>
    <row r="9369" spans="1:1" ht="12.75" customHeight="1">
      <c r="A9369" s="129">
        <v>9369</v>
      </c>
    </row>
    <row r="9370" spans="1:1" ht="12.75" customHeight="1">
      <c r="A9370" s="129">
        <v>9370</v>
      </c>
    </row>
    <row r="9371" spans="1:1" ht="12.75" customHeight="1">
      <c r="A9371" s="129">
        <v>9371</v>
      </c>
    </row>
    <row r="9372" spans="1:1" ht="12.75" customHeight="1">
      <c r="A9372" s="129">
        <v>9372</v>
      </c>
    </row>
    <row r="9373" spans="1:1" ht="12.75" customHeight="1">
      <c r="A9373" s="129">
        <v>9373</v>
      </c>
    </row>
    <row r="9374" spans="1:1" ht="12.75" customHeight="1">
      <c r="A9374" s="129">
        <v>9374</v>
      </c>
    </row>
    <row r="9375" spans="1:1" ht="12.75" customHeight="1">
      <c r="A9375" s="129">
        <v>9375</v>
      </c>
    </row>
    <row r="9376" spans="1:1" ht="12.75" customHeight="1">
      <c r="A9376" s="129">
        <v>9376</v>
      </c>
    </row>
    <row r="9377" spans="1:1" ht="12.75" customHeight="1">
      <c r="A9377" s="129">
        <v>9377</v>
      </c>
    </row>
    <row r="9378" spans="1:1" ht="12.75" customHeight="1">
      <c r="A9378" s="129">
        <v>9378</v>
      </c>
    </row>
    <row r="9379" spans="1:1" ht="12.75" customHeight="1">
      <c r="A9379" s="129">
        <v>9379</v>
      </c>
    </row>
    <row r="9380" spans="1:1" ht="12.75" customHeight="1">
      <c r="A9380" s="129">
        <v>9380</v>
      </c>
    </row>
    <row r="9381" spans="1:1" ht="12.75" customHeight="1">
      <c r="A9381" s="129">
        <v>9381</v>
      </c>
    </row>
    <row r="9382" spans="1:1" ht="12.75" customHeight="1">
      <c r="A9382" s="129">
        <v>9382</v>
      </c>
    </row>
    <row r="9383" spans="1:1" ht="12.75" customHeight="1">
      <c r="A9383" s="129">
        <v>9383</v>
      </c>
    </row>
    <row r="9384" spans="1:1" ht="12.75" customHeight="1">
      <c r="A9384" s="129">
        <v>9384</v>
      </c>
    </row>
    <row r="9385" spans="1:1" ht="12.75" customHeight="1">
      <c r="A9385" s="129">
        <v>9385</v>
      </c>
    </row>
    <row r="9386" spans="1:1" ht="12.75" customHeight="1">
      <c r="A9386" s="129">
        <v>9386</v>
      </c>
    </row>
    <row r="9387" spans="1:1" ht="12.75" customHeight="1">
      <c r="A9387" s="129">
        <v>9387</v>
      </c>
    </row>
    <row r="9388" spans="1:1" ht="12.75" customHeight="1">
      <c r="A9388" s="129">
        <v>9388</v>
      </c>
    </row>
    <row r="9389" spans="1:1" ht="12.75" customHeight="1">
      <c r="A9389" s="129">
        <v>9389</v>
      </c>
    </row>
    <row r="9390" spans="1:1" ht="12.75" customHeight="1">
      <c r="A9390" s="129">
        <v>9390</v>
      </c>
    </row>
    <row r="9391" spans="1:1" ht="12.75" customHeight="1">
      <c r="A9391" s="129">
        <v>9391</v>
      </c>
    </row>
    <row r="9392" spans="1:1" ht="12.75" customHeight="1">
      <c r="A9392" s="129">
        <v>9392</v>
      </c>
    </row>
    <row r="9393" spans="1:1" ht="12.75" customHeight="1">
      <c r="A9393" s="129">
        <v>9393</v>
      </c>
    </row>
    <row r="9394" spans="1:1" ht="12.75" customHeight="1">
      <c r="A9394" s="129">
        <v>9394</v>
      </c>
    </row>
    <row r="9395" spans="1:1" ht="12.75" customHeight="1">
      <c r="A9395" s="129">
        <v>9395</v>
      </c>
    </row>
    <row r="9396" spans="1:1" ht="12.75" customHeight="1">
      <c r="A9396" s="129">
        <v>9396</v>
      </c>
    </row>
    <row r="9397" spans="1:1" ht="12.75" customHeight="1">
      <c r="A9397" s="129">
        <v>9397</v>
      </c>
    </row>
    <row r="9398" spans="1:1" ht="12.75" customHeight="1">
      <c r="A9398" s="129">
        <v>9398</v>
      </c>
    </row>
    <row r="9399" spans="1:1" ht="12.75" customHeight="1">
      <c r="A9399" s="129">
        <v>9399</v>
      </c>
    </row>
    <row r="9400" spans="1:1" ht="12.75" customHeight="1">
      <c r="A9400" s="129">
        <v>9400</v>
      </c>
    </row>
    <row r="9401" spans="1:1" ht="12.75" customHeight="1">
      <c r="A9401" s="129">
        <v>9401</v>
      </c>
    </row>
    <row r="9402" spans="1:1" ht="12.75" customHeight="1">
      <c r="A9402" s="129">
        <v>9402</v>
      </c>
    </row>
    <row r="9403" spans="1:1" ht="12.75" customHeight="1">
      <c r="A9403" s="129">
        <v>9403</v>
      </c>
    </row>
    <row r="9404" spans="1:1" ht="12.75" customHeight="1">
      <c r="A9404" s="129">
        <v>9404</v>
      </c>
    </row>
    <row r="9405" spans="1:1" ht="12.75" customHeight="1">
      <c r="A9405" s="129">
        <v>9405</v>
      </c>
    </row>
    <row r="9406" spans="1:1" ht="12.75" customHeight="1">
      <c r="A9406" s="129">
        <v>9406</v>
      </c>
    </row>
    <row r="9407" spans="1:1" ht="12.75" customHeight="1">
      <c r="A9407" s="129">
        <v>9407</v>
      </c>
    </row>
    <row r="9408" spans="1:1" ht="12.75" customHeight="1">
      <c r="A9408" s="129">
        <v>9408</v>
      </c>
    </row>
    <row r="9409" spans="1:1" ht="12.75" customHeight="1">
      <c r="A9409" s="129">
        <v>9409</v>
      </c>
    </row>
    <row r="9410" spans="1:1" ht="12.75" customHeight="1">
      <c r="A9410" s="129">
        <v>9410</v>
      </c>
    </row>
    <row r="9411" spans="1:1" ht="12.75" customHeight="1">
      <c r="A9411" s="129">
        <v>9411</v>
      </c>
    </row>
    <row r="9412" spans="1:1" ht="12.75" customHeight="1">
      <c r="A9412" s="129">
        <v>9412</v>
      </c>
    </row>
    <row r="9413" spans="1:1" ht="12.75" customHeight="1">
      <c r="A9413" s="129">
        <v>9413</v>
      </c>
    </row>
    <row r="9414" spans="1:1" ht="12.75" customHeight="1">
      <c r="A9414" s="129">
        <v>9414</v>
      </c>
    </row>
    <row r="9415" spans="1:1" ht="12.75" customHeight="1">
      <c r="A9415" s="129">
        <v>9415</v>
      </c>
    </row>
    <row r="9416" spans="1:1" ht="12.75" customHeight="1">
      <c r="A9416" s="129">
        <v>9416</v>
      </c>
    </row>
    <row r="9417" spans="1:1" ht="12.75" customHeight="1">
      <c r="A9417" s="129">
        <v>9417</v>
      </c>
    </row>
    <row r="9418" spans="1:1" ht="12.75" customHeight="1">
      <c r="A9418" s="129">
        <v>9418</v>
      </c>
    </row>
    <row r="9419" spans="1:1" ht="12.75" customHeight="1">
      <c r="A9419" s="129">
        <v>9419</v>
      </c>
    </row>
    <row r="9420" spans="1:1" ht="12.75" customHeight="1">
      <c r="A9420" s="129">
        <v>9420</v>
      </c>
    </row>
    <row r="9421" spans="1:1" ht="12.75" customHeight="1">
      <c r="A9421" s="129">
        <v>9421</v>
      </c>
    </row>
    <row r="9422" spans="1:1" ht="12.75" customHeight="1">
      <c r="A9422" s="129">
        <v>9422</v>
      </c>
    </row>
    <row r="9423" spans="1:1" ht="12.75" customHeight="1">
      <c r="A9423" s="129">
        <v>9423</v>
      </c>
    </row>
    <row r="9424" spans="1:1" ht="12.75" customHeight="1">
      <c r="A9424" s="129">
        <v>9424</v>
      </c>
    </row>
    <row r="9425" spans="1:1" ht="12.75" customHeight="1">
      <c r="A9425" s="129">
        <v>9425</v>
      </c>
    </row>
    <row r="9426" spans="1:1" ht="12.75" customHeight="1">
      <c r="A9426" s="129">
        <v>9426</v>
      </c>
    </row>
    <row r="9427" spans="1:1" ht="12.75" customHeight="1">
      <c r="A9427" s="129">
        <v>9427</v>
      </c>
    </row>
    <row r="9428" spans="1:1" ht="12.75" customHeight="1">
      <c r="A9428" s="129">
        <v>9428</v>
      </c>
    </row>
    <row r="9429" spans="1:1" ht="12.75" customHeight="1">
      <c r="A9429" s="129">
        <v>9429</v>
      </c>
    </row>
    <row r="9430" spans="1:1" ht="12.75" customHeight="1">
      <c r="A9430" s="129">
        <v>9430</v>
      </c>
    </row>
    <row r="9431" spans="1:1" ht="12.75" customHeight="1">
      <c r="A9431" s="129">
        <v>9431</v>
      </c>
    </row>
    <row r="9432" spans="1:1" ht="12.75" customHeight="1">
      <c r="A9432" s="129">
        <v>9432</v>
      </c>
    </row>
    <row r="9433" spans="1:1" ht="12.75" customHeight="1">
      <c r="A9433" s="129">
        <v>9433</v>
      </c>
    </row>
    <row r="9434" spans="1:1" ht="12.75" customHeight="1">
      <c r="A9434" s="129">
        <v>9434</v>
      </c>
    </row>
    <row r="9435" spans="1:1" ht="12.75" customHeight="1">
      <c r="A9435" s="129">
        <v>9435</v>
      </c>
    </row>
    <row r="9436" spans="1:1" ht="12.75" customHeight="1">
      <c r="A9436" s="129">
        <v>9436</v>
      </c>
    </row>
    <row r="9437" spans="1:1" ht="12.75" customHeight="1">
      <c r="A9437" s="129">
        <v>9437</v>
      </c>
    </row>
    <row r="9438" spans="1:1" ht="12.75" customHeight="1">
      <c r="A9438" s="129">
        <v>9438</v>
      </c>
    </row>
    <row r="9439" spans="1:1" ht="12.75" customHeight="1">
      <c r="A9439" s="129">
        <v>9439</v>
      </c>
    </row>
    <row r="9440" spans="1:1" ht="12.75" customHeight="1">
      <c r="A9440" s="129">
        <v>9440</v>
      </c>
    </row>
    <row r="9441" spans="1:1" ht="12.75" customHeight="1">
      <c r="A9441" s="129">
        <v>9441</v>
      </c>
    </row>
    <row r="9442" spans="1:1" ht="12.75" customHeight="1">
      <c r="A9442" s="129">
        <v>9442</v>
      </c>
    </row>
    <row r="9443" spans="1:1" ht="12.75" customHeight="1">
      <c r="A9443" s="129">
        <v>9443</v>
      </c>
    </row>
    <row r="9444" spans="1:1" ht="12.75" customHeight="1">
      <c r="A9444" s="129">
        <v>9444</v>
      </c>
    </row>
    <row r="9445" spans="1:1" ht="12.75" customHeight="1">
      <c r="A9445" s="129">
        <v>9445</v>
      </c>
    </row>
    <row r="9446" spans="1:1" ht="12.75" customHeight="1">
      <c r="A9446" s="129">
        <v>9446</v>
      </c>
    </row>
    <row r="9447" spans="1:1" ht="12.75" customHeight="1">
      <c r="A9447" s="129">
        <v>9447</v>
      </c>
    </row>
    <row r="9448" spans="1:1" ht="12.75" customHeight="1">
      <c r="A9448" s="129">
        <v>9448</v>
      </c>
    </row>
    <row r="9449" spans="1:1" ht="12.75" customHeight="1">
      <c r="A9449" s="129">
        <v>9449</v>
      </c>
    </row>
    <row r="9450" spans="1:1" ht="12.75" customHeight="1">
      <c r="A9450" s="129">
        <v>9450</v>
      </c>
    </row>
    <row r="9451" spans="1:1" ht="12.75" customHeight="1">
      <c r="A9451" s="129">
        <v>9451</v>
      </c>
    </row>
    <row r="9452" spans="1:1" ht="12.75" customHeight="1">
      <c r="A9452" s="129">
        <v>9452</v>
      </c>
    </row>
    <row r="9453" spans="1:1" ht="12.75" customHeight="1">
      <c r="A9453" s="129">
        <v>9453</v>
      </c>
    </row>
    <row r="9454" spans="1:1" ht="12.75" customHeight="1">
      <c r="A9454" s="129">
        <v>9454</v>
      </c>
    </row>
    <row r="9455" spans="1:1" ht="12.75" customHeight="1">
      <c r="A9455" s="129">
        <v>9455</v>
      </c>
    </row>
    <row r="9456" spans="1:1" ht="12.75" customHeight="1">
      <c r="A9456" s="129">
        <v>9456</v>
      </c>
    </row>
    <row r="9457" spans="1:1" ht="12.75" customHeight="1">
      <c r="A9457" s="129">
        <v>9457</v>
      </c>
    </row>
    <row r="9458" spans="1:1" ht="12.75" customHeight="1">
      <c r="A9458" s="129">
        <v>9458</v>
      </c>
    </row>
    <row r="9459" spans="1:1" ht="12.75" customHeight="1">
      <c r="A9459" s="129">
        <v>9459</v>
      </c>
    </row>
    <row r="9460" spans="1:1" ht="12.75" customHeight="1">
      <c r="A9460" s="129">
        <v>9460</v>
      </c>
    </row>
    <row r="9461" spans="1:1" ht="12.75" customHeight="1">
      <c r="A9461" s="129">
        <v>9461</v>
      </c>
    </row>
    <row r="9462" spans="1:1" ht="12.75" customHeight="1">
      <c r="A9462" s="129">
        <v>9462</v>
      </c>
    </row>
    <row r="9463" spans="1:1" ht="12.75" customHeight="1">
      <c r="A9463" s="129">
        <v>9463</v>
      </c>
    </row>
    <row r="9464" spans="1:1" ht="12.75" customHeight="1">
      <c r="A9464" s="129">
        <v>9464</v>
      </c>
    </row>
    <row r="9465" spans="1:1" ht="12.75" customHeight="1">
      <c r="A9465" s="129">
        <v>9465</v>
      </c>
    </row>
    <row r="9466" spans="1:1" ht="12.75" customHeight="1">
      <c r="A9466" s="129">
        <v>9466</v>
      </c>
    </row>
    <row r="9467" spans="1:1" ht="12.75" customHeight="1">
      <c r="A9467" s="129">
        <v>9467</v>
      </c>
    </row>
    <row r="9468" spans="1:1" ht="12.75" customHeight="1">
      <c r="A9468" s="129">
        <v>9468</v>
      </c>
    </row>
    <row r="9469" spans="1:1" ht="12.75" customHeight="1">
      <c r="A9469" s="129">
        <v>9469</v>
      </c>
    </row>
    <row r="9470" spans="1:1" ht="12.75" customHeight="1">
      <c r="A9470" s="129">
        <v>9470</v>
      </c>
    </row>
    <row r="9471" spans="1:1" ht="12.75" customHeight="1">
      <c r="A9471" s="129">
        <v>9471</v>
      </c>
    </row>
    <row r="9472" spans="1:1" ht="12.75" customHeight="1">
      <c r="A9472" s="129">
        <v>9472</v>
      </c>
    </row>
    <row r="9473" spans="1:1" ht="12.75" customHeight="1">
      <c r="A9473" s="129">
        <v>9473</v>
      </c>
    </row>
    <row r="9474" spans="1:1" ht="12.75" customHeight="1">
      <c r="A9474" s="129">
        <v>9474</v>
      </c>
    </row>
    <row r="9475" spans="1:1" ht="12.75" customHeight="1">
      <c r="A9475" s="129">
        <v>9475</v>
      </c>
    </row>
    <row r="9476" spans="1:1" ht="12.75" customHeight="1">
      <c r="A9476" s="129">
        <v>9476</v>
      </c>
    </row>
    <row r="9477" spans="1:1" ht="12.75" customHeight="1">
      <c r="A9477" s="129">
        <v>9477</v>
      </c>
    </row>
    <row r="9478" spans="1:1" ht="12.75" customHeight="1">
      <c r="A9478" s="129">
        <v>9478</v>
      </c>
    </row>
    <row r="9479" spans="1:1" ht="12.75" customHeight="1">
      <c r="A9479" s="129">
        <v>9479</v>
      </c>
    </row>
    <row r="9480" spans="1:1" ht="12.75" customHeight="1">
      <c r="A9480" s="129">
        <v>9480</v>
      </c>
    </row>
    <row r="9481" spans="1:1" ht="12.75" customHeight="1">
      <c r="A9481" s="129">
        <v>9481</v>
      </c>
    </row>
    <row r="9482" spans="1:1" ht="12.75" customHeight="1">
      <c r="A9482" s="129">
        <v>9482</v>
      </c>
    </row>
    <row r="9483" spans="1:1" ht="12.75" customHeight="1">
      <c r="A9483" s="129">
        <v>9483</v>
      </c>
    </row>
    <row r="9484" spans="1:1" ht="12.75" customHeight="1">
      <c r="A9484" s="129">
        <v>9484</v>
      </c>
    </row>
    <row r="9485" spans="1:1" ht="12.75" customHeight="1">
      <c r="A9485" s="129">
        <v>9485</v>
      </c>
    </row>
    <row r="9486" spans="1:1" ht="12.75" customHeight="1">
      <c r="A9486" s="129">
        <v>9486</v>
      </c>
    </row>
    <row r="9487" spans="1:1" ht="12.75" customHeight="1">
      <c r="A9487" s="129">
        <v>9487</v>
      </c>
    </row>
    <row r="9488" spans="1:1" ht="12.75" customHeight="1">
      <c r="A9488" s="129">
        <v>9488</v>
      </c>
    </row>
    <row r="9489" spans="1:1" ht="12.75" customHeight="1">
      <c r="A9489" s="129">
        <v>9489</v>
      </c>
    </row>
    <row r="9490" spans="1:1" ht="12.75" customHeight="1">
      <c r="A9490" s="129">
        <v>9490</v>
      </c>
    </row>
    <row r="9491" spans="1:1" ht="12.75" customHeight="1">
      <c r="A9491" s="129">
        <v>9491</v>
      </c>
    </row>
    <row r="9492" spans="1:1" ht="12.75" customHeight="1">
      <c r="A9492" s="129">
        <v>9492</v>
      </c>
    </row>
    <row r="9493" spans="1:1" ht="12.75" customHeight="1">
      <c r="A9493" s="129">
        <v>9493</v>
      </c>
    </row>
    <row r="9494" spans="1:1" ht="12.75" customHeight="1">
      <c r="A9494" s="129">
        <v>9494</v>
      </c>
    </row>
    <row r="9495" spans="1:1" ht="12.75" customHeight="1">
      <c r="A9495" s="129">
        <v>9495</v>
      </c>
    </row>
    <row r="9496" spans="1:1" ht="12.75" customHeight="1">
      <c r="A9496" s="129">
        <v>9496</v>
      </c>
    </row>
    <row r="9497" spans="1:1" ht="12.75" customHeight="1">
      <c r="A9497" s="129">
        <v>9497</v>
      </c>
    </row>
    <row r="9498" spans="1:1" ht="12.75" customHeight="1">
      <c r="A9498" s="129">
        <v>9498</v>
      </c>
    </row>
    <row r="9499" spans="1:1" ht="12.75" customHeight="1">
      <c r="A9499" s="129">
        <v>9499</v>
      </c>
    </row>
    <row r="9500" spans="1:1" ht="12.75" customHeight="1">
      <c r="A9500" s="129">
        <v>9500</v>
      </c>
    </row>
    <row r="9501" spans="1:1" ht="12.75" customHeight="1">
      <c r="A9501" s="129">
        <v>9501</v>
      </c>
    </row>
    <row r="9502" spans="1:1" ht="12.75" customHeight="1">
      <c r="A9502" s="129">
        <v>9502</v>
      </c>
    </row>
    <row r="9503" spans="1:1" ht="12.75" customHeight="1">
      <c r="A9503" s="129">
        <v>9503</v>
      </c>
    </row>
    <row r="9504" spans="1:1" ht="12.75" customHeight="1">
      <c r="A9504" s="129">
        <v>9504</v>
      </c>
    </row>
    <row r="9505" spans="1:1" ht="12.75" customHeight="1">
      <c r="A9505" s="129">
        <v>9505</v>
      </c>
    </row>
    <row r="9506" spans="1:1" ht="12.75" customHeight="1">
      <c r="A9506" s="129">
        <v>9506</v>
      </c>
    </row>
    <row r="9507" spans="1:1" ht="12.75" customHeight="1">
      <c r="A9507" s="129">
        <v>9507</v>
      </c>
    </row>
    <row r="9508" spans="1:1" ht="12.75" customHeight="1">
      <c r="A9508" s="129">
        <v>9508</v>
      </c>
    </row>
    <row r="9509" spans="1:1" ht="12.75" customHeight="1">
      <c r="A9509" s="129">
        <v>9509</v>
      </c>
    </row>
    <row r="9510" spans="1:1" ht="12.75" customHeight="1">
      <c r="A9510" s="129">
        <v>9510</v>
      </c>
    </row>
    <row r="9511" spans="1:1" ht="12.75" customHeight="1">
      <c r="A9511" s="129">
        <v>9511</v>
      </c>
    </row>
    <row r="9512" spans="1:1" ht="12.75" customHeight="1">
      <c r="A9512" s="129">
        <v>9512</v>
      </c>
    </row>
    <row r="9513" spans="1:1" ht="12.75" customHeight="1">
      <c r="A9513" s="129">
        <v>9513</v>
      </c>
    </row>
    <row r="9514" spans="1:1" ht="12.75" customHeight="1">
      <c r="A9514" s="129">
        <v>9514</v>
      </c>
    </row>
    <row r="9515" spans="1:1" ht="12.75" customHeight="1">
      <c r="A9515" s="129">
        <v>9515</v>
      </c>
    </row>
    <row r="9516" spans="1:1" ht="12.75" customHeight="1">
      <c r="A9516" s="129">
        <v>9516</v>
      </c>
    </row>
    <row r="9517" spans="1:1" ht="12.75" customHeight="1">
      <c r="A9517" s="129">
        <v>9517</v>
      </c>
    </row>
    <row r="9518" spans="1:1" ht="12.75" customHeight="1">
      <c r="A9518" s="129">
        <v>9518</v>
      </c>
    </row>
    <row r="9519" spans="1:1" ht="12.75" customHeight="1">
      <c r="A9519" s="129">
        <v>9519</v>
      </c>
    </row>
    <row r="9520" spans="1:1" ht="12.75" customHeight="1">
      <c r="A9520" s="129">
        <v>9520</v>
      </c>
    </row>
    <row r="9521" spans="1:1" ht="12.75" customHeight="1">
      <c r="A9521" s="129">
        <v>9521</v>
      </c>
    </row>
    <row r="9522" spans="1:1" ht="12.75" customHeight="1">
      <c r="A9522" s="129">
        <v>9522</v>
      </c>
    </row>
    <row r="9523" spans="1:1" ht="12.75" customHeight="1">
      <c r="A9523" s="129">
        <v>9523</v>
      </c>
    </row>
    <row r="9524" spans="1:1" ht="12.75" customHeight="1">
      <c r="A9524" s="129">
        <v>9524</v>
      </c>
    </row>
    <row r="9525" spans="1:1" ht="12.75" customHeight="1">
      <c r="A9525" s="129">
        <v>9525</v>
      </c>
    </row>
    <row r="9526" spans="1:1" ht="12.75" customHeight="1">
      <c r="A9526" s="129">
        <v>9526</v>
      </c>
    </row>
    <row r="9527" spans="1:1" ht="12.75" customHeight="1">
      <c r="A9527" s="129">
        <v>9527</v>
      </c>
    </row>
    <row r="9528" spans="1:1" ht="12.75" customHeight="1">
      <c r="A9528" s="129">
        <v>9528</v>
      </c>
    </row>
    <row r="9529" spans="1:1" ht="12.75" customHeight="1">
      <c r="A9529" s="129">
        <v>9529</v>
      </c>
    </row>
    <row r="9530" spans="1:1" ht="12.75" customHeight="1">
      <c r="A9530" s="129">
        <v>9530</v>
      </c>
    </row>
    <row r="9531" spans="1:1" ht="12.75" customHeight="1">
      <c r="A9531" s="129">
        <v>9531</v>
      </c>
    </row>
    <row r="9532" spans="1:1" ht="12.75" customHeight="1">
      <c r="A9532" s="129">
        <v>9532</v>
      </c>
    </row>
    <row r="9533" spans="1:1" ht="12.75" customHeight="1">
      <c r="A9533" s="129">
        <v>9533</v>
      </c>
    </row>
    <row r="9534" spans="1:1" ht="12.75" customHeight="1">
      <c r="A9534" s="129">
        <v>9534</v>
      </c>
    </row>
    <row r="9535" spans="1:1" ht="12.75" customHeight="1">
      <c r="A9535" s="129">
        <v>9535</v>
      </c>
    </row>
    <row r="9536" spans="1:1" ht="12.75" customHeight="1">
      <c r="A9536" s="129">
        <v>9536</v>
      </c>
    </row>
    <row r="9537" spans="1:1" ht="12.75" customHeight="1">
      <c r="A9537" s="129">
        <v>9537</v>
      </c>
    </row>
    <row r="9538" spans="1:1" ht="12.75" customHeight="1">
      <c r="A9538" s="129">
        <v>9538</v>
      </c>
    </row>
    <row r="9539" spans="1:1" ht="12.75" customHeight="1">
      <c r="A9539" s="129">
        <v>9539</v>
      </c>
    </row>
    <row r="9540" spans="1:1" ht="12.75" customHeight="1">
      <c r="A9540" s="129">
        <v>9540</v>
      </c>
    </row>
    <row r="9541" spans="1:1" ht="12.75" customHeight="1">
      <c r="A9541" s="129">
        <v>9541</v>
      </c>
    </row>
    <row r="9542" spans="1:1" ht="12.75" customHeight="1">
      <c r="A9542" s="129">
        <v>9542</v>
      </c>
    </row>
    <row r="9543" spans="1:1" ht="12.75" customHeight="1">
      <c r="A9543" s="129">
        <v>9543</v>
      </c>
    </row>
    <row r="9544" spans="1:1" ht="12.75" customHeight="1">
      <c r="A9544" s="129">
        <v>9544</v>
      </c>
    </row>
    <row r="9545" spans="1:1" ht="12.75" customHeight="1">
      <c r="A9545" s="129">
        <v>9545</v>
      </c>
    </row>
    <row r="9546" spans="1:1" ht="12.75" customHeight="1">
      <c r="A9546" s="129">
        <v>9546</v>
      </c>
    </row>
    <row r="9547" spans="1:1" ht="12.75" customHeight="1">
      <c r="A9547" s="129">
        <v>9547</v>
      </c>
    </row>
    <row r="9548" spans="1:1" ht="12.75" customHeight="1">
      <c r="A9548" s="129">
        <v>9548</v>
      </c>
    </row>
    <row r="9549" spans="1:1" ht="12.75" customHeight="1">
      <c r="A9549" s="129">
        <v>9549</v>
      </c>
    </row>
    <row r="9550" spans="1:1" ht="12.75" customHeight="1">
      <c r="A9550" s="129">
        <v>9550</v>
      </c>
    </row>
    <row r="9551" spans="1:1" ht="12.75" customHeight="1">
      <c r="A9551" s="129">
        <v>9551</v>
      </c>
    </row>
    <row r="9552" spans="1:1" ht="12.75" customHeight="1">
      <c r="A9552" s="129">
        <v>9552</v>
      </c>
    </row>
    <row r="9553" spans="1:1" ht="12.75" customHeight="1">
      <c r="A9553" s="129">
        <v>9553</v>
      </c>
    </row>
    <row r="9554" spans="1:1" ht="12.75" customHeight="1">
      <c r="A9554" s="129">
        <v>9554</v>
      </c>
    </row>
    <row r="9555" spans="1:1" ht="12.75" customHeight="1">
      <c r="A9555" s="129">
        <v>9555</v>
      </c>
    </row>
    <row r="9556" spans="1:1" ht="12.75" customHeight="1">
      <c r="A9556" s="129">
        <v>9556</v>
      </c>
    </row>
    <row r="9557" spans="1:1" ht="12.75" customHeight="1">
      <c r="A9557" s="129">
        <v>9557</v>
      </c>
    </row>
    <row r="9558" spans="1:1" ht="12.75" customHeight="1">
      <c r="A9558" s="129">
        <v>9558</v>
      </c>
    </row>
    <row r="9559" spans="1:1" ht="12.75" customHeight="1">
      <c r="A9559" s="129">
        <v>9559</v>
      </c>
    </row>
    <row r="9560" spans="1:1" ht="12.75" customHeight="1">
      <c r="A9560" s="129">
        <v>9560</v>
      </c>
    </row>
    <row r="9561" spans="1:1" ht="12.75" customHeight="1">
      <c r="A9561" s="129">
        <v>9561</v>
      </c>
    </row>
    <row r="9562" spans="1:1" ht="12.75" customHeight="1">
      <c r="A9562" s="129">
        <v>9562</v>
      </c>
    </row>
    <row r="9563" spans="1:1" ht="12.75" customHeight="1">
      <c r="A9563" s="129">
        <v>9563</v>
      </c>
    </row>
    <row r="9564" spans="1:1" ht="12.75" customHeight="1">
      <c r="A9564" s="129">
        <v>9564</v>
      </c>
    </row>
    <row r="9565" spans="1:1" ht="12.75" customHeight="1">
      <c r="A9565" s="129">
        <v>9565</v>
      </c>
    </row>
    <row r="9566" spans="1:1" ht="12.75" customHeight="1">
      <c r="A9566" s="129">
        <v>9566</v>
      </c>
    </row>
    <row r="9567" spans="1:1" ht="12.75" customHeight="1">
      <c r="A9567" s="129">
        <v>9567</v>
      </c>
    </row>
    <row r="9568" spans="1:1" ht="12.75" customHeight="1">
      <c r="A9568" s="129">
        <v>9568</v>
      </c>
    </row>
    <row r="9569" spans="1:1" ht="12.75" customHeight="1">
      <c r="A9569" s="129">
        <v>9569</v>
      </c>
    </row>
    <row r="9570" spans="1:1" ht="12.75" customHeight="1">
      <c r="A9570" s="129">
        <v>9570</v>
      </c>
    </row>
    <row r="9571" spans="1:1" ht="12.75" customHeight="1">
      <c r="A9571" s="129">
        <v>9571</v>
      </c>
    </row>
    <row r="9572" spans="1:1" ht="12.75" customHeight="1">
      <c r="A9572" s="129">
        <v>9572</v>
      </c>
    </row>
    <row r="9573" spans="1:1" ht="12.75" customHeight="1">
      <c r="A9573" s="129">
        <v>9573</v>
      </c>
    </row>
    <row r="9574" spans="1:1" ht="12.75" customHeight="1">
      <c r="A9574" s="129">
        <v>9574</v>
      </c>
    </row>
    <row r="9575" spans="1:1" ht="12.75" customHeight="1">
      <c r="A9575" s="129">
        <v>9575</v>
      </c>
    </row>
    <row r="9576" spans="1:1" ht="12.75" customHeight="1">
      <c r="A9576" s="129">
        <v>9576</v>
      </c>
    </row>
    <row r="9577" spans="1:1" ht="12.75" customHeight="1">
      <c r="A9577" s="129">
        <v>9577</v>
      </c>
    </row>
    <row r="9578" spans="1:1" ht="12.75" customHeight="1">
      <c r="A9578" s="129">
        <v>9578</v>
      </c>
    </row>
    <row r="9579" spans="1:1" ht="12.75" customHeight="1">
      <c r="A9579" s="129">
        <v>9579</v>
      </c>
    </row>
    <row r="9580" spans="1:1" ht="12.75" customHeight="1">
      <c r="A9580" s="129">
        <v>9580</v>
      </c>
    </row>
    <row r="9581" spans="1:1" ht="12.75" customHeight="1">
      <c r="A9581" s="129">
        <v>9581</v>
      </c>
    </row>
    <row r="9582" spans="1:1" ht="12.75" customHeight="1">
      <c r="A9582" s="129">
        <v>9582</v>
      </c>
    </row>
    <row r="9583" spans="1:1" ht="12.75" customHeight="1">
      <c r="A9583" s="129">
        <v>9583</v>
      </c>
    </row>
    <row r="9584" spans="1:1" ht="12.75" customHeight="1">
      <c r="A9584" s="129">
        <v>9584</v>
      </c>
    </row>
    <row r="9585" spans="1:1" ht="12.75" customHeight="1">
      <c r="A9585" s="129">
        <v>9585</v>
      </c>
    </row>
    <row r="9586" spans="1:1" ht="12.75" customHeight="1">
      <c r="A9586" s="129">
        <v>9586</v>
      </c>
    </row>
    <row r="9587" spans="1:1" ht="12.75" customHeight="1">
      <c r="A9587" s="129">
        <v>9587</v>
      </c>
    </row>
    <row r="9588" spans="1:1" ht="12.75" customHeight="1">
      <c r="A9588" s="129">
        <v>9588</v>
      </c>
    </row>
    <row r="9589" spans="1:1" ht="12.75" customHeight="1">
      <c r="A9589" s="129">
        <v>9589</v>
      </c>
    </row>
    <row r="9590" spans="1:1" ht="12.75" customHeight="1">
      <c r="A9590" s="129">
        <v>9590</v>
      </c>
    </row>
    <row r="9591" spans="1:1" ht="12.75" customHeight="1">
      <c r="A9591" s="129">
        <v>9591</v>
      </c>
    </row>
    <row r="9592" spans="1:1" ht="12.75" customHeight="1">
      <c r="A9592" s="129">
        <v>9592</v>
      </c>
    </row>
    <row r="9593" spans="1:1" ht="12.75" customHeight="1">
      <c r="A9593" s="129">
        <v>9593</v>
      </c>
    </row>
    <row r="9594" spans="1:1" ht="12.75" customHeight="1">
      <c r="A9594" s="129">
        <v>9594</v>
      </c>
    </row>
    <row r="9595" spans="1:1" ht="12.75" customHeight="1">
      <c r="A9595" s="129">
        <v>9595</v>
      </c>
    </row>
    <row r="9596" spans="1:1" ht="12.75" customHeight="1">
      <c r="A9596" s="129">
        <v>9596</v>
      </c>
    </row>
    <row r="9597" spans="1:1" ht="12.75" customHeight="1">
      <c r="A9597" s="129">
        <v>9597</v>
      </c>
    </row>
    <row r="9598" spans="1:1" ht="12.75" customHeight="1">
      <c r="A9598" s="129">
        <v>9598</v>
      </c>
    </row>
    <row r="9599" spans="1:1" ht="12.75" customHeight="1">
      <c r="A9599" s="129">
        <v>9599</v>
      </c>
    </row>
    <row r="9600" spans="1:1" ht="12.75" customHeight="1">
      <c r="A9600" s="129">
        <v>9600</v>
      </c>
    </row>
    <row r="9601" spans="1:1" ht="12.75" customHeight="1">
      <c r="A9601" s="129">
        <v>9601</v>
      </c>
    </row>
    <row r="9602" spans="1:1" ht="12.75" customHeight="1">
      <c r="A9602" s="129">
        <v>9602</v>
      </c>
    </row>
    <row r="9603" spans="1:1" ht="12.75" customHeight="1">
      <c r="A9603" s="129">
        <v>9603</v>
      </c>
    </row>
    <row r="9604" spans="1:1" ht="12.75" customHeight="1">
      <c r="A9604" s="129">
        <v>9604</v>
      </c>
    </row>
    <row r="9605" spans="1:1" ht="12.75" customHeight="1">
      <c r="A9605" s="129">
        <v>9605</v>
      </c>
    </row>
    <row r="9606" spans="1:1" ht="12.75" customHeight="1">
      <c r="A9606" s="129">
        <v>9606</v>
      </c>
    </row>
    <row r="9607" spans="1:1" ht="12.75" customHeight="1">
      <c r="A9607" s="129">
        <v>9607</v>
      </c>
    </row>
    <row r="9608" spans="1:1" ht="12.75" customHeight="1">
      <c r="A9608" s="129">
        <v>9608</v>
      </c>
    </row>
    <row r="9609" spans="1:1" ht="12.75" customHeight="1">
      <c r="A9609" s="129">
        <v>9609</v>
      </c>
    </row>
    <row r="9610" spans="1:1" ht="12.75" customHeight="1">
      <c r="A9610" s="129">
        <v>9610</v>
      </c>
    </row>
    <row r="9611" spans="1:1" ht="12.75" customHeight="1">
      <c r="A9611" s="129">
        <v>9611</v>
      </c>
    </row>
    <row r="9612" spans="1:1" ht="12.75" customHeight="1">
      <c r="A9612" s="129">
        <v>9612</v>
      </c>
    </row>
    <row r="9613" spans="1:1" ht="12.75" customHeight="1">
      <c r="A9613" s="129">
        <v>9613</v>
      </c>
    </row>
    <row r="9614" spans="1:1" ht="12.75" customHeight="1">
      <c r="A9614" s="129">
        <v>9614</v>
      </c>
    </row>
    <row r="9615" spans="1:1" ht="12.75" customHeight="1">
      <c r="A9615" s="129">
        <v>9615</v>
      </c>
    </row>
    <row r="9616" spans="1:1" ht="12.75" customHeight="1">
      <c r="A9616" s="129">
        <v>9616</v>
      </c>
    </row>
    <row r="9617" spans="1:1" ht="12.75" customHeight="1">
      <c r="A9617" s="129">
        <v>9617</v>
      </c>
    </row>
    <row r="9618" spans="1:1" ht="12.75" customHeight="1">
      <c r="A9618" s="129">
        <v>9618</v>
      </c>
    </row>
    <row r="9619" spans="1:1" ht="12.75" customHeight="1">
      <c r="A9619" s="129">
        <v>9619</v>
      </c>
    </row>
    <row r="9620" spans="1:1" ht="12.75" customHeight="1">
      <c r="A9620" s="129">
        <v>9620</v>
      </c>
    </row>
    <row r="9621" spans="1:1" ht="12.75" customHeight="1">
      <c r="A9621" s="129">
        <v>9621</v>
      </c>
    </row>
    <row r="9622" spans="1:1" ht="12.75" customHeight="1">
      <c r="A9622" s="129">
        <v>9622</v>
      </c>
    </row>
    <row r="9623" spans="1:1" ht="12.75" customHeight="1">
      <c r="A9623" s="129">
        <v>9623</v>
      </c>
    </row>
    <row r="9624" spans="1:1" ht="12.75" customHeight="1">
      <c r="A9624" s="129">
        <v>9624</v>
      </c>
    </row>
    <row r="9625" spans="1:1" ht="12.75" customHeight="1">
      <c r="A9625" s="129">
        <v>9625</v>
      </c>
    </row>
    <row r="9626" spans="1:1" ht="12.75" customHeight="1">
      <c r="A9626" s="129">
        <v>9626</v>
      </c>
    </row>
    <row r="9627" spans="1:1" ht="12.75" customHeight="1">
      <c r="A9627" s="129">
        <v>9627</v>
      </c>
    </row>
    <row r="9628" spans="1:1" ht="12.75" customHeight="1">
      <c r="A9628" s="129">
        <v>9628</v>
      </c>
    </row>
    <row r="9629" spans="1:1" ht="12.75" customHeight="1">
      <c r="A9629" s="129">
        <v>9629</v>
      </c>
    </row>
    <row r="9630" spans="1:1" ht="12.75" customHeight="1">
      <c r="A9630" s="129">
        <v>9630</v>
      </c>
    </row>
    <row r="9631" spans="1:1" ht="12.75" customHeight="1">
      <c r="A9631" s="129">
        <v>9631</v>
      </c>
    </row>
    <row r="9632" spans="1:1" ht="12.75" customHeight="1">
      <c r="A9632" s="129">
        <v>9632</v>
      </c>
    </row>
    <row r="9633" spans="1:1" ht="12.75" customHeight="1">
      <c r="A9633" s="129">
        <v>9633</v>
      </c>
    </row>
    <row r="9634" spans="1:1" ht="12.75" customHeight="1">
      <c r="A9634" s="129">
        <v>9634</v>
      </c>
    </row>
    <row r="9635" spans="1:1" ht="12.75" customHeight="1">
      <c r="A9635" s="129">
        <v>9635</v>
      </c>
    </row>
    <row r="9636" spans="1:1" ht="12.75" customHeight="1">
      <c r="A9636" s="129">
        <v>9636</v>
      </c>
    </row>
    <row r="9637" spans="1:1" ht="12.75" customHeight="1">
      <c r="A9637" s="129">
        <v>9637</v>
      </c>
    </row>
    <row r="9638" spans="1:1" ht="12.75" customHeight="1">
      <c r="A9638" s="129">
        <v>9638</v>
      </c>
    </row>
    <row r="9639" spans="1:1" ht="12.75" customHeight="1">
      <c r="A9639" s="129">
        <v>9639</v>
      </c>
    </row>
    <row r="9640" spans="1:1" ht="12.75" customHeight="1">
      <c r="A9640" s="129">
        <v>9640</v>
      </c>
    </row>
    <row r="9641" spans="1:1" ht="12.75" customHeight="1">
      <c r="A9641" s="129">
        <v>9641</v>
      </c>
    </row>
    <row r="9642" spans="1:1" ht="12.75" customHeight="1">
      <c r="A9642" s="129">
        <v>9642</v>
      </c>
    </row>
    <row r="9643" spans="1:1" ht="12.75" customHeight="1">
      <c r="A9643" s="129">
        <v>9643</v>
      </c>
    </row>
    <row r="9644" spans="1:1" ht="12.75" customHeight="1">
      <c r="A9644" s="129">
        <v>9644</v>
      </c>
    </row>
    <row r="9645" spans="1:1" ht="12.75" customHeight="1">
      <c r="A9645" s="129">
        <v>9645</v>
      </c>
    </row>
    <row r="9646" spans="1:1" ht="12.75" customHeight="1">
      <c r="A9646" s="129">
        <v>9646</v>
      </c>
    </row>
    <row r="9647" spans="1:1" ht="12.75" customHeight="1">
      <c r="A9647" s="129">
        <v>9647</v>
      </c>
    </row>
    <row r="9648" spans="1:1" ht="12.75" customHeight="1">
      <c r="A9648" s="129">
        <v>9648</v>
      </c>
    </row>
    <row r="9649" spans="1:1" ht="12.75" customHeight="1">
      <c r="A9649" s="129">
        <v>9649</v>
      </c>
    </row>
    <row r="9650" spans="1:1" ht="12.75" customHeight="1">
      <c r="A9650" s="129">
        <v>9650</v>
      </c>
    </row>
    <row r="9651" spans="1:1" ht="12.75" customHeight="1">
      <c r="A9651" s="129">
        <v>9651</v>
      </c>
    </row>
    <row r="9652" spans="1:1" ht="12.75" customHeight="1">
      <c r="A9652" s="129">
        <v>9652</v>
      </c>
    </row>
    <row r="9653" spans="1:1" ht="12.75" customHeight="1">
      <c r="A9653" s="129">
        <v>9653</v>
      </c>
    </row>
    <row r="9654" spans="1:1" ht="12.75" customHeight="1">
      <c r="A9654" s="129">
        <v>9654</v>
      </c>
    </row>
    <row r="9655" spans="1:1" ht="12.75" customHeight="1">
      <c r="A9655" s="129">
        <v>9655</v>
      </c>
    </row>
    <row r="9656" spans="1:1" ht="12.75" customHeight="1">
      <c r="A9656" s="129">
        <v>9656</v>
      </c>
    </row>
    <row r="9657" spans="1:1" ht="12.75" customHeight="1">
      <c r="A9657" s="129">
        <v>9657</v>
      </c>
    </row>
    <row r="9658" spans="1:1" ht="12.75" customHeight="1">
      <c r="A9658" s="129">
        <v>9658</v>
      </c>
    </row>
    <row r="9659" spans="1:1" ht="12.75" customHeight="1">
      <c r="A9659" s="129">
        <v>9659</v>
      </c>
    </row>
    <row r="9660" spans="1:1" ht="12.75" customHeight="1">
      <c r="A9660" s="129">
        <v>9660</v>
      </c>
    </row>
    <row r="9661" spans="1:1" ht="12.75" customHeight="1">
      <c r="A9661" s="129">
        <v>9661</v>
      </c>
    </row>
    <row r="9662" spans="1:1" ht="12.75" customHeight="1">
      <c r="A9662" s="129">
        <v>9662</v>
      </c>
    </row>
    <row r="9663" spans="1:1" ht="12.75" customHeight="1">
      <c r="A9663" s="129">
        <v>9663</v>
      </c>
    </row>
    <row r="9664" spans="1:1" ht="12.75" customHeight="1">
      <c r="A9664" s="129">
        <v>9664</v>
      </c>
    </row>
    <row r="9665" spans="1:1" ht="12.75" customHeight="1">
      <c r="A9665" s="129">
        <v>9665</v>
      </c>
    </row>
    <row r="9666" spans="1:1" ht="12.75" customHeight="1">
      <c r="A9666" s="129">
        <v>9666</v>
      </c>
    </row>
    <row r="9667" spans="1:1" ht="12.75" customHeight="1">
      <c r="A9667" s="129">
        <v>9667</v>
      </c>
    </row>
    <row r="9668" spans="1:1" ht="12.75" customHeight="1">
      <c r="A9668" s="129">
        <v>9668</v>
      </c>
    </row>
    <row r="9669" spans="1:1" ht="12.75" customHeight="1">
      <c r="A9669" s="129">
        <v>9669</v>
      </c>
    </row>
    <row r="9670" spans="1:1" ht="12.75" customHeight="1">
      <c r="A9670" s="129">
        <v>9670</v>
      </c>
    </row>
    <row r="9671" spans="1:1" ht="12.75" customHeight="1">
      <c r="A9671" s="129">
        <v>9671</v>
      </c>
    </row>
    <row r="9672" spans="1:1" ht="12.75" customHeight="1">
      <c r="A9672" s="129">
        <v>9672</v>
      </c>
    </row>
    <row r="9673" spans="1:1" ht="12.75" customHeight="1">
      <c r="A9673" s="129">
        <v>9673</v>
      </c>
    </row>
    <row r="9674" spans="1:1" ht="12.75" customHeight="1">
      <c r="A9674" s="129">
        <v>9674</v>
      </c>
    </row>
    <row r="9675" spans="1:1" ht="12.75" customHeight="1">
      <c r="A9675" s="129">
        <v>9675</v>
      </c>
    </row>
    <row r="9676" spans="1:1" ht="12.75" customHeight="1">
      <c r="A9676" s="129">
        <v>9676</v>
      </c>
    </row>
    <row r="9677" spans="1:1" ht="12.75" customHeight="1">
      <c r="A9677" s="129">
        <v>9677</v>
      </c>
    </row>
    <row r="9678" spans="1:1" ht="12.75" customHeight="1">
      <c r="A9678" s="129">
        <v>9678</v>
      </c>
    </row>
    <row r="9679" spans="1:1" ht="12.75" customHeight="1">
      <c r="A9679" s="129">
        <v>9679</v>
      </c>
    </row>
    <row r="9680" spans="1:1" ht="12.75" customHeight="1">
      <c r="A9680" s="129">
        <v>9680</v>
      </c>
    </row>
    <row r="9681" spans="1:1" ht="12.75" customHeight="1">
      <c r="A9681" s="129">
        <v>9681</v>
      </c>
    </row>
    <row r="9682" spans="1:1" ht="12.75" customHeight="1">
      <c r="A9682" s="129">
        <v>9682</v>
      </c>
    </row>
    <row r="9683" spans="1:1" ht="12.75" customHeight="1">
      <c r="A9683" s="129">
        <v>9683</v>
      </c>
    </row>
    <row r="9684" spans="1:1" ht="12.75" customHeight="1">
      <c r="A9684" s="129">
        <v>9684</v>
      </c>
    </row>
    <row r="9685" spans="1:1" ht="12.75" customHeight="1">
      <c r="A9685" s="129">
        <v>9685</v>
      </c>
    </row>
    <row r="9686" spans="1:1" ht="12.75" customHeight="1">
      <c r="A9686" s="129">
        <v>9686</v>
      </c>
    </row>
    <row r="9687" spans="1:1" ht="12.75" customHeight="1">
      <c r="A9687" s="129">
        <v>9687</v>
      </c>
    </row>
    <row r="9688" spans="1:1" ht="12.75" customHeight="1">
      <c r="A9688" s="129">
        <v>9688</v>
      </c>
    </row>
    <row r="9689" spans="1:1" ht="12.75" customHeight="1">
      <c r="A9689" s="129">
        <v>9689</v>
      </c>
    </row>
    <row r="9690" spans="1:1" ht="12.75" customHeight="1">
      <c r="A9690" s="129">
        <v>9690</v>
      </c>
    </row>
    <row r="9691" spans="1:1" ht="12.75" customHeight="1">
      <c r="A9691" s="129">
        <v>9691</v>
      </c>
    </row>
    <row r="9692" spans="1:1" ht="12.75" customHeight="1">
      <c r="A9692" s="129">
        <v>9692</v>
      </c>
    </row>
    <row r="9693" spans="1:1" ht="12.75" customHeight="1">
      <c r="A9693" s="129">
        <v>9693</v>
      </c>
    </row>
    <row r="9694" spans="1:1" ht="12.75" customHeight="1">
      <c r="A9694" s="129">
        <v>9694</v>
      </c>
    </row>
    <row r="9695" spans="1:1" ht="12.75" customHeight="1">
      <c r="A9695" s="129">
        <v>9695</v>
      </c>
    </row>
    <row r="9696" spans="1:1" ht="12.75" customHeight="1">
      <c r="A9696" s="129">
        <v>9696</v>
      </c>
    </row>
    <row r="9697" spans="1:1" ht="12.75" customHeight="1">
      <c r="A9697" s="129">
        <v>9697</v>
      </c>
    </row>
    <row r="9698" spans="1:1" ht="12.75" customHeight="1">
      <c r="A9698" s="129">
        <v>9698</v>
      </c>
    </row>
    <row r="9699" spans="1:1" ht="12.75" customHeight="1">
      <c r="A9699" s="129">
        <v>9699</v>
      </c>
    </row>
    <row r="9700" spans="1:1" ht="12.75" customHeight="1">
      <c r="A9700" s="129">
        <v>9700</v>
      </c>
    </row>
    <row r="9701" spans="1:1" ht="12.75" customHeight="1">
      <c r="A9701" s="129">
        <v>9701</v>
      </c>
    </row>
    <row r="9702" spans="1:1" ht="12.75" customHeight="1">
      <c r="A9702" s="129">
        <v>9702</v>
      </c>
    </row>
    <row r="9703" spans="1:1" ht="12.75" customHeight="1">
      <c r="A9703" s="129">
        <v>9703</v>
      </c>
    </row>
    <row r="9704" spans="1:1" ht="12.75" customHeight="1">
      <c r="A9704" s="129">
        <v>9704</v>
      </c>
    </row>
    <row r="9705" spans="1:1" ht="12.75" customHeight="1">
      <c r="A9705" s="129">
        <v>9705</v>
      </c>
    </row>
    <row r="9706" spans="1:1" ht="12.75" customHeight="1">
      <c r="A9706" s="129">
        <v>9706</v>
      </c>
    </row>
    <row r="9707" spans="1:1" ht="12.75" customHeight="1">
      <c r="A9707" s="129">
        <v>9707</v>
      </c>
    </row>
    <row r="9708" spans="1:1" ht="12.75" customHeight="1">
      <c r="A9708" s="129">
        <v>9708</v>
      </c>
    </row>
    <row r="9709" spans="1:1" ht="12.75" customHeight="1">
      <c r="A9709" s="129">
        <v>9709</v>
      </c>
    </row>
    <row r="9710" spans="1:1" ht="12.75" customHeight="1">
      <c r="A9710" s="129">
        <v>9710</v>
      </c>
    </row>
    <row r="9711" spans="1:1" ht="12.75" customHeight="1">
      <c r="A9711" s="129">
        <v>9711</v>
      </c>
    </row>
    <row r="9712" spans="1:1" ht="12.75" customHeight="1">
      <c r="A9712" s="129">
        <v>9712</v>
      </c>
    </row>
    <row r="9713" spans="1:1" ht="12.75" customHeight="1">
      <c r="A9713" s="129">
        <v>9713</v>
      </c>
    </row>
    <row r="9714" spans="1:1" ht="12.75" customHeight="1">
      <c r="A9714" s="129">
        <v>9714</v>
      </c>
    </row>
    <row r="9715" spans="1:1" ht="12.75" customHeight="1">
      <c r="A9715" s="129">
        <v>9715</v>
      </c>
    </row>
    <row r="9716" spans="1:1" ht="12.75" customHeight="1">
      <c r="A9716" s="129">
        <v>9716</v>
      </c>
    </row>
    <row r="9717" spans="1:1" ht="12.75" customHeight="1">
      <c r="A9717" s="129">
        <v>9717</v>
      </c>
    </row>
    <row r="9718" spans="1:1" ht="12.75" customHeight="1">
      <c r="A9718" s="129">
        <v>9718</v>
      </c>
    </row>
    <row r="9719" spans="1:1" ht="12.75" customHeight="1">
      <c r="A9719" s="129">
        <v>9719</v>
      </c>
    </row>
    <row r="9720" spans="1:1" ht="12.75" customHeight="1">
      <c r="A9720" s="129">
        <v>9720</v>
      </c>
    </row>
    <row r="9721" spans="1:1" ht="12.75" customHeight="1">
      <c r="A9721" s="129">
        <v>9721</v>
      </c>
    </row>
    <row r="9722" spans="1:1" ht="12.75" customHeight="1">
      <c r="A9722" s="129">
        <v>9722</v>
      </c>
    </row>
    <row r="9723" spans="1:1" ht="12.75" customHeight="1">
      <c r="A9723" s="129">
        <v>9723</v>
      </c>
    </row>
    <row r="9724" spans="1:1" ht="12.75" customHeight="1">
      <c r="A9724" s="129">
        <v>9724</v>
      </c>
    </row>
    <row r="9725" spans="1:1" ht="12.75" customHeight="1">
      <c r="A9725" s="129">
        <v>9725</v>
      </c>
    </row>
    <row r="9726" spans="1:1" ht="12.75" customHeight="1">
      <c r="A9726" s="129">
        <v>9726</v>
      </c>
    </row>
    <row r="9727" spans="1:1" ht="12.75" customHeight="1">
      <c r="A9727" s="129">
        <v>9727</v>
      </c>
    </row>
    <row r="9728" spans="1:1" ht="12.75" customHeight="1">
      <c r="A9728" s="129">
        <v>9728</v>
      </c>
    </row>
    <row r="9729" spans="1:1" ht="12.75" customHeight="1">
      <c r="A9729" s="129">
        <v>9729</v>
      </c>
    </row>
    <row r="9730" spans="1:1" ht="12.75" customHeight="1">
      <c r="A9730" s="129">
        <v>9730</v>
      </c>
    </row>
    <row r="9731" spans="1:1" ht="12.75" customHeight="1">
      <c r="A9731" s="129">
        <v>9731</v>
      </c>
    </row>
    <row r="9732" spans="1:1" ht="12.75" customHeight="1">
      <c r="A9732" s="129">
        <v>9732</v>
      </c>
    </row>
    <row r="9733" spans="1:1" ht="12.75" customHeight="1">
      <c r="A9733" s="129">
        <v>9733</v>
      </c>
    </row>
    <row r="9734" spans="1:1" ht="12.75" customHeight="1">
      <c r="A9734" s="129">
        <v>9734</v>
      </c>
    </row>
    <row r="9735" spans="1:1" ht="12.75" customHeight="1">
      <c r="A9735" s="129">
        <v>9735</v>
      </c>
    </row>
    <row r="9736" spans="1:1" ht="12.75" customHeight="1">
      <c r="A9736" s="129">
        <v>9736</v>
      </c>
    </row>
    <row r="9737" spans="1:1" ht="12.75" customHeight="1">
      <c r="A9737" s="129">
        <v>9737</v>
      </c>
    </row>
    <row r="9738" spans="1:1" ht="12.75" customHeight="1">
      <c r="A9738" s="129">
        <v>9738</v>
      </c>
    </row>
    <row r="9739" spans="1:1" ht="12.75" customHeight="1">
      <c r="A9739" s="129">
        <v>9739</v>
      </c>
    </row>
    <row r="9740" spans="1:1" ht="12.75" customHeight="1">
      <c r="A9740" s="129">
        <v>9740</v>
      </c>
    </row>
    <row r="9741" spans="1:1" ht="12.75" customHeight="1">
      <c r="A9741" s="129">
        <v>9741</v>
      </c>
    </row>
    <row r="9742" spans="1:1" ht="12.75" customHeight="1">
      <c r="A9742" s="129">
        <v>9742</v>
      </c>
    </row>
    <row r="9743" spans="1:1" ht="12.75" customHeight="1">
      <c r="A9743" s="129">
        <v>9743</v>
      </c>
    </row>
    <row r="9744" spans="1:1" ht="12.75" customHeight="1">
      <c r="A9744" s="129">
        <v>9744</v>
      </c>
    </row>
    <row r="9745" spans="1:1" ht="12.75" customHeight="1">
      <c r="A9745" s="129">
        <v>9745</v>
      </c>
    </row>
    <row r="9746" spans="1:1" ht="12.75" customHeight="1">
      <c r="A9746" s="129">
        <v>9746</v>
      </c>
    </row>
    <row r="9747" spans="1:1" ht="12.75" customHeight="1">
      <c r="A9747" s="129">
        <v>9747</v>
      </c>
    </row>
    <row r="9748" spans="1:1" ht="12.75" customHeight="1">
      <c r="A9748" s="129">
        <v>9748</v>
      </c>
    </row>
    <row r="9749" spans="1:1" ht="12.75" customHeight="1">
      <c r="A9749" s="129">
        <v>9749</v>
      </c>
    </row>
    <row r="9750" spans="1:1" ht="12.75" customHeight="1">
      <c r="A9750" s="129">
        <v>9750</v>
      </c>
    </row>
    <row r="9751" spans="1:1" ht="12.75" customHeight="1">
      <c r="A9751" s="129">
        <v>9751</v>
      </c>
    </row>
    <row r="9752" spans="1:1" ht="12.75" customHeight="1">
      <c r="A9752" s="129">
        <v>9752</v>
      </c>
    </row>
    <row r="9753" spans="1:1" ht="12.75" customHeight="1">
      <c r="A9753" s="129">
        <v>9753</v>
      </c>
    </row>
    <row r="9754" spans="1:1" ht="12.75" customHeight="1">
      <c r="A9754" s="129">
        <v>9754</v>
      </c>
    </row>
    <row r="9755" spans="1:1" ht="12.75" customHeight="1">
      <c r="A9755" s="129">
        <v>9755</v>
      </c>
    </row>
    <row r="9756" spans="1:1" ht="12.75" customHeight="1">
      <c r="A9756" s="129">
        <v>9756</v>
      </c>
    </row>
    <row r="9757" spans="1:1" ht="12.75" customHeight="1">
      <c r="A9757" s="129">
        <v>9757</v>
      </c>
    </row>
    <row r="9758" spans="1:1" ht="12.75" customHeight="1">
      <c r="A9758" s="129">
        <v>9758</v>
      </c>
    </row>
    <row r="9759" spans="1:1" ht="12.75" customHeight="1">
      <c r="A9759" s="129">
        <v>9759</v>
      </c>
    </row>
    <row r="9760" spans="1:1" ht="12.75" customHeight="1">
      <c r="A9760" s="129">
        <v>9760</v>
      </c>
    </row>
    <row r="9761" spans="1:1" ht="12.75" customHeight="1">
      <c r="A9761" s="129">
        <v>9761</v>
      </c>
    </row>
    <row r="9762" spans="1:1" ht="12.75" customHeight="1">
      <c r="A9762" s="129">
        <v>9762</v>
      </c>
    </row>
    <row r="9763" spans="1:1" ht="12.75" customHeight="1">
      <c r="A9763" s="129">
        <v>9763</v>
      </c>
    </row>
    <row r="9764" spans="1:1" ht="12.75" customHeight="1">
      <c r="A9764" s="129">
        <v>9764</v>
      </c>
    </row>
    <row r="9765" spans="1:1" ht="12.75" customHeight="1">
      <c r="A9765" s="129">
        <v>9765</v>
      </c>
    </row>
    <row r="9766" spans="1:1" ht="12.75" customHeight="1">
      <c r="A9766" s="129">
        <v>9766</v>
      </c>
    </row>
    <row r="9767" spans="1:1" ht="12.75" customHeight="1">
      <c r="A9767" s="129">
        <v>9767</v>
      </c>
    </row>
    <row r="9768" spans="1:1" ht="12.75" customHeight="1">
      <c r="A9768" s="129">
        <v>9768</v>
      </c>
    </row>
    <row r="9769" spans="1:1" ht="12.75" customHeight="1">
      <c r="A9769" s="129">
        <v>9769</v>
      </c>
    </row>
    <row r="9770" spans="1:1" ht="12.75" customHeight="1">
      <c r="A9770" s="129">
        <v>9770</v>
      </c>
    </row>
    <row r="9771" spans="1:1" ht="12.75" customHeight="1">
      <c r="A9771" s="129">
        <v>9771</v>
      </c>
    </row>
    <row r="9772" spans="1:1" ht="12.75" customHeight="1">
      <c r="A9772" s="129">
        <v>9772</v>
      </c>
    </row>
    <row r="9773" spans="1:1" ht="12.75" customHeight="1">
      <c r="A9773" s="129">
        <v>9773</v>
      </c>
    </row>
    <row r="9774" spans="1:1" ht="12.75" customHeight="1">
      <c r="A9774" s="129">
        <v>9774</v>
      </c>
    </row>
    <row r="9775" spans="1:1" ht="12.75" customHeight="1">
      <c r="A9775" s="129">
        <v>9775</v>
      </c>
    </row>
    <row r="9776" spans="1:1" ht="12.75" customHeight="1">
      <c r="A9776" s="129">
        <v>9776</v>
      </c>
    </row>
    <row r="9777" spans="1:1" ht="12.75" customHeight="1">
      <c r="A9777" s="129">
        <v>9777</v>
      </c>
    </row>
    <row r="9778" spans="1:1" ht="12.75" customHeight="1">
      <c r="A9778" s="129">
        <v>9778</v>
      </c>
    </row>
    <row r="9779" spans="1:1" ht="12.75" customHeight="1">
      <c r="A9779" s="129">
        <v>9779</v>
      </c>
    </row>
    <row r="9780" spans="1:1" ht="12.75" customHeight="1">
      <c r="A9780" s="129">
        <v>9780</v>
      </c>
    </row>
    <row r="9781" spans="1:1" ht="12.75" customHeight="1">
      <c r="A9781" s="129">
        <v>9781</v>
      </c>
    </row>
    <row r="9782" spans="1:1" ht="12.75" customHeight="1">
      <c r="A9782" s="129">
        <v>9782</v>
      </c>
    </row>
    <row r="9783" spans="1:1" ht="12.75" customHeight="1">
      <c r="A9783" s="129">
        <v>9783</v>
      </c>
    </row>
    <row r="9784" spans="1:1" ht="12.75" customHeight="1">
      <c r="A9784" s="129">
        <v>9784</v>
      </c>
    </row>
    <row r="9785" spans="1:1" ht="12.75" customHeight="1">
      <c r="A9785" s="129">
        <v>9785</v>
      </c>
    </row>
    <row r="9786" spans="1:1" ht="12.75" customHeight="1">
      <c r="A9786" s="129">
        <v>9786</v>
      </c>
    </row>
    <row r="9787" spans="1:1" ht="12.75" customHeight="1">
      <c r="A9787" s="129">
        <v>9787</v>
      </c>
    </row>
    <row r="9788" spans="1:1" ht="12.75" customHeight="1">
      <c r="A9788" s="129">
        <v>9788</v>
      </c>
    </row>
    <row r="9789" spans="1:1" ht="12.75" customHeight="1">
      <c r="A9789" s="129">
        <v>9789</v>
      </c>
    </row>
    <row r="9790" spans="1:1" ht="12.75" customHeight="1">
      <c r="A9790" s="129">
        <v>9790</v>
      </c>
    </row>
    <row r="9791" spans="1:1" ht="12.75" customHeight="1">
      <c r="A9791" s="129">
        <v>9791</v>
      </c>
    </row>
    <row r="9792" spans="1:1" ht="12.75" customHeight="1">
      <c r="A9792" s="129">
        <v>9792</v>
      </c>
    </row>
    <row r="9793" spans="1:1" ht="12.75" customHeight="1">
      <c r="A9793" s="129">
        <v>9793</v>
      </c>
    </row>
    <row r="9794" spans="1:1" ht="12.75" customHeight="1">
      <c r="A9794" s="129">
        <v>9794</v>
      </c>
    </row>
    <row r="9795" spans="1:1" ht="12.75" customHeight="1">
      <c r="A9795" s="129">
        <v>9795</v>
      </c>
    </row>
    <row r="9796" spans="1:1" ht="12.75" customHeight="1">
      <c r="A9796" s="129">
        <v>9796</v>
      </c>
    </row>
    <row r="9797" spans="1:1" ht="12.75" customHeight="1">
      <c r="A9797" s="129">
        <v>9797</v>
      </c>
    </row>
    <row r="9798" spans="1:1" ht="12.75" customHeight="1">
      <c r="A9798" s="129">
        <v>9798</v>
      </c>
    </row>
    <row r="9799" spans="1:1" ht="12.75" customHeight="1">
      <c r="A9799" s="129">
        <v>9799</v>
      </c>
    </row>
    <row r="9800" spans="1:1" ht="12.75" customHeight="1">
      <c r="A9800" s="129">
        <v>9800</v>
      </c>
    </row>
    <row r="9801" spans="1:1" ht="12.75" customHeight="1">
      <c r="A9801" s="129">
        <v>9801</v>
      </c>
    </row>
    <row r="9802" spans="1:1" ht="12.75" customHeight="1">
      <c r="A9802" s="129">
        <v>9802</v>
      </c>
    </row>
    <row r="9803" spans="1:1" ht="12.75" customHeight="1">
      <c r="A9803" s="129">
        <v>9803</v>
      </c>
    </row>
    <row r="9804" spans="1:1" ht="12.75" customHeight="1">
      <c r="A9804" s="129">
        <v>9804</v>
      </c>
    </row>
    <row r="9805" spans="1:1" ht="12.75" customHeight="1">
      <c r="A9805" s="129">
        <v>9805</v>
      </c>
    </row>
    <row r="9806" spans="1:1" ht="12.75" customHeight="1">
      <c r="A9806" s="129">
        <v>9806</v>
      </c>
    </row>
    <row r="9807" spans="1:1" ht="12.75" customHeight="1">
      <c r="A9807" s="129">
        <v>9807</v>
      </c>
    </row>
    <row r="9808" spans="1:1" ht="12.75" customHeight="1">
      <c r="A9808" s="129">
        <v>9808</v>
      </c>
    </row>
    <row r="9809" spans="1:1" ht="12.75" customHeight="1">
      <c r="A9809" s="129">
        <v>9809</v>
      </c>
    </row>
    <row r="9810" spans="1:1" ht="12.75" customHeight="1">
      <c r="A9810" s="129">
        <v>9810</v>
      </c>
    </row>
    <row r="9811" spans="1:1" ht="12.75" customHeight="1">
      <c r="A9811" s="129">
        <v>9811</v>
      </c>
    </row>
    <row r="9812" spans="1:1" ht="12.75" customHeight="1">
      <c r="A9812" s="129">
        <v>9812</v>
      </c>
    </row>
    <row r="9813" spans="1:1" ht="12.75" customHeight="1">
      <c r="A9813" s="129">
        <v>9813</v>
      </c>
    </row>
    <row r="9814" spans="1:1" ht="12.75" customHeight="1">
      <c r="A9814" s="129">
        <v>9814</v>
      </c>
    </row>
    <row r="9815" spans="1:1" ht="12.75" customHeight="1">
      <c r="A9815" s="129">
        <v>9815</v>
      </c>
    </row>
    <row r="9816" spans="1:1" ht="12.75" customHeight="1">
      <c r="A9816" s="129">
        <v>9816</v>
      </c>
    </row>
    <row r="9817" spans="1:1" ht="12.75" customHeight="1">
      <c r="A9817" s="129">
        <v>9817</v>
      </c>
    </row>
    <row r="9818" spans="1:1" ht="12.75" customHeight="1">
      <c r="A9818" s="129">
        <v>9818</v>
      </c>
    </row>
    <row r="9819" spans="1:1" ht="12.75" customHeight="1">
      <c r="A9819" s="129">
        <v>9819</v>
      </c>
    </row>
    <row r="9820" spans="1:1" ht="12.75" customHeight="1">
      <c r="A9820" s="129">
        <v>9820</v>
      </c>
    </row>
    <row r="9821" spans="1:1" ht="12.75" customHeight="1">
      <c r="A9821" s="129">
        <v>9821</v>
      </c>
    </row>
    <row r="9822" spans="1:1" ht="12.75" customHeight="1">
      <c r="A9822" s="129">
        <v>9822</v>
      </c>
    </row>
    <row r="9823" spans="1:1" ht="12.75" customHeight="1">
      <c r="A9823" s="129">
        <v>9823</v>
      </c>
    </row>
    <row r="9824" spans="1:1" ht="12.75" customHeight="1">
      <c r="A9824" s="129">
        <v>9824</v>
      </c>
    </row>
    <row r="9825" spans="1:1" ht="12.75" customHeight="1">
      <c r="A9825" s="129">
        <v>9825</v>
      </c>
    </row>
    <row r="9826" spans="1:1" ht="12.75" customHeight="1">
      <c r="A9826" s="129">
        <v>9826</v>
      </c>
    </row>
    <row r="9827" spans="1:1" ht="12.75" customHeight="1">
      <c r="A9827" s="129">
        <v>9827</v>
      </c>
    </row>
    <row r="9828" spans="1:1" ht="12.75" customHeight="1">
      <c r="A9828" s="129">
        <v>9828</v>
      </c>
    </row>
    <row r="9829" spans="1:1" ht="12.75" customHeight="1">
      <c r="A9829" s="129">
        <v>9829</v>
      </c>
    </row>
    <row r="9830" spans="1:1" ht="12.75" customHeight="1">
      <c r="A9830" s="129">
        <v>9830</v>
      </c>
    </row>
    <row r="9831" spans="1:1" ht="12.75" customHeight="1">
      <c r="A9831" s="129">
        <v>9831</v>
      </c>
    </row>
    <row r="9832" spans="1:1" ht="12.75" customHeight="1">
      <c r="A9832" s="129">
        <v>9832</v>
      </c>
    </row>
    <row r="9833" spans="1:1" ht="12.75" customHeight="1">
      <c r="A9833" s="129">
        <v>9833</v>
      </c>
    </row>
    <row r="9834" spans="1:1" ht="12.75" customHeight="1">
      <c r="A9834" s="129">
        <v>9834</v>
      </c>
    </row>
    <row r="9835" spans="1:1" ht="12.75" customHeight="1">
      <c r="A9835" s="129">
        <v>9835</v>
      </c>
    </row>
    <row r="9836" spans="1:1" ht="12.75" customHeight="1">
      <c r="A9836" s="129">
        <v>9836</v>
      </c>
    </row>
    <row r="9837" spans="1:1" ht="12.75" customHeight="1">
      <c r="A9837" s="129">
        <v>9837</v>
      </c>
    </row>
    <row r="9838" spans="1:1" ht="12.75" customHeight="1">
      <c r="A9838" s="129">
        <v>9838</v>
      </c>
    </row>
    <row r="9839" spans="1:1" ht="12.75" customHeight="1">
      <c r="A9839" s="129">
        <v>9839</v>
      </c>
    </row>
    <row r="9840" spans="1:1" ht="12.75" customHeight="1">
      <c r="A9840" s="129">
        <v>9840</v>
      </c>
    </row>
    <row r="9841" spans="1:1" ht="12.75" customHeight="1">
      <c r="A9841" s="129">
        <v>9841</v>
      </c>
    </row>
    <row r="9842" spans="1:1" ht="12.75" customHeight="1">
      <c r="A9842" s="129">
        <v>9842</v>
      </c>
    </row>
    <row r="9843" spans="1:1" ht="12.75" customHeight="1">
      <c r="A9843" s="129">
        <v>9843</v>
      </c>
    </row>
    <row r="9844" spans="1:1" ht="12.75" customHeight="1">
      <c r="A9844" s="129">
        <v>9844</v>
      </c>
    </row>
    <row r="9845" spans="1:1" ht="12.75" customHeight="1">
      <c r="A9845" s="129">
        <v>9845</v>
      </c>
    </row>
    <row r="9846" spans="1:1" ht="12.75" customHeight="1">
      <c r="A9846" s="129">
        <v>9846</v>
      </c>
    </row>
    <row r="9847" spans="1:1" ht="12.75" customHeight="1">
      <c r="A9847" s="129">
        <v>9847</v>
      </c>
    </row>
    <row r="9848" spans="1:1" ht="12.75" customHeight="1">
      <c r="A9848" s="129">
        <v>9848</v>
      </c>
    </row>
    <row r="9849" spans="1:1" ht="12.75" customHeight="1">
      <c r="A9849" s="129">
        <v>9849</v>
      </c>
    </row>
    <row r="9850" spans="1:1" ht="12.75" customHeight="1">
      <c r="A9850" s="129">
        <v>9850</v>
      </c>
    </row>
    <row r="9851" spans="1:1" ht="12.75" customHeight="1">
      <c r="A9851" s="129">
        <v>9851</v>
      </c>
    </row>
    <row r="9852" spans="1:1" ht="12.75" customHeight="1">
      <c r="A9852" s="129">
        <v>9852</v>
      </c>
    </row>
    <row r="9853" spans="1:1" ht="12.75" customHeight="1">
      <c r="A9853" s="129">
        <v>9853</v>
      </c>
    </row>
    <row r="9854" spans="1:1" ht="12.75" customHeight="1">
      <c r="A9854" s="129">
        <v>9854</v>
      </c>
    </row>
    <row r="9855" spans="1:1" ht="12.75" customHeight="1">
      <c r="A9855" s="129">
        <v>9855</v>
      </c>
    </row>
    <row r="9856" spans="1:1" ht="12.75" customHeight="1">
      <c r="A9856" s="129">
        <v>9856</v>
      </c>
    </row>
    <row r="9857" spans="1:1" ht="12.75" customHeight="1">
      <c r="A9857" s="129">
        <v>9857</v>
      </c>
    </row>
    <row r="9858" spans="1:1" ht="12.75" customHeight="1">
      <c r="A9858" s="129">
        <v>9858</v>
      </c>
    </row>
    <row r="9859" spans="1:1" ht="12.75" customHeight="1">
      <c r="A9859" s="129">
        <v>9859</v>
      </c>
    </row>
    <row r="9860" spans="1:1" ht="12.75" customHeight="1">
      <c r="A9860" s="129">
        <v>9860</v>
      </c>
    </row>
    <row r="9861" spans="1:1" ht="12.75" customHeight="1">
      <c r="A9861" s="129">
        <v>9861</v>
      </c>
    </row>
    <row r="9862" spans="1:1" ht="12.75" customHeight="1">
      <c r="A9862" s="129">
        <v>9862</v>
      </c>
    </row>
    <row r="9863" spans="1:1" ht="12.75" customHeight="1">
      <c r="A9863" s="129">
        <v>9863</v>
      </c>
    </row>
    <row r="9864" spans="1:1" ht="12.75" customHeight="1">
      <c r="A9864" s="129">
        <v>9864</v>
      </c>
    </row>
    <row r="9865" spans="1:1" ht="12.75" customHeight="1">
      <c r="A9865" s="129">
        <v>9865</v>
      </c>
    </row>
    <row r="9866" spans="1:1" ht="12.75" customHeight="1">
      <c r="A9866" s="129">
        <v>9866</v>
      </c>
    </row>
    <row r="9867" spans="1:1" ht="12.75" customHeight="1">
      <c r="A9867" s="129">
        <v>9867</v>
      </c>
    </row>
    <row r="9868" spans="1:1" ht="12.75" customHeight="1">
      <c r="A9868" s="129">
        <v>9868</v>
      </c>
    </row>
    <row r="9869" spans="1:1" ht="12.75" customHeight="1">
      <c r="A9869" s="129">
        <v>9869</v>
      </c>
    </row>
    <row r="9870" spans="1:1" ht="12.75" customHeight="1">
      <c r="A9870" s="129">
        <v>9870</v>
      </c>
    </row>
    <row r="9871" spans="1:1" ht="12.75" customHeight="1">
      <c r="A9871" s="129">
        <v>9871</v>
      </c>
    </row>
    <row r="9872" spans="1:1" ht="12.75" customHeight="1">
      <c r="A9872" s="129">
        <v>9872</v>
      </c>
    </row>
    <row r="9873" spans="1:1" ht="12.75" customHeight="1">
      <c r="A9873" s="129">
        <v>9873</v>
      </c>
    </row>
    <row r="9874" spans="1:1" ht="12.75" customHeight="1">
      <c r="A9874" s="129">
        <v>9874</v>
      </c>
    </row>
    <row r="9875" spans="1:1" ht="12.75" customHeight="1">
      <c r="A9875" s="129">
        <v>9875</v>
      </c>
    </row>
    <row r="9876" spans="1:1" ht="12.75" customHeight="1">
      <c r="A9876" s="129">
        <v>9876</v>
      </c>
    </row>
    <row r="9877" spans="1:1" ht="12.75" customHeight="1">
      <c r="A9877" s="129">
        <v>9877</v>
      </c>
    </row>
    <row r="9878" spans="1:1" ht="12.75" customHeight="1">
      <c r="A9878" s="129">
        <v>9878</v>
      </c>
    </row>
    <row r="9879" spans="1:1" ht="12.75" customHeight="1">
      <c r="A9879" s="129">
        <v>9879</v>
      </c>
    </row>
    <row r="9880" spans="1:1" ht="12.75" customHeight="1">
      <c r="A9880" s="129">
        <v>9880</v>
      </c>
    </row>
    <row r="9881" spans="1:1" ht="12.75" customHeight="1">
      <c r="A9881" s="129">
        <v>9881</v>
      </c>
    </row>
    <row r="9882" spans="1:1" ht="12.75" customHeight="1">
      <c r="A9882" s="129">
        <v>9882</v>
      </c>
    </row>
    <row r="9883" spans="1:1" ht="12.75" customHeight="1">
      <c r="A9883" s="129">
        <v>9883</v>
      </c>
    </row>
    <row r="9884" spans="1:1" ht="12.75" customHeight="1">
      <c r="A9884" s="129">
        <v>9884</v>
      </c>
    </row>
    <row r="9885" spans="1:1" ht="12.75" customHeight="1">
      <c r="A9885" s="129">
        <v>9885</v>
      </c>
    </row>
    <row r="9886" spans="1:1" ht="12.75" customHeight="1">
      <c r="A9886" s="129">
        <v>9886</v>
      </c>
    </row>
    <row r="9887" spans="1:1" ht="12.75" customHeight="1">
      <c r="A9887" s="129">
        <v>9887</v>
      </c>
    </row>
    <row r="9888" spans="1:1" ht="12.75" customHeight="1">
      <c r="A9888" s="129">
        <v>9888</v>
      </c>
    </row>
    <row r="9889" spans="1:1" ht="12.75" customHeight="1">
      <c r="A9889" s="129">
        <v>9889</v>
      </c>
    </row>
    <row r="9890" spans="1:1" ht="12.75" customHeight="1">
      <c r="A9890" s="129">
        <v>9890</v>
      </c>
    </row>
    <row r="9891" spans="1:1" ht="12.75" customHeight="1">
      <c r="A9891" s="129">
        <v>9891</v>
      </c>
    </row>
    <row r="9892" spans="1:1" ht="12.75" customHeight="1">
      <c r="A9892" s="129">
        <v>9892</v>
      </c>
    </row>
    <row r="9893" spans="1:1" ht="12.75" customHeight="1">
      <c r="A9893" s="129">
        <v>9893</v>
      </c>
    </row>
    <row r="9894" spans="1:1" ht="12.75" customHeight="1">
      <c r="A9894" s="129">
        <v>9894</v>
      </c>
    </row>
    <row r="9895" spans="1:1" ht="12.75" customHeight="1">
      <c r="A9895" s="129">
        <v>9895</v>
      </c>
    </row>
    <row r="9896" spans="1:1" ht="12.75" customHeight="1">
      <c r="A9896" s="129">
        <v>9896</v>
      </c>
    </row>
    <row r="9897" spans="1:1" ht="12.75" customHeight="1">
      <c r="A9897" s="129">
        <v>9897</v>
      </c>
    </row>
    <row r="9898" spans="1:1" ht="12.75" customHeight="1">
      <c r="A9898" s="129">
        <v>9898</v>
      </c>
    </row>
    <row r="9899" spans="1:1" ht="12.75" customHeight="1">
      <c r="A9899" s="129">
        <v>9899</v>
      </c>
    </row>
    <row r="9900" spans="1:1" ht="12.75" customHeight="1">
      <c r="A9900" s="129">
        <v>9900</v>
      </c>
    </row>
    <row r="9901" spans="1:1" ht="12.75" customHeight="1">
      <c r="A9901" s="129">
        <v>9901</v>
      </c>
    </row>
    <row r="9902" spans="1:1" ht="12.75" customHeight="1">
      <c r="A9902" s="129">
        <v>9902</v>
      </c>
    </row>
    <row r="9903" spans="1:1" ht="12.75" customHeight="1">
      <c r="A9903" s="129">
        <v>9903</v>
      </c>
    </row>
    <row r="9904" spans="1:1" ht="12.75" customHeight="1">
      <c r="A9904" s="129">
        <v>9904</v>
      </c>
    </row>
    <row r="9905" spans="1:1" ht="12.75" customHeight="1">
      <c r="A9905" s="129">
        <v>9905</v>
      </c>
    </row>
    <row r="9906" spans="1:1" ht="12.75" customHeight="1">
      <c r="A9906" s="129">
        <v>9906</v>
      </c>
    </row>
    <row r="9907" spans="1:1" ht="12.75" customHeight="1">
      <c r="A9907" s="129">
        <v>9907</v>
      </c>
    </row>
    <row r="9908" spans="1:1" ht="12.75" customHeight="1">
      <c r="A9908" s="129">
        <v>9908</v>
      </c>
    </row>
    <row r="9909" spans="1:1" ht="12.75" customHeight="1">
      <c r="A9909" s="129">
        <v>9909</v>
      </c>
    </row>
    <row r="9910" spans="1:1" ht="12.75" customHeight="1">
      <c r="A9910" s="129">
        <v>9910</v>
      </c>
    </row>
    <row r="9911" spans="1:1" ht="12.75" customHeight="1">
      <c r="A9911" s="129">
        <v>9911</v>
      </c>
    </row>
    <row r="9912" spans="1:1" ht="12.75" customHeight="1">
      <c r="A9912" s="129">
        <v>9912</v>
      </c>
    </row>
    <row r="9913" spans="1:1" ht="12.75" customHeight="1">
      <c r="A9913" s="129">
        <v>9913</v>
      </c>
    </row>
    <row r="9914" spans="1:1" ht="12.75" customHeight="1">
      <c r="A9914" s="129">
        <v>9914</v>
      </c>
    </row>
    <row r="9915" spans="1:1" ht="12.75" customHeight="1">
      <c r="A9915" s="129">
        <v>9915</v>
      </c>
    </row>
    <row r="9916" spans="1:1" ht="12.75" customHeight="1">
      <c r="A9916" s="129">
        <v>9916</v>
      </c>
    </row>
    <row r="9917" spans="1:1" ht="12.75" customHeight="1">
      <c r="A9917" s="129">
        <v>9917</v>
      </c>
    </row>
    <row r="9918" spans="1:1" ht="12.75" customHeight="1">
      <c r="A9918" s="129">
        <v>9918</v>
      </c>
    </row>
    <row r="9919" spans="1:1" ht="12.75" customHeight="1">
      <c r="A9919" s="129">
        <v>9919</v>
      </c>
    </row>
    <row r="9920" spans="1:1" ht="12.75" customHeight="1">
      <c r="A9920" s="129">
        <v>9920</v>
      </c>
    </row>
    <row r="9921" spans="1:1" ht="12.75" customHeight="1">
      <c r="A9921" s="129">
        <v>9921</v>
      </c>
    </row>
    <row r="9922" spans="1:1" ht="12.75" customHeight="1">
      <c r="A9922" s="129">
        <v>9922</v>
      </c>
    </row>
    <row r="9923" spans="1:1" ht="12.75" customHeight="1">
      <c r="A9923" s="129">
        <v>9923</v>
      </c>
    </row>
    <row r="9924" spans="1:1" ht="12.75" customHeight="1">
      <c r="A9924" s="129">
        <v>9924</v>
      </c>
    </row>
    <row r="9925" spans="1:1" ht="12.75" customHeight="1">
      <c r="A9925" s="129">
        <v>9925</v>
      </c>
    </row>
    <row r="9926" spans="1:1" ht="12.75" customHeight="1">
      <c r="A9926" s="129">
        <v>9926</v>
      </c>
    </row>
    <row r="9927" spans="1:1" ht="12.75" customHeight="1">
      <c r="A9927" s="129">
        <v>9927</v>
      </c>
    </row>
    <row r="9928" spans="1:1" ht="12.75" customHeight="1">
      <c r="A9928" s="129">
        <v>9928</v>
      </c>
    </row>
    <row r="9929" spans="1:1" ht="12.75" customHeight="1">
      <c r="A9929" s="129">
        <v>9929</v>
      </c>
    </row>
    <row r="9930" spans="1:1" ht="12.75" customHeight="1">
      <c r="A9930" s="129">
        <v>9930</v>
      </c>
    </row>
    <row r="9931" spans="1:1" ht="12.75" customHeight="1">
      <c r="A9931" s="129">
        <v>9931</v>
      </c>
    </row>
    <row r="9932" spans="1:1" ht="12.75" customHeight="1">
      <c r="A9932" s="129">
        <v>9932</v>
      </c>
    </row>
    <row r="9933" spans="1:1" ht="12.75" customHeight="1">
      <c r="A9933" s="129">
        <v>9933</v>
      </c>
    </row>
    <row r="9934" spans="1:1" ht="12.75" customHeight="1">
      <c r="A9934" s="129">
        <v>9934</v>
      </c>
    </row>
    <row r="9935" spans="1:1" ht="12.75" customHeight="1">
      <c r="A9935" s="129">
        <v>9935</v>
      </c>
    </row>
    <row r="9936" spans="1:1" ht="12.75" customHeight="1">
      <c r="A9936" s="129">
        <v>9936</v>
      </c>
    </row>
    <row r="9937" spans="1:1" ht="12.75" customHeight="1">
      <c r="A9937" s="129">
        <v>9937</v>
      </c>
    </row>
    <row r="9938" spans="1:1" ht="12.75" customHeight="1">
      <c r="A9938" s="129">
        <v>9938</v>
      </c>
    </row>
    <row r="9939" spans="1:1" ht="12.75" customHeight="1">
      <c r="A9939" s="129">
        <v>9939</v>
      </c>
    </row>
    <row r="9940" spans="1:1" ht="12.75" customHeight="1">
      <c r="A9940" s="129">
        <v>9940</v>
      </c>
    </row>
    <row r="9941" spans="1:1" ht="12.75" customHeight="1">
      <c r="A9941" s="129">
        <v>9941</v>
      </c>
    </row>
    <row r="9942" spans="1:1" ht="12.75" customHeight="1">
      <c r="A9942" s="129">
        <v>9942</v>
      </c>
    </row>
    <row r="9943" spans="1:1" ht="12.75" customHeight="1">
      <c r="A9943" s="129">
        <v>9943</v>
      </c>
    </row>
    <row r="9944" spans="1:1" ht="12.75" customHeight="1">
      <c r="A9944" s="129">
        <v>9944</v>
      </c>
    </row>
    <row r="9945" spans="1:1" ht="12.75" customHeight="1">
      <c r="A9945" s="129">
        <v>9945</v>
      </c>
    </row>
    <row r="9946" spans="1:1" ht="12.75" customHeight="1">
      <c r="A9946" s="129">
        <v>9946</v>
      </c>
    </row>
    <row r="9947" spans="1:1" ht="12.75" customHeight="1">
      <c r="A9947" s="129">
        <v>9947</v>
      </c>
    </row>
    <row r="9948" spans="1:1" ht="12.75" customHeight="1">
      <c r="A9948" s="129">
        <v>9948</v>
      </c>
    </row>
    <row r="9949" spans="1:1" ht="12.75" customHeight="1">
      <c r="A9949" s="129">
        <v>9949</v>
      </c>
    </row>
    <row r="9950" spans="1:1" ht="12.75" customHeight="1">
      <c r="A9950" s="129">
        <v>9950</v>
      </c>
    </row>
    <row r="9951" spans="1:1" ht="12.75" customHeight="1">
      <c r="A9951" s="129">
        <v>9951</v>
      </c>
    </row>
    <row r="9952" spans="1:1" ht="12.75" customHeight="1">
      <c r="A9952" s="129">
        <v>9952</v>
      </c>
    </row>
    <row r="9953" spans="1:1" ht="12.75" customHeight="1">
      <c r="A9953" s="129">
        <v>9953</v>
      </c>
    </row>
    <row r="9954" spans="1:1" ht="12.75" customHeight="1">
      <c r="A9954" s="129">
        <v>9954</v>
      </c>
    </row>
    <row r="9955" spans="1:1" ht="12.75" customHeight="1">
      <c r="A9955" s="129">
        <v>9955</v>
      </c>
    </row>
    <row r="9956" spans="1:1" ht="12.75" customHeight="1">
      <c r="A9956" s="129">
        <v>9956</v>
      </c>
    </row>
    <row r="9957" spans="1:1" ht="12.75" customHeight="1">
      <c r="A9957" s="129">
        <v>9957</v>
      </c>
    </row>
    <row r="9958" spans="1:1" ht="12.75" customHeight="1">
      <c r="A9958" s="129">
        <v>9958</v>
      </c>
    </row>
    <row r="9959" spans="1:1" ht="12.75" customHeight="1">
      <c r="A9959" s="129">
        <v>9959</v>
      </c>
    </row>
    <row r="9960" spans="1:1" ht="12.75" customHeight="1">
      <c r="A9960" s="129">
        <v>9960</v>
      </c>
    </row>
    <row r="9961" spans="1:1" ht="12.75" customHeight="1">
      <c r="A9961" s="129">
        <v>9961</v>
      </c>
    </row>
    <row r="9962" spans="1:1" ht="12.75" customHeight="1">
      <c r="A9962" s="129">
        <v>9962</v>
      </c>
    </row>
    <row r="9963" spans="1:1" ht="12.75" customHeight="1">
      <c r="A9963" s="129">
        <v>9963</v>
      </c>
    </row>
    <row r="9964" spans="1:1" ht="12.75" customHeight="1">
      <c r="A9964" s="129">
        <v>9964</v>
      </c>
    </row>
    <row r="9965" spans="1:1" ht="12.75" customHeight="1">
      <c r="A9965" s="129">
        <v>9965</v>
      </c>
    </row>
    <row r="9966" spans="1:1" ht="12.75" customHeight="1">
      <c r="A9966" s="129">
        <v>9966</v>
      </c>
    </row>
    <row r="9967" spans="1:1" ht="12.75" customHeight="1">
      <c r="A9967" s="129">
        <v>9967</v>
      </c>
    </row>
    <row r="9968" spans="1:1" ht="12.75" customHeight="1">
      <c r="A9968" s="129">
        <v>9968</v>
      </c>
    </row>
    <row r="9969" spans="1:1" ht="12.75" customHeight="1">
      <c r="A9969" s="129">
        <v>9969</v>
      </c>
    </row>
    <row r="9970" spans="1:1" ht="12.75" customHeight="1">
      <c r="A9970" s="129">
        <v>9970</v>
      </c>
    </row>
    <row r="9971" spans="1:1" ht="12.75" customHeight="1">
      <c r="A9971" s="129">
        <v>9971</v>
      </c>
    </row>
    <row r="9972" spans="1:1" ht="12.75" customHeight="1">
      <c r="A9972" s="129">
        <v>9972</v>
      </c>
    </row>
    <row r="9973" spans="1:1" ht="12.75" customHeight="1">
      <c r="A9973" s="129">
        <v>9973</v>
      </c>
    </row>
    <row r="9974" spans="1:1" ht="12.75" customHeight="1">
      <c r="A9974" s="129">
        <v>9974</v>
      </c>
    </row>
    <row r="9975" spans="1:1" ht="12.75" customHeight="1">
      <c r="A9975" s="129">
        <v>9975</v>
      </c>
    </row>
    <row r="9976" spans="1:1" ht="12.75" customHeight="1">
      <c r="A9976" s="129">
        <v>9976</v>
      </c>
    </row>
    <row r="9977" spans="1:1" ht="12.75" customHeight="1">
      <c r="A9977" s="129">
        <v>9977</v>
      </c>
    </row>
    <row r="9978" spans="1:1" ht="12.75" customHeight="1">
      <c r="A9978" s="129">
        <v>9978</v>
      </c>
    </row>
    <row r="9979" spans="1:1" ht="12.75" customHeight="1">
      <c r="A9979" s="129">
        <v>9979</v>
      </c>
    </row>
    <row r="9980" spans="1:1" ht="12.75" customHeight="1">
      <c r="A9980" s="129">
        <v>9980</v>
      </c>
    </row>
    <row r="9981" spans="1:1" ht="12.75" customHeight="1">
      <c r="A9981" s="129">
        <v>9981</v>
      </c>
    </row>
    <row r="9982" spans="1:1" ht="12.75" customHeight="1">
      <c r="A9982" s="129">
        <v>9982</v>
      </c>
    </row>
    <row r="9983" spans="1:1" ht="12.75" customHeight="1">
      <c r="A9983" s="129">
        <v>9983</v>
      </c>
    </row>
    <row r="9984" spans="1:1" ht="12.75" customHeight="1">
      <c r="A9984" s="129">
        <v>9984</v>
      </c>
    </row>
    <row r="9985" spans="1:1" ht="12.75" customHeight="1">
      <c r="A9985" s="129">
        <v>9985</v>
      </c>
    </row>
    <row r="9986" spans="1:1" ht="12.75" customHeight="1">
      <c r="A9986" s="129">
        <v>9986</v>
      </c>
    </row>
    <row r="9987" spans="1:1" ht="12.75" customHeight="1">
      <c r="A9987" s="129">
        <v>9987</v>
      </c>
    </row>
    <row r="9988" spans="1:1" ht="12.75" customHeight="1">
      <c r="A9988" s="129">
        <v>9988</v>
      </c>
    </row>
    <row r="9989" spans="1:1" ht="12.75" customHeight="1">
      <c r="A9989" s="129">
        <v>9989</v>
      </c>
    </row>
    <row r="9990" spans="1:1" ht="12.75" customHeight="1">
      <c r="A9990" s="129">
        <v>9990</v>
      </c>
    </row>
    <row r="9991" spans="1:1" ht="12.75" customHeight="1">
      <c r="A9991" s="129">
        <v>9991</v>
      </c>
    </row>
    <row r="9992" spans="1:1" ht="12.75" customHeight="1">
      <c r="A9992" s="129">
        <v>9992</v>
      </c>
    </row>
    <row r="9993" spans="1:1" ht="12.75" customHeight="1">
      <c r="A9993" s="129">
        <v>9993</v>
      </c>
    </row>
    <row r="9994" spans="1:1" ht="12.75" customHeight="1">
      <c r="A9994" s="129">
        <v>9994</v>
      </c>
    </row>
    <row r="9995" spans="1:1" ht="12.75" customHeight="1">
      <c r="A9995" s="129">
        <v>9995</v>
      </c>
    </row>
    <row r="9996" spans="1:1" ht="12.75" customHeight="1">
      <c r="A9996" s="129">
        <v>9996</v>
      </c>
    </row>
    <row r="9997" spans="1:1" ht="12.75" customHeight="1">
      <c r="A9997" s="129">
        <v>9997</v>
      </c>
    </row>
    <row r="9998" spans="1:1" ht="12.75" customHeight="1">
      <c r="A9998" s="129">
        <v>9998</v>
      </c>
    </row>
    <row r="9999" spans="1:1" ht="12.75" customHeight="1">
      <c r="A9999" s="129">
        <v>9999</v>
      </c>
    </row>
    <row r="10000" spans="1:1" ht="12.75" customHeight="1">
      <c r="A10000" s="129">
        <v>10000</v>
      </c>
    </row>
    <row r="10001" spans="1:1" ht="12.75" customHeight="1">
      <c r="A10001" s="129">
        <v>10001</v>
      </c>
    </row>
    <row r="10002" spans="1:1" ht="12.75" customHeight="1">
      <c r="A10002" s="129">
        <v>10002</v>
      </c>
    </row>
    <row r="10003" spans="1:1" ht="12.75" customHeight="1">
      <c r="A10003" s="129">
        <v>10003</v>
      </c>
    </row>
    <row r="10004" spans="1:1" ht="12.75" customHeight="1">
      <c r="A10004" s="129">
        <v>10004</v>
      </c>
    </row>
    <row r="10005" spans="1:1" ht="12.75" customHeight="1">
      <c r="A10005" s="129">
        <v>10005</v>
      </c>
    </row>
    <row r="10006" spans="1:1" ht="12.75" customHeight="1">
      <c r="A10006" s="129">
        <v>10006</v>
      </c>
    </row>
    <row r="10007" spans="1:1" ht="12.75" customHeight="1">
      <c r="A10007" s="129">
        <v>10007</v>
      </c>
    </row>
    <row r="10008" spans="1:1" ht="12.75" customHeight="1">
      <c r="A10008" s="129">
        <v>10008</v>
      </c>
    </row>
    <row r="10009" spans="1:1" ht="12.75" customHeight="1">
      <c r="A10009" s="129">
        <v>10009</v>
      </c>
    </row>
    <row r="10010" spans="1:1" ht="12.75" customHeight="1">
      <c r="A10010" s="129">
        <v>10010</v>
      </c>
    </row>
    <row r="10011" spans="1:1" ht="12.75" customHeight="1">
      <c r="A10011" s="129">
        <v>10011</v>
      </c>
    </row>
    <row r="10012" spans="1:1" ht="12.75" customHeight="1">
      <c r="A10012" s="129">
        <v>10012</v>
      </c>
    </row>
    <row r="10013" spans="1:1" ht="12.75" customHeight="1">
      <c r="A10013" s="129">
        <v>10013</v>
      </c>
    </row>
    <row r="10014" spans="1:1" ht="12.75" customHeight="1">
      <c r="A10014" s="129">
        <v>10014</v>
      </c>
    </row>
    <row r="10015" spans="1:1" ht="12.75" customHeight="1">
      <c r="A10015" s="129">
        <v>10015</v>
      </c>
    </row>
    <row r="10016" spans="1:1" ht="12.75" customHeight="1">
      <c r="A10016" s="129">
        <v>10016</v>
      </c>
    </row>
    <row r="10017" spans="1:1" ht="12.75" customHeight="1">
      <c r="A10017" s="129">
        <v>10017</v>
      </c>
    </row>
    <row r="10018" spans="1:1" ht="12.75" customHeight="1">
      <c r="A10018" s="129">
        <v>10018</v>
      </c>
    </row>
    <row r="10019" spans="1:1" ht="12.75" customHeight="1">
      <c r="A10019" s="129">
        <v>10019</v>
      </c>
    </row>
    <row r="10020" spans="1:1" ht="12.75" customHeight="1">
      <c r="A10020" s="129">
        <v>10020</v>
      </c>
    </row>
    <row r="10021" spans="1:1" ht="12.75" customHeight="1">
      <c r="A10021" s="129">
        <v>10021</v>
      </c>
    </row>
    <row r="10022" spans="1:1" ht="12.75" customHeight="1">
      <c r="A10022" s="129">
        <v>10022</v>
      </c>
    </row>
    <row r="10023" spans="1:1" ht="12.75" customHeight="1">
      <c r="A10023" s="129">
        <v>10023</v>
      </c>
    </row>
    <row r="10024" spans="1:1" ht="12.75" customHeight="1">
      <c r="A10024" s="129">
        <v>10024</v>
      </c>
    </row>
    <row r="10025" spans="1:1" ht="12.75" customHeight="1">
      <c r="A10025" s="129">
        <v>10025</v>
      </c>
    </row>
    <row r="10026" spans="1:1" ht="12.75" customHeight="1">
      <c r="A10026" s="129">
        <v>10026</v>
      </c>
    </row>
    <row r="10027" spans="1:1" ht="12.75" customHeight="1">
      <c r="A10027" s="129">
        <v>10027</v>
      </c>
    </row>
    <row r="10028" spans="1:1" ht="12.75" customHeight="1">
      <c r="A10028" s="129">
        <v>10028</v>
      </c>
    </row>
    <row r="10029" spans="1:1" ht="12.75" customHeight="1">
      <c r="A10029" s="129">
        <v>10029</v>
      </c>
    </row>
    <row r="10030" spans="1:1" ht="12.75" customHeight="1">
      <c r="A10030" s="129">
        <v>10030</v>
      </c>
    </row>
    <row r="10031" spans="1:1" ht="12.75" customHeight="1">
      <c r="A10031" s="129">
        <v>10031</v>
      </c>
    </row>
    <row r="10032" spans="1:1" ht="12.75" customHeight="1">
      <c r="A10032" s="129">
        <v>10032</v>
      </c>
    </row>
    <row r="10033" spans="1:1" ht="12.75" customHeight="1">
      <c r="A10033" s="129">
        <v>10033</v>
      </c>
    </row>
    <row r="10034" spans="1:1" ht="12.75" customHeight="1">
      <c r="A10034" s="129">
        <v>10034</v>
      </c>
    </row>
    <row r="10035" spans="1:1" ht="12.75" customHeight="1">
      <c r="A10035" s="129">
        <v>10035</v>
      </c>
    </row>
    <row r="10036" spans="1:1" ht="12.75" customHeight="1">
      <c r="A10036" s="129">
        <v>10036</v>
      </c>
    </row>
    <row r="10037" spans="1:1" ht="12.75" customHeight="1">
      <c r="A10037" s="129">
        <v>10037</v>
      </c>
    </row>
    <row r="10038" spans="1:1" ht="12.75" customHeight="1">
      <c r="A10038" s="129">
        <v>10038</v>
      </c>
    </row>
    <row r="10039" spans="1:1" ht="12.75" customHeight="1">
      <c r="A10039" s="129">
        <v>10039</v>
      </c>
    </row>
    <row r="10040" spans="1:1" ht="12.75" customHeight="1">
      <c r="A10040" s="129">
        <v>10040</v>
      </c>
    </row>
    <row r="10041" spans="1:1" ht="12.75" customHeight="1">
      <c r="A10041" s="129">
        <v>10041</v>
      </c>
    </row>
    <row r="10042" spans="1:1" ht="12.75" customHeight="1">
      <c r="A10042" s="129">
        <v>10042</v>
      </c>
    </row>
    <row r="10043" spans="1:1" ht="12.75" customHeight="1">
      <c r="A10043" s="129">
        <v>10043</v>
      </c>
    </row>
    <row r="10044" spans="1:1" ht="12.75" customHeight="1">
      <c r="A10044" s="129">
        <v>10044</v>
      </c>
    </row>
    <row r="10045" spans="1:1" ht="12.75" customHeight="1">
      <c r="A10045" s="129">
        <v>10045</v>
      </c>
    </row>
    <row r="10046" spans="1:1" ht="12.75" customHeight="1">
      <c r="A10046" s="129">
        <v>10046</v>
      </c>
    </row>
    <row r="10047" spans="1:1" ht="12.75" customHeight="1">
      <c r="A10047" s="129">
        <v>10047</v>
      </c>
    </row>
    <row r="10048" spans="1:1" ht="12.75" customHeight="1">
      <c r="A10048" s="129">
        <v>10048</v>
      </c>
    </row>
    <row r="10049" spans="1:1" ht="12.75" customHeight="1">
      <c r="A10049" s="129">
        <v>10049</v>
      </c>
    </row>
    <row r="10050" spans="1:1" ht="12.75" customHeight="1">
      <c r="A10050" s="129">
        <v>10050</v>
      </c>
    </row>
    <row r="10051" spans="1:1" ht="12.75" customHeight="1">
      <c r="A10051" s="129">
        <v>10051</v>
      </c>
    </row>
    <row r="10052" spans="1:1" ht="12.75" customHeight="1">
      <c r="A10052" s="129">
        <v>10052</v>
      </c>
    </row>
    <row r="10053" spans="1:1" ht="12.75" customHeight="1">
      <c r="A10053" s="129">
        <v>10053</v>
      </c>
    </row>
    <row r="10054" spans="1:1" ht="12.75" customHeight="1">
      <c r="A10054" s="129">
        <v>10054</v>
      </c>
    </row>
    <row r="10055" spans="1:1" ht="12.75" customHeight="1">
      <c r="A10055" s="129">
        <v>10055</v>
      </c>
    </row>
    <row r="10056" spans="1:1" ht="12.75" customHeight="1">
      <c r="A10056" s="129">
        <v>10056</v>
      </c>
    </row>
    <row r="10057" spans="1:1" ht="12.75" customHeight="1">
      <c r="A10057" s="129">
        <v>10057</v>
      </c>
    </row>
    <row r="10058" spans="1:1" ht="12.75" customHeight="1">
      <c r="A10058" s="129">
        <v>10058</v>
      </c>
    </row>
    <row r="10059" spans="1:1" ht="12.75" customHeight="1">
      <c r="A10059" s="129">
        <v>10059</v>
      </c>
    </row>
    <row r="10060" spans="1:1" ht="12.75" customHeight="1">
      <c r="A10060" s="129">
        <v>10060</v>
      </c>
    </row>
    <row r="10061" spans="1:1" ht="12.75" customHeight="1">
      <c r="A10061" s="129">
        <v>10061</v>
      </c>
    </row>
    <row r="10062" spans="1:1" ht="12.75" customHeight="1">
      <c r="A10062" s="129">
        <v>10062</v>
      </c>
    </row>
    <row r="10063" spans="1:1" ht="12.75" customHeight="1">
      <c r="A10063" s="129">
        <v>10063</v>
      </c>
    </row>
    <row r="10064" spans="1:1" ht="12.75" customHeight="1">
      <c r="A10064" s="129">
        <v>10064</v>
      </c>
    </row>
    <row r="10065" spans="1:1" ht="12.75" customHeight="1">
      <c r="A10065" s="129">
        <v>10065</v>
      </c>
    </row>
    <row r="10066" spans="1:1" ht="12.75" customHeight="1">
      <c r="A10066" s="129">
        <v>10066</v>
      </c>
    </row>
    <row r="10067" spans="1:1" ht="12.75" customHeight="1">
      <c r="A10067" s="129">
        <v>10067</v>
      </c>
    </row>
    <row r="10068" spans="1:1" ht="12.75" customHeight="1">
      <c r="A10068" s="129">
        <v>10068</v>
      </c>
    </row>
    <row r="10069" spans="1:1" ht="12.75" customHeight="1">
      <c r="A10069" s="129">
        <v>10069</v>
      </c>
    </row>
    <row r="10070" spans="1:1" ht="12.75" customHeight="1">
      <c r="A10070" s="129">
        <v>10070</v>
      </c>
    </row>
    <row r="10071" spans="1:1" ht="12.75" customHeight="1">
      <c r="A10071" s="129">
        <v>10071</v>
      </c>
    </row>
    <row r="10072" spans="1:1" ht="12.75" customHeight="1">
      <c r="A10072" s="129">
        <v>10072</v>
      </c>
    </row>
    <row r="10073" spans="1:1" ht="12.75" customHeight="1">
      <c r="A10073" s="129">
        <v>10073</v>
      </c>
    </row>
    <row r="10074" spans="1:1" ht="12.75" customHeight="1">
      <c r="A10074" s="129">
        <v>10074</v>
      </c>
    </row>
    <row r="10075" spans="1:1" ht="12.75" customHeight="1">
      <c r="A10075" s="129">
        <v>10075</v>
      </c>
    </row>
    <row r="10076" spans="1:1" ht="12.75" customHeight="1">
      <c r="A10076" s="129">
        <v>10076</v>
      </c>
    </row>
    <row r="10077" spans="1:1" ht="12.75" customHeight="1">
      <c r="A10077" s="129">
        <v>10077</v>
      </c>
    </row>
    <row r="10078" spans="1:1" ht="12.75" customHeight="1">
      <c r="A10078" s="129">
        <v>10078</v>
      </c>
    </row>
    <row r="10079" spans="1:1" ht="12.75" customHeight="1">
      <c r="A10079" s="129">
        <v>10079</v>
      </c>
    </row>
    <row r="10080" spans="1:1" ht="12.75" customHeight="1">
      <c r="A10080" s="129">
        <v>10080</v>
      </c>
    </row>
    <row r="10081" spans="1:1" ht="12.75" customHeight="1">
      <c r="A10081" s="129">
        <v>10081</v>
      </c>
    </row>
    <row r="10082" spans="1:1" ht="12.75" customHeight="1">
      <c r="A10082" s="129">
        <v>10082</v>
      </c>
    </row>
    <row r="10083" spans="1:1" ht="12.75" customHeight="1">
      <c r="A10083" s="129">
        <v>10083</v>
      </c>
    </row>
    <row r="10084" spans="1:1" ht="12.75" customHeight="1">
      <c r="A10084" s="129">
        <v>10084</v>
      </c>
    </row>
    <row r="10085" spans="1:1" ht="12.75" customHeight="1">
      <c r="A10085" s="129">
        <v>10085</v>
      </c>
    </row>
    <row r="10086" spans="1:1" ht="12.75" customHeight="1">
      <c r="A10086" s="129">
        <v>10086</v>
      </c>
    </row>
    <row r="10087" spans="1:1" ht="12.75" customHeight="1">
      <c r="A10087" s="129">
        <v>10087</v>
      </c>
    </row>
    <row r="10088" spans="1:1" ht="12.75" customHeight="1">
      <c r="A10088" s="129">
        <v>10088</v>
      </c>
    </row>
    <row r="10089" spans="1:1" ht="12.75" customHeight="1">
      <c r="A10089" s="129">
        <v>10089</v>
      </c>
    </row>
    <row r="10090" spans="1:1" ht="12.75" customHeight="1">
      <c r="A10090" s="129">
        <v>10090</v>
      </c>
    </row>
    <row r="10091" spans="1:1" ht="12.75" customHeight="1">
      <c r="A10091" s="129">
        <v>10091</v>
      </c>
    </row>
    <row r="10092" spans="1:1" ht="12.75" customHeight="1">
      <c r="A10092" s="129">
        <v>10092</v>
      </c>
    </row>
    <row r="10093" spans="1:1" ht="12.75" customHeight="1">
      <c r="A10093" s="129">
        <v>10093</v>
      </c>
    </row>
    <row r="10094" spans="1:1" ht="12.75" customHeight="1">
      <c r="A10094" s="129">
        <v>10094</v>
      </c>
    </row>
    <row r="10095" spans="1:1" ht="12.75" customHeight="1">
      <c r="A10095" s="129">
        <v>10095</v>
      </c>
    </row>
    <row r="10096" spans="1:1" ht="12.75" customHeight="1">
      <c r="A10096" s="129">
        <v>10096</v>
      </c>
    </row>
    <row r="10097" spans="1:1" ht="12.75" customHeight="1">
      <c r="A10097" s="129">
        <v>10097</v>
      </c>
    </row>
    <row r="10098" spans="1:1" ht="12.75" customHeight="1">
      <c r="A10098" s="129">
        <v>10098</v>
      </c>
    </row>
    <row r="10099" spans="1:1" ht="12.75" customHeight="1">
      <c r="A10099" s="129">
        <v>10099</v>
      </c>
    </row>
    <row r="10100" spans="1:1" ht="12.75" customHeight="1">
      <c r="A10100" s="129">
        <v>10100</v>
      </c>
    </row>
    <row r="10101" spans="1:1" ht="12.75" customHeight="1">
      <c r="A10101" s="129">
        <v>10101</v>
      </c>
    </row>
    <row r="10102" spans="1:1" ht="12.75" customHeight="1">
      <c r="A10102" s="129">
        <v>10102</v>
      </c>
    </row>
    <row r="10103" spans="1:1" ht="12.75" customHeight="1">
      <c r="A10103" s="129">
        <v>10103</v>
      </c>
    </row>
    <row r="10104" spans="1:1" ht="12.75" customHeight="1">
      <c r="A10104" s="129">
        <v>10104</v>
      </c>
    </row>
    <row r="10105" spans="1:1" ht="12.75" customHeight="1">
      <c r="A10105" s="129">
        <v>10105</v>
      </c>
    </row>
    <row r="10106" spans="1:1" ht="12.75" customHeight="1">
      <c r="A10106" s="129">
        <v>10106</v>
      </c>
    </row>
    <row r="10107" spans="1:1" ht="12.75" customHeight="1">
      <c r="A10107" s="129">
        <v>10107</v>
      </c>
    </row>
    <row r="10108" spans="1:1" ht="12.75" customHeight="1">
      <c r="A10108" s="129">
        <v>10108</v>
      </c>
    </row>
    <row r="10109" spans="1:1" ht="12.75" customHeight="1">
      <c r="A10109" s="129">
        <v>10109</v>
      </c>
    </row>
    <row r="10110" spans="1:1" ht="12.75" customHeight="1">
      <c r="A10110" s="129">
        <v>10110</v>
      </c>
    </row>
    <row r="10111" spans="1:1" ht="12.75" customHeight="1">
      <c r="A10111" s="129">
        <v>10111</v>
      </c>
    </row>
    <row r="10112" spans="1:1" ht="12.75" customHeight="1">
      <c r="A10112" s="129">
        <v>10112</v>
      </c>
    </row>
    <row r="10113" spans="1:1" ht="12.75" customHeight="1">
      <c r="A10113" s="129">
        <v>10113</v>
      </c>
    </row>
    <row r="10114" spans="1:1" ht="12.75" customHeight="1">
      <c r="A10114" s="129">
        <v>10114</v>
      </c>
    </row>
    <row r="10115" spans="1:1" ht="12.75" customHeight="1">
      <c r="A10115" s="129">
        <v>10115</v>
      </c>
    </row>
    <row r="10116" spans="1:1" ht="12.75" customHeight="1">
      <c r="A10116" s="129">
        <v>10116</v>
      </c>
    </row>
    <row r="10117" spans="1:1" ht="12.75" customHeight="1">
      <c r="A10117" s="129">
        <v>10117</v>
      </c>
    </row>
    <row r="10118" spans="1:1" ht="12.75" customHeight="1">
      <c r="A10118" s="129">
        <v>10118</v>
      </c>
    </row>
    <row r="10119" spans="1:1" ht="12.75" customHeight="1">
      <c r="A10119" s="129">
        <v>10119</v>
      </c>
    </row>
    <row r="10120" spans="1:1" ht="12.75" customHeight="1">
      <c r="A10120" s="129">
        <v>10120</v>
      </c>
    </row>
    <row r="10121" spans="1:1" ht="12.75" customHeight="1">
      <c r="A10121" s="129">
        <v>10121</v>
      </c>
    </row>
    <row r="10122" spans="1:1" ht="12.75" customHeight="1">
      <c r="A10122" s="129">
        <v>10122</v>
      </c>
    </row>
    <row r="10123" spans="1:1" ht="12.75" customHeight="1">
      <c r="A10123" s="129">
        <v>10123</v>
      </c>
    </row>
    <row r="10124" spans="1:1" ht="12.75" customHeight="1">
      <c r="A10124" s="129">
        <v>10124</v>
      </c>
    </row>
    <row r="10125" spans="1:1" ht="12.75" customHeight="1">
      <c r="A10125" s="129">
        <v>10125</v>
      </c>
    </row>
    <row r="10126" spans="1:1" ht="12.75" customHeight="1">
      <c r="A10126" s="129">
        <v>10126</v>
      </c>
    </row>
    <row r="10127" spans="1:1" ht="12.75" customHeight="1">
      <c r="A10127" s="129">
        <v>10127</v>
      </c>
    </row>
    <row r="10128" spans="1:1" ht="12.75" customHeight="1">
      <c r="A10128" s="129">
        <v>10128</v>
      </c>
    </row>
    <row r="10129" spans="1:1" ht="12.75" customHeight="1">
      <c r="A10129" s="129">
        <v>10129</v>
      </c>
    </row>
    <row r="10130" spans="1:1" ht="12.75" customHeight="1">
      <c r="A10130" s="129">
        <v>10130</v>
      </c>
    </row>
    <row r="10131" spans="1:1" ht="12.75" customHeight="1">
      <c r="A10131" s="129">
        <v>10131</v>
      </c>
    </row>
    <row r="10132" spans="1:1" ht="12.75" customHeight="1">
      <c r="A10132" s="129">
        <v>10132</v>
      </c>
    </row>
    <row r="10133" spans="1:1" ht="12.75" customHeight="1">
      <c r="A10133" s="129">
        <v>10133</v>
      </c>
    </row>
    <row r="10134" spans="1:1" ht="12.75" customHeight="1">
      <c r="A10134" s="129">
        <v>10134</v>
      </c>
    </row>
    <row r="10135" spans="1:1" ht="12.75" customHeight="1">
      <c r="A10135" s="129">
        <v>10135</v>
      </c>
    </row>
    <row r="10136" spans="1:1" ht="12.75" customHeight="1">
      <c r="A10136" s="129">
        <v>10136</v>
      </c>
    </row>
    <row r="10137" spans="1:1" ht="12.75" customHeight="1">
      <c r="A10137" s="129">
        <v>10137</v>
      </c>
    </row>
    <row r="10138" spans="1:1" ht="12.75" customHeight="1">
      <c r="A10138" s="129">
        <v>10138</v>
      </c>
    </row>
    <row r="10139" spans="1:1" ht="12.75" customHeight="1">
      <c r="A10139" s="129">
        <v>10139</v>
      </c>
    </row>
    <row r="10140" spans="1:1" ht="12.75" customHeight="1">
      <c r="A10140" s="129">
        <v>10140</v>
      </c>
    </row>
    <row r="10141" spans="1:1" ht="12.75" customHeight="1">
      <c r="A10141" s="129">
        <v>10141</v>
      </c>
    </row>
    <row r="10142" spans="1:1" ht="12.75" customHeight="1">
      <c r="A10142" s="129">
        <v>10142</v>
      </c>
    </row>
    <row r="10143" spans="1:1" ht="12.75" customHeight="1">
      <c r="A10143" s="129">
        <v>10143</v>
      </c>
    </row>
    <row r="10144" spans="1:1" ht="12.75" customHeight="1">
      <c r="A10144" s="129">
        <v>10144</v>
      </c>
    </row>
    <row r="10145" spans="1:1" ht="12.75" customHeight="1">
      <c r="A10145" s="129">
        <v>10145</v>
      </c>
    </row>
    <row r="10146" spans="1:1" ht="12.75" customHeight="1">
      <c r="A10146" s="129">
        <v>10146</v>
      </c>
    </row>
    <row r="10147" spans="1:1" ht="12.75" customHeight="1">
      <c r="A10147" s="129">
        <v>10147</v>
      </c>
    </row>
    <row r="10148" spans="1:1" ht="12.75" customHeight="1">
      <c r="A10148" s="129">
        <v>10148</v>
      </c>
    </row>
    <row r="10149" spans="1:1" ht="12.75" customHeight="1">
      <c r="A10149" s="129">
        <v>10149</v>
      </c>
    </row>
    <row r="10150" spans="1:1" ht="12.75" customHeight="1">
      <c r="A10150" s="129">
        <v>10150</v>
      </c>
    </row>
    <row r="10151" spans="1:1" ht="12.75" customHeight="1">
      <c r="A10151" s="129">
        <v>10151</v>
      </c>
    </row>
    <row r="10152" spans="1:1" ht="12.75" customHeight="1">
      <c r="A10152" s="129">
        <v>10152</v>
      </c>
    </row>
    <row r="10153" spans="1:1" ht="12.75" customHeight="1">
      <c r="A10153" s="129">
        <v>10153</v>
      </c>
    </row>
    <row r="10154" spans="1:1" ht="12.75" customHeight="1">
      <c r="A10154" s="129">
        <v>10154</v>
      </c>
    </row>
    <row r="10155" spans="1:1" ht="12.75" customHeight="1">
      <c r="A10155" s="129">
        <v>10155</v>
      </c>
    </row>
    <row r="10156" spans="1:1" ht="12.75" customHeight="1">
      <c r="A10156" s="129">
        <v>10156</v>
      </c>
    </row>
    <row r="10157" spans="1:1" ht="12.75" customHeight="1">
      <c r="A10157" s="129">
        <v>10157</v>
      </c>
    </row>
    <row r="10158" spans="1:1" ht="12.75" customHeight="1">
      <c r="A10158" s="129">
        <v>10158</v>
      </c>
    </row>
    <row r="10159" spans="1:1" ht="12.75" customHeight="1">
      <c r="A10159" s="129">
        <v>10159</v>
      </c>
    </row>
    <row r="10160" spans="1:1" ht="12.75" customHeight="1">
      <c r="A10160" s="129">
        <v>10160</v>
      </c>
    </row>
    <row r="10161" spans="1:1" ht="12.75" customHeight="1">
      <c r="A10161" s="129">
        <v>10161</v>
      </c>
    </row>
    <row r="10162" spans="1:1" ht="12.75" customHeight="1">
      <c r="A10162" s="129">
        <v>10162</v>
      </c>
    </row>
    <row r="10163" spans="1:1" ht="12.75" customHeight="1">
      <c r="A10163" s="129">
        <v>10163</v>
      </c>
    </row>
    <row r="10164" spans="1:1" ht="12.75" customHeight="1">
      <c r="A10164" s="129">
        <v>10164</v>
      </c>
    </row>
    <row r="10165" spans="1:1" ht="12.75" customHeight="1">
      <c r="A10165" s="129">
        <v>10165</v>
      </c>
    </row>
    <row r="10166" spans="1:1" ht="12.75" customHeight="1">
      <c r="A10166" s="129">
        <v>10166</v>
      </c>
    </row>
    <row r="10167" spans="1:1" ht="12.75" customHeight="1">
      <c r="A10167" s="129">
        <v>10167</v>
      </c>
    </row>
    <row r="10168" spans="1:1" ht="12.75" customHeight="1">
      <c r="A10168" s="129">
        <v>10168</v>
      </c>
    </row>
    <row r="10169" spans="1:1" ht="12.75" customHeight="1">
      <c r="A10169" s="129">
        <v>10169</v>
      </c>
    </row>
    <row r="10170" spans="1:1" ht="12.75" customHeight="1">
      <c r="A10170" s="129">
        <v>10170</v>
      </c>
    </row>
    <row r="10171" spans="1:1" ht="12.75" customHeight="1">
      <c r="A10171" s="129">
        <v>10171</v>
      </c>
    </row>
    <row r="10172" spans="1:1" ht="12.75" customHeight="1">
      <c r="A10172" s="129">
        <v>10172</v>
      </c>
    </row>
    <row r="10173" spans="1:1" ht="12.75" customHeight="1">
      <c r="A10173" s="129">
        <v>10173</v>
      </c>
    </row>
    <row r="10174" spans="1:1" ht="12.75" customHeight="1">
      <c r="A10174" s="129">
        <v>10174</v>
      </c>
    </row>
    <row r="10175" spans="1:1" ht="12.75" customHeight="1">
      <c r="A10175" s="129">
        <v>10175</v>
      </c>
    </row>
    <row r="10176" spans="1:1" ht="12.75" customHeight="1">
      <c r="A10176" s="129">
        <v>10176</v>
      </c>
    </row>
    <row r="10177" spans="1:1" ht="12.75" customHeight="1">
      <c r="A10177" s="129">
        <v>10177</v>
      </c>
    </row>
    <row r="10178" spans="1:1" ht="12.75" customHeight="1">
      <c r="A10178" s="129">
        <v>10178</v>
      </c>
    </row>
    <row r="10179" spans="1:1" ht="12.75" customHeight="1">
      <c r="A10179" s="129">
        <v>10179</v>
      </c>
    </row>
    <row r="10180" spans="1:1" ht="12.75" customHeight="1">
      <c r="A10180" s="129">
        <v>10180</v>
      </c>
    </row>
    <row r="10181" spans="1:1" ht="12.75" customHeight="1">
      <c r="A10181" s="129">
        <v>10181</v>
      </c>
    </row>
    <row r="10182" spans="1:1" ht="12.75" customHeight="1">
      <c r="A10182" s="129">
        <v>10182</v>
      </c>
    </row>
    <row r="10183" spans="1:1" ht="12.75" customHeight="1">
      <c r="A10183" s="129">
        <v>10183</v>
      </c>
    </row>
    <row r="10184" spans="1:1" ht="12.75" customHeight="1">
      <c r="A10184" s="129">
        <v>10184</v>
      </c>
    </row>
    <row r="10185" spans="1:1" ht="12.75" customHeight="1">
      <c r="A10185" s="129">
        <v>10185</v>
      </c>
    </row>
    <row r="10186" spans="1:1" ht="12.75" customHeight="1">
      <c r="A10186" s="129">
        <v>10186</v>
      </c>
    </row>
    <row r="10187" spans="1:1" ht="12.75" customHeight="1">
      <c r="A10187" s="129">
        <v>10187</v>
      </c>
    </row>
    <row r="10188" spans="1:1" ht="12.75" customHeight="1">
      <c r="A10188" s="129">
        <v>10188</v>
      </c>
    </row>
    <row r="10189" spans="1:1" ht="12.75" customHeight="1">
      <c r="A10189" s="129">
        <v>10189</v>
      </c>
    </row>
    <row r="10190" spans="1:1" ht="12.75" customHeight="1">
      <c r="A10190" s="129">
        <v>10190</v>
      </c>
    </row>
    <row r="10191" spans="1:1" ht="12.75" customHeight="1">
      <c r="A10191" s="129">
        <v>10191</v>
      </c>
    </row>
    <row r="10192" spans="1:1" ht="12.75" customHeight="1">
      <c r="A10192" s="129">
        <v>10192</v>
      </c>
    </row>
    <row r="10193" spans="1:1" ht="12.75" customHeight="1">
      <c r="A10193" s="129">
        <v>10193</v>
      </c>
    </row>
    <row r="10194" spans="1:1" ht="12.75" customHeight="1">
      <c r="A10194" s="129">
        <v>10194</v>
      </c>
    </row>
    <row r="10195" spans="1:1" ht="12.75" customHeight="1">
      <c r="A10195" s="129">
        <v>10195</v>
      </c>
    </row>
    <row r="10196" spans="1:1" ht="12.75" customHeight="1">
      <c r="A10196" s="129">
        <v>10196</v>
      </c>
    </row>
    <row r="10197" spans="1:1" ht="12.75" customHeight="1">
      <c r="A10197" s="129">
        <v>10197</v>
      </c>
    </row>
    <row r="10198" spans="1:1" ht="12.75" customHeight="1">
      <c r="A10198" s="129">
        <v>10198</v>
      </c>
    </row>
    <row r="10199" spans="1:1" ht="12.75" customHeight="1">
      <c r="A10199" s="129">
        <v>10199</v>
      </c>
    </row>
    <row r="10200" spans="1:1" ht="12.75" customHeight="1">
      <c r="A10200" s="129">
        <v>10200</v>
      </c>
    </row>
    <row r="10201" spans="1:1" ht="12.75" customHeight="1">
      <c r="A10201" s="129">
        <v>10201</v>
      </c>
    </row>
    <row r="10202" spans="1:1" ht="12.75" customHeight="1">
      <c r="A10202" s="129">
        <v>10202</v>
      </c>
    </row>
    <row r="10203" spans="1:1" ht="12.75" customHeight="1">
      <c r="A10203" s="129">
        <v>10203</v>
      </c>
    </row>
    <row r="10204" spans="1:1" ht="12.75" customHeight="1">
      <c r="A10204" s="129">
        <v>10204</v>
      </c>
    </row>
    <row r="10205" spans="1:1" ht="12.75" customHeight="1">
      <c r="A10205" s="129">
        <v>10205</v>
      </c>
    </row>
    <row r="10206" spans="1:1" ht="12.75" customHeight="1">
      <c r="A10206" s="129">
        <v>10206</v>
      </c>
    </row>
    <row r="10207" spans="1:1" ht="12.75" customHeight="1">
      <c r="A10207" s="129">
        <v>10207</v>
      </c>
    </row>
    <row r="10208" spans="1:1" ht="12.75" customHeight="1">
      <c r="A10208" s="129">
        <v>10208</v>
      </c>
    </row>
    <row r="10209" spans="1:1" ht="12.75" customHeight="1">
      <c r="A10209" s="129">
        <v>10209</v>
      </c>
    </row>
    <row r="10210" spans="1:1" ht="12.75" customHeight="1">
      <c r="A10210" s="129">
        <v>10210</v>
      </c>
    </row>
    <row r="10211" spans="1:1" ht="12.75" customHeight="1">
      <c r="A10211" s="129">
        <v>10211</v>
      </c>
    </row>
    <row r="10212" spans="1:1" ht="12.75" customHeight="1">
      <c r="A10212" s="129">
        <v>10212</v>
      </c>
    </row>
    <row r="10213" spans="1:1" ht="12.75" customHeight="1">
      <c r="A10213" s="129">
        <v>10213</v>
      </c>
    </row>
    <row r="10214" spans="1:1" ht="12.75" customHeight="1">
      <c r="A10214" s="129">
        <v>10214</v>
      </c>
    </row>
    <row r="10215" spans="1:1" ht="12.75" customHeight="1">
      <c r="A10215" s="129">
        <v>10215</v>
      </c>
    </row>
    <row r="10216" spans="1:1" ht="12.75" customHeight="1">
      <c r="A10216" s="129">
        <v>10216</v>
      </c>
    </row>
    <row r="10217" spans="1:1" ht="12.75" customHeight="1">
      <c r="A10217" s="129">
        <v>10217</v>
      </c>
    </row>
    <row r="10218" spans="1:1" ht="12.75" customHeight="1">
      <c r="A10218" s="129">
        <v>10218</v>
      </c>
    </row>
    <row r="10219" spans="1:1" ht="12.75" customHeight="1">
      <c r="A10219" s="129">
        <v>10219</v>
      </c>
    </row>
    <row r="10220" spans="1:1" ht="12.75" customHeight="1">
      <c r="A10220" s="129">
        <v>10220</v>
      </c>
    </row>
    <row r="10221" spans="1:1" ht="12.75" customHeight="1">
      <c r="A10221" s="129">
        <v>10221</v>
      </c>
    </row>
    <row r="10222" spans="1:1" ht="12.75" customHeight="1">
      <c r="A10222" s="129">
        <v>10222</v>
      </c>
    </row>
    <row r="10223" spans="1:1" ht="12.75" customHeight="1">
      <c r="A10223" s="129">
        <v>10223</v>
      </c>
    </row>
    <row r="10224" spans="1:1" ht="12.75" customHeight="1">
      <c r="A10224" s="129">
        <v>10224</v>
      </c>
    </row>
    <row r="10225" spans="1:1" ht="12.75" customHeight="1">
      <c r="A10225" s="129">
        <v>10225</v>
      </c>
    </row>
    <row r="10226" spans="1:1" ht="12.75" customHeight="1">
      <c r="A10226" s="129">
        <v>10226</v>
      </c>
    </row>
    <row r="10227" spans="1:1" ht="12.75" customHeight="1">
      <c r="A10227" s="129">
        <v>10227</v>
      </c>
    </row>
    <row r="10228" spans="1:1" ht="12.75" customHeight="1">
      <c r="A10228" s="129">
        <v>10228</v>
      </c>
    </row>
    <row r="10229" spans="1:1" ht="12.75" customHeight="1">
      <c r="A10229" s="129">
        <v>10229</v>
      </c>
    </row>
    <row r="10230" spans="1:1" ht="12.75" customHeight="1">
      <c r="A10230" s="129">
        <v>10230</v>
      </c>
    </row>
    <row r="10231" spans="1:1" ht="12.75" customHeight="1">
      <c r="A10231" s="129">
        <v>10231</v>
      </c>
    </row>
    <row r="10232" spans="1:1" ht="12.75" customHeight="1">
      <c r="A10232" s="129">
        <v>10232</v>
      </c>
    </row>
    <row r="10233" spans="1:1" ht="12.75" customHeight="1">
      <c r="A10233" s="129">
        <v>10233</v>
      </c>
    </row>
    <row r="10234" spans="1:1" ht="12.75" customHeight="1">
      <c r="A10234" s="129">
        <v>10234</v>
      </c>
    </row>
    <row r="10235" spans="1:1" ht="12.75" customHeight="1">
      <c r="A10235" s="129">
        <v>10235</v>
      </c>
    </row>
    <row r="10236" spans="1:1" ht="12.75" customHeight="1">
      <c r="A10236" s="129">
        <v>10236</v>
      </c>
    </row>
    <row r="10237" spans="1:1" ht="12.75" customHeight="1">
      <c r="A10237" s="129">
        <v>10237</v>
      </c>
    </row>
    <row r="10238" spans="1:1" ht="12.75" customHeight="1">
      <c r="A10238" s="129">
        <v>10238</v>
      </c>
    </row>
    <row r="10239" spans="1:1" ht="12.75" customHeight="1">
      <c r="A10239" s="129">
        <v>10239</v>
      </c>
    </row>
    <row r="10240" spans="1:1" ht="12.75" customHeight="1">
      <c r="A10240" s="129">
        <v>10240</v>
      </c>
    </row>
    <row r="10241" spans="1:1" ht="12.75" customHeight="1">
      <c r="A10241" s="129">
        <v>10241</v>
      </c>
    </row>
    <row r="10242" spans="1:1" ht="12.75" customHeight="1">
      <c r="A10242" s="129">
        <v>10242</v>
      </c>
    </row>
    <row r="10243" spans="1:1" ht="12.75" customHeight="1">
      <c r="A10243" s="129">
        <v>10243</v>
      </c>
    </row>
    <row r="10244" spans="1:1" ht="12.75" customHeight="1">
      <c r="A10244" s="129">
        <v>10244</v>
      </c>
    </row>
    <row r="10245" spans="1:1" ht="12.75" customHeight="1">
      <c r="A10245" s="129">
        <v>10245</v>
      </c>
    </row>
    <row r="10246" spans="1:1" ht="12.75" customHeight="1">
      <c r="A10246" s="129">
        <v>10246</v>
      </c>
    </row>
    <row r="10247" spans="1:1" ht="12.75" customHeight="1">
      <c r="A10247" s="129">
        <v>10247</v>
      </c>
    </row>
    <row r="10248" spans="1:1" ht="12.75" customHeight="1">
      <c r="A10248" s="129">
        <v>10248</v>
      </c>
    </row>
    <row r="10249" spans="1:1" ht="12.75" customHeight="1">
      <c r="A10249" s="129">
        <v>10249</v>
      </c>
    </row>
    <row r="10250" spans="1:1" ht="12.75" customHeight="1">
      <c r="A10250" s="129">
        <v>10250</v>
      </c>
    </row>
    <row r="10251" spans="1:1" ht="12.75" customHeight="1">
      <c r="A10251" s="129">
        <v>10251</v>
      </c>
    </row>
    <row r="10252" spans="1:1" ht="12.75" customHeight="1">
      <c r="A10252" s="129">
        <v>10252</v>
      </c>
    </row>
    <row r="10253" spans="1:1" ht="12.75" customHeight="1">
      <c r="A10253" s="129">
        <v>10253</v>
      </c>
    </row>
    <row r="10254" spans="1:1" ht="12.75" customHeight="1">
      <c r="A10254" s="129">
        <v>10254</v>
      </c>
    </row>
    <row r="10255" spans="1:1" ht="12.75" customHeight="1">
      <c r="A10255" s="129">
        <v>10255</v>
      </c>
    </row>
    <row r="10256" spans="1:1" ht="12.75" customHeight="1">
      <c r="A10256" s="129">
        <v>10256</v>
      </c>
    </row>
    <row r="10257" spans="1:1" ht="12.75" customHeight="1">
      <c r="A10257" s="129">
        <v>10257</v>
      </c>
    </row>
    <row r="10258" spans="1:1" ht="12.75" customHeight="1">
      <c r="A10258" s="129">
        <v>10258</v>
      </c>
    </row>
    <row r="10259" spans="1:1" ht="12.75" customHeight="1">
      <c r="A10259" s="129">
        <v>10259</v>
      </c>
    </row>
    <row r="10260" spans="1:1" ht="12.75" customHeight="1">
      <c r="A10260" s="129">
        <v>10260</v>
      </c>
    </row>
    <row r="10261" spans="1:1" ht="12.75" customHeight="1">
      <c r="A10261" s="129">
        <v>10261</v>
      </c>
    </row>
    <row r="10262" spans="1:1" ht="12.75" customHeight="1">
      <c r="A10262" s="129">
        <v>10262</v>
      </c>
    </row>
    <row r="10263" spans="1:1" ht="12.75" customHeight="1">
      <c r="A10263" s="129">
        <v>10263</v>
      </c>
    </row>
    <row r="10264" spans="1:1" ht="12.75" customHeight="1">
      <c r="A10264" s="129">
        <v>10264</v>
      </c>
    </row>
    <row r="10265" spans="1:1" ht="12.75" customHeight="1">
      <c r="A10265" s="129">
        <v>10265</v>
      </c>
    </row>
    <row r="10266" spans="1:1" ht="12.75" customHeight="1">
      <c r="A10266" s="129">
        <v>10266</v>
      </c>
    </row>
    <row r="10267" spans="1:1" ht="12.75" customHeight="1">
      <c r="A10267" s="129">
        <v>10267</v>
      </c>
    </row>
    <row r="10268" spans="1:1" ht="12.75" customHeight="1">
      <c r="A10268" s="129">
        <v>10268</v>
      </c>
    </row>
    <row r="10269" spans="1:1" ht="12.75" customHeight="1">
      <c r="A10269" s="129">
        <v>10269</v>
      </c>
    </row>
    <row r="10270" spans="1:1" ht="12.75" customHeight="1">
      <c r="A10270" s="129">
        <v>10270</v>
      </c>
    </row>
    <row r="10271" spans="1:1" ht="12.75" customHeight="1">
      <c r="A10271" s="129">
        <v>10271</v>
      </c>
    </row>
    <row r="10272" spans="1:1" ht="12.75" customHeight="1">
      <c r="A10272" s="129">
        <v>10272</v>
      </c>
    </row>
    <row r="10273" spans="1:1" ht="12.75" customHeight="1">
      <c r="A10273" s="129">
        <v>10273</v>
      </c>
    </row>
    <row r="10274" spans="1:1" ht="12.75" customHeight="1">
      <c r="A10274" s="129">
        <v>10274</v>
      </c>
    </row>
    <row r="10275" spans="1:1" ht="12.75" customHeight="1">
      <c r="A10275" s="129">
        <v>10275</v>
      </c>
    </row>
    <row r="10276" spans="1:1" ht="12.75" customHeight="1">
      <c r="A10276" s="129">
        <v>10276</v>
      </c>
    </row>
    <row r="10277" spans="1:1" ht="12.75" customHeight="1">
      <c r="A10277" s="129">
        <v>10277</v>
      </c>
    </row>
    <row r="10278" spans="1:1" ht="12.75" customHeight="1">
      <c r="A10278" s="129">
        <v>10278</v>
      </c>
    </row>
    <row r="10279" spans="1:1" ht="12.75" customHeight="1">
      <c r="A10279" s="129">
        <v>10279</v>
      </c>
    </row>
    <row r="10280" spans="1:1" ht="12.75" customHeight="1">
      <c r="A10280" s="129">
        <v>10280</v>
      </c>
    </row>
    <row r="10281" spans="1:1" ht="12.75" customHeight="1">
      <c r="A10281" s="129">
        <v>10281</v>
      </c>
    </row>
    <row r="10282" spans="1:1" ht="12.75" customHeight="1">
      <c r="A10282" s="129">
        <v>10282</v>
      </c>
    </row>
    <row r="10283" spans="1:1" ht="12.75" customHeight="1">
      <c r="A10283" s="129">
        <v>10283</v>
      </c>
    </row>
    <row r="10284" spans="1:1" ht="12.75" customHeight="1">
      <c r="A10284" s="129">
        <v>10284</v>
      </c>
    </row>
    <row r="10285" spans="1:1" ht="12.75" customHeight="1">
      <c r="A10285" s="129">
        <v>10285</v>
      </c>
    </row>
    <row r="10286" spans="1:1" ht="12.75" customHeight="1">
      <c r="A10286" s="129">
        <v>10286</v>
      </c>
    </row>
    <row r="10287" spans="1:1" ht="12.75" customHeight="1">
      <c r="A10287" s="129">
        <v>10287</v>
      </c>
    </row>
    <row r="10288" spans="1:1" ht="12.75" customHeight="1">
      <c r="A10288" s="129">
        <v>10288</v>
      </c>
    </row>
    <row r="10289" spans="1:1" ht="12.75" customHeight="1">
      <c r="A10289" s="129">
        <v>10289</v>
      </c>
    </row>
    <row r="10290" spans="1:1" ht="12.75" customHeight="1">
      <c r="A10290" s="129">
        <v>10290</v>
      </c>
    </row>
    <row r="10291" spans="1:1" ht="12.75" customHeight="1">
      <c r="A10291" s="129">
        <v>10291</v>
      </c>
    </row>
    <row r="10292" spans="1:1" ht="12.75" customHeight="1">
      <c r="A10292" s="129">
        <v>10292</v>
      </c>
    </row>
    <row r="10293" spans="1:1" ht="12.75" customHeight="1">
      <c r="A10293" s="129">
        <v>10293</v>
      </c>
    </row>
    <row r="10294" spans="1:1" ht="12.75" customHeight="1">
      <c r="A10294" s="129">
        <v>10294</v>
      </c>
    </row>
    <row r="10295" spans="1:1" ht="12.75" customHeight="1">
      <c r="A10295" s="129">
        <v>10295</v>
      </c>
    </row>
    <row r="10296" spans="1:1" ht="12.75" customHeight="1">
      <c r="A10296" s="129">
        <v>10296</v>
      </c>
    </row>
    <row r="10297" spans="1:1" ht="12.75" customHeight="1">
      <c r="A10297" s="129">
        <v>10297</v>
      </c>
    </row>
    <row r="10298" spans="1:1" ht="12.75" customHeight="1">
      <c r="A10298" s="129">
        <v>10298</v>
      </c>
    </row>
    <row r="10299" spans="1:1" ht="12.75" customHeight="1">
      <c r="A10299" s="129">
        <v>10299</v>
      </c>
    </row>
    <row r="10300" spans="1:1" ht="12.75" customHeight="1">
      <c r="A10300" s="129">
        <v>10300</v>
      </c>
    </row>
    <row r="10301" spans="1:1" ht="12.75" customHeight="1">
      <c r="A10301" s="129">
        <v>10301</v>
      </c>
    </row>
    <row r="10302" spans="1:1" ht="12.75" customHeight="1">
      <c r="A10302" s="129">
        <v>10302</v>
      </c>
    </row>
    <row r="10303" spans="1:1" ht="12.75" customHeight="1">
      <c r="A10303" s="129">
        <v>10303</v>
      </c>
    </row>
    <row r="10304" spans="1:1" ht="12.75" customHeight="1">
      <c r="A10304" s="129">
        <v>10304</v>
      </c>
    </row>
    <row r="10305" spans="1:1" ht="12.75" customHeight="1">
      <c r="A10305" s="129">
        <v>10305</v>
      </c>
    </row>
    <row r="10306" spans="1:1" ht="12.75" customHeight="1">
      <c r="A10306" s="129">
        <v>10306</v>
      </c>
    </row>
    <row r="10307" spans="1:1" ht="12.75" customHeight="1">
      <c r="A10307" s="129">
        <v>10307</v>
      </c>
    </row>
    <row r="10308" spans="1:1" ht="12.75" customHeight="1">
      <c r="A10308" s="129">
        <v>10308</v>
      </c>
    </row>
    <row r="10309" spans="1:1" ht="12.75" customHeight="1">
      <c r="A10309" s="129">
        <v>10309</v>
      </c>
    </row>
    <row r="10310" spans="1:1" ht="12.75" customHeight="1">
      <c r="A10310" s="129">
        <v>10310</v>
      </c>
    </row>
    <row r="10311" spans="1:1" ht="12.75" customHeight="1">
      <c r="A10311" s="129">
        <v>10311</v>
      </c>
    </row>
    <row r="10312" spans="1:1" ht="12.75" customHeight="1">
      <c r="A10312" s="129">
        <v>10312</v>
      </c>
    </row>
    <row r="10313" spans="1:1" ht="12.75" customHeight="1">
      <c r="A10313" s="129">
        <v>10313</v>
      </c>
    </row>
    <row r="10314" spans="1:1" ht="12.75" customHeight="1">
      <c r="A10314" s="129">
        <v>10314</v>
      </c>
    </row>
    <row r="10315" spans="1:1" ht="12.75" customHeight="1">
      <c r="A10315" s="129">
        <v>10315</v>
      </c>
    </row>
    <row r="10316" spans="1:1" ht="12.75" customHeight="1">
      <c r="A10316" s="129">
        <v>10316</v>
      </c>
    </row>
    <row r="10317" spans="1:1" ht="12.75" customHeight="1">
      <c r="A10317" s="129">
        <v>10317</v>
      </c>
    </row>
    <row r="10318" spans="1:1" ht="12.75" customHeight="1">
      <c r="A10318" s="129">
        <v>10318</v>
      </c>
    </row>
    <row r="10319" spans="1:1" ht="12.75" customHeight="1">
      <c r="A10319" s="129">
        <v>10319</v>
      </c>
    </row>
    <row r="10320" spans="1:1" ht="12.75" customHeight="1">
      <c r="A10320" s="129">
        <v>10320</v>
      </c>
    </row>
    <row r="10321" spans="1:1" ht="12.75" customHeight="1">
      <c r="A10321" s="129">
        <v>10321</v>
      </c>
    </row>
    <row r="10322" spans="1:1" ht="12.75" customHeight="1">
      <c r="A10322" s="129">
        <v>10322</v>
      </c>
    </row>
    <row r="10323" spans="1:1" ht="12.75" customHeight="1">
      <c r="A10323" s="129">
        <v>10323</v>
      </c>
    </row>
    <row r="10324" spans="1:1" ht="12.75" customHeight="1">
      <c r="A10324" s="129">
        <v>10324</v>
      </c>
    </row>
    <row r="10325" spans="1:1" ht="12.75" customHeight="1">
      <c r="A10325" s="129">
        <v>10325</v>
      </c>
    </row>
    <row r="10326" spans="1:1" ht="12.75" customHeight="1">
      <c r="A10326" s="129">
        <v>10326</v>
      </c>
    </row>
    <row r="10327" spans="1:1" ht="12.75" customHeight="1">
      <c r="A10327" s="129">
        <v>10327</v>
      </c>
    </row>
    <row r="10328" spans="1:1" ht="12.75" customHeight="1">
      <c r="A10328" s="129">
        <v>10328</v>
      </c>
    </row>
    <row r="10329" spans="1:1" ht="12.75" customHeight="1">
      <c r="A10329" s="129">
        <v>10329</v>
      </c>
    </row>
    <row r="10330" spans="1:1" ht="12.75" customHeight="1">
      <c r="A10330" s="129">
        <v>10330</v>
      </c>
    </row>
    <row r="10331" spans="1:1" ht="12.75" customHeight="1">
      <c r="A10331" s="129">
        <v>10331</v>
      </c>
    </row>
    <row r="10332" spans="1:1" ht="12.75" customHeight="1">
      <c r="A10332" s="129">
        <v>10332</v>
      </c>
    </row>
    <row r="10333" spans="1:1" ht="12.75" customHeight="1">
      <c r="A10333" s="129">
        <v>10333</v>
      </c>
    </row>
    <row r="10334" spans="1:1" ht="12.75" customHeight="1">
      <c r="A10334" s="129">
        <v>10334</v>
      </c>
    </row>
    <row r="10335" spans="1:1" ht="12.75" customHeight="1">
      <c r="A10335" s="129">
        <v>10335</v>
      </c>
    </row>
    <row r="10336" spans="1:1" ht="12.75" customHeight="1">
      <c r="A10336" s="129">
        <v>10336</v>
      </c>
    </row>
    <row r="10337" spans="1:1" ht="12.75" customHeight="1">
      <c r="A10337" s="129">
        <v>10337</v>
      </c>
    </row>
    <row r="10338" spans="1:1" ht="12.75" customHeight="1">
      <c r="A10338" s="129">
        <v>10338</v>
      </c>
    </row>
    <row r="10339" spans="1:1" ht="12.75" customHeight="1">
      <c r="A10339" s="129">
        <v>10339</v>
      </c>
    </row>
    <row r="10340" spans="1:1" ht="12.75" customHeight="1">
      <c r="A10340" s="129">
        <v>10340</v>
      </c>
    </row>
    <row r="10341" spans="1:1" ht="12.75" customHeight="1">
      <c r="A10341" s="129">
        <v>10341</v>
      </c>
    </row>
    <row r="10342" spans="1:1" ht="12.75" customHeight="1">
      <c r="A10342" s="129">
        <v>10342</v>
      </c>
    </row>
    <row r="10343" spans="1:1" ht="12.75" customHeight="1">
      <c r="A10343" s="129">
        <v>10343</v>
      </c>
    </row>
    <row r="10344" spans="1:1" ht="12.75" customHeight="1">
      <c r="A10344" s="129">
        <v>10344</v>
      </c>
    </row>
    <row r="10345" spans="1:1" ht="12.75" customHeight="1">
      <c r="A10345" s="129">
        <v>10345</v>
      </c>
    </row>
    <row r="10346" spans="1:1" ht="12.75" customHeight="1">
      <c r="A10346" s="129">
        <v>10346</v>
      </c>
    </row>
    <row r="10347" spans="1:1" ht="12.75" customHeight="1">
      <c r="A10347" s="129">
        <v>10347</v>
      </c>
    </row>
    <row r="10348" spans="1:1" ht="12.75" customHeight="1">
      <c r="A10348" s="129">
        <v>10348</v>
      </c>
    </row>
    <row r="10349" spans="1:1" ht="12.75" customHeight="1">
      <c r="A10349" s="129">
        <v>10349</v>
      </c>
    </row>
    <row r="10350" spans="1:1" ht="12.75" customHeight="1">
      <c r="A10350" s="129">
        <v>10350</v>
      </c>
    </row>
    <row r="10351" spans="1:1" ht="12.75" customHeight="1">
      <c r="A10351" s="129">
        <v>10351</v>
      </c>
    </row>
    <row r="10352" spans="1:1" ht="12.75" customHeight="1">
      <c r="A10352" s="129">
        <v>10352</v>
      </c>
    </row>
    <row r="10353" spans="1:1" ht="12.75" customHeight="1">
      <c r="A10353" s="129">
        <v>10353</v>
      </c>
    </row>
    <row r="10354" spans="1:1" ht="12.75" customHeight="1">
      <c r="A10354" s="129">
        <v>10354</v>
      </c>
    </row>
    <row r="10355" spans="1:1" ht="12.75" customHeight="1">
      <c r="A10355" s="129">
        <v>10355</v>
      </c>
    </row>
    <row r="10356" spans="1:1" ht="12.75" customHeight="1">
      <c r="A10356" s="129">
        <v>10356</v>
      </c>
    </row>
    <row r="10357" spans="1:1" ht="12.75" customHeight="1">
      <c r="A10357" s="129">
        <v>10357</v>
      </c>
    </row>
    <row r="10358" spans="1:1" ht="12.75" customHeight="1">
      <c r="A10358" s="129">
        <v>10358</v>
      </c>
    </row>
    <row r="10359" spans="1:1" ht="12.75" customHeight="1">
      <c r="A10359" s="129">
        <v>10359</v>
      </c>
    </row>
    <row r="10360" spans="1:1" ht="12.75" customHeight="1">
      <c r="A10360" s="129">
        <v>10360</v>
      </c>
    </row>
    <row r="10361" spans="1:1" ht="12.75" customHeight="1">
      <c r="A10361" s="129">
        <v>10361</v>
      </c>
    </row>
    <row r="10362" spans="1:1" ht="12.75" customHeight="1">
      <c r="A10362" s="129">
        <v>10362</v>
      </c>
    </row>
    <row r="10363" spans="1:1" ht="12.75" customHeight="1">
      <c r="A10363" s="129">
        <v>10363</v>
      </c>
    </row>
    <row r="10364" spans="1:1" ht="12.75" customHeight="1">
      <c r="A10364" s="129">
        <v>10364</v>
      </c>
    </row>
    <row r="10365" spans="1:1" ht="12.75" customHeight="1">
      <c r="A10365" s="129">
        <v>10365</v>
      </c>
    </row>
    <row r="10366" spans="1:1" ht="12.75" customHeight="1">
      <c r="A10366" s="129">
        <v>10366</v>
      </c>
    </row>
    <row r="10367" spans="1:1" ht="12.75" customHeight="1">
      <c r="A10367" s="129">
        <v>10367</v>
      </c>
    </row>
    <row r="10368" spans="1:1" ht="12.75" customHeight="1">
      <c r="A10368" s="129">
        <v>10368</v>
      </c>
    </row>
    <row r="10369" spans="1:1" ht="12.75" customHeight="1">
      <c r="A10369" s="129">
        <v>10369</v>
      </c>
    </row>
    <row r="10370" spans="1:1" ht="12.75" customHeight="1">
      <c r="A10370" s="129">
        <v>10370</v>
      </c>
    </row>
    <row r="10371" spans="1:1" ht="12.75" customHeight="1">
      <c r="A10371" s="129">
        <v>10371</v>
      </c>
    </row>
    <row r="10372" spans="1:1" ht="12.75" customHeight="1">
      <c r="A10372" s="129">
        <v>10372</v>
      </c>
    </row>
    <row r="10373" spans="1:1" ht="12.75" customHeight="1">
      <c r="A10373" s="129">
        <v>10373</v>
      </c>
    </row>
    <row r="10374" spans="1:1" ht="12.75" customHeight="1">
      <c r="A10374" s="129">
        <v>10374</v>
      </c>
    </row>
    <row r="10375" spans="1:1" ht="12.75" customHeight="1">
      <c r="A10375" s="129">
        <v>10375</v>
      </c>
    </row>
    <row r="10376" spans="1:1" ht="12.75" customHeight="1">
      <c r="A10376" s="129">
        <v>10376</v>
      </c>
    </row>
    <row r="10377" spans="1:1" ht="12.75" customHeight="1">
      <c r="A10377" s="129">
        <v>10377</v>
      </c>
    </row>
    <row r="10378" spans="1:1" ht="12.75" customHeight="1">
      <c r="A10378" s="129">
        <v>10378</v>
      </c>
    </row>
    <row r="10379" spans="1:1" ht="12.75" customHeight="1">
      <c r="A10379" s="129">
        <v>10379</v>
      </c>
    </row>
    <row r="10380" spans="1:1" ht="12.75" customHeight="1">
      <c r="A10380" s="129">
        <v>10380</v>
      </c>
    </row>
    <row r="10381" spans="1:1" ht="12.75" customHeight="1">
      <c r="A10381" s="129">
        <v>10381</v>
      </c>
    </row>
    <row r="10382" spans="1:1" ht="12.75" customHeight="1">
      <c r="A10382" s="129">
        <v>10382</v>
      </c>
    </row>
    <row r="10383" spans="1:1" ht="12.75" customHeight="1">
      <c r="A10383" s="129">
        <v>10383</v>
      </c>
    </row>
    <row r="10384" spans="1:1" ht="12.75" customHeight="1">
      <c r="A10384" s="129">
        <v>10384</v>
      </c>
    </row>
    <row r="10385" spans="1:1" ht="12.75" customHeight="1">
      <c r="A10385" s="129">
        <v>10385</v>
      </c>
    </row>
    <row r="10386" spans="1:1" ht="12.75" customHeight="1">
      <c r="A10386" s="129">
        <v>10386</v>
      </c>
    </row>
    <row r="10387" spans="1:1" ht="12.75" customHeight="1">
      <c r="A10387" s="129">
        <v>10387</v>
      </c>
    </row>
    <row r="10388" spans="1:1" ht="12.75" customHeight="1">
      <c r="A10388" s="129">
        <v>10388</v>
      </c>
    </row>
    <row r="10389" spans="1:1" ht="12.75" customHeight="1">
      <c r="A10389" s="129">
        <v>10389</v>
      </c>
    </row>
    <row r="10390" spans="1:1" ht="12.75" customHeight="1">
      <c r="A10390" s="129">
        <v>10390</v>
      </c>
    </row>
    <row r="10391" spans="1:1" ht="12.75" customHeight="1">
      <c r="A10391" s="129">
        <v>10391</v>
      </c>
    </row>
    <row r="10392" spans="1:1" ht="12.75" customHeight="1">
      <c r="A10392" s="129">
        <v>10392</v>
      </c>
    </row>
    <row r="10393" spans="1:1" ht="12.75" customHeight="1">
      <c r="A10393" s="129">
        <v>10393</v>
      </c>
    </row>
    <row r="10394" spans="1:1" ht="12.75" customHeight="1">
      <c r="A10394" s="129">
        <v>10394</v>
      </c>
    </row>
    <row r="10395" spans="1:1" ht="12.75" customHeight="1">
      <c r="A10395" s="129">
        <v>10395</v>
      </c>
    </row>
    <row r="10396" spans="1:1" ht="12.75" customHeight="1">
      <c r="A10396" s="129">
        <v>10396</v>
      </c>
    </row>
    <row r="10397" spans="1:1" ht="12.75" customHeight="1">
      <c r="A10397" s="129">
        <v>10397</v>
      </c>
    </row>
    <row r="10398" spans="1:1" ht="12.75" customHeight="1">
      <c r="A10398" s="129">
        <v>10398</v>
      </c>
    </row>
    <row r="10399" spans="1:1" ht="12.75" customHeight="1">
      <c r="A10399" s="129">
        <v>10399</v>
      </c>
    </row>
    <row r="10400" spans="1:1" ht="12.75" customHeight="1">
      <c r="A10400" s="129">
        <v>10400</v>
      </c>
    </row>
    <row r="10401" spans="1:1" ht="12.75" customHeight="1">
      <c r="A10401" s="129">
        <v>10401</v>
      </c>
    </row>
    <row r="10402" spans="1:1" ht="12.75" customHeight="1">
      <c r="A10402" s="129">
        <v>10402</v>
      </c>
    </row>
    <row r="10403" spans="1:1" ht="12.75" customHeight="1">
      <c r="A10403" s="129">
        <v>10403</v>
      </c>
    </row>
    <row r="10404" spans="1:1" ht="12.75" customHeight="1">
      <c r="A10404" s="129">
        <v>10404</v>
      </c>
    </row>
    <row r="10405" spans="1:1" ht="12.75" customHeight="1">
      <c r="A10405" s="129">
        <v>10405</v>
      </c>
    </row>
    <row r="10406" spans="1:1" ht="12.75" customHeight="1">
      <c r="A10406" s="129">
        <v>10406</v>
      </c>
    </row>
    <row r="10407" spans="1:1" ht="12.75" customHeight="1">
      <c r="A10407" s="129">
        <v>10407</v>
      </c>
    </row>
    <row r="10408" spans="1:1" ht="12.75" customHeight="1">
      <c r="A10408" s="129">
        <v>10408</v>
      </c>
    </row>
    <row r="10409" spans="1:1" ht="12.75" customHeight="1">
      <c r="A10409" s="129">
        <v>10409</v>
      </c>
    </row>
    <row r="10410" spans="1:1" ht="12.75" customHeight="1">
      <c r="A10410" s="129">
        <v>10410</v>
      </c>
    </row>
    <row r="10411" spans="1:1" ht="12.75" customHeight="1">
      <c r="A10411" s="129">
        <v>10411</v>
      </c>
    </row>
    <row r="10412" spans="1:1" ht="12.75" customHeight="1">
      <c r="A10412" s="129">
        <v>10412</v>
      </c>
    </row>
    <row r="10413" spans="1:1" ht="12.75" customHeight="1">
      <c r="A10413" s="129">
        <v>10413</v>
      </c>
    </row>
    <row r="10414" spans="1:1" ht="12.75" customHeight="1">
      <c r="A10414" s="129">
        <v>10414</v>
      </c>
    </row>
    <row r="10415" spans="1:1" ht="12.75" customHeight="1">
      <c r="A10415" s="129">
        <v>10415</v>
      </c>
    </row>
    <row r="10416" spans="1:1" ht="12.75" customHeight="1">
      <c r="A10416" s="129">
        <v>10416</v>
      </c>
    </row>
    <row r="10417" spans="1:1" ht="12.75" customHeight="1">
      <c r="A10417" s="129">
        <v>10417</v>
      </c>
    </row>
    <row r="10418" spans="1:1" ht="12.75" customHeight="1">
      <c r="A10418" s="129">
        <v>10418</v>
      </c>
    </row>
    <row r="10419" spans="1:1" ht="12.75" customHeight="1">
      <c r="A10419" s="129">
        <v>10419</v>
      </c>
    </row>
    <row r="10420" spans="1:1" ht="12.75" customHeight="1">
      <c r="A10420" s="129">
        <v>10420</v>
      </c>
    </row>
    <row r="10421" spans="1:1" ht="12.75" customHeight="1">
      <c r="A10421" s="129">
        <v>10421</v>
      </c>
    </row>
    <row r="10422" spans="1:1" ht="12.75" customHeight="1">
      <c r="A10422" s="129">
        <v>10422</v>
      </c>
    </row>
    <row r="10423" spans="1:1" ht="12.75" customHeight="1">
      <c r="A10423" s="129">
        <v>10423</v>
      </c>
    </row>
    <row r="10424" spans="1:1" ht="12.75" customHeight="1">
      <c r="A10424" s="129">
        <v>10424</v>
      </c>
    </row>
    <row r="10425" spans="1:1" ht="12.75" customHeight="1">
      <c r="A10425" s="129">
        <v>10425</v>
      </c>
    </row>
    <row r="10426" spans="1:1" ht="12.75" customHeight="1">
      <c r="A10426" s="129">
        <v>10426</v>
      </c>
    </row>
    <row r="10427" spans="1:1" ht="12.75" customHeight="1">
      <c r="A10427" s="129">
        <v>10427</v>
      </c>
    </row>
    <row r="10428" spans="1:1" ht="12.75" customHeight="1">
      <c r="A10428" s="129">
        <v>10428</v>
      </c>
    </row>
    <row r="10429" spans="1:1" ht="12.75" customHeight="1">
      <c r="A10429" s="129">
        <v>10429</v>
      </c>
    </row>
    <row r="10430" spans="1:1" ht="12.75" customHeight="1">
      <c r="A10430" s="129">
        <v>10430</v>
      </c>
    </row>
    <row r="10431" spans="1:1" ht="12.75" customHeight="1">
      <c r="A10431" s="129">
        <v>10431</v>
      </c>
    </row>
    <row r="10432" spans="1:1" ht="12.75" customHeight="1">
      <c r="A10432" s="129">
        <v>10432</v>
      </c>
    </row>
    <row r="10433" spans="1:1" ht="12.75" customHeight="1">
      <c r="A10433" s="129">
        <v>10433</v>
      </c>
    </row>
    <row r="10434" spans="1:1" ht="12.75" customHeight="1">
      <c r="A10434" s="129">
        <v>10434</v>
      </c>
    </row>
    <row r="10435" spans="1:1" ht="12.75" customHeight="1">
      <c r="A10435" s="129">
        <v>10435</v>
      </c>
    </row>
    <row r="10436" spans="1:1" ht="12.75" customHeight="1">
      <c r="A10436" s="129">
        <v>10436</v>
      </c>
    </row>
    <row r="10437" spans="1:1" ht="12.75" customHeight="1">
      <c r="A10437" s="129">
        <v>10437</v>
      </c>
    </row>
    <row r="10438" spans="1:1" ht="12.75" customHeight="1">
      <c r="A10438" s="129">
        <v>10438</v>
      </c>
    </row>
    <row r="10439" spans="1:1" ht="12.75" customHeight="1">
      <c r="A10439" s="129">
        <v>10439</v>
      </c>
    </row>
    <row r="10440" spans="1:1" ht="12.75" customHeight="1">
      <c r="A10440" s="129">
        <v>10440</v>
      </c>
    </row>
    <row r="10441" spans="1:1" ht="12.75" customHeight="1">
      <c r="A10441" s="129">
        <v>10441</v>
      </c>
    </row>
    <row r="10442" spans="1:1" ht="12.75" customHeight="1">
      <c r="A10442" s="129">
        <v>10442</v>
      </c>
    </row>
    <row r="10443" spans="1:1" ht="12.75" customHeight="1">
      <c r="A10443" s="129">
        <v>10443</v>
      </c>
    </row>
    <row r="10444" spans="1:1" ht="12.75" customHeight="1">
      <c r="A10444" s="129">
        <v>10444</v>
      </c>
    </row>
    <row r="10445" spans="1:1" ht="12.75" customHeight="1">
      <c r="A10445" s="129">
        <v>10445</v>
      </c>
    </row>
    <row r="10446" spans="1:1" ht="12.75" customHeight="1">
      <c r="A10446" s="129">
        <v>10446</v>
      </c>
    </row>
    <row r="10447" spans="1:1" ht="12.75" customHeight="1">
      <c r="A10447" s="129">
        <v>10447</v>
      </c>
    </row>
    <row r="10448" spans="1:1" ht="12.75" customHeight="1">
      <c r="A10448" s="129">
        <v>10448</v>
      </c>
    </row>
    <row r="10449" spans="1:1" ht="12.75" customHeight="1">
      <c r="A10449" s="129">
        <v>10449</v>
      </c>
    </row>
    <row r="10450" spans="1:1" ht="12.75" customHeight="1">
      <c r="A10450" s="129">
        <v>10450</v>
      </c>
    </row>
    <row r="10451" spans="1:1" ht="12.75" customHeight="1">
      <c r="A10451" s="129">
        <v>10451</v>
      </c>
    </row>
    <row r="10452" spans="1:1" ht="12.75" customHeight="1">
      <c r="A10452" s="129">
        <v>10452</v>
      </c>
    </row>
    <row r="10453" spans="1:1" ht="12.75" customHeight="1">
      <c r="A10453" s="129">
        <v>10453</v>
      </c>
    </row>
    <row r="10454" spans="1:1" ht="12.75" customHeight="1">
      <c r="A10454" s="129">
        <v>10454</v>
      </c>
    </row>
    <row r="10455" spans="1:1" ht="12.75" customHeight="1">
      <c r="A10455" s="129">
        <v>10455</v>
      </c>
    </row>
    <row r="10456" spans="1:1" ht="12.75" customHeight="1">
      <c r="A10456" s="129">
        <v>10456</v>
      </c>
    </row>
    <row r="10457" spans="1:1" ht="12.75" customHeight="1">
      <c r="A10457" s="129">
        <v>10457</v>
      </c>
    </row>
    <row r="10458" spans="1:1" ht="12.75" customHeight="1">
      <c r="A10458" s="129">
        <v>10458</v>
      </c>
    </row>
    <row r="10459" spans="1:1" ht="12.75" customHeight="1">
      <c r="A10459" s="129">
        <v>10459</v>
      </c>
    </row>
    <row r="10460" spans="1:1" ht="12.75" customHeight="1">
      <c r="A10460" s="129">
        <v>10460</v>
      </c>
    </row>
    <row r="10461" spans="1:1" ht="12.75" customHeight="1">
      <c r="A10461" s="129">
        <v>10461</v>
      </c>
    </row>
    <row r="10462" spans="1:1" ht="12.75" customHeight="1">
      <c r="A10462" s="129">
        <v>10462</v>
      </c>
    </row>
    <row r="10463" spans="1:1" ht="12.75" customHeight="1">
      <c r="A10463" s="129">
        <v>10463</v>
      </c>
    </row>
    <row r="10464" spans="1:1" ht="12.75" customHeight="1">
      <c r="A10464" s="129">
        <v>10464</v>
      </c>
    </row>
    <row r="10465" spans="1:1" ht="12.75" customHeight="1">
      <c r="A10465" s="129">
        <v>10465</v>
      </c>
    </row>
    <row r="10466" spans="1:1" ht="12.75" customHeight="1">
      <c r="A10466" s="129">
        <v>10466</v>
      </c>
    </row>
    <row r="10467" spans="1:1" ht="12.75" customHeight="1">
      <c r="A10467" s="129">
        <v>10467</v>
      </c>
    </row>
    <row r="10468" spans="1:1" ht="12.75" customHeight="1">
      <c r="A10468" s="129">
        <v>10468</v>
      </c>
    </row>
    <row r="10469" spans="1:1" ht="12.75" customHeight="1">
      <c r="A10469" s="129">
        <v>10469</v>
      </c>
    </row>
    <row r="10470" spans="1:1" ht="12.75" customHeight="1">
      <c r="A10470" s="129">
        <v>10470</v>
      </c>
    </row>
    <row r="10471" spans="1:1" ht="12.75" customHeight="1">
      <c r="A10471" s="129">
        <v>10471</v>
      </c>
    </row>
    <row r="10472" spans="1:1" ht="12.75" customHeight="1">
      <c r="A10472" s="129">
        <v>10472</v>
      </c>
    </row>
    <row r="10473" spans="1:1" ht="12.75" customHeight="1">
      <c r="A10473" s="129">
        <v>10473</v>
      </c>
    </row>
    <row r="10474" spans="1:1" ht="12.75" customHeight="1">
      <c r="A10474" s="129">
        <v>10474</v>
      </c>
    </row>
    <row r="10475" spans="1:1" ht="12.75" customHeight="1">
      <c r="A10475" s="129">
        <v>10475</v>
      </c>
    </row>
    <row r="10476" spans="1:1" ht="12.75" customHeight="1">
      <c r="A10476" s="129">
        <v>10476</v>
      </c>
    </row>
    <row r="10477" spans="1:1" ht="12.75" customHeight="1">
      <c r="A10477" s="129">
        <v>10477</v>
      </c>
    </row>
    <row r="10478" spans="1:1" ht="12.75" customHeight="1">
      <c r="A10478" s="129">
        <v>10478</v>
      </c>
    </row>
    <row r="10479" spans="1:1" ht="12.75" customHeight="1">
      <c r="A10479" s="129">
        <v>10479</v>
      </c>
    </row>
    <row r="10480" spans="1:1" ht="12.75" customHeight="1">
      <c r="A10480" s="129">
        <v>10480</v>
      </c>
    </row>
    <row r="10481" spans="1:1" ht="12.75" customHeight="1">
      <c r="A10481" s="129">
        <v>10481</v>
      </c>
    </row>
    <row r="10482" spans="1:1" ht="12.75" customHeight="1">
      <c r="A10482" s="129">
        <v>10482</v>
      </c>
    </row>
    <row r="10483" spans="1:1" ht="12.75" customHeight="1">
      <c r="A10483" s="129">
        <v>10483</v>
      </c>
    </row>
    <row r="10484" spans="1:1" ht="12.75" customHeight="1">
      <c r="A10484" s="129">
        <v>10484</v>
      </c>
    </row>
    <row r="10485" spans="1:1" ht="12.75" customHeight="1">
      <c r="A10485" s="129">
        <v>10485</v>
      </c>
    </row>
    <row r="10486" spans="1:1" ht="12.75" customHeight="1">
      <c r="A10486" s="129">
        <v>10486</v>
      </c>
    </row>
    <row r="10487" spans="1:1" ht="12.75" customHeight="1">
      <c r="A10487" s="129">
        <v>10487</v>
      </c>
    </row>
    <row r="10488" spans="1:1" ht="12.75" customHeight="1">
      <c r="A10488" s="129">
        <v>10488</v>
      </c>
    </row>
    <row r="10489" spans="1:1" ht="12.75" customHeight="1">
      <c r="A10489" s="129">
        <v>10489</v>
      </c>
    </row>
    <row r="10490" spans="1:1" ht="12.75" customHeight="1">
      <c r="A10490" s="129">
        <v>10490</v>
      </c>
    </row>
    <row r="10491" spans="1:1" ht="12.75" customHeight="1">
      <c r="A10491" s="129">
        <v>10491</v>
      </c>
    </row>
    <row r="10492" spans="1:1" ht="12.75" customHeight="1">
      <c r="A10492" s="129">
        <v>10492</v>
      </c>
    </row>
    <row r="10493" spans="1:1" ht="12.75" customHeight="1">
      <c r="A10493" s="129">
        <v>10493</v>
      </c>
    </row>
    <row r="10494" spans="1:1" ht="12.75" customHeight="1">
      <c r="A10494" s="129">
        <v>10494</v>
      </c>
    </row>
    <row r="10495" spans="1:1" ht="12.75" customHeight="1">
      <c r="A10495" s="129">
        <v>10495</v>
      </c>
    </row>
    <row r="10496" spans="1:1" ht="12.75" customHeight="1">
      <c r="A10496" s="129">
        <v>10496</v>
      </c>
    </row>
    <row r="10497" spans="1:1" ht="12.75" customHeight="1">
      <c r="A10497" s="129">
        <v>10497</v>
      </c>
    </row>
    <row r="10498" spans="1:1" ht="12.75" customHeight="1">
      <c r="A10498" s="129">
        <v>10498</v>
      </c>
    </row>
    <row r="10499" spans="1:1" ht="12.75" customHeight="1">
      <c r="A10499" s="129">
        <v>10499</v>
      </c>
    </row>
    <row r="10500" spans="1:1" ht="12.75" customHeight="1">
      <c r="A10500" s="129">
        <v>10500</v>
      </c>
    </row>
    <row r="10501" spans="1:1" ht="12.75" customHeight="1">
      <c r="A10501" s="129">
        <v>10501</v>
      </c>
    </row>
    <row r="10502" spans="1:1" ht="12.75" customHeight="1">
      <c r="A10502" s="129">
        <v>10502</v>
      </c>
    </row>
    <row r="10503" spans="1:1" ht="12.75" customHeight="1">
      <c r="A10503" s="129">
        <v>10503</v>
      </c>
    </row>
    <row r="10504" spans="1:1" ht="12.75" customHeight="1">
      <c r="A10504" s="129">
        <v>10504</v>
      </c>
    </row>
    <row r="10505" spans="1:1" ht="12.75" customHeight="1">
      <c r="A10505" s="129">
        <v>10505</v>
      </c>
    </row>
    <row r="10506" spans="1:1" ht="12.75" customHeight="1">
      <c r="A10506" s="129">
        <v>10506</v>
      </c>
    </row>
    <row r="10507" spans="1:1" ht="12.75" customHeight="1">
      <c r="A10507" s="129">
        <v>10507</v>
      </c>
    </row>
    <row r="10508" spans="1:1" ht="12.75" customHeight="1">
      <c r="A10508" s="129">
        <v>10508</v>
      </c>
    </row>
    <row r="10509" spans="1:1" ht="12.75" customHeight="1">
      <c r="A10509" s="129">
        <v>10509</v>
      </c>
    </row>
    <row r="10510" spans="1:1" ht="12.75" customHeight="1">
      <c r="A10510" s="129">
        <v>10510</v>
      </c>
    </row>
    <row r="10511" spans="1:1" ht="12.75" customHeight="1">
      <c r="A10511" s="129">
        <v>10511</v>
      </c>
    </row>
    <row r="10512" spans="1:1" ht="12.75" customHeight="1">
      <c r="A10512" s="129">
        <v>10512</v>
      </c>
    </row>
    <row r="10513" spans="1:1" ht="12.75" customHeight="1">
      <c r="A10513" s="129">
        <v>10513</v>
      </c>
    </row>
    <row r="10514" spans="1:1" ht="12.75" customHeight="1">
      <c r="A10514" s="129">
        <v>10514</v>
      </c>
    </row>
    <row r="10515" spans="1:1" ht="12.75" customHeight="1">
      <c r="A10515" s="129">
        <v>10515</v>
      </c>
    </row>
    <row r="10516" spans="1:1" ht="12.75" customHeight="1">
      <c r="A10516" s="129">
        <v>10516</v>
      </c>
    </row>
    <row r="10517" spans="1:1" ht="12.75" customHeight="1">
      <c r="A10517" s="129">
        <v>10517</v>
      </c>
    </row>
    <row r="10518" spans="1:1" ht="12.75" customHeight="1">
      <c r="A10518" s="129">
        <v>10518</v>
      </c>
    </row>
    <row r="10519" spans="1:1" ht="12.75" customHeight="1">
      <c r="A10519" s="129">
        <v>10519</v>
      </c>
    </row>
    <row r="10520" spans="1:1" ht="12.75" customHeight="1">
      <c r="A10520" s="129">
        <v>10520</v>
      </c>
    </row>
    <row r="10521" spans="1:1" ht="12.75" customHeight="1">
      <c r="A10521" s="129">
        <v>10521</v>
      </c>
    </row>
    <row r="10522" spans="1:1" ht="12.75" customHeight="1">
      <c r="A10522" s="129">
        <v>10522</v>
      </c>
    </row>
    <row r="10523" spans="1:1" ht="12.75" customHeight="1">
      <c r="A10523" s="129">
        <v>10523</v>
      </c>
    </row>
    <row r="10524" spans="1:1" ht="12.75" customHeight="1">
      <c r="A10524" s="129">
        <v>10524</v>
      </c>
    </row>
    <row r="10525" spans="1:1" ht="12.75" customHeight="1">
      <c r="A10525" s="129">
        <v>10525</v>
      </c>
    </row>
    <row r="10526" spans="1:1" ht="12.75" customHeight="1">
      <c r="A10526" s="129">
        <v>10526</v>
      </c>
    </row>
    <row r="10527" spans="1:1" ht="12.75" customHeight="1">
      <c r="A10527" s="129">
        <v>10527</v>
      </c>
    </row>
    <row r="10528" spans="1:1" ht="12.75" customHeight="1">
      <c r="A10528" s="129">
        <v>10528</v>
      </c>
    </row>
    <row r="10529" spans="1:1" ht="12.75" customHeight="1">
      <c r="A10529" s="129">
        <v>10529</v>
      </c>
    </row>
    <row r="10530" spans="1:1" ht="12.75" customHeight="1">
      <c r="A10530" s="129">
        <v>10530</v>
      </c>
    </row>
    <row r="10531" spans="1:1" ht="12.75" customHeight="1">
      <c r="A10531" s="129">
        <v>10531</v>
      </c>
    </row>
    <row r="10532" spans="1:1" ht="12.75" customHeight="1">
      <c r="A10532" s="129">
        <v>10532</v>
      </c>
    </row>
    <row r="10533" spans="1:1" ht="12.75" customHeight="1">
      <c r="A10533" s="129">
        <v>10533</v>
      </c>
    </row>
    <row r="10534" spans="1:1" ht="12.75" customHeight="1">
      <c r="A10534" s="129">
        <v>10534</v>
      </c>
    </row>
    <row r="10535" spans="1:1" ht="12.75" customHeight="1">
      <c r="A10535" s="129">
        <v>10535</v>
      </c>
    </row>
    <row r="10536" spans="1:1" ht="12.75" customHeight="1">
      <c r="A10536" s="129">
        <v>10536</v>
      </c>
    </row>
    <row r="10537" spans="1:1" ht="12.75" customHeight="1">
      <c r="A10537" s="129">
        <v>10537</v>
      </c>
    </row>
    <row r="10538" spans="1:1" ht="12.75" customHeight="1">
      <c r="A10538" s="129">
        <v>10538</v>
      </c>
    </row>
    <row r="10539" spans="1:1" ht="12.75" customHeight="1">
      <c r="A10539" s="129">
        <v>10539</v>
      </c>
    </row>
    <row r="10540" spans="1:1" ht="12.75" customHeight="1">
      <c r="A10540" s="129">
        <v>10540</v>
      </c>
    </row>
    <row r="10541" spans="1:1" ht="12.75" customHeight="1">
      <c r="A10541" s="129">
        <v>10541</v>
      </c>
    </row>
    <row r="10542" spans="1:1" ht="12.75" customHeight="1">
      <c r="A10542" s="129">
        <v>10542</v>
      </c>
    </row>
    <row r="10543" spans="1:1" ht="12.75" customHeight="1">
      <c r="A10543" s="129">
        <v>10543</v>
      </c>
    </row>
    <row r="10544" spans="1:1" ht="12.75" customHeight="1">
      <c r="A10544" s="129">
        <v>10544</v>
      </c>
    </row>
    <row r="10545" spans="1:1" ht="12.75" customHeight="1">
      <c r="A10545" s="129">
        <v>10545</v>
      </c>
    </row>
    <row r="10546" spans="1:1" ht="12.75" customHeight="1">
      <c r="A10546" s="129">
        <v>10546</v>
      </c>
    </row>
    <row r="10547" spans="1:1" ht="12.75" customHeight="1">
      <c r="A10547" s="129">
        <v>10547</v>
      </c>
    </row>
    <row r="10548" spans="1:1" ht="12.75" customHeight="1">
      <c r="A10548" s="129">
        <v>10548</v>
      </c>
    </row>
    <row r="10549" spans="1:1" ht="12.75" customHeight="1">
      <c r="A10549" s="129">
        <v>10549</v>
      </c>
    </row>
    <row r="10550" spans="1:1" ht="12.75" customHeight="1">
      <c r="A10550" s="129">
        <v>10550</v>
      </c>
    </row>
    <row r="10551" spans="1:1" ht="12.75" customHeight="1">
      <c r="A10551" s="129">
        <v>10551</v>
      </c>
    </row>
    <row r="10552" spans="1:1" ht="12.75" customHeight="1">
      <c r="A10552" s="129">
        <v>10552</v>
      </c>
    </row>
    <row r="10553" spans="1:1" ht="12.75" customHeight="1">
      <c r="A10553" s="129">
        <v>10553</v>
      </c>
    </row>
    <row r="10554" spans="1:1" ht="12.75" customHeight="1">
      <c r="A10554" s="129">
        <v>10554</v>
      </c>
    </row>
    <row r="10555" spans="1:1" ht="12.75" customHeight="1">
      <c r="A10555" s="129">
        <v>10555</v>
      </c>
    </row>
    <row r="10556" spans="1:1" ht="12.75" customHeight="1">
      <c r="A10556" s="129">
        <v>10556</v>
      </c>
    </row>
    <row r="10557" spans="1:1" ht="12.75" customHeight="1">
      <c r="A10557" s="129">
        <v>10557</v>
      </c>
    </row>
    <row r="10558" spans="1:1" ht="12.75" customHeight="1">
      <c r="A10558" s="129">
        <v>10558</v>
      </c>
    </row>
    <row r="10559" spans="1:1" ht="12.75" customHeight="1">
      <c r="A10559" s="129">
        <v>10559</v>
      </c>
    </row>
    <row r="10560" spans="1:1" ht="12.75" customHeight="1">
      <c r="A10560" s="129">
        <v>10560</v>
      </c>
    </row>
    <row r="10561" spans="1:1" ht="12.75" customHeight="1">
      <c r="A10561" s="129">
        <v>10561</v>
      </c>
    </row>
    <row r="10562" spans="1:1" ht="12.75" customHeight="1">
      <c r="A10562" s="129">
        <v>10562</v>
      </c>
    </row>
    <row r="10563" spans="1:1" ht="12.75" customHeight="1">
      <c r="A10563" s="129">
        <v>10563</v>
      </c>
    </row>
    <row r="10564" spans="1:1" ht="12.75" customHeight="1">
      <c r="A10564" s="129">
        <v>10564</v>
      </c>
    </row>
    <row r="10565" spans="1:1" ht="12.75" customHeight="1">
      <c r="A10565" s="129">
        <v>10565</v>
      </c>
    </row>
    <row r="10566" spans="1:1" ht="12.75" customHeight="1">
      <c r="A10566" s="129">
        <v>10566</v>
      </c>
    </row>
    <row r="10567" spans="1:1" ht="12.75" customHeight="1">
      <c r="A10567" s="129">
        <v>10567</v>
      </c>
    </row>
    <row r="10568" spans="1:1" ht="12.75" customHeight="1">
      <c r="A10568" s="129">
        <v>10568</v>
      </c>
    </row>
    <row r="10569" spans="1:1" ht="12.75" customHeight="1">
      <c r="A10569" s="129">
        <v>10569</v>
      </c>
    </row>
    <row r="10570" spans="1:1" ht="12.75" customHeight="1">
      <c r="A10570" s="129">
        <v>10570</v>
      </c>
    </row>
    <row r="10571" spans="1:1" ht="12.75" customHeight="1">
      <c r="A10571" s="129">
        <v>10571</v>
      </c>
    </row>
    <row r="10572" spans="1:1" ht="12.75" customHeight="1">
      <c r="A10572" s="129">
        <v>10572</v>
      </c>
    </row>
    <row r="10573" spans="1:1" ht="12.75" customHeight="1">
      <c r="A10573" s="129">
        <v>10573</v>
      </c>
    </row>
    <row r="10574" spans="1:1" ht="12.75" customHeight="1">
      <c r="A10574" s="129">
        <v>10574</v>
      </c>
    </row>
    <row r="10575" spans="1:1" ht="12.75" customHeight="1">
      <c r="A10575" s="129">
        <v>10575</v>
      </c>
    </row>
    <row r="10576" spans="1:1" ht="12.75" customHeight="1">
      <c r="A10576" s="129">
        <v>10576</v>
      </c>
    </row>
    <row r="10577" spans="1:1" ht="12.75" customHeight="1">
      <c r="A10577" s="129">
        <v>10577</v>
      </c>
    </row>
    <row r="10578" spans="1:1" ht="12.75" customHeight="1">
      <c r="A10578" s="129">
        <v>10578</v>
      </c>
    </row>
    <row r="10579" spans="1:1" ht="12.75" customHeight="1">
      <c r="A10579" s="129">
        <v>10579</v>
      </c>
    </row>
    <row r="10580" spans="1:1" ht="12.75" customHeight="1">
      <c r="A10580" s="129">
        <v>10580</v>
      </c>
    </row>
    <row r="10581" spans="1:1" ht="12.75" customHeight="1">
      <c r="A10581" s="129">
        <v>10581</v>
      </c>
    </row>
    <row r="10582" spans="1:1" ht="12.75" customHeight="1">
      <c r="A10582" s="129">
        <v>10582</v>
      </c>
    </row>
    <row r="10583" spans="1:1" ht="12.75" customHeight="1">
      <c r="A10583" s="129">
        <v>10583</v>
      </c>
    </row>
    <row r="10584" spans="1:1" ht="12.75" customHeight="1">
      <c r="A10584" s="129">
        <v>10584</v>
      </c>
    </row>
    <row r="10585" spans="1:1" ht="12.75" customHeight="1">
      <c r="A10585" s="129">
        <v>10585</v>
      </c>
    </row>
    <row r="10586" spans="1:1" ht="12.75" customHeight="1">
      <c r="A10586" s="129">
        <v>10586</v>
      </c>
    </row>
    <row r="10587" spans="1:1" ht="12.75" customHeight="1">
      <c r="A10587" s="129">
        <v>10587</v>
      </c>
    </row>
    <row r="10588" spans="1:1" ht="12.75" customHeight="1">
      <c r="A10588" s="129">
        <v>10588</v>
      </c>
    </row>
    <row r="10589" spans="1:1" ht="12.75" customHeight="1">
      <c r="A10589" s="129">
        <v>10589</v>
      </c>
    </row>
    <row r="10590" spans="1:1" ht="12.75" customHeight="1">
      <c r="A10590" s="129">
        <v>10590</v>
      </c>
    </row>
    <row r="10591" spans="1:1" ht="12.75" customHeight="1">
      <c r="A10591" s="129">
        <v>10591</v>
      </c>
    </row>
    <row r="10592" spans="1:1" ht="12.75" customHeight="1">
      <c r="A10592" s="129">
        <v>10592</v>
      </c>
    </row>
    <row r="10593" spans="1:1" ht="12.75" customHeight="1">
      <c r="A10593" s="129">
        <v>10593</v>
      </c>
    </row>
    <row r="10594" spans="1:1" ht="12.75" customHeight="1">
      <c r="A10594" s="129">
        <v>10594</v>
      </c>
    </row>
    <row r="10595" spans="1:1" ht="12.75" customHeight="1">
      <c r="A10595" s="129">
        <v>10595</v>
      </c>
    </row>
    <row r="10596" spans="1:1" ht="12.75" customHeight="1">
      <c r="A10596" s="129">
        <v>10596</v>
      </c>
    </row>
    <row r="10597" spans="1:1" ht="12.75" customHeight="1">
      <c r="A10597" s="129">
        <v>10597</v>
      </c>
    </row>
    <row r="10598" spans="1:1" ht="12.75" customHeight="1">
      <c r="A10598" s="129">
        <v>10598</v>
      </c>
    </row>
    <row r="10599" spans="1:1" ht="12.75" customHeight="1">
      <c r="A10599" s="129">
        <v>10599</v>
      </c>
    </row>
    <row r="10600" spans="1:1" ht="12.75" customHeight="1">
      <c r="A10600" s="129">
        <v>10600</v>
      </c>
    </row>
    <row r="10601" spans="1:1" ht="12.75" customHeight="1">
      <c r="A10601" s="129">
        <v>10601</v>
      </c>
    </row>
    <row r="10602" spans="1:1" ht="12.75" customHeight="1">
      <c r="A10602" s="129">
        <v>10602</v>
      </c>
    </row>
    <row r="10603" spans="1:1" ht="12.75" customHeight="1">
      <c r="A10603" s="129">
        <v>10603</v>
      </c>
    </row>
    <row r="10604" spans="1:1" ht="12.75" customHeight="1">
      <c r="A10604" s="129">
        <v>10604</v>
      </c>
    </row>
    <row r="10605" spans="1:1" ht="12.75" customHeight="1">
      <c r="A10605" s="129">
        <v>10605</v>
      </c>
    </row>
    <row r="10606" spans="1:1" ht="12.75" customHeight="1">
      <c r="A10606" s="129">
        <v>10606</v>
      </c>
    </row>
    <row r="10607" spans="1:1" ht="12.75" customHeight="1">
      <c r="A10607" s="129">
        <v>10607</v>
      </c>
    </row>
    <row r="10608" spans="1:1" ht="12.75" customHeight="1">
      <c r="A10608" s="129">
        <v>10608</v>
      </c>
    </row>
    <row r="10609" spans="1:1" ht="12.75" customHeight="1">
      <c r="A10609" s="129">
        <v>10609</v>
      </c>
    </row>
    <row r="10610" spans="1:1" ht="12.75" customHeight="1">
      <c r="A10610" s="129">
        <v>10610</v>
      </c>
    </row>
    <row r="10611" spans="1:1" ht="12.75" customHeight="1">
      <c r="A10611" s="129">
        <v>10611</v>
      </c>
    </row>
    <row r="10612" spans="1:1" ht="12.75" customHeight="1">
      <c r="A10612" s="129">
        <v>10612</v>
      </c>
    </row>
    <row r="10613" spans="1:1" ht="12.75" customHeight="1">
      <c r="A10613" s="129">
        <v>10613</v>
      </c>
    </row>
    <row r="10614" spans="1:1" ht="12.75" customHeight="1">
      <c r="A10614" s="129">
        <v>10614</v>
      </c>
    </row>
    <row r="10615" spans="1:1" ht="12.75" customHeight="1">
      <c r="A10615" s="129">
        <v>10615</v>
      </c>
    </row>
    <row r="10616" spans="1:1" ht="12.75" customHeight="1">
      <c r="A10616" s="129">
        <v>10616</v>
      </c>
    </row>
    <row r="10617" spans="1:1" ht="12.75" customHeight="1">
      <c r="A10617" s="129">
        <v>10617</v>
      </c>
    </row>
    <row r="10618" spans="1:1" ht="12.75" customHeight="1">
      <c r="A10618" s="129">
        <v>10618</v>
      </c>
    </row>
    <row r="10619" spans="1:1" ht="12.75" customHeight="1">
      <c r="A10619" s="129">
        <v>10619</v>
      </c>
    </row>
    <row r="10620" spans="1:1" ht="12.75" customHeight="1">
      <c r="A10620" s="129">
        <v>10620</v>
      </c>
    </row>
    <row r="10621" spans="1:1" ht="12.75" customHeight="1">
      <c r="A10621" s="129">
        <v>10621</v>
      </c>
    </row>
    <row r="10622" spans="1:1" ht="12.75" customHeight="1">
      <c r="A10622" s="129">
        <v>10622</v>
      </c>
    </row>
    <row r="10623" spans="1:1" ht="12.75" customHeight="1">
      <c r="A10623" s="129">
        <v>10623</v>
      </c>
    </row>
    <row r="10624" spans="1:1" ht="12.75" customHeight="1">
      <c r="A10624" s="129">
        <v>10624</v>
      </c>
    </row>
    <row r="10625" spans="1:1" ht="12.75" customHeight="1">
      <c r="A10625" s="129">
        <v>10625</v>
      </c>
    </row>
    <row r="10626" spans="1:1" ht="12.75" customHeight="1">
      <c r="A10626" s="129">
        <v>10626</v>
      </c>
    </row>
    <row r="10627" spans="1:1" ht="12.75" customHeight="1">
      <c r="A10627" s="129">
        <v>10627</v>
      </c>
    </row>
    <row r="10628" spans="1:1" ht="12.75" customHeight="1">
      <c r="A10628" s="129">
        <v>10628</v>
      </c>
    </row>
    <row r="10629" spans="1:1" ht="12.75" customHeight="1">
      <c r="A10629" s="129">
        <v>10629</v>
      </c>
    </row>
    <row r="10630" spans="1:1" ht="12.75" customHeight="1">
      <c r="A10630" s="129">
        <v>10630</v>
      </c>
    </row>
    <row r="10631" spans="1:1" ht="12.75" customHeight="1">
      <c r="A10631" s="129">
        <v>10631</v>
      </c>
    </row>
    <row r="10632" spans="1:1" ht="12.75" customHeight="1">
      <c r="A10632" s="129">
        <v>10632</v>
      </c>
    </row>
    <row r="10633" spans="1:1" ht="12.75" customHeight="1">
      <c r="A10633" s="129">
        <v>10633</v>
      </c>
    </row>
    <row r="10634" spans="1:1" ht="12.75" customHeight="1">
      <c r="A10634" s="129">
        <v>10634</v>
      </c>
    </row>
    <row r="10635" spans="1:1" ht="12.75" customHeight="1">
      <c r="A10635" s="129">
        <v>10635</v>
      </c>
    </row>
    <row r="10636" spans="1:1" ht="12.75" customHeight="1">
      <c r="A10636" s="129">
        <v>10636</v>
      </c>
    </row>
    <row r="10637" spans="1:1" ht="12.75" customHeight="1">
      <c r="A10637" s="129">
        <v>10637</v>
      </c>
    </row>
    <row r="10638" spans="1:1" ht="12.75" customHeight="1">
      <c r="A10638" s="129">
        <v>10638</v>
      </c>
    </row>
    <row r="10639" spans="1:1" ht="12.75" customHeight="1">
      <c r="A10639" s="129">
        <v>10639</v>
      </c>
    </row>
    <row r="10640" spans="1:1" ht="12.75" customHeight="1">
      <c r="A10640" s="129">
        <v>10640</v>
      </c>
    </row>
    <row r="10641" spans="1:1" ht="12.75" customHeight="1">
      <c r="A10641" s="129">
        <v>10641</v>
      </c>
    </row>
    <row r="10642" spans="1:1" ht="12.75" customHeight="1">
      <c r="A10642" s="129">
        <v>10642</v>
      </c>
    </row>
    <row r="10643" spans="1:1" ht="12.75" customHeight="1">
      <c r="A10643" s="129">
        <v>10643</v>
      </c>
    </row>
    <row r="10644" spans="1:1" ht="12.75" customHeight="1">
      <c r="A10644" s="129">
        <v>10644</v>
      </c>
    </row>
    <row r="10645" spans="1:1" ht="12.75" customHeight="1">
      <c r="A10645" s="129">
        <v>10645</v>
      </c>
    </row>
    <row r="10646" spans="1:1" ht="12.75" customHeight="1">
      <c r="A10646" s="129">
        <v>10646</v>
      </c>
    </row>
    <row r="10647" spans="1:1" ht="12.75" customHeight="1">
      <c r="A10647" s="129">
        <v>10647</v>
      </c>
    </row>
    <row r="10648" spans="1:1" ht="12.75" customHeight="1">
      <c r="A10648" s="129">
        <v>10648</v>
      </c>
    </row>
    <row r="10649" spans="1:1" ht="12.75" customHeight="1">
      <c r="A10649" s="129">
        <v>10649</v>
      </c>
    </row>
    <row r="10650" spans="1:1" ht="12.75" customHeight="1">
      <c r="A10650" s="129">
        <v>10650</v>
      </c>
    </row>
    <row r="10651" spans="1:1" ht="12.75" customHeight="1">
      <c r="A10651" s="129">
        <v>10651</v>
      </c>
    </row>
    <row r="10652" spans="1:1" ht="12.75" customHeight="1">
      <c r="A10652" s="129">
        <v>10652</v>
      </c>
    </row>
    <row r="10653" spans="1:1" ht="12.75" customHeight="1">
      <c r="A10653" s="129">
        <v>10653</v>
      </c>
    </row>
    <row r="10654" spans="1:1" ht="12.75" customHeight="1">
      <c r="A10654" s="129">
        <v>10654</v>
      </c>
    </row>
    <row r="10655" spans="1:1" ht="12.75" customHeight="1">
      <c r="A10655" s="129">
        <v>10655</v>
      </c>
    </row>
    <row r="10656" spans="1:1" ht="12.75" customHeight="1">
      <c r="A10656" s="129">
        <v>10656</v>
      </c>
    </row>
    <row r="10657" spans="1:1" ht="12.75" customHeight="1">
      <c r="A10657" s="129">
        <v>10657</v>
      </c>
    </row>
    <row r="10658" spans="1:1" ht="12.75" customHeight="1">
      <c r="A10658" s="129">
        <v>10658</v>
      </c>
    </row>
    <row r="10659" spans="1:1" ht="12.75" customHeight="1">
      <c r="A10659" s="129">
        <v>10659</v>
      </c>
    </row>
    <row r="10660" spans="1:1" ht="12.75" customHeight="1">
      <c r="A10660" s="129">
        <v>10660</v>
      </c>
    </row>
    <row r="10661" spans="1:1" ht="12.75" customHeight="1">
      <c r="A10661" s="129">
        <v>10661</v>
      </c>
    </row>
    <row r="10662" spans="1:1" ht="12.75" customHeight="1">
      <c r="A10662" s="129">
        <v>10662</v>
      </c>
    </row>
    <row r="10663" spans="1:1" ht="12.75" customHeight="1">
      <c r="A10663" s="129">
        <v>10663</v>
      </c>
    </row>
    <row r="10664" spans="1:1" ht="12.75" customHeight="1">
      <c r="A10664" s="129">
        <v>10664</v>
      </c>
    </row>
    <row r="10665" spans="1:1" ht="12.75" customHeight="1">
      <c r="A10665" s="129">
        <v>10665</v>
      </c>
    </row>
    <row r="10666" spans="1:1" ht="12.75" customHeight="1">
      <c r="A10666" s="129">
        <v>10666</v>
      </c>
    </row>
    <row r="10667" spans="1:1" ht="12.75" customHeight="1">
      <c r="A10667" s="129">
        <v>10667</v>
      </c>
    </row>
    <row r="10668" spans="1:1" ht="12.75" customHeight="1">
      <c r="A10668" s="129">
        <v>10668</v>
      </c>
    </row>
    <row r="10669" spans="1:1" ht="12.75" customHeight="1">
      <c r="A10669" s="129">
        <v>10669</v>
      </c>
    </row>
    <row r="10670" spans="1:1" ht="12.75" customHeight="1">
      <c r="A10670" s="129">
        <v>10670</v>
      </c>
    </row>
    <row r="10671" spans="1:1" ht="12.75" customHeight="1">
      <c r="A10671" s="129">
        <v>10671</v>
      </c>
    </row>
    <row r="10672" spans="1:1" ht="12.75" customHeight="1">
      <c r="A10672" s="129">
        <v>10672</v>
      </c>
    </row>
    <row r="10673" spans="1:1" ht="12.75" customHeight="1">
      <c r="A10673" s="129">
        <v>10673</v>
      </c>
    </row>
    <row r="10674" spans="1:1" ht="12.75" customHeight="1">
      <c r="A10674" s="129">
        <v>10674</v>
      </c>
    </row>
    <row r="10675" spans="1:1" ht="12.75" customHeight="1">
      <c r="A10675" s="129">
        <v>10675</v>
      </c>
    </row>
    <row r="10676" spans="1:1" ht="12.75" customHeight="1">
      <c r="A10676" s="129">
        <v>10676</v>
      </c>
    </row>
    <row r="10677" spans="1:1" ht="12.75" customHeight="1">
      <c r="A10677" s="129">
        <v>10677</v>
      </c>
    </row>
    <row r="10678" spans="1:1" ht="12.75" customHeight="1">
      <c r="A10678" s="129">
        <v>10678</v>
      </c>
    </row>
    <row r="10679" spans="1:1" ht="12.75" customHeight="1">
      <c r="A10679" s="129">
        <v>10679</v>
      </c>
    </row>
    <row r="10680" spans="1:1" ht="12.75" customHeight="1">
      <c r="A10680" s="129">
        <v>10680</v>
      </c>
    </row>
    <row r="10681" spans="1:1" ht="12.75" customHeight="1">
      <c r="A10681" s="129">
        <v>10681</v>
      </c>
    </row>
    <row r="10682" spans="1:1" ht="12.75" customHeight="1">
      <c r="A10682" s="129">
        <v>10682</v>
      </c>
    </row>
    <row r="10683" spans="1:1" ht="12.75" customHeight="1">
      <c r="A10683" s="129">
        <v>10683</v>
      </c>
    </row>
    <row r="10684" spans="1:1" ht="12.75" customHeight="1">
      <c r="A10684" s="129">
        <v>10684</v>
      </c>
    </row>
    <row r="10685" spans="1:1" ht="12.75" customHeight="1">
      <c r="A10685" s="129">
        <v>10685</v>
      </c>
    </row>
    <row r="10686" spans="1:1" ht="12.75" customHeight="1">
      <c r="A10686" s="129">
        <v>10686</v>
      </c>
    </row>
    <row r="10687" spans="1:1" ht="12.75" customHeight="1">
      <c r="A10687" s="129">
        <v>10687</v>
      </c>
    </row>
    <row r="10688" spans="1:1" ht="12.75" customHeight="1">
      <c r="A10688" s="129">
        <v>10688</v>
      </c>
    </row>
    <row r="10689" spans="1:1" ht="12.75" customHeight="1">
      <c r="A10689" s="129">
        <v>10689</v>
      </c>
    </row>
    <row r="10690" spans="1:1" ht="12.75" customHeight="1">
      <c r="A10690" s="129">
        <v>10690</v>
      </c>
    </row>
    <row r="10691" spans="1:1" ht="12.75" customHeight="1">
      <c r="A10691" s="129">
        <v>10691</v>
      </c>
    </row>
    <row r="10692" spans="1:1" ht="12.75" customHeight="1">
      <c r="A10692" s="129">
        <v>10692</v>
      </c>
    </row>
    <row r="10693" spans="1:1" ht="12.75" customHeight="1">
      <c r="A10693" s="129">
        <v>10693</v>
      </c>
    </row>
    <row r="10694" spans="1:1" ht="12.75" customHeight="1">
      <c r="A10694" s="129">
        <v>10694</v>
      </c>
    </row>
    <row r="10695" spans="1:1" ht="12.75" customHeight="1">
      <c r="A10695" s="129">
        <v>10695</v>
      </c>
    </row>
    <row r="10696" spans="1:1" ht="12.75" customHeight="1">
      <c r="A10696" s="129">
        <v>10696</v>
      </c>
    </row>
    <row r="10697" spans="1:1" ht="12.75" customHeight="1">
      <c r="A10697" s="129">
        <v>10697</v>
      </c>
    </row>
    <row r="10698" spans="1:1" ht="12.75" customHeight="1">
      <c r="A10698" s="129">
        <v>10698</v>
      </c>
    </row>
    <row r="10699" spans="1:1" ht="12.75" customHeight="1">
      <c r="A10699" s="129">
        <v>10699</v>
      </c>
    </row>
    <row r="10700" spans="1:1" ht="12.75" customHeight="1">
      <c r="A10700" s="129">
        <v>10700</v>
      </c>
    </row>
    <row r="10701" spans="1:1" ht="12.75" customHeight="1">
      <c r="A10701" s="129">
        <v>10701</v>
      </c>
    </row>
    <row r="10702" spans="1:1" ht="12.75" customHeight="1">
      <c r="A10702" s="129">
        <v>10702</v>
      </c>
    </row>
    <row r="10703" spans="1:1" ht="12.75" customHeight="1">
      <c r="A10703" s="129">
        <v>10703</v>
      </c>
    </row>
    <row r="10704" spans="1:1" ht="12.75" customHeight="1">
      <c r="A10704" s="129">
        <v>10704</v>
      </c>
    </row>
    <row r="10705" spans="1:1" ht="12.75" customHeight="1">
      <c r="A10705" s="129">
        <v>10705</v>
      </c>
    </row>
    <row r="10706" spans="1:1" ht="12.75" customHeight="1">
      <c r="A10706" s="129">
        <v>10706</v>
      </c>
    </row>
    <row r="10707" spans="1:1" ht="12.75" customHeight="1">
      <c r="A10707" s="129">
        <v>10707</v>
      </c>
    </row>
    <row r="10708" spans="1:1" ht="12.75" customHeight="1">
      <c r="A10708" s="129">
        <v>10708</v>
      </c>
    </row>
    <row r="10709" spans="1:1" ht="12.75" customHeight="1">
      <c r="A10709" s="129">
        <v>10709</v>
      </c>
    </row>
    <row r="10710" spans="1:1" ht="12.75" customHeight="1">
      <c r="A10710" s="129">
        <v>10710</v>
      </c>
    </row>
    <row r="10711" spans="1:1" ht="12.75" customHeight="1">
      <c r="A10711" s="129">
        <v>10711</v>
      </c>
    </row>
    <row r="10712" spans="1:1" ht="12.75" customHeight="1">
      <c r="A10712" s="129">
        <v>10712</v>
      </c>
    </row>
    <row r="10713" spans="1:1" ht="12.75" customHeight="1">
      <c r="A10713" s="129">
        <v>10713</v>
      </c>
    </row>
    <row r="10714" spans="1:1" ht="12.75" customHeight="1">
      <c r="A10714" s="129">
        <v>10714</v>
      </c>
    </row>
    <row r="10715" spans="1:1" ht="12.75" customHeight="1">
      <c r="A10715" s="129">
        <v>10715</v>
      </c>
    </row>
    <row r="10716" spans="1:1" ht="12.75" customHeight="1">
      <c r="A10716" s="129">
        <v>10716</v>
      </c>
    </row>
    <row r="10717" spans="1:1" ht="12.75" customHeight="1">
      <c r="A10717" s="129">
        <v>10717</v>
      </c>
    </row>
    <row r="10718" spans="1:1" ht="12.75" customHeight="1">
      <c r="A10718" s="129">
        <v>10718</v>
      </c>
    </row>
    <row r="10719" spans="1:1" ht="12.75" customHeight="1">
      <c r="A10719" s="129">
        <v>10719</v>
      </c>
    </row>
    <row r="10720" spans="1:1" ht="12.75" customHeight="1">
      <c r="A10720" s="129">
        <v>10720</v>
      </c>
    </row>
    <row r="10721" spans="1:1" ht="12.75" customHeight="1">
      <c r="A10721" s="129">
        <v>10721</v>
      </c>
    </row>
    <row r="10722" spans="1:1" ht="12.75" customHeight="1">
      <c r="A10722" s="129">
        <v>10722</v>
      </c>
    </row>
    <row r="10723" spans="1:1" ht="12.75" customHeight="1">
      <c r="A10723" s="129">
        <v>10723</v>
      </c>
    </row>
    <row r="10724" spans="1:1" ht="12.75" customHeight="1">
      <c r="A10724" s="129">
        <v>10724</v>
      </c>
    </row>
    <row r="10725" spans="1:1" ht="12.75" customHeight="1">
      <c r="A10725" s="129">
        <v>10725</v>
      </c>
    </row>
    <row r="10726" spans="1:1" ht="12.75" customHeight="1">
      <c r="A10726" s="129">
        <v>10726</v>
      </c>
    </row>
    <row r="10727" spans="1:1" ht="12.75" customHeight="1">
      <c r="A10727" s="129">
        <v>10727</v>
      </c>
    </row>
    <row r="10728" spans="1:1" ht="12.75" customHeight="1">
      <c r="A10728" s="129">
        <v>10728</v>
      </c>
    </row>
    <row r="10729" spans="1:1" ht="12.75" customHeight="1">
      <c r="A10729" s="129">
        <v>10729</v>
      </c>
    </row>
    <row r="10730" spans="1:1" ht="12.75" customHeight="1">
      <c r="A10730" s="129">
        <v>10730</v>
      </c>
    </row>
    <row r="10731" spans="1:1" ht="12.75" customHeight="1">
      <c r="A10731" s="129">
        <v>10731</v>
      </c>
    </row>
    <row r="10732" spans="1:1" ht="12.75" customHeight="1">
      <c r="A10732" s="129">
        <v>10732</v>
      </c>
    </row>
    <row r="10733" spans="1:1" ht="12.75" customHeight="1">
      <c r="A10733" s="129">
        <v>10733</v>
      </c>
    </row>
    <row r="10734" spans="1:1" ht="12.75" customHeight="1">
      <c r="A10734" s="129">
        <v>10734</v>
      </c>
    </row>
    <row r="10735" spans="1:1" ht="12.75" customHeight="1">
      <c r="A10735" s="129">
        <v>10735</v>
      </c>
    </row>
    <row r="10736" spans="1:1" ht="12.75" customHeight="1">
      <c r="A10736" s="129">
        <v>10736</v>
      </c>
    </row>
    <row r="10737" spans="1:1" ht="12.75" customHeight="1">
      <c r="A10737" s="129">
        <v>10737</v>
      </c>
    </row>
    <row r="10738" spans="1:1" ht="12.75" customHeight="1">
      <c r="A10738" s="129">
        <v>10738</v>
      </c>
    </row>
    <row r="10739" spans="1:1" ht="12.75" customHeight="1">
      <c r="A10739" s="129">
        <v>10739</v>
      </c>
    </row>
    <row r="10740" spans="1:1" ht="12.75" customHeight="1">
      <c r="A10740" s="129">
        <v>10740</v>
      </c>
    </row>
    <row r="10741" spans="1:1" ht="12.75" customHeight="1">
      <c r="A10741" s="129">
        <v>10741</v>
      </c>
    </row>
    <row r="10742" spans="1:1" ht="12.75" customHeight="1">
      <c r="A10742" s="129">
        <v>10742</v>
      </c>
    </row>
    <row r="10743" spans="1:1" ht="12.75" customHeight="1">
      <c r="A10743" s="129">
        <v>10743</v>
      </c>
    </row>
    <row r="10744" spans="1:1" ht="12.75" customHeight="1">
      <c r="A10744" s="129">
        <v>10744</v>
      </c>
    </row>
    <row r="10745" spans="1:1" ht="12.75" customHeight="1">
      <c r="A10745" s="129">
        <v>10745</v>
      </c>
    </row>
    <row r="10746" spans="1:1" ht="12.75" customHeight="1">
      <c r="A10746" s="129">
        <v>10746</v>
      </c>
    </row>
    <row r="10747" spans="1:1" ht="12.75" customHeight="1">
      <c r="A10747" s="129">
        <v>10747</v>
      </c>
    </row>
    <row r="10748" spans="1:1" ht="12.75" customHeight="1">
      <c r="A10748" s="129">
        <v>10748</v>
      </c>
    </row>
    <row r="10749" spans="1:1" ht="12.75" customHeight="1">
      <c r="A10749" s="129">
        <v>10749</v>
      </c>
    </row>
    <row r="10750" spans="1:1" ht="12.75" customHeight="1">
      <c r="A10750" s="129">
        <v>10750</v>
      </c>
    </row>
    <row r="10751" spans="1:1" ht="12.75" customHeight="1">
      <c r="A10751" s="129">
        <v>10751</v>
      </c>
    </row>
    <row r="10752" spans="1:1" ht="12.75" customHeight="1">
      <c r="A10752" s="129">
        <v>10752</v>
      </c>
    </row>
    <row r="10753" spans="1:1" ht="12.75" customHeight="1">
      <c r="A10753" s="129">
        <v>10753</v>
      </c>
    </row>
    <row r="10754" spans="1:1" ht="12.75" customHeight="1">
      <c r="A10754" s="129">
        <v>10754</v>
      </c>
    </row>
    <row r="10755" spans="1:1" ht="12.75" customHeight="1">
      <c r="A10755" s="129">
        <v>10755</v>
      </c>
    </row>
    <row r="10756" spans="1:1" ht="12.75" customHeight="1">
      <c r="A10756" s="129">
        <v>10756</v>
      </c>
    </row>
    <row r="10757" spans="1:1" ht="12.75" customHeight="1">
      <c r="A10757" s="129">
        <v>10757</v>
      </c>
    </row>
    <row r="10758" spans="1:1" ht="12.75" customHeight="1">
      <c r="A10758" s="129">
        <v>10758</v>
      </c>
    </row>
    <row r="10759" spans="1:1" ht="12.75" customHeight="1">
      <c r="A10759" s="129">
        <v>10759</v>
      </c>
    </row>
    <row r="10760" spans="1:1" ht="12.75" customHeight="1">
      <c r="A10760" s="129">
        <v>10760</v>
      </c>
    </row>
    <row r="10761" spans="1:1" ht="12.75" customHeight="1">
      <c r="A10761" s="129">
        <v>10761</v>
      </c>
    </row>
    <row r="10762" spans="1:1" ht="12.75" customHeight="1">
      <c r="A10762" s="129">
        <v>10762</v>
      </c>
    </row>
    <row r="10763" spans="1:1" ht="12.75" customHeight="1">
      <c r="A10763" s="129">
        <v>10763</v>
      </c>
    </row>
    <row r="10764" spans="1:1" ht="12.75" customHeight="1">
      <c r="A10764" s="129">
        <v>10764</v>
      </c>
    </row>
    <row r="10765" spans="1:1" ht="12.75" customHeight="1">
      <c r="A10765" s="129">
        <v>10765</v>
      </c>
    </row>
    <row r="10766" spans="1:1" ht="12.75" customHeight="1">
      <c r="A10766" s="129">
        <v>10766</v>
      </c>
    </row>
    <row r="10767" spans="1:1" ht="12.75" customHeight="1">
      <c r="A10767" s="129">
        <v>10767</v>
      </c>
    </row>
    <row r="10768" spans="1:1" ht="12.75" customHeight="1">
      <c r="A10768" s="129">
        <v>10768</v>
      </c>
    </row>
    <row r="10769" spans="1:1" ht="12.75" customHeight="1">
      <c r="A10769" s="129">
        <v>10769</v>
      </c>
    </row>
    <row r="10770" spans="1:1" ht="12.75" customHeight="1">
      <c r="A10770" s="129">
        <v>10770</v>
      </c>
    </row>
    <row r="10771" spans="1:1" ht="12.75" customHeight="1">
      <c r="A10771" s="129">
        <v>10771</v>
      </c>
    </row>
    <row r="10772" spans="1:1" ht="12.75" customHeight="1">
      <c r="A10772" s="129">
        <v>10772</v>
      </c>
    </row>
    <row r="10773" spans="1:1" ht="12.75" customHeight="1">
      <c r="A10773" s="129">
        <v>10773</v>
      </c>
    </row>
    <row r="10774" spans="1:1" ht="12.75" customHeight="1">
      <c r="A10774" s="129">
        <v>10774</v>
      </c>
    </row>
    <row r="10775" spans="1:1" ht="12.75" customHeight="1">
      <c r="A10775" s="129">
        <v>10775</v>
      </c>
    </row>
    <row r="10776" spans="1:1" ht="12.75" customHeight="1">
      <c r="A10776" s="129">
        <v>10776</v>
      </c>
    </row>
    <row r="10777" spans="1:1" ht="12.75" customHeight="1">
      <c r="A10777" s="129">
        <v>10777</v>
      </c>
    </row>
    <row r="10778" spans="1:1" ht="12.75" customHeight="1">
      <c r="A10778" s="129">
        <v>10778</v>
      </c>
    </row>
    <row r="10779" spans="1:1" ht="12.75" customHeight="1">
      <c r="A10779" s="129">
        <v>10779</v>
      </c>
    </row>
    <row r="10780" spans="1:1" ht="12.75" customHeight="1">
      <c r="A10780" s="129">
        <v>10780</v>
      </c>
    </row>
    <row r="10781" spans="1:1" ht="12.75" customHeight="1">
      <c r="A10781" s="129">
        <v>10781</v>
      </c>
    </row>
    <row r="10782" spans="1:1" ht="12.75" customHeight="1">
      <c r="A10782" s="129">
        <v>10782</v>
      </c>
    </row>
    <row r="10783" spans="1:1" ht="12.75" customHeight="1">
      <c r="A10783" s="129">
        <v>10783</v>
      </c>
    </row>
    <row r="10784" spans="1:1" ht="12.75" customHeight="1">
      <c r="A10784" s="129">
        <v>10784</v>
      </c>
    </row>
    <row r="10785" spans="1:1" ht="12.75" customHeight="1">
      <c r="A10785" s="129">
        <v>10785</v>
      </c>
    </row>
    <row r="10786" spans="1:1" ht="12.75" customHeight="1">
      <c r="A10786" s="129">
        <v>10786</v>
      </c>
    </row>
    <row r="10787" spans="1:1" ht="12.75" customHeight="1">
      <c r="A10787" s="129">
        <v>10787</v>
      </c>
    </row>
    <row r="10788" spans="1:1" ht="12.75" customHeight="1">
      <c r="A10788" s="129">
        <v>10788</v>
      </c>
    </row>
    <row r="10789" spans="1:1" ht="12.75" customHeight="1">
      <c r="A10789" s="129">
        <v>10789</v>
      </c>
    </row>
    <row r="10790" spans="1:1" ht="12.75" customHeight="1">
      <c r="A10790" s="129">
        <v>10790</v>
      </c>
    </row>
    <row r="10791" spans="1:1" ht="12.75" customHeight="1">
      <c r="A10791" s="129">
        <v>10791</v>
      </c>
    </row>
    <row r="10792" spans="1:1" ht="12.75" customHeight="1">
      <c r="A10792" s="129">
        <v>10792</v>
      </c>
    </row>
    <row r="10793" spans="1:1" ht="12.75" customHeight="1">
      <c r="A10793" s="129">
        <v>10793</v>
      </c>
    </row>
    <row r="10794" spans="1:1" ht="12.75" customHeight="1">
      <c r="A10794" s="129">
        <v>10794</v>
      </c>
    </row>
    <row r="10795" spans="1:1" ht="12.75" customHeight="1">
      <c r="A10795" s="129">
        <v>10795</v>
      </c>
    </row>
    <row r="10796" spans="1:1" ht="12.75" customHeight="1">
      <c r="A10796" s="129">
        <v>10796</v>
      </c>
    </row>
    <row r="10797" spans="1:1" ht="12.75" customHeight="1">
      <c r="A10797" s="129">
        <v>10797</v>
      </c>
    </row>
    <row r="10798" spans="1:1" ht="12.75" customHeight="1">
      <c r="A10798" s="129">
        <v>10798</v>
      </c>
    </row>
    <row r="10799" spans="1:1" ht="12.75" customHeight="1">
      <c r="A10799" s="129">
        <v>10799</v>
      </c>
    </row>
    <row r="10800" spans="1:1" ht="12.75" customHeight="1">
      <c r="A10800" s="129">
        <v>10800</v>
      </c>
    </row>
    <row r="10801" spans="1:1" ht="12.75" customHeight="1">
      <c r="A10801" s="129">
        <v>10801</v>
      </c>
    </row>
    <row r="10802" spans="1:1" ht="12.75" customHeight="1">
      <c r="A10802" s="129">
        <v>10802</v>
      </c>
    </row>
    <row r="10803" spans="1:1" ht="12.75" customHeight="1">
      <c r="A10803" s="129">
        <v>10803</v>
      </c>
    </row>
    <row r="10804" spans="1:1" ht="12.75" customHeight="1">
      <c r="A10804" s="129">
        <v>10804</v>
      </c>
    </row>
    <row r="10805" spans="1:1" ht="12.75" customHeight="1">
      <c r="A10805" s="129">
        <v>10805</v>
      </c>
    </row>
    <row r="10806" spans="1:1" ht="12.75" customHeight="1">
      <c r="A10806" s="129">
        <v>10806</v>
      </c>
    </row>
    <row r="10807" spans="1:1" ht="12.75" customHeight="1">
      <c r="A10807" s="129">
        <v>10807</v>
      </c>
    </row>
    <row r="10808" spans="1:1" ht="12.75" customHeight="1">
      <c r="A10808" s="129">
        <v>10808</v>
      </c>
    </row>
    <row r="10809" spans="1:1" ht="12.75" customHeight="1">
      <c r="A10809" s="129">
        <v>10809</v>
      </c>
    </row>
    <row r="10810" spans="1:1" ht="12.75" customHeight="1">
      <c r="A10810" s="129">
        <v>10810</v>
      </c>
    </row>
    <row r="10811" spans="1:1" ht="12.75" customHeight="1">
      <c r="A10811" s="129">
        <v>10811</v>
      </c>
    </row>
    <row r="10812" spans="1:1" ht="12.75" customHeight="1">
      <c r="A10812" s="129">
        <v>10812</v>
      </c>
    </row>
    <row r="10813" spans="1:1" ht="12.75" customHeight="1">
      <c r="A10813" s="129">
        <v>10813</v>
      </c>
    </row>
    <row r="10814" spans="1:1" ht="12.75" customHeight="1">
      <c r="A10814" s="129">
        <v>10814</v>
      </c>
    </row>
    <row r="10815" spans="1:1" ht="12.75" customHeight="1">
      <c r="A10815" s="129">
        <v>10815</v>
      </c>
    </row>
    <row r="10816" spans="1:1" ht="12.75" customHeight="1">
      <c r="A10816" s="129">
        <v>10816</v>
      </c>
    </row>
    <row r="10817" spans="1:1" ht="12.75" customHeight="1">
      <c r="A10817" s="129">
        <v>10817</v>
      </c>
    </row>
    <row r="10818" spans="1:1" ht="12.75" customHeight="1">
      <c r="A10818" s="129">
        <v>10818</v>
      </c>
    </row>
    <row r="10819" spans="1:1" ht="12.75" customHeight="1">
      <c r="A10819" s="129">
        <v>10819</v>
      </c>
    </row>
    <row r="10820" spans="1:1" ht="12.75" customHeight="1">
      <c r="A10820" s="129">
        <v>10820</v>
      </c>
    </row>
    <row r="10821" spans="1:1" ht="12.75" customHeight="1">
      <c r="A10821" s="129">
        <v>10821</v>
      </c>
    </row>
    <row r="10822" spans="1:1" ht="12.75" customHeight="1">
      <c r="A10822" s="129">
        <v>10822</v>
      </c>
    </row>
    <row r="10823" spans="1:1" ht="12.75" customHeight="1">
      <c r="A10823" s="129">
        <v>10823</v>
      </c>
    </row>
    <row r="10824" spans="1:1" ht="12.75" customHeight="1">
      <c r="A10824" s="129">
        <v>10824</v>
      </c>
    </row>
    <row r="10825" spans="1:1" ht="12.75" customHeight="1">
      <c r="A10825" s="129">
        <v>10825</v>
      </c>
    </row>
    <row r="10826" spans="1:1" ht="12.75" customHeight="1">
      <c r="A10826" s="129">
        <v>10826</v>
      </c>
    </row>
    <row r="10827" spans="1:1" ht="12.75" customHeight="1">
      <c r="A10827" s="129">
        <v>10827</v>
      </c>
    </row>
    <row r="10828" spans="1:1" ht="12.75" customHeight="1">
      <c r="A10828" s="129">
        <v>10828</v>
      </c>
    </row>
    <row r="10829" spans="1:1" ht="12.75" customHeight="1">
      <c r="A10829" s="129">
        <v>10829</v>
      </c>
    </row>
    <row r="10830" spans="1:1" ht="12.75" customHeight="1">
      <c r="A10830" s="129">
        <v>10830</v>
      </c>
    </row>
    <row r="10831" spans="1:1" ht="12.75" customHeight="1">
      <c r="A10831" s="129">
        <v>10831</v>
      </c>
    </row>
    <row r="10832" spans="1:1" ht="12.75" customHeight="1">
      <c r="A10832" s="129">
        <v>10832</v>
      </c>
    </row>
    <row r="10833" spans="1:1" ht="12.75" customHeight="1">
      <c r="A10833" s="129">
        <v>10833</v>
      </c>
    </row>
    <row r="10834" spans="1:1" ht="12.75" customHeight="1">
      <c r="A10834" s="129">
        <v>10834</v>
      </c>
    </row>
    <row r="10835" spans="1:1" ht="12.75" customHeight="1">
      <c r="A10835" s="129">
        <v>10835</v>
      </c>
    </row>
    <row r="10836" spans="1:1" ht="12.75" customHeight="1">
      <c r="A10836" s="129">
        <v>10836</v>
      </c>
    </row>
    <row r="10837" spans="1:1" ht="12.75" customHeight="1">
      <c r="A10837" s="129">
        <v>10837</v>
      </c>
    </row>
    <row r="10838" spans="1:1" ht="12.75" customHeight="1">
      <c r="A10838" s="129">
        <v>10838</v>
      </c>
    </row>
    <row r="10839" spans="1:1" ht="12.75" customHeight="1">
      <c r="A10839" s="129">
        <v>10839</v>
      </c>
    </row>
    <row r="10840" spans="1:1" ht="12.75" customHeight="1">
      <c r="A10840" s="129">
        <v>10840</v>
      </c>
    </row>
    <row r="10841" spans="1:1" ht="12.75" customHeight="1">
      <c r="A10841" s="129">
        <v>10841</v>
      </c>
    </row>
    <row r="10842" spans="1:1" ht="12.75" customHeight="1">
      <c r="A10842" s="129">
        <v>10842</v>
      </c>
    </row>
    <row r="10843" spans="1:1" ht="12.75" customHeight="1">
      <c r="A10843" s="129">
        <v>10843</v>
      </c>
    </row>
    <row r="10844" spans="1:1" ht="12.75" customHeight="1">
      <c r="A10844" s="129">
        <v>10844</v>
      </c>
    </row>
    <row r="10845" spans="1:1" ht="12.75" customHeight="1">
      <c r="A10845" s="129">
        <v>10845</v>
      </c>
    </row>
    <row r="10846" spans="1:1" ht="12.75" customHeight="1">
      <c r="A10846" s="129">
        <v>10846</v>
      </c>
    </row>
    <row r="10847" spans="1:1" ht="12.75" customHeight="1">
      <c r="A10847" s="129">
        <v>10847</v>
      </c>
    </row>
    <row r="10848" spans="1:1" ht="12.75" customHeight="1">
      <c r="A10848" s="129">
        <v>10848</v>
      </c>
    </row>
    <row r="10849" spans="1:1" ht="12.75" customHeight="1">
      <c r="A10849" s="129">
        <v>10849</v>
      </c>
    </row>
    <row r="10850" spans="1:1" ht="12.75" customHeight="1">
      <c r="A10850" s="129">
        <v>10850</v>
      </c>
    </row>
    <row r="10851" spans="1:1" ht="12.75" customHeight="1">
      <c r="A10851" s="129">
        <v>10851</v>
      </c>
    </row>
    <row r="10852" spans="1:1" ht="12.75" customHeight="1">
      <c r="A10852" s="129">
        <v>10852</v>
      </c>
    </row>
    <row r="10853" spans="1:1" ht="12.75" customHeight="1">
      <c r="A10853" s="129">
        <v>10853</v>
      </c>
    </row>
    <row r="10854" spans="1:1" ht="12.75" customHeight="1">
      <c r="A10854" s="129">
        <v>10854</v>
      </c>
    </row>
    <row r="10855" spans="1:1" ht="12.75" customHeight="1">
      <c r="A10855" s="129">
        <v>10855</v>
      </c>
    </row>
    <row r="10856" spans="1:1" ht="12.75" customHeight="1">
      <c r="A10856" s="129">
        <v>10856</v>
      </c>
    </row>
    <row r="10857" spans="1:1" ht="12.75" customHeight="1">
      <c r="A10857" s="129">
        <v>10857</v>
      </c>
    </row>
    <row r="10858" spans="1:1" ht="12.75" customHeight="1">
      <c r="A10858" s="129">
        <v>10858</v>
      </c>
    </row>
    <row r="10859" spans="1:1" ht="12.75" customHeight="1">
      <c r="A10859" s="129">
        <v>10859</v>
      </c>
    </row>
    <row r="10860" spans="1:1" ht="12.75" customHeight="1">
      <c r="A10860" s="129">
        <v>10860</v>
      </c>
    </row>
    <row r="10861" spans="1:1" ht="12.75" customHeight="1">
      <c r="A10861" s="129">
        <v>10861</v>
      </c>
    </row>
    <row r="10862" spans="1:1" ht="12.75" customHeight="1">
      <c r="A10862" s="129">
        <v>10862</v>
      </c>
    </row>
    <row r="10863" spans="1:1" ht="12.75" customHeight="1">
      <c r="A10863" s="129">
        <v>10863</v>
      </c>
    </row>
    <row r="10864" spans="1:1" ht="12.75" customHeight="1">
      <c r="A10864" s="129">
        <v>10864</v>
      </c>
    </row>
    <row r="10865" spans="1:1" ht="12.75" customHeight="1">
      <c r="A10865" s="129">
        <v>10865</v>
      </c>
    </row>
    <row r="10866" spans="1:1" ht="12.75" customHeight="1">
      <c r="A10866" s="129">
        <v>10866</v>
      </c>
    </row>
    <row r="10867" spans="1:1" ht="12.75" customHeight="1">
      <c r="A10867" s="129">
        <v>10867</v>
      </c>
    </row>
    <row r="10868" spans="1:1" ht="12.75" customHeight="1">
      <c r="A10868" s="129">
        <v>10868</v>
      </c>
    </row>
    <row r="10869" spans="1:1" ht="12.75" customHeight="1">
      <c r="A10869" s="129">
        <v>10869</v>
      </c>
    </row>
    <row r="10870" spans="1:1" ht="12.75" customHeight="1">
      <c r="A10870" s="129">
        <v>10870</v>
      </c>
    </row>
    <row r="10871" spans="1:1" ht="12.75" customHeight="1">
      <c r="A10871" s="129">
        <v>10871</v>
      </c>
    </row>
    <row r="10872" spans="1:1" ht="12.75" customHeight="1">
      <c r="A10872" s="129">
        <v>10872</v>
      </c>
    </row>
    <row r="10873" spans="1:1" ht="12.75" customHeight="1">
      <c r="A10873" s="129">
        <v>10873</v>
      </c>
    </row>
    <row r="10874" spans="1:1" ht="12.75" customHeight="1">
      <c r="A10874" s="129">
        <v>10874</v>
      </c>
    </row>
    <row r="10875" spans="1:1" ht="12.75" customHeight="1">
      <c r="A10875" s="129">
        <v>10875</v>
      </c>
    </row>
    <row r="10876" spans="1:1" ht="12.75" customHeight="1">
      <c r="A10876" s="129">
        <v>10876</v>
      </c>
    </row>
    <row r="10877" spans="1:1" ht="12.75" customHeight="1">
      <c r="A10877" s="129">
        <v>10877</v>
      </c>
    </row>
    <row r="10878" spans="1:1" ht="12.75" customHeight="1">
      <c r="A10878" s="129">
        <v>10878</v>
      </c>
    </row>
    <row r="10879" spans="1:1" ht="12.75" customHeight="1">
      <c r="A10879" s="129">
        <v>10879</v>
      </c>
    </row>
    <row r="10880" spans="1:1" ht="12.75" customHeight="1">
      <c r="A10880" s="129">
        <v>10880</v>
      </c>
    </row>
    <row r="10881" spans="1:1" ht="12.75" customHeight="1">
      <c r="A10881" s="129">
        <v>10881</v>
      </c>
    </row>
    <row r="10882" spans="1:1" ht="12.75" customHeight="1">
      <c r="A10882" s="129">
        <v>10882</v>
      </c>
    </row>
    <row r="10883" spans="1:1" ht="12.75" customHeight="1">
      <c r="A10883" s="129">
        <v>10883</v>
      </c>
    </row>
    <row r="10884" spans="1:1" ht="12.75" customHeight="1">
      <c r="A10884" s="129">
        <v>10884</v>
      </c>
    </row>
    <row r="10885" spans="1:1" ht="12.75" customHeight="1">
      <c r="A10885" s="129">
        <v>10885</v>
      </c>
    </row>
    <row r="10886" spans="1:1" ht="12.75" customHeight="1">
      <c r="A10886" s="129">
        <v>10886</v>
      </c>
    </row>
    <row r="10887" spans="1:1" ht="12.75" customHeight="1">
      <c r="A10887" s="129">
        <v>10887</v>
      </c>
    </row>
    <row r="10888" spans="1:1" ht="12.75" customHeight="1">
      <c r="A10888" s="129">
        <v>10888</v>
      </c>
    </row>
    <row r="10889" spans="1:1" ht="12.75" customHeight="1">
      <c r="A10889" s="129">
        <v>10889</v>
      </c>
    </row>
    <row r="10890" spans="1:1" ht="12.75" customHeight="1">
      <c r="A10890" s="129">
        <v>10890</v>
      </c>
    </row>
    <row r="10891" spans="1:1" ht="12.75" customHeight="1">
      <c r="A10891" s="129">
        <v>10891</v>
      </c>
    </row>
    <row r="10892" spans="1:1" ht="12.75" customHeight="1">
      <c r="A10892" s="129">
        <v>10892</v>
      </c>
    </row>
    <row r="10893" spans="1:1" ht="12.75" customHeight="1">
      <c r="A10893" s="129">
        <v>10893</v>
      </c>
    </row>
    <row r="10894" spans="1:1" ht="12.75" customHeight="1">
      <c r="A10894" s="129">
        <v>10894</v>
      </c>
    </row>
    <row r="10895" spans="1:1" ht="12.75" customHeight="1">
      <c r="A10895" s="129">
        <v>10895</v>
      </c>
    </row>
    <row r="10896" spans="1:1" ht="12.75" customHeight="1">
      <c r="A10896" s="129">
        <v>10896</v>
      </c>
    </row>
    <row r="10897" spans="1:1" ht="12.75" customHeight="1">
      <c r="A10897" s="129">
        <v>10897</v>
      </c>
    </row>
    <row r="10898" spans="1:1" ht="12.75" customHeight="1">
      <c r="A10898" s="129">
        <v>10898</v>
      </c>
    </row>
    <row r="10899" spans="1:1" ht="12.75" customHeight="1">
      <c r="A10899" s="129">
        <v>10899</v>
      </c>
    </row>
    <row r="10900" spans="1:1" ht="12.75" customHeight="1">
      <c r="A10900" s="129">
        <v>10900</v>
      </c>
    </row>
    <row r="10901" spans="1:1" ht="12.75" customHeight="1">
      <c r="A10901" s="129">
        <v>10901</v>
      </c>
    </row>
    <row r="10902" spans="1:1" ht="12.75" customHeight="1">
      <c r="A10902" s="129">
        <v>10902</v>
      </c>
    </row>
    <row r="10903" spans="1:1" ht="12.75" customHeight="1">
      <c r="A10903" s="129">
        <v>10903</v>
      </c>
    </row>
    <row r="10904" spans="1:1" ht="12.75" customHeight="1">
      <c r="A10904" s="129">
        <v>10904</v>
      </c>
    </row>
    <row r="10905" spans="1:1" ht="12.75" customHeight="1">
      <c r="A10905" s="129">
        <v>10905</v>
      </c>
    </row>
    <row r="10906" spans="1:1" ht="12.75" customHeight="1">
      <c r="A10906" s="129">
        <v>10906</v>
      </c>
    </row>
    <row r="10907" spans="1:1" ht="12.75" customHeight="1">
      <c r="A10907" s="129">
        <v>10907</v>
      </c>
    </row>
    <row r="10908" spans="1:1" ht="12.75" customHeight="1">
      <c r="A10908" s="129">
        <v>10908</v>
      </c>
    </row>
    <row r="10909" spans="1:1" ht="12.75" customHeight="1">
      <c r="A10909" s="129">
        <v>10909</v>
      </c>
    </row>
    <row r="10910" spans="1:1" ht="12.75" customHeight="1">
      <c r="A10910" s="129">
        <v>10910</v>
      </c>
    </row>
    <row r="10911" spans="1:1" ht="12.75" customHeight="1">
      <c r="A10911" s="129">
        <v>10911</v>
      </c>
    </row>
    <row r="10912" spans="1:1" ht="12.75" customHeight="1">
      <c r="A10912" s="129">
        <v>10912</v>
      </c>
    </row>
    <row r="10913" spans="1:1" ht="12.75" customHeight="1">
      <c r="A10913" s="129">
        <v>10913</v>
      </c>
    </row>
    <row r="10914" spans="1:1" ht="12.75" customHeight="1">
      <c r="A10914" s="129">
        <v>10914</v>
      </c>
    </row>
    <row r="10915" spans="1:1" ht="12.75" customHeight="1">
      <c r="A10915" s="129">
        <v>10915</v>
      </c>
    </row>
    <row r="10916" spans="1:1" ht="12.75" customHeight="1">
      <c r="A10916" s="129">
        <v>10916</v>
      </c>
    </row>
    <row r="10917" spans="1:1" ht="12.75" customHeight="1">
      <c r="A10917" s="129">
        <v>10917</v>
      </c>
    </row>
    <row r="10918" spans="1:1" ht="12.75" customHeight="1">
      <c r="A10918" s="129">
        <v>10918</v>
      </c>
    </row>
    <row r="10919" spans="1:1" ht="12.75" customHeight="1">
      <c r="A10919" s="129">
        <v>10919</v>
      </c>
    </row>
    <row r="10920" spans="1:1" ht="12.75" customHeight="1">
      <c r="A10920" s="129">
        <v>10920</v>
      </c>
    </row>
    <row r="10921" spans="1:1" ht="12.75" customHeight="1">
      <c r="A10921" s="129">
        <v>10921</v>
      </c>
    </row>
    <row r="10922" spans="1:1" ht="12.75" customHeight="1">
      <c r="A10922" s="129">
        <v>10922</v>
      </c>
    </row>
    <row r="10923" spans="1:1" ht="12.75" customHeight="1">
      <c r="A10923" s="129">
        <v>10923</v>
      </c>
    </row>
    <row r="10924" spans="1:1" ht="12.75" customHeight="1">
      <c r="A10924" s="129">
        <v>10924</v>
      </c>
    </row>
    <row r="10925" spans="1:1" ht="12.75" customHeight="1">
      <c r="A10925" s="129">
        <v>10925</v>
      </c>
    </row>
    <row r="10926" spans="1:1" ht="12.75" customHeight="1">
      <c r="A10926" s="129">
        <v>10926</v>
      </c>
    </row>
    <row r="10927" spans="1:1" ht="12.75" customHeight="1">
      <c r="A10927" s="129">
        <v>10927</v>
      </c>
    </row>
    <row r="10928" spans="1:1" ht="12.75" customHeight="1">
      <c r="A10928" s="129">
        <v>10928</v>
      </c>
    </row>
    <row r="10929" spans="1:1" ht="12.75" customHeight="1">
      <c r="A10929" s="129">
        <v>10929</v>
      </c>
    </row>
    <row r="10930" spans="1:1" ht="12.75" customHeight="1">
      <c r="A10930" s="129">
        <v>10930</v>
      </c>
    </row>
    <row r="10931" spans="1:1" ht="12.75" customHeight="1">
      <c r="A10931" s="129">
        <v>10931</v>
      </c>
    </row>
    <row r="10932" spans="1:1" ht="12.75" customHeight="1">
      <c r="A10932" s="129">
        <v>10932</v>
      </c>
    </row>
    <row r="10933" spans="1:1" ht="12.75" customHeight="1">
      <c r="A10933" s="129">
        <v>10933</v>
      </c>
    </row>
    <row r="10934" spans="1:1" ht="12.75" customHeight="1">
      <c r="A10934" s="129">
        <v>10934</v>
      </c>
    </row>
    <row r="10935" spans="1:1" ht="12.75" customHeight="1">
      <c r="A10935" s="129">
        <v>10935</v>
      </c>
    </row>
    <row r="10936" spans="1:1" ht="12.75" customHeight="1">
      <c r="A10936" s="129">
        <v>10936</v>
      </c>
    </row>
    <row r="10937" spans="1:1" ht="12.75" customHeight="1">
      <c r="A10937" s="129">
        <v>10937</v>
      </c>
    </row>
    <row r="10938" spans="1:1" ht="12.75" customHeight="1">
      <c r="A10938" s="129">
        <v>10938</v>
      </c>
    </row>
    <row r="10939" spans="1:1" ht="12.75" customHeight="1">
      <c r="A10939" s="129">
        <v>10939</v>
      </c>
    </row>
    <row r="10940" spans="1:1" ht="12.75" customHeight="1">
      <c r="A10940" s="129">
        <v>10940</v>
      </c>
    </row>
    <row r="10941" spans="1:1" ht="12.75" customHeight="1">
      <c r="A10941" s="129">
        <v>10941</v>
      </c>
    </row>
    <row r="10942" spans="1:1" ht="12.75" customHeight="1">
      <c r="A10942" s="129">
        <v>10942</v>
      </c>
    </row>
    <row r="10943" spans="1:1" ht="12.75" customHeight="1">
      <c r="A10943" s="129">
        <v>10943</v>
      </c>
    </row>
    <row r="10944" spans="1:1" ht="12.75" customHeight="1">
      <c r="A10944" s="129">
        <v>10944</v>
      </c>
    </row>
    <row r="10945" spans="1:1" ht="12.75" customHeight="1">
      <c r="A10945" s="129">
        <v>10945</v>
      </c>
    </row>
    <row r="10946" spans="1:1" ht="12.75" customHeight="1">
      <c r="A10946" s="129">
        <v>10946</v>
      </c>
    </row>
    <row r="10947" spans="1:1" ht="12.75" customHeight="1">
      <c r="A10947" s="129">
        <v>10947</v>
      </c>
    </row>
    <row r="10948" spans="1:1" ht="12.75" customHeight="1">
      <c r="A10948" s="129">
        <v>10948</v>
      </c>
    </row>
    <row r="10949" spans="1:1" ht="12.75" customHeight="1">
      <c r="A10949" s="129">
        <v>10949</v>
      </c>
    </row>
    <row r="10950" spans="1:1" ht="12.75" customHeight="1">
      <c r="A10950" s="129">
        <v>10950</v>
      </c>
    </row>
    <row r="10951" spans="1:1" ht="12.75" customHeight="1">
      <c r="A10951" s="129">
        <v>10951</v>
      </c>
    </row>
    <row r="10952" spans="1:1" ht="12.75" customHeight="1">
      <c r="A10952" s="129">
        <v>10952</v>
      </c>
    </row>
    <row r="10953" spans="1:1" ht="12.75" customHeight="1">
      <c r="A10953" s="129">
        <v>10953</v>
      </c>
    </row>
    <row r="10954" spans="1:1" ht="12.75" customHeight="1">
      <c r="A10954" s="129">
        <v>10954</v>
      </c>
    </row>
    <row r="10955" spans="1:1" ht="12.75" customHeight="1">
      <c r="A10955" s="129">
        <v>10955</v>
      </c>
    </row>
    <row r="10956" spans="1:1" ht="12.75" customHeight="1">
      <c r="A10956" s="129">
        <v>10956</v>
      </c>
    </row>
    <row r="10957" spans="1:1" ht="12.75" customHeight="1">
      <c r="A10957" s="129">
        <v>10957</v>
      </c>
    </row>
    <row r="10958" spans="1:1" ht="12.75" customHeight="1">
      <c r="A10958" s="129">
        <v>10958</v>
      </c>
    </row>
    <row r="10959" spans="1:1" ht="12.75" customHeight="1">
      <c r="A10959" s="129">
        <v>10959</v>
      </c>
    </row>
    <row r="10960" spans="1:1" ht="12.75" customHeight="1">
      <c r="A10960" s="129">
        <v>10960</v>
      </c>
    </row>
    <row r="10961" spans="1:1" ht="12.75" customHeight="1">
      <c r="A10961" s="129">
        <v>10961</v>
      </c>
    </row>
    <row r="10962" spans="1:1" ht="12.75" customHeight="1">
      <c r="A10962" s="129">
        <v>10962</v>
      </c>
    </row>
    <row r="10963" spans="1:1" ht="12.75" customHeight="1">
      <c r="A10963" s="129">
        <v>10963</v>
      </c>
    </row>
    <row r="10964" spans="1:1" ht="12.75" customHeight="1">
      <c r="A10964" s="129">
        <v>10964</v>
      </c>
    </row>
    <row r="10965" spans="1:1" ht="12.75" customHeight="1">
      <c r="A10965" s="129">
        <v>10965</v>
      </c>
    </row>
    <row r="10966" spans="1:1" ht="12.75" customHeight="1">
      <c r="A10966" s="129">
        <v>10966</v>
      </c>
    </row>
    <row r="10967" spans="1:1" ht="12.75" customHeight="1">
      <c r="A10967" s="129">
        <v>10967</v>
      </c>
    </row>
    <row r="10968" spans="1:1" ht="12.75" customHeight="1">
      <c r="A10968" s="129">
        <v>10968</v>
      </c>
    </row>
    <row r="10969" spans="1:1" ht="12.75" customHeight="1">
      <c r="A10969" s="129">
        <v>10969</v>
      </c>
    </row>
    <row r="10970" spans="1:1" ht="12.75" customHeight="1">
      <c r="A10970" s="129">
        <v>10970</v>
      </c>
    </row>
    <row r="10971" spans="1:1" ht="12.75" customHeight="1">
      <c r="A10971" s="129">
        <v>10971</v>
      </c>
    </row>
    <row r="10972" spans="1:1" ht="12.75" customHeight="1">
      <c r="A10972" s="129">
        <v>10972</v>
      </c>
    </row>
    <row r="10973" spans="1:1" ht="12.75" customHeight="1">
      <c r="A10973" s="129">
        <v>10973</v>
      </c>
    </row>
    <row r="10974" spans="1:1" ht="12.75" customHeight="1">
      <c r="A10974" s="129">
        <v>10974</v>
      </c>
    </row>
    <row r="10975" spans="1:1" ht="12.75" customHeight="1">
      <c r="A10975" s="129">
        <v>10975</v>
      </c>
    </row>
    <row r="10976" spans="1:1" ht="12.75" customHeight="1">
      <c r="A10976" s="129">
        <v>10976</v>
      </c>
    </row>
    <row r="10977" spans="1:1" ht="12.75" customHeight="1">
      <c r="A10977" s="129">
        <v>10977</v>
      </c>
    </row>
    <row r="10978" spans="1:1" ht="12.75" customHeight="1">
      <c r="A10978" s="129">
        <v>10978</v>
      </c>
    </row>
    <row r="10979" spans="1:1" ht="12.75" customHeight="1">
      <c r="A10979" s="129">
        <v>10979</v>
      </c>
    </row>
    <row r="10980" spans="1:1" ht="12.75" customHeight="1">
      <c r="A10980" s="129">
        <v>10980</v>
      </c>
    </row>
    <row r="10981" spans="1:1" ht="12.75" customHeight="1">
      <c r="A10981" s="129">
        <v>10981</v>
      </c>
    </row>
    <row r="10982" spans="1:1" ht="12.75" customHeight="1">
      <c r="A10982" s="129">
        <v>10982</v>
      </c>
    </row>
    <row r="10983" spans="1:1" ht="12.75" customHeight="1">
      <c r="A10983" s="129">
        <v>10983</v>
      </c>
    </row>
    <row r="10984" spans="1:1" ht="12.75" customHeight="1">
      <c r="A10984" s="129">
        <v>10984</v>
      </c>
    </row>
    <row r="10985" spans="1:1" ht="12.75" customHeight="1">
      <c r="A10985" s="129">
        <v>10985</v>
      </c>
    </row>
    <row r="10986" spans="1:1" ht="12.75" customHeight="1">
      <c r="A10986" s="129">
        <v>10986</v>
      </c>
    </row>
    <row r="10987" spans="1:1" ht="12.75" customHeight="1">
      <c r="A10987" s="129">
        <v>10987</v>
      </c>
    </row>
    <row r="10988" spans="1:1" ht="12.75" customHeight="1">
      <c r="A10988" s="129">
        <v>10988</v>
      </c>
    </row>
    <row r="10989" spans="1:1" ht="12.75" customHeight="1">
      <c r="A10989" s="129">
        <v>10989</v>
      </c>
    </row>
    <row r="10990" spans="1:1" ht="12.75" customHeight="1">
      <c r="A10990" s="129">
        <v>10990</v>
      </c>
    </row>
    <row r="10991" spans="1:1" ht="12.75" customHeight="1">
      <c r="A10991" s="129">
        <v>10991</v>
      </c>
    </row>
    <row r="10992" spans="1:1" ht="12.75" customHeight="1">
      <c r="A10992" s="129">
        <v>10992</v>
      </c>
    </row>
    <row r="10993" spans="1:1" ht="12.75" customHeight="1">
      <c r="A10993" s="129">
        <v>10993</v>
      </c>
    </row>
    <row r="10994" spans="1:1" ht="12.75" customHeight="1">
      <c r="A10994" s="129">
        <v>10994</v>
      </c>
    </row>
    <row r="10995" spans="1:1" ht="12.75" customHeight="1">
      <c r="A10995" s="129">
        <v>10995</v>
      </c>
    </row>
    <row r="10996" spans="1:1" ht="12.75" customHeight="1">
      <c r="A10996" s="129">
        <v>10996</v>
      </c>
    </row>
    <row r="10997" spans="1:1" ht="12.75" customHeight="1">
      <c r="A10997" s="129">
        <v>10997</v>
      </c>
    </row>
    <row r="10998" spans="1:1" ht="12.75" customHeight="1">
      <c r="A10998" s="129">
        <v>10998</v>
      </c>
    </row>
    <row r="10999" spans="1:1" ht="12.75" customHeight="1">
      <c r="A10999" s="129">
        <v>10999</v>
      </c>
    </row>
    <row r="11000" spans="1:1" ht="12.75" customHeight="1">
      <c r="A11000" s="129">
        <v>11000</v>
      </c>
    </row>
    <row r="11001" spans="1:1" ht="12.75" customHeight="1">
      <c r="A11001" s="129">
        <v>11001</v>
      </c>
    </row>
    <row r="11002" spans="1:1" ht="12.75" customHeight="1">
      <c r="A11002" s="129">
        <v>11002</v>
      </c>
    </row>
    <row r="11003" spans="1:1" ht="12.75" customHeight="1">
      <c r="A11003" s="129">
        <v>11003</v>
      </c>
    </row>
    <row r="11004" spans="1:1" ht="12.75" customHeight="1">
      <c r="A11004" s="129">
        <v>11004</v>
      </c>
    </row>
    <row r="11005" spans="1:1" ht="12.75" customHeight="1">
      <c r="A11005" s="129">
        <v>11005</v>
      </c>
    </row>
  </sheetData>
  <autoFilter ref="A1:L1" xr:uid="{00000000-0009-0000-0000-000005000000}"/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9153" r:id="rId4" name="Button 1">
              <controlPr defaultSize="0" print="0" autoFill="0" autoPict="0" macro="[0]!BuildingElementsWithRespectToBuilding">
                <anchor moveWithCells="1" sizeWithCells="1">
                  <from>
                    <xdr:col>13</xdr:col>
                    <xdr:colOff>251460</xdr:colOff>
                    <xdr:row>0</xdr:row>
                    <xdr:rowOff>160020</xdr:rowOff>
                  </from>
                  <to>
                    <xdr:col>14</xdr:col>
                    <xdr:colOff>518160</xdr:colOff>
                    <xdr:row>0</xdr:row>
                    <xdr:rowOff>632460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4" r:id="rId5" name="Button 2">
              <controlPr defaultSize="0" print="0" autoFill="0" autoPict="0" macro="[0]!BuildingElementsWithRespectToZones">
                <anchor moveWithCells="1" sizeWithCells="1">
                  <from>
                    <xdr:col>16</xdr:col>
                    <xdr:colOff>198120</xdr:colOff>
                    <xdr:row>0</xdr:row>
                    <xdr:rowOff>198120</xdr:rowOff>
                  </from>
                  <to>
                    <xdr:col>18</xdr:col>
                    <xdr:colOff>0</xdr:colOff>
                    <xdr:row>0</xdr:row>
                    <xdr:rowOff>670560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9155" r:id="rId6" name="Button 3">
              <controlPr defaultSize="0" print="0" autoFill="0" autoPict="0" macro="[0]!Moving_Data.Moving_Data">
                <anchor moveWithCells="1" sizeWithCells="1">
                  <from>
                    <xdr:col>14</xdr:col>
                    <xdr:colOff>381000</xdr:colOff>
                    <xdr:row>18</xdr:row>
                    <xdr:rowOff>0</xdr:rowOff>
                  </from>
                  <to>
                    <xdr:col>15</xdr:col>
                    <xdr:colOff>838200</xdr:colOff>
                    <xdr:row>22</xdr:row>
                    <xdr:rowOff>106680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8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Info">
    <pageSetUpPr autoPageBreaks="0"/>
  </sheetPr>
  <dimension ref="A1:I104"/>
  <sheetViews>
    <sheetView workbookViewId="0">
      <selection activeCell="K32" sqref="K32"/>
    </sheetView>
  </sheetViews>
  <sheetFormatPr defaultColWidth="18.77734375" defaultRowHeight="12.75" customHeight="1"/>
  <cols>
    <col min="1" max="6" width="9.109375" customWidth="1"/>
    <col min="7" max="7" width="9.88671875" bestFit="1" customWidth="1"/>
    <col min="8" max="8" width="9.109375" customWidth="1"/>
    <col min="9" max="9" width="10" bestFit="1" customWidth="1"/>
    <col min="10" max="10" width="9.109375" customWidth="1"/>
  </cols>
  <sheetData>
    <row r="1" spans="1:9" ht="14.4"/>
    <row r="2" spans="1:9" ht="18">
      <c r="A2" s="1" t="s">
        <v>0</v>
      </c>
      <c r="I2" s="2">
        <v>40141</v>
      </c>
    </row>
    <row r="3" spans="1:9" ht="14.4"/>
    <row r="4" spans="1:9" ht="14.4">
      <c r="A4" t="s">
        <v>1</v>
      </c>
    </row>
    <row r="5" spans="1:9" ht="14.4">
      <c r="A5" s="3" t="s">
        <v>2</v>
      </c>
    </row>
    <row r="6" spans="1:9" ht="14.4"/>
    <row r="7" spans="1:9" ht="14.4">
      <c r="A7" t="s">
        <v>3</v>
      </c>
    </row>
    <row r="8" spans="1:9" ht="14.4">
      <c r="A8" t="s">
        <v>4</v>
      </c>
    </row>
    <row r="9" spans="1:9" ht="14.4"/>
    <row r="10" spans="1:9" ht="21">
      <c r="A10" s="4" t="s">
        <v>5</v>
      </c>
    </row>
    <row r="11" spans="1:9" ht="14.4"/>
    <row r="12" spans="1:9" ht="14.4">
      <c r="A12" t="s">
        <v>6</v>
      </c>
    </row>
    <row r="13" spans="1:9" ht="14.4">
      <c r="A13" t="s">
        <v>7</v>
      </c>
    </row>
    <row r="14" spans="1:9" ht="14.4">
      <c r="A14" t="s">
        <v>8</v>
      </c>
    </row>
    <row r="15" spans="1:9" ht="14.4">
      <c r="A15" t="s">
        <v>9</v>
      </c>
    </row>
    <row r="16" spans="1:9" ht="14.4"/>
    <row r="17" spans="1:1" ht="14.4"/>
    <row r="18" spans="1:1" ht="14.4"/>
    <row r="19" spans="1:1" ht="14.4"/>
    <row r="20" spans="1:1" ht="14.4"/>
    <row r="21" spans="1:1" ht="18">
      <c r="A21" s="1" t="s">
        <v>10</v>
      </c>
    </row>
    <row r="22" spans="1:1" ht="14.4"/>
    <row r="23" spans="1:1" ht="14.4">
      <c r="A23" t="s">
        <v>11</v>
      </c>
    </row>
    <row r="24" spans="1:1" ht="14.4">
      <c r="A24" t="s">
        <v>12</v>
      </c>
    </row>
    <row r="25" spans="1:1" ht="14.4">
      <c r="A25" t="s">
        <v>13</v>
      </c>
    </row>
    <row r="26" spans="1:1" ht="14.4"/>
    <row r="27" spans="1:1" ht="14.4">
      <c r="A27" t="s">
        <v>14</v>
      </c>
    </row>
    <row r="28" spans="1:1" ht="14.4"/>
    <row r="29" spans="1:1" ht="14.4">
      <c r="A29" t="s">
        <v>15</v>
      </c>
    </row>
    <row r="30" spans="1:1" ht="14.4">
      <c r="A30" t="s">
        <v>16</v>
      </c>
    </row>
    <row r="31" spans="1:1" ht="14.4">
      <c r="A31" t="s">
        <v>17</v>
      </c>
    </row>
    <row r="32" spans="1:1" ht="14.4">
      <c r="A32" t="s">
        <v>18</v>
      </c>
    </row>
    <row r="33" spans="1:1" ht="14.4"/>
    <row r="34" spans="1:1" ht="14.4">
      <c r="A34" t="s">
        <v>19</v>
      </c>
    </row>
    <row r="35" spans="1:1" ht="14.4">
      <c r="A35" s="5" t="s">
        <v>20</v>
      </c>
    </row>
    <row r="36" spans="1:1" ht="14.4"/>
    <row r="37" spans="1:1" ht="14.4">
      <c r="A37" t="s">
        <v>21</v>
      </c>
    </row>
    <row r="38" spans="1:1" ht="14.4">
      <c r="A38" s="5" t="s">
        <v>22</v>
      </c>
    </row>
    <row r="39" spans="1:1" ht="14.4"/>
    <row r="40" spans="1:1" ht="14.4"/>
    <row r="41" spans="1:1" ht="14.4">
      <c r="A41" t="s">
        <v>23</v>
      </c>
    </row>
    <row r="42" spans="1:1" ht="14.4">
      <c r="A42" t="s">
        <v>24</v>
      </c>
    </row>
    <row r="43" spans="1:1" ht="14.4">
      <c r="A43" s="5" t="s">
        <v>25</v>
      </c>
    </row>
    <row r="44" spans="1:1" ht="14.4"/>
    <row r="45" spans="1:1" ht="14.4">
      <c r="A45" t="s">
        <v>26</v>
      </c>
    </row>
    <row r="46" spans="1:1" ht="14.4">
      <c r="A46" s="5" t="s">
        <v>27</v>
      </c>
    </row>
    <row r="47" spans="1:1" ht="14.4"/>
    <row r="48" spans="1:1" ht="14.4">
      <c r="A48" t="s">
        <v>28</v>
      </c>
    </row>
    <row r="49" spans="1:1" ht="14.4"/>
    <row r="50" spans="1:1" ht="14.4">
      <c r="A50" t="s">
        <v>29</v>
      </c>
    </row>
    <row r="51" spans="1:1" ht="14.4">
      <c r="A51" t="s">
        <v>30</v>
      </c>
    </row>
    <row r="52" spans="1:1" ht="14.4">
      <c r="A52" t="s">
        <v>31</v>
      </c>
    </row>
    <row r="53" spans="1:1" ht="14.4">
      <c r="A53" t="s">
        <v>32</v>
      </c>
    </row>
    <row r="54" spans="1:1" ht="14.4">
      <c r="A54" t="s">
        <v>33</v>
      </c>
    </row>
    <row r="55" spans="1:1" ht="14.4">
      <c r="A55" t="s">
        <v>34</v>
      </c>
    </row>
    <row r="56" spans="1:1" ht="14.4">
      <c r="A56" t="s">
        <v>35</v>
      </c>
    </row>
    <row r="57" spans="1:1" ht="14.4"/>
    <row r="58" spans="1:1" ht="14.4"/>
    <row r="59" spans="1:1" ht="14.4"/>
    <row r="60" spans="1:1" ht="21">
      <c r="A60" s="4" t="s">
        <v>36</v>
      </c>
    </row>
    <row r="61" spans="1:1" ht="18">
      <c r="A61" s="1"/>
    </row>
    <row r="62" spans="1:1" ht="14.4">
      <c r="A62" t="s">
        <v>37</v>
      </c>
    </row>
    <row r="63" spans="1:1" ht="14.4">
      <c r="A63" t="s">
        <v>38</v>
      </c>
    </row>
    <row r="64" spans="1:1" ht="14.4"/>
    <row r="65" spans="1:1" ht="14.4">
      <c r="A65" t="s">
        <v>39</v>
      </c>
    </row>
    <row r="66" spans="1:1" ht="14.4"/>
    <row r="67" spans="1:1" ht="14.4">
      <c r="A67" t="s">
        <v>40</v>
      </c>
    </row>
    <row r="68" spans="1:1" ht="14.4">
      <c r="A68" t="s">
        <v>41</v>
      </c>
    </row>
    <row r="69" spans="1:1" ht="14.4">
      <c r="A69" t="s">
        <v>42</v>
      </c>
    </row>
    <row r="70" spans="1:1" ht="14.4">
      <c r="A70" t="s">
        <v>43</v>
      </c>
    </row>
    <row r="71" spans="1:1" ht="14.4">
      <c r="A71" t="s">
        <v>44</v>
      </c>
    </row>
    <row r="72" spans="1:1" ht="14.4">
      <c r="A72" t="s">
        <v>45</v>
      </c>
    </row>
    <row r="73" spans="1:1" ht="14.4"/>
    <row r="74" spans="1:1" ht="14.4"/>
    <row r="75" spans="1:1" ht="14.4"/>
    <row r="76" spans="1:1" ht="14.4"/>
    <row r="77" spans="1:1" ht="14.4"/>
    <row r="78" spans="1:1" ht="14.4">
      <c r="A78" t="s">
        <v>46</v>
      </c>
    </row>
    <row r="79" spans="1:1" ht="14.4"/>
    <row r="80" spans="1:1" ht="14.4">
      <c r="A80" s="5" t="s">
        <v>47</v>
      </c>
    </row>
    <row r="81" spans="1:1" ht="14.4">
      <c r="A81" s="5" t="s">
        <v>48</v>
      </c>
    </row>
    <row r="82" spans="1:1" ht="14.4"/>
    <row r="83" spans="1:1" ht="14.4">
      <c r="A83" t="s">
        <v>49</v>
      </c>
    </row>
    <row r="84" spans="1:1" ht="14.4"/>
    <row r="85" spans="1:1" ht="14.4">
      <c r="A85" s="5" t="s">
        <v>50</v>
      </c>
    </row>
    <row r="86" spans="1:1" ht="14.4">
      <c r="A86" s="5" t="s">
        <v>51</v>
      </c>
    </row>
    <row r="87" spans="1:1" ht="14.4">
      <c r="A87" s="5" t="s">
        <v>52</v>
      </c>
    </row>
    <row r="88" spans="1:1" ht="14.4"/>
    <row r="89" spans="1:1" ht="14.4">
      <c r="A89" t="s">
        <v>53</v>
      </c>
    </row>
    <row r="90" spans="1:1" ht="14.4">
      <c r="A90" s="5" t="s">
        <v>54</v>
      </c>
    </row>
    <row r="91" spans="1:1" ht="14.4"/>
    <row r="92" spans="1:1" ht="14.4">
      <c r="A92" t="s">
        <v>55</v>
      </c>
    </row>
    <row r="93" spans="1:1" ht="14.4"/>
    <row r="94" spans="1:1" ht="14.4">
      <c r="A94" t="s">
        <v>56</v>
      </c>
    </row>
    <row r="95" spans="1:1" ht="14.4">
      <c r="A95" t="s">
        <v>57</v>
      </c>
    </row>
    <row r="96" spans="1:1" ht="14.4">
      <c r="A96" t="s">
        <v>58</v>
      </c>
    </row>
    <row r="97" spans="1:1" ht="14.4">
      <c r="A97" t="s">
        <v>59</v>
      </c>
    </row>
    <row r="98" spans="1:1" ht="14.4">
      <c r="A98" t="s">
        <v>60</v>
      </c>
    </row>
    <row r="99" spans="1:1" ht="14.4"/>
    <row r="100" spans="1:1" ht="14.4">
      <c r="A100" t="s">
        <v>61</v>
      </c>
    </row>
    <row r="101" spans="1:1" ht="14.4">
      <c r="A101" s="5" t="s">
        <v>62</v>
      </c>
    </row>
    <row r="102" spans="1:1" ht="14.4"/>
    <row r="103" spans="1:1" ht="14.4">
      <c r="A103" t="s">
        <v>63</v>
      </c>
    </row>
    <row r="104" spans="1:1" ht="14.4">
      <c r="A104" s="3" t="s">
        <v>64</v>
      </c>
    </row>
  </sheetData>
  <hyperlinks>
    <hyperlink ref="A5" r:id="rId1" xr:uid="{00000000-0004-0000-0600-000000000000}"/>
    <hyperlink ref="A104" r:id="rId2" xr:uid="{00000000-0004-0000-0600-000001000000}"/>
  </hyperlinks>
  <pageMargins left="0.7" right="0.7" top="0.75" bottom="0.75" header="0.3" footer="0.3"/>
  <pageSetup orientation="landscape" r:id="rId3"/>
  <drawing r:id="rId4"/>
  <legacyDrawing r:id="rId5"/>
  <controls>
    <mc:AlternateContent xmlns:mc="http://schemas.openxmlformats.org/markup-compatibility/2006">
      <mc:Choice Requires="x14">
        <control shapeId="8201" r:id="rId6" name="CommandButton9">
          <controlPr defaultSize="0" autoLine="0" r:id="rId7">
            <anchor moveWithCells="1" sizeWithCells="1">
              <from>
                <xdr:col>8</xdr:col>
                <xdr:colOff>274320</xdr:colOff>
                <xdr:row>74</xdr:row>
                <xdr:rowOff>7620</xdr:rowOff>
              </from>
              <to>
                <xdr:col>9</xdr:col>
                <xdr:colOff>518160</xdr:colOff>
                <xdr:row>76</xdr:row>
                <xdr:rowOff>7620</xdr:rowOff>
              </to>
            </anchor>
          </controlPr>
        </control>
      </mc:Choice>
      <mc:Fallback>
        <control shapeId="8201" r:id="rId6" name="CommandButton9"/>
      </mc:Fallback>
    </mc:AlternateContent>
    <mc:AlternateContent xmlns:mc="http://schemas.openxmlformats.org/markup-compatibility/2006">
      <mc:Choice Requires="x14">
        <control shapeId="8200" r:id="rId8" name="CommandButton8">
          <controlPr defaultSize="0" autoLine="0" r:id="rId9">
            <anchor moveWithCells="1" sizeWithCells="1">
              <from>
                <xdr:col>6</xdr:col>
                <xdr:colOff>274320</xdr:colOff>
                <xdr:row>74</xdr:row>
                <xdr:rowOff>7620</xdr:rowOff>
              </from>
              <to>
                <xdr:col>7</xdr:col>
                <xdr:colOff>518160</xdr:colOff>
                <xdr:row>76</xdr:row>
                <xdr:rowOff>7620</xdr:rowOff>
              </to>
            </anchor>
          </controlPr>
        </control>
      </mc:Choice>
      <mc:Fallback>
        <control shapeId="8200" r:id="rId8" name="CommandButton8"/>
      </mc:Fallback>
    </mc:AlternateContent>
    <mc:AlternateContent xmlns:mc="http://schemas.openxmlformats.org/markup-compatibility/2006">
      <mc:Choice Requires="x14">
        <control shapeId="8199" r:id="rId10" name="CommandButton7">
          <controlPr defaultSize="0" autoLine="0" r:id="rId11">
            <anchor moveWithCells="1" sizeWithCells="1">
              <from>
                <xdr:col>4</xdr:col>
                <xdr:colOff>228600</xdr:colOff>
                <xdr:row>74</xdr:row>
                <xdr:rowOff>7620</xdr:rowOff>
              </from>
              <to>
                <xdr:col>5</xdr:col>
                <xdr:colOff>502920</xdr:colOff>
                <xdr:row>76</xdr:row>
                <xdr:rowOff>7620</xdr:rowOff>
              </to>
            </anchor>
          </controlPr>
        </control>
      </mc:Choice>
      <mc:Fallback>
        <control shapeId="8199" r:id="rId10" name="CommandButton7"/>
      </mc:Fallback>
    </mc:AlternateContent>
    <mc:AlternateContent xmlns:mc="http://schemas.openxmlformats.org/markup-compatibility/2006">
      <mc:Choice Requires="x14">
        <control shapeId="8198" r:id="rId12" name="CommandButton6">
          <controlPr defaultSize="0" autoLine="0" r:id="rId13">
            <anchor moveWithCells="1" sizeWithCells="1">
              <from>
                <xdr:col>2</xdr:col>
                <xdr:colOff>182880</xdr:colOff>
                <xdr:row>74</xdr:row>
                <xdr:rowOff>7620</xdr:rowOff>
              </from>
              <to>
                <xdr:col>3</xdr:col>
                <xdr:colOff>457200</xdr:colOff>
                <xdr:row>76</xdr:row>
                <xdr:rowOff>7620</xdr:rowOff>
              </to>
            </anchor>
          </controlPr>
        </control>
      </mc:Choice>
      <mc:Fallback>
        <control shapeId="8198" r:id="rId12" name="CommandButton6"/>
      </mc:Fallback>
    </mc:AlternateContent>
    <mc:AlternateContent xmlns:mc="http://schemas.openxmlformats.org/markup-compatibility/2006">
      <mc:Choice Requires="x14">
        <control shapeId="8197" r:id="rId14" name="CommandButton5">
          <controlPr defaultSize="0" autoLine="0" r:id="rId15">
            <anchor moveWithCells="1" sizeWithCells="1">
              <from>
                <xdr:col>0</xdr:col>
                <xdr:colOff>121920</xdr:colOff>
                <xdr:row>74</xdr:row>
                <xdr:rowOff>7620</xdr:rowOff>
              </from>
              <to>
                <xdr:col>1</xdr:col>
                <xdr:colOff>411480</xdr:colOff>
                <xdr:row>76</xdr:row>
                <xdr:rowOff>7620</xdr:rowOff>
              </to>
            </anchor>
          </controlPr>
        </control>
      </mc:Choice>
      <mc:Fallback>
        <control shapeId="8197" r:id="rId14" name="CommandButton5"/>
      </mc:Fallback>
    </mc:AlternateContent>
    <mc:AlternateContent xmlns:mc="http://schemas.openxmlformats.org/markup-compatibility/2006">
      <mc:Choice Requires="x14">
        <control shapeId="8196" r:id="rId16" name="CommandButton4">
          <controlPr defaultSize="0" autoLine="0" r:id="rId17">
            <anchor moveWithCells="1" sizeWithCells="1">
              <from>
                <xdr:col>6</xdr:col>
                <xdr:colOff>274320</xdr:colOff>
                <xdr:row>16</xdr:row>
                <xdr:rowOff>7620</xdr:rowOff>
              </from>
              <to>
                <xdr:col>7</xdr:col>
                <xdr:colOff>518160</xdr:colOff>
                <xdr:row>18</xdr:row>
                <xdr:rowOff>7620</xdr:rowOff>
              </to>
            </anchor>
          </controlPr>
        </control>
      </mc:Choice>
      <mc:Fallback>
        <control shapeId="8196" r:id="rId16" name="CommandButton4"/>
      </mc:Fallback>
    </mc:AlternateContent>
    <mc:AlternateContent xmlns:mc="http://schemas.openxmlformats.org/markup-compatibility/2006">
      <mc:Choice Requires="x14">
        <control shapeId="8195" r:id="rId18" name="CommandButton3">
          <controlPr defaultSize="0" autoLine="0" r:id="rId19">
            <anchor moveWithCells="1" sizeWithCells="1">
              <from>
                <xdr:col>4</xdr:col>
                <xdr:colOff>228600</xdr:colOff>
                <xdr:row>16</xdr:row>
                <xdr:rowOff>7620</xdr:rowOff>
              </from>
              <to>
                <xdr:col>5</xdr:col>
                <xdr:colOff>502920</xdr:colOff>
                <xdr:row>18</xdr:row>
                <xdr:rowOff>7620</xdr:rowOff>
              </to>
            </anchor>
          </controlPr>
        </control>
      </mc:Choice>
      <mc:Fallback>
        <control shapeId="8195" r:id="rId18" name="CommandButton3"/>
      </mc:Fallback>
    </mc:AlternateContent>
    <mc:AlternateContent xmlns:mc="http://schemas.openxmlformats.org/markup-compatibility/2006">
      <mc:Choice Requires="x14">
        <control shapeId="8194" r:id="rId20" name="CommandButton2">
          <controlPr defaultSize="0" autoLine="0" r:id="rId21">
            <anchor moveWithCells="1" sizeWithCells="1">
              <from>
                <xdr:col>2</xdr:col>
                <xdr:colOff>182880</xdr:colOff>
                <xdr:row>16</xdr:row>
                <xdr:rowOff>7620</xdr:rowOff>
              </from>
              <to>
                <xdr:col>3</xdr:col>
                <xdr:colOff>457200</xdr:colOff>
                <xdr:row>18</xdr:row>
                <xdr:rowOff>7620</xdr:rowOff>
              </to>
            </anchor>
          </controlPr>
        </control>
      </mc:Choice>
      <mc:Fallback>
        <control shapeId="8194" r:id="rId20" name="CommandButton2"/>
      </mc:Fallback>
    </mc:AlternateContent>
    <mc:AlternateContent xmlns:mc="http://schemas.openxmlformats.org/markup-compatibility/2006">
      <mc:Choice Requires="x14">
        <control shapeId="8193" r:id="rId22" name="CommandButton1">
          <controlPr defaultSize="0" autoLine="0" r:id="rId23">
            <anchor moveWithCells="1" sizeWithCells="1">
              <from>
                <xdr:col>0</xdr:col>
                <xdr:colOff>121920</xdr:colOff>
                <xdr:row>16</xdr:row>
                <xdr:rowOff>7620</xdr:rowOff>
              </from>
              <to>
                <xdr:col>1</xdr:col>
                <xdr:colOff>411480</xdr:colOff>
                <xdr:row>18</xdr:row>
                <xdr:rowOff>7620</xdr:rowOff>
              </to>
            </anchor>
          </controlPr>
        </control>
      </mc:Choice>
      <mc:Fallback>
        <control shapeId="8193" r:id="rId22" name="CommandButton1"/>
      </mc:Fallback>
    </mc:AlternateContent>
  </controls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/>
  <dimension ref="A1:G27"/>
  <sheetViews>
    <sheetView workbookViewId="0">
      <selection activeCell="B18" sqref="B18"/>
    </sheetView>
  </sheetViews>
  <sheetFormatPr defaultColWidth="18.77734375" defaultRowHeight="12.75" customHeight="1"/>
  <cols>
    <col min="1" max="7" width="9.109375" customWidth="1"/>
  </cols>
  <sheetData>
    <row r="1" spans="1:7" s="114" customFormat="1" ht="14.4"/>
    <row r="2" spans="1:7" s="114" customFormat="1" ht="21">
      <c r="B2" s="4" t="s">
        <v>110</v>
      </c>
    </row>
    <row r="3" spans="1:7" s="114" customFormat="1" ht="15" thickBot="1"/>
    <row r="4" spans="1:7" ht="30.6" thickBot="1">
      <c r="A4" s="118" t="s">
        <v>95</v>
      </c>
      <c r="B4" s="118" t="s">
        <v>96</v>
      </c>
      <c r="C4" s="118" t="s">
        <v>97</v>
      </c>
    </row>
    <row r="5" spans="1:7" ht="30.6" thickBot="1">
      <c r="A5" s="118" t="s">
        <v>98</v>
      </c>
      <c r="B5" s="118" t="s">
        <v>99</v>
      </c>
      <c r="C5" s="118" t="s">
        <v>100</v>
      </c>
      <c r="E5" s="120" t="str">
        <f ca="1">OFFSET(C5,2,-1)</f>
        <v>B4: 101</v>
      </c>
    </row>
    <row r="6" spans="1:7" ht="30.6" thickBot="1">
      <c r="A6" s="118" t="s">
        <v>101</v>
      </c>
      <c r="B6" s="118" t="s">
        <v>102</v>
      </c>
      <c r="C6" s="118" t="s">
        <v>103</v>
      </c>
    </row>
    <row r="7" spans="1:7" ht="30.6" thickBot="1">
      <c r="A7" s="118" t="s">
        <v>104</v>
      </c>
      <c r="B7" s="118" t="s">
        <v>105</v>
      </c>
      <c r="C7" s="118" t="s">
        <v>106</v>
      </c>
    </row>
    <row r="8" spans="1:7" ht="30.6" thickBot="1">
      <c r="A8" s="119" t="s">
        <v>107</v>
      </c>
      <c r="B8" s="119" t="s">
        <v>108</v>
      </c>
      <c r="C8" s="119" t="s">
        <v>109</v>
      </c>
    </row>
    <row r="9" spans="1:7" ht="14.4"/>
    <row r="10" spans="1:7" ht="15">
      <c r="B10" s="121" t="s">
        <v>126</v>
      </c>
    </row>
    <row r="11" spans="1:7" ht="14.4"/>
    <row r="12" spans="1:7" ht="21">
      <c r="B12" s="4" t="s">
        <v>111</v>
      </c>
      <c r="F12" t="s">
        <v>122</v>
      </c>
    </row>
    <row r="13" spans="1:7" ht="14.4"/>
    <row r="14" spans="1:7" ht="14.4">
      <c r="A14" t="s">
        <v>112</v>
      </c>
      <c r="B14">
        <v>10247</v>
      </c>
      <c r="C14">
        <v>10249</v>
      </c>
      <c r="D14">
        <v>10250</v>
      </c>
      <c r="E14">
        <v>10251</v>
      </c>
      <c r="F14">
        <v>20252</v>
      </c>
      <c r="G14">
        <v>10253</v>
      </c>
    </row>
    <row r="15" spans="1:7" ht="14.4">
      <c r="A15" t="s">
        <v>113</v>
      </c>
      <c r="B15" s="122" t="s">
        <v>115</v>
      </c>
      <c r="C15" s="122" t="s">
        <v>116</v>
      </c>
      <c r="D15" s="122" t="s">
        <v>117</v>
      </c>
      <c r="E15" s="123" t="s">
        <v>118</v>
      </c>
      <c r="F15" s="122" t="s">
        <v>119</v>
      </c>
      <c r="G15" s="122" t="s">
        <v>120</v>
      </c>
    </row>
    <row r="16" spans="1:7" ht="14.4">
      <c r="A16" t="s">
        <v>114</v>
      </c>
      <c r="B16">
        <v>12</v>
      </c>
      <c r="C16">
        <v>9</v>
      </c>
      <c r="D16">
        <v>10</v>
      </c>
      <c r="E16">
        <v>6</v>
      </c>
      <c r="F16">
        <v>20</v>
      </c>
      <c r="G16">
        <v>40</v>
      </c>
    </row>
    <row r="17" spans="2:7" ht="14.4"/>
    <row r="18" spans="2:7" ht="14.4">
      <c r="B18" s="124" t="str">
        <f>HLOOKUP(10253,A14:G16,2,0)</f>
        <v>€64.80</v>
      </c>
    </row>
    <row r="19" spans="2:7" ht="14.4"/>
    <row r="20" spans="2:7" ht="14.4">
      <c r="B20" s="125" t="s">
        <v>121</v>
      </c>
    </row>
    <row r="21" spans="2:7" ht="14.4"/>
    <row r="22" spans="2:7" ht="14.4"/>
    <row r="23" spans="2:7" ht="21">
      <c r="B23" s="4" t="s">
        <v>123</v>
      </c>
    </row>
    <row r="24" spans="2:7" ht="14.4"/>
    <row r="25" spans="2:7" ht="14.4">
      <c r="B25" t="s">
        <v>124</v>
      </c>
      <c r="G25">
        <f>FLOOR(49,24)</f>
        <v>48</v>
      </c>
    </row>
    <row r="26" spans="2:7" ht="14.4"/>
    <row r="27" spans="2:7" ht="14.4">
      <c r="B27" s="125" t="s">
        <v>125</v>
      </c>
    </row>
  </sheetData>
  <pageMargins left="0.7" right="0.7" top="0.75" bottom="0.75" header="0.3" footer="0.3"/>
  <pageSetup paperSize="9" orientation="portrait" r:id="rId1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7"/>
  <dimension ref="A1:E62"/>
  <sheetViews>
    <sheetView workbookViewId="0">
      <selection activeCell="I16" sqref="I16"/>
    </sheetView>
  </sheetViews>
  <sheetFormatPr defaultColWidth="18.77734375" defaultRowHeight="12.75" customHeight="1"/>
  <cols>
    <col min="1" max="1" width="9.33203125" bestFit="1" customWidth="1"/>
    <col min="2" max="2" width="26.5546875" customWidth="1"/>
    <col min="3" max="5" width="9.109375" customWidth="1"/>
  </cols>
  <sheetData>
    <row r="1" spans="1:5" ht="18.600000000000001" thickBot="1">
      <c r="A1" s="169" t="s">
        <v>196</v>
      </c>
      <c r="B1" s="172" t="s">
        <v>197</v>
      </c>
    </row>
    <row r="2" spans="1:5" ht="15" thickBot="1">
      <c r="A2" s="170" t="s">
        <v>196</v>
      </c>
      <c r="B2" s="170" t="s">
        <v>197</v>
      </c>
      <c r="E2" t="s">
        <v>187</v>
      </c>
    </row>
    <row r="3" spans="1:5" ht="14.4">
      <c r="A3" s="171">
        <v>1</v>
      </c>
      <c r="B3" s="171" t="s">
        <v>222</v>
      </c>
    </row>
    <row r="4" spans="1:5" ht="14.4">
      <c r="A4" s="171">
        <v>2</v>
      </c>
      <c r="B4" s="171" t="s">
        <v>188</v>
      </c>
    </row>
    <row r="5" spans="1:5" ht="14.4">
      <c r="A5" s="171">
        <v>3</v>
      </c>
      <c r="B5" s="171" t="s">
        <v>293</v>
      </c>
    </row>
    <row r="6" spans="1:5" ht="14.4">
      <c r="A6" s="171">
        <v>4</v>
      </c>
      <c r="B6" s="171" t="s">
        <v>292</v>
      </c>
    </row>
    <row r="7" spans="1:5" ht="14.4">
      <c r="A7" s="171">
        <v>5</v>
      </c>
      <c r="B7" s="171" t="s">
        <v>308</v>
      </c>
    </row>
    <row r="8" spans="1:5" ht="14.4">
      <c r="A8" s="171">
        <v>6</v>
      </c>
      <c r="B8" s="171" t="s">
        <v>308</v>
      </c>
    </row>
    <row r="9" spans="1:5" ht="14.4">
      <c r="A9" s="171">
        <v>7</v>
      </c>
      <c r="B9" s="171" t="s">
        <v>304</v>
      </c>
    </row>
    <row r="10" spans="1:5" ht="14.4">
      <c r="A10" s="171">
        <v>8</v>
      </c>
      <c r="B10" s="171" t="s">
        <v>309</v>
      </c>
    </row>
    <row r="11" spans="1:5" ht="14.4">
      <c r="A11" s="171">
        <v>9</v>
      </c>
      <c r="B11" s="171" t="s">
        <v>222</v>
      </c>
    </row>
    <row r="12" spans="1:5" ht="14.4">
      <c r="A12" s="171">
        <v>10</v>
      </c>
      <c r="B12" s="171" t="s">
        <v>307</v>
      </c>
    </row>
    <row r="13" spans="1:5" ht="14.4">
      <c r="A13" s="171">
        <v>11</v>
      </c>
      <c r="B13" s="171" t="s">
        <v>308</v>
      </c>
    </row>
    <row r="14" spans="1:5" ht="14.4">
      <c r="A14" s="171">
        <v>12</v>
      </c>
      <c r="B14" s="171" t="s">
        <v>308</v>
      </c>
    </row>
    <row r="15" spans="1:5" ht="14.4">
      <c r="A15" s="171">
        <v>13</v>
      </c>
      <c r="B15" s="171" t="s">
        <v>308</v>
      </c>
    </row>
    <row r="16" spans="1:5" ht="14.4">
      <c r="A16" s="171">
        <v>14</v>
      </c>
      <c r="B16" s="171" t="s">
        <v>303</v>
      </c>
    </row>
    <row r="17" spans="1:2" ht="14.4">
      <c r="A17" s="171">
        <v>15</v>
      </c>
      <c r="B17" s="171" t="s">
        <v>309</v>
      </c>
    </row>
    <row r="18" spans="1:2" ht="14.4">
      <c r="A18" s="171">
        <v>16</v>
      </c>
      <c r="B18" s="171" t="s">
        <v>284</v>
      </c>
    </row>
    <row r="19" spans="1:2" ht="14.4">
      <c r="A19" s="171">
        <v>17</v>
      </c>
      <c r="B19" s="171" t="s">
        <v>289</v>
      </c>
    </row>
    <row r="20" spans="1:2" ht="14.4">
      <c r="A20" s="171">
        <v>18</v>
      </c>
      <c r="B20" s="171" t="s">
        <v>289</v>
      </c>
    </row>
    <row r="21" spans="1:2" ht="14.4">
      <c r="A21" s="171">
        <v>19</v>
      </c>
      <c r="B21" s="171" t="s">
        <v>355</v>
      </c>
    </row>
    <row r="22" spans="1:2" ht="14.4">
      <c r="A22" s="171">
        <v>20</v>
      </c>
      <c r="B22" s="171" t="s">
        <v>288</v>
      </c>
    </row>
    <row r="23" spans="1:2" ht="14.4">
      <c r="A23" s="171">
        <v>21</v>
      </c>
      <c r="B23" s="171" t="s">
        <v>291</v>
      </c>
    </row>
    <row r="24" spans="1:2" ht="14.4">
      <c r="A24" s="171">
        <v>22</v>
      </c>
      <c r="B24" s="171" t="s">
        <v>311</v>
      </c>
    </row>
    <row r="25" spans="1:2" ht="14.4">
      <c r="A25" s="171">
        <v>23</v>
      </c>
      <c r="B25" s="171" t="s">
        <v>188</v>
      </c>
    </row>
    <row r="26" spans="1:2" ht="14.4">
      <c r="A26" s="171">
        <v>24</v>
      </c>
      <c r="B26" s="171" t="s">
        <v>312</v>
      </c>
    </row>
    <row r="27" spans="1:2" ht="14.4">
      <c r="A27" s="171">
        <v>25</v>
      </c>
      <c r="B27" s="171" t="s">
        <v>290</v>
      </c>
    </row>
    <row r="28" spans="1:2" ht="14.4">
      <c r="A28" s="171">
        <v>26</v>
      </c>
      <c r="B28" s="171" t="s">
        <v>313</v>
      </c>
    </row>
    <row r="29" spans="1:2" ht="14.4">
      <c r="A29" s="171">
        <v>27</v>
      </c>
      <c r="B29" s="171" t="s">
        <v>314</v>
      </c>
    </row>
    <row r="30" spans="1:2" ht="14.4">
      <c r="A30" s="171">
        <v>28</v>
      </c>
      <c r="B30" s="171" t="s">
        <v>298</v>
      </c>
    </row>
    <row r="31" spans="1:2" ht="14.4">
      <c r="A31" s="171">
        <v>29</v>
      </c>
      <c r="B31" s="171" t="s">
        <v>287</v>
      </c>
    </row>
    <row r="32" spans="1:2" ht="14.4">
      <c r="A32" s="171">
        <v>30</v>
      </c>
      <c r="B32" s="171" t="s">
        <v>285</v>
      </c>
    </row>
    <row r="33" spans="1:2" ht="14.4">
      <c r="A33" s="171">
        <v>31</v>
      </c>
      <c r="B33" s="171" t="s">
        <v>286</v>
      </c>
    </row>
    <row r="34" spans="1:2" ht="14.4">
      <c r="A34" s="171">
        <v>32</v>
      </c>
      <c r="B34" s="171" t="s">
        <v>306</v>
      </c>
    </row>
    <row r="35" spans="1:2" ht="14.4">
      <c r="A35" s="171">
        <v>33</v>
      </c>
      <c r="B35" s="171" t="s">
        <v>306</v>
      </c>
    </row>
    <row r="36" spans="1:2" ht="14.4">
      <c r="A36" s="171">
        <v>34</v>
      </c>
      <c r="B36" s="171" t="s">
        <v>306</v>
      </c>
    </row>
    <row r="37" spans="1:2" ht="14.4">
      <c r="A37" s="171">
        <v>35</v>
      </c>
      <c r="B37" s="171" t="s">
        <v>222</v>
      </c>
    </row>
    <row r="38" spans="1:2" ht="14.4">
      <c r="A38" s="171">
        <v>36</v>
      </c>
      <c r="B38" s="171" t="s">
        <v>308</v>
      </c>
    </row>
    <row r="39" spans="1:2" ht="14.4">
      <c r="A39" s="171">
        <v>37</v>
      </c>
      <c r="B39" s="171" t="s">
        <v>308</v>
      </c>
    </row>
    <row r="40" spans="1:2" ht="14.4">
      <c r="A40" s="171">
        <v>38</v>
      </c>
      <c r="B40" s="171" t="s">
        <v>188</v>
      </c>
    </row>
    <row r="41" spans="1:2" ht="14.4">
      <c r="A41" s="171">
        <v>39</v>
      </c>
      <c r="B41" s="171" t="s">
        <v>310</v>
      </c>
    </row>
    <row r="42" spans="1:2" ht="14.4">
      <c r="A42" s="171">
        <v>40</v>
      </c>
      <c r="B42" s="171" t="s">
        <v>305</v>
      </c>
    </row>
    <row r="43" spans="1:2" ht="14.4">
      <c r="A43" s="171">
        <v>41</v>
      </c>
      <c r="B43" s="171" t="s">
        <v>289</v>
      </c>
    </row>
    <row r="44" spans="1:2" ht="14.4">
      <c r="A44" s="171">
        <v>42</v>
      </c>
      <c r="B44" s="171" t="s">
        <v>222</v>
      </c>
    </row>
    <row r="45" spans="1:2" ht="14.4">
      <c r="A45" s="171">
        <v>43</v>
      </c>
      <c r="B45" s="171" t="s">
        <v>188</v>
      </c>
    </row>
    <row r="46" spans="1:2" ht="14.4">
      <c r="A46" s="171">
        <v>44</v>
      </c>
      <c r="B46" s="171" t="s">
        <v>294</v>
      </c>
    </row>
    <row r="47" spans="1:2" ht="14.4">
      <c r="A47" s="171">
        <v>45</v>
      </c>
      <c r="B47" s="171" t="s">
        <v>295</v>
      </c>
    </row>
    <row r="48" spans="1:2" ht="14.4">
      <c r="A48" s="171">
        <v>46</v>
      </c>
      <c r="B48" s="171" t="s">
        <v>296</v>
      </c>
    </row>
    <row r="49" spans="1:2" ht="14.4">
      <c r="A49" s="171">
        <v>47</v>
      </c>
      <c r="B49" s="171" t="s">
        <v>297</v>
      </c>
    </row>
    <row r="50" spans="1:2" ht="14.4">
      <c r="A50" s="171">
        <v>48</v>
      </c>
      <c r="B50" s="171" t="s">
        <v>356</v>
      </c>
    </row>
    <row r="51" spans="1:2" ht="14.4">
      <c r="A51" s="171">
        <v>49</v>
      </c>
      <c r="B51" s="171" t="s">
        <v>298</v>
      </c>
    </row>
    <row r="52" spans="1:2" ht="14.4">
      <c r="A52" s="171">
        <v>50</v>
      </c>
      <c r="B52" s="171" t="s">
        <v>299</v>
      </c>
    </row>
    <row r="53" spans="1:2" ht="14.4">
      <c r="A53" s="171">
        <v>51</v>
      </c>
      <c r="B53" s="171" t="s">
        <v>300</v>
      </c>
    </row>
    <row r="54" spans="1:2" ht="14.4">
      <c r="A54" s="171">
        <v>52</v>
      </c>
      <c r="B54" s="171" t="s">
        <v>301</v>
      </c>
    </row>
    <row r="55" spans="1:2" ht="14.4">
      <c r="A55" s="171">
        <v>53</v>
      </c>
      <c r="B55" s="171" t="s">
        <v>302</v>
      </c>
    </row>
    <row r="56" spans="1:2" ht="14.4">
      <c r="A56" s="171">
        <v>54</v>
      </c>
      <c r="B56" s="171" t="s">
        <v>188</v>
      </c>
    </row>
    <row r="57" spans="1:2" ht="14.4">
      <c r="A57" s="171">
        <v>55</v>
      </c>
      <c r="B57" s="171" t="s">
        <v>188</v>
      </c>
    </row>
    <row r="58" spans="1:2" ht="14.4">
      <c r="A58" s="171">
        <v>56</v>
      </c>
      <c r="B58" s="171" t="s">
        <v>188</v>
      </c>
    </row>
    <row r="59" spans="1:2" ht="14.4">
      <c r="A59" s="171">
        <v>57</v>
      </c>
      <c r="B59" s="171" t="s">
        <v>188</v>
      </c>
    </row>
    <row r="60" spans="1:2" ht="14.4">
      <c r="A60" s="171">
        <v>58</v>
      </c>
      <c r="B60" s="171" t="s">
        <v>188</v>
      </c>
    </row>
    <row r="61" spans="1:2" ht="14.4">
      <c r="A61" s="171">
        <v>59</v>
      </c>
      <c r="B61" s="171" t="s">
        <v>308</v>
      </c>
    </row>
    <row r="62" spans="1:2" ht="14.4">
      <c r="A62" s="171">
        <v>38</v>
      </c>
      <c r="B62" s="171"/>
    </row>
  </sheetData>
  <autoFilter ref="A2:D2" xr:uid="{00000000-0009-0000-0000-000008000000}"/>
  <pageMargins left="0.7" right="0.7" top="0.75" bottom="0.75" header="0.3" footer="0.3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0"/>
  <dimension ref="C1:E15"/>
  <sheetViews>
    <sheetView showGridLines="0" workbookViewId="0">
      <selection activeCell="D8" sqref="D8"/>
    </sheetView>
  </sheetViews>
  <sheetFormatPr defaultColWidth="18.77734375" defaultRowHeight="12.75" customHeight="1"/>
  <cols>
    <col min="1" max="5" width="9.109375" customWidth="1"/>
  </cols>
  <sheetData>
    <row r="1" spans="3:5" ht="14.4"/>
    <row r="2" spans="3:5" ht="14.4"/>
    <row r="3" spans="3:5" ht="14.4"/>
    <row r="4" spans="3:5" ht="14.4"/>
    <row r="5" spans="3:5" ht="14.4"/>
    <row r="6" spans="3:5" ht="14.4">
      <c r="C6" t="s">
        <v>175</v>
      </c>
    </row>
    <row r="7" spans="3:5" ht="14.4">
      <c r="D7" s="175" t="s">
        <v>199</v>
      </c>
    </row>
    <row r="8" spans="3:5" ht="14.4">
      <c r="D8" s="175" t="s">
        <v>200</v>
      </c>
    </row>
    <row r="9" spans="3:5" ht="14.4">
      <c r="D9" s="175" t="s">
        <v>201</v>
      </c>
    </row>
    <row r="10" spans="3:5" ht="14.4">
      <c r="D10" s="175" t="s">
        <v>202</v>
      </c>
    </row>
    <row r="11" spans="3:5" ht="14.4">
      <c r="D11" s="175" t="s">
        <v>203</v>
      </c>
    </row>
    <row r="12" spans="3:5" ht="14.4">
      <c r="C12" t="s">
        <v>176</v>
      </c>
    </row>
    <row r="13" spans="3:5" ht="14.4">
      <c r="D13" s="176">
        <v>0</v>
      </c>
      <c r="E13" t="s">
        <v>204</v>
      </c>
    </row>
    <row r="14" spans="3:5" ht="14.4">
      <c r="D14" s="176">
        <v>90</v>
      </c>
      <c r="E14" t="s">
        <v>205</v>
      </c>
    </row>
    <row r="15" spans="3:5" ht="14.4">
      <c r="D15" s="176">
        <v>180</v>
      </c>
      <c r="E15" t="s">
        <v>206</v>
      </c>
    </row>
  </sheetData>
  <pageMargins left="0.7" right="0.7" top="0.75" bottom="0.75" header="0.3" footer="0.3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5"/>
  <dimension ref="A1:K59"/>
  <sheetViews>
    <sheetView zoomScale="70" zoomScaleNormal="70" workbookViewId="0">
      <selection activeCell="J33" sqref="J33"/>
    </sheetView>
  </sheetViews>
  <sheetFormatPr defaultColWidth="18.77734375" defaultRowHeight="12.75" customHeight="1"/>
  <cols>
    <col min="1" max="1" width="9.109375" style="129" customWidth="1"/>
    <col min="2" max="2" width="25.5546875" style="129" customWidth="1"/>
    <col min="3" max="11" width="9.109375" style="129" customWidth="1"/>
    <col min="12" max="16384" width="18.77734375" style="129"/>
  </cols>
  <sheetData>
    <row r="1" spans="1:3" ht="14.4">
      <c r="A1" s="129">
        <v>1</v>
      </c>
      <c r="B1" s="129" t="s">
        <v>221</v>
      </c>
      <c r="C1" s="129">
        <f t="shared" ref="C1:C32" si="0">A1</f>
        <v>1</v>
      </c>
    </row>
    <row r="2" spans="1:3" ht="14.4">
      <c r="A2" s="129">
        <v>2</v>
      </c>
      <c r="B2" s="129" t="s">
        <v>224</v>
      </c>
      <c r="C2" s="129">
        <f t="shared" si="0"/>
        <v>2</v>
      </c>
    </row>
    <row r="3" spans="1:3" ht="14.4">
      <c r="A3" s="129">
        <v>3</v>
      </c>
      <c r="B3" s="129" t="s">
        <v>225</v>
      </c>
      <c r="C3" s="129">
        <f t="shared" si="0"/>
        <v>3</v>
      </c>
    </row>
    <row r="4" spans="1:3" ht="14.4">
      <c r="A4" s="129">
        <v>4</v>
      </c>
      <c r="B4" s="129" t="s">
        <v>227</v>
      </c>
      <c r="C4" s="129">
        <f t="shared" si="0"/>
        <v>4</v>
      </c>
    </row>
    <row r="5" spans="1:3" ht="14.4">
      <c r="A5" s="129">
        <v>5</v>
      </c>
      <c r="B5" s="129" t="s">
        <v>228</v>
      </c>
      <c r="C5" s="129">
        <f t="shared" si="0"/>
        <v>5</v>
      </c>
    </row>
    <row r="6" spans="1:3" ht="14.4">
      <c r="A6" s="129">
        <v>6</v>
      </c>
      <c r="B6" s="129" t="s">
        <v>229</v>
      </c>
      <c r="C6" s="129">
        <f t="shared" si="0"/>
        <v>6</v>
      </c>
    </row>
    <row r="7" spans="1:3" ht="14.4">
      <c r="A7" s="129">
        <v>7</v>
      </c>
      <c r="B7" s="129" t="s">
        <v>230</v>
      </c>
      <c r="C7" s="129">
        <f t="shared" si="0"/>
        <v>7</v>
      </c>
    </row>
    <row r="8" spans="1:3" ht="14.4">
      <c r="A8" s="129">
        <v>8</v>
      </c>
      <c r="B8" s="129" t="s">
        <v>231</v>
      </c>
      <c r="C8" s="129">
        <f t="shared" si="0"/>
        <v>8</v>
      </c>
    </row>
    <row r="9" spans="1:3" ht="14.4">
      <c r="A9" s="129">
        <v>9</v>
      </c>
      <c r="B9" s="129" t="s">
        <v>233</v>
      </c>
      <c r="C9" s="129">
        <f t="shared" si="0"/>
        <v>9</v>
      </c>
    </row>
    <row r="10" spans="1:3" ht="14.4">
      <c r="A10" s="129">
        <v>10</v>
      </c>
      <c r="B10" s="129" t="s">
        <v>234</v>
      </c>
      <c r="C10" s="129">
        <f t="shared" si="0"/>
        <v>10</v>
      </c>
    </row>
    <row r="11" spans="1:3" ht="14.4">
      <c r="A11" s="129">
        <v>11</v>
      </c>
      <c r="B11" s="129" t="s">
        <v>235</v>
      </c>
      <c r="C11" s="129">
        <f t="shared" si="0"/>
        <v>11</v>
      </c>
    </row>
    <row r="12" spans="1:3" ht="14.4">
      <c r="A12" s="129">
        <v>12</v>
      </c>
      <c r="B12" s="129" t="s">
        <v>236</v>
      </c>
      <c r="C12" s="129">
        <f t="shared" si="0"/>
        <v>12</v>
      </c>
    </row>
    <row r="13" spans="1:3" ht="14.4">
      <c r="A13" s="129">
        <v>13</v>
      </c>
      <c r="B13" s="129" t="s">
        <v>237</v>
      </c>
      <c r="C13" s="129">
        <f t="shared" si="0"/>
        <v>13</v>
      </c>
    </row>
    <row r="14" spans="1:3" ht="14.4">
      <c r="A14" s="129">
        <v>14</v>
      </c>
      <c r="B14" s="129" t="s">
        <v>238</v>
      </c>
      <c r="C14" s="129">
        <f t="shared" si="0"/>
        <v>14</v>
      </c>
    </row>
    <row r="15" spans="1:3" ht="14.4">
      <c r="A15" s="129">
        <v>15</v>
      </c>
      <c r="B15" s="129" t="s">
        <v>239</v>
      </c>
      <c r="C15" s="129">
        <f t="shared" si="0"/>
        <v>15</v>
      </c>
    </row>
    <row r="16" spans="1:3" ht="14.4">
      <c r="A16" s="129">
        <v>16</v>
      </c>
      <c r="B16" s="129" t="s">
        <v>240</v>
      </c>
      <c r="C16" s="129">
        <f t="shared" si="0"/>
        <v>16</v>
      </c>
    </row>
    <row r="17" spans="1:11" ht="14.4">
      <c r="A17" s="129">
        <v>17</v>
      </c>
      <c r="B17" s="129" t="s">
        <v>241</v>
      </c>
      <c r="C17" s="129">
        <f t="shared" si="0"/>
        <v>17</v>
      </c>
    </row>
    <row r="18" spans="1:11" ht="14.4">
      <c r="A18" s="129">
        <v>18</v>
      </c>
      <c r="B18" s="129" t="s">
        <v>242</v>
      </c>
      <c r="C18" s="129">
        <f t="shared" si="0"/>
        <v>18</v>
      </c>
    </row>
    <row r="19" spans="1:11" ht="14.4">
      <c r="A19" s="129">
        <v>19</v>
      </c>
      <c r="B19" s="129" t="s">
        <v>243</v>
      </c>
      <c r="C19" s="129">
        <f t="shared" si="0"/>
        <v>19</v>
      </c>
    </row>
    <row r="20" spans="1:11" ht="14.4">
      <c r="A20" s="129">
        <v>20</v>
      </c>
      <c r="B20" s="129" t="s">
        <v>244</v>
      </c>
      <c r="C20" s="129">
        <f t="shared" si="0"/>
        <v>20</v>
      </c>
    </row>
    <row r="21" spans="1:11" ht="14.4">
      <c r="A21" s="129">
        <v>21</v>
      </c>
      <c r="B21" s="129" t="s">
        <v>325</v>
      </c>
      <c r="C21" s="129">
        <f t="shared" si="0"/>
        <v>21</v>
      </c>
    </row>
    <row r="22" spans="1:11" ht="14.4">
      <c r="A22" s="129">
        <v>22</v>
      </c>
      <c r="B22" s="129" t="s">
        <v>246</v>
      </c>
      <c r="C22" s="129">
        <f t="shared" si="0"/>
        <v>22</v>
      </c>
    </row>
    <row r="23" spans="1:11" ht="14.4">
      <c r="A23" s="129">
        <v>23</v>
      </c>
      <c r="B23" s="129" t="s">
        <v>247</v>
      </c>
      <c r="C23" s="129">
        <f t="shared" si="0"/>
        <v>23</v>
      </c>
    </row>
    <row r="24" spans="1:11" ht="14.4">
      <c r="A24" s="129">
        <v>24</v>
      </c>
      <c r="B24" s="129" t="s">
        <v>248</v>
      </c>
      <c r="C24" s="129">
        <f t="shared" si="0"/>
        <v>24</v>
      </c>
    </row>
    <row r="25" spans="1:11" ht="14.4">
      <c r="A25" s="129">
        <v>25</v>
      </c>
      <c r="B25" s="129" t="s">
        <v>249</v>
      </c>
      <c r="C25" s="129">
        <f t="shared" si="0"/>
        <v>25</v>
      </c>
    </row>
    <row r="26" spans="1:11" ht="14.4">
      <c r="A26" s="129">
        <v>26</v>
      </c>
      <c r="B26" s="129" t="s">
        <v>250</v>
      </c>
      <c r="C26" s="129">
        <f t="shared" si="0"/>
        <v>26</v>
      </c>
    </row>
    <row r="27" spans="1:11" ht="14.4">
      <c r="A27" s="129">
        <v>27</v>
      </c>
      <c r="B27" s="129" t="s">
        <v>251</v>
      </c>
      <c r="C27" s="129">
        <f t="shared" si="0"/>
        <v>27</v>
      </c>
    </row>
    <row r="28" spans="1:11" ht="14.4">
      <c r="A28" s="129">
        <v>28</v>
      </c>
      <c r="B28" s="129" t="s">
        <v>252</v>
      </c>
      <c r="C28" s="129">
        <f t="shared" si="0"/>
        <v>28</v>
      </c>
    </row>
    <row r="29" spans="1:11" ht="14.4">
      <c r="A29" s="129">
        <v>29</v>
      </c>
      <c r="B29" s="129" t="s">
        <v>330</v>
      </c>
      <c r="C29" s="129">
        <f t="shared" si="0"/>
        <v>29</v>
      </c>
    </row>
    <row r="30" spans="1:11" ht="14.4">
      <c r="A30" s="129">
        <v>30</v>
      </c>
      <c r="B30" s="129" t="s">
        <v>254</v>
      </c>
      <c r="C30" s="129">
        <f t="shared" si="0"/>
        <v>30</v>
      </c>
      <c r="F30" s="129" t="s">
        <v>225</v>
      </c>
      <c r="G30" s="129">
        <v>3</v>
      </c>
      <c r="H30" s="129" t="s">
        <v>253</v>
      </c>
      <c r="I30" s="129">
        <v>30</v>
      </c>
      <c r="J30" s="129" t="s">
        <v>282</v>
      </c>
      <c r="K30" s="129">
        <v>58</v>
      </c>
    </row>
    <row r="31" spans="1:11" ht="14.4">
      <c r="A31" s="129">
        <v>31</v>
      </c>
      <c r="B31" s="129" t="s">
        <v>255</v>
      </c>
      <c r="C31" s="129">
        <f t="shared" si="0"/>
        <v>31</v>
      </c>
      <c r="F31" s="129" t="s">
        <v>227</v>
      </c>
      <c r="G31" s="129">
        <v>4</v>
      </c>
      <c r="H31" s="129" t="s">
        <v>254</v>
      </c>
      <c r="I31" s="129">
        <v>31</v>
      </c>
      <c r="J31" s="129" t="s">
        <v>269</v>
      </c>
      <c r="K31" s="129">
        <v>46</v>
      </c>
    </row>
    <row r="32" spans="1:11" ht="14.4">
      <c r="A32" s="129">
        <v>32</v>
      </c>
      <c r="B32" s="129" t="s">
        <v>256</v>
      </c>
      <c r="C32" s="129">
        <f t="shared" si="0"/>
        <v>32</v>
      </c>
      <c r="F32" s="129" t="s">
        <v>228</v>
      </c>
      <c r="G32" s="129">
        <v>5</v>
      </c>
      <c r="H32" s="129" t="s">
        <v>255</v>
      </c>
      <c r="I32" s="129">
        <v>32</v>
      </c>
      <c r="J32" s="129" t="s">
        <v>224</v>
      </c>
      <c r="K32" s="129">
        <v>2</v>
      </c>
    </row>
    <row r="33" spans="1:9" ht="14.4">
      <c r="A33" s="129">
        <v>33</v>
      </c>
      <c r="B33" s="129" t="s">
        <v>326</v>
      </c>
      <c r="C33" s="129">
        <f t="shared" ref="C33:C59" si="1">A33</f>
        <v>33</v>
      </c>
      <c r="F33" s="129" t="s">
        <v>229</v>
      </c>
      <c r="G33" s="129">
        <v>6</v>
      </c>
      <c r="H33" s="129" t="s">
        <v>256</v>
      </c>
      <c r="I33" s="129">
        <v>33</v>
      </c>
    </row>
    <row r="34" spans="1:9" ht="14.4">
      <c r="A34" s="129">
        <v>34</v>
      </c>
      <c r="B34" s="129" t="s">
        <v>327</v>
      </c>
      <c r="C34" s="129">
        <f t="shared" si="1"/>
        <v>34</v>
      </c>
      <c r="F34" s="129" t="s">
        <v>230</v>
      </c>
      <c r="G34" s="129">
        <v>7</v>
      </c>
      <c r="H34" s="129" t="s">
        <v>281</v>
      </c>
      <c r="I34" s="129">
        <v>57</v>
      </c>
    </row>
    <row r="35" spans="1:9" ht="14.4">
      <c r="A35" s="129">
        <v>35</v>
      </c>
      <c r="B35" s="129" t="s">
        <v>328</v>
      </c>
      <c r="C35" s="129">
        <f t="shared" si="1"/>
        <v>35</v>
      </c>
      <c r="F35" s="129" t="s">
        <v>231</v>
      </c>
      <c r="G35" s="129">
        <v>8</v>
      </c>
      <c r="H35" s="129" t="s">
        <v>280</v>
      </c>
      <c r="I35" s="129">
        <v>56</v>
      </c>
    </row>
    <row r="36" spans="1:9" ht="14.4">
      <c r="A36" s="129">
        <v>36</v>
      </c>
      <c r="B36" s="129" t="s">
        <v>329</v>
      </c>
      <c r="C36" s="129">
        <f t="shared" si="1"/>
        <v>36</v>
      </c>
      <c r="F36" s="129" t="s">
        <v>232</v>
      </c>
      <c r="G36" s="129">
        <v>9</v>
      </c>
      <c r="H36" s="129" t="s">
        <v>279</v>
      </c>
      <c r="I36" s="129">
        <v>55</v>
      </c>
    </row>
    <row r="37" spans="1:9" ht="14.4">
      <c r="A37" s="129">
        <v>37</v>
      </c>
      <c r="B37" s="129" t="s">
        <v>260</v>
      </c>
      <c r="C37" s="129">
        <f t="shared" si="1"/>
        <v>37</v>
      </c>
      <c r="F37" s="129" t="s">
        <v>233</v>
      </c>
      <c r="G37" s="129">
        <v>10</v>
      </c>
      <c r="H37" s="129" t="s">
        <v>278</v>
      </c>
      <c r="I37" s="129">
        <v>54</v>
      </c>
    </row>
    <row r="38" spans="1:9" ht="14.4">
      <c r="A38" s="129">
        <v>38</v>
      </c>
      <c r="B38" s="129" t="s">
        <v>261</v>
      </c>
      <c r="C38" s="129">
        <f t="shared" si="1"/>
        <v>38</v>
      </c>
      <c r="F38" s="129" t="s">
        <v>221</v>
      </c>
      <c r="G38" s="129">
        <v>1</v>
      </c>
      <c r="H38" s="129" t="s">
        <v>277</v>
      </c>
      <c r="I38" s="129">
        <v>53</v>
      </c>
    </row>
    <row r="39" spans="1:9" ht="14.4">
      <c r="A39" s="129">
        <v>39</v>
      </c>
      <c r="B39" s="129" t="s">
        <v>336</v>
      </c>
      <c r="C39" s="129">
        <f t="shared" si="1"/>
        <v>39</v>
      </c>
      <c r="F39" s="129" t="s">
        <v>234</v>
      </c>
      <c r="G39" s="129">
        <v>11</v>
      </c>
      <c r="H39" s="129" t="s">
        <v>275</v>
      </c>
      <c r="I39" s="129">
        <v>51</v>
      </c>
    </row>
    <row r="40" spans="1:9" ht="14.4">
      <c r="A40" s="129">
        <v>40</v>
      </c>
      <c r="B40" s="129" t="s">
        <v>264</v>
      </c>
      <c r="C40" s="129">
        <f t="shared" si="1"/>
        <v>40</v>
      </c>
      <c r="F40" s="129" t="s">
        <v>235</v>
      </c>
      <c r="G40" s="129">
        <v>12</v>
      </c>
      <c r="H40" s="129" t="s">
        <v>276</v>
      </c>
      <c r="I40" s="129">
        <v>52</v>
      </c>
    </row>
    <row r="41" spans="1:9" ht="14.4">
      <c r="A41" s="129">
        <v>41</v>
      </c>
      <c r="B41" s="129" t="s">
        <v>265</v>
      </c>
      <c r="C41" s="129">
        <f t="shared" si="1"/>
        <v>41</v>
      </c>
      <c r="F41" s="129" t="s">
        <v>236</v>
      </c>
      <c r="G41" s="129">
        <v>13</v>
      </c>
      <c r="H41" s="129" t="s">
        <v>274</v>
      </c>
      <c r="I41" s="129">
        <v>50</v>
      </c>
    </row>
    <row r="42" spans="1:9" ht="14.4">
      <c r="A42" s="129">
        <v>42</v>
      </c>
      <c r="B42" s="129" t="s">
        <v>266</v>
      </c>
      <c r="C42" s="129">
        <f t="shared" si="1"/>
        <v>42</v>
      </c>
      <c r="F42" s="129" t="s">
        <v>237</v>
      </c>
      <c r="G42" s="129">
        <v>14</v>
      </c>
      <c r="H42" s="129" t="s">
        <v>273</v>
      </c>
      <c r="I42" s="129">
        <v>49</v>
      </c>
    </row>
    <row r="43" spans="1:9" ht="14.4">
      <c r="A43" s="129">
        <v>43</v>
      </c>
      <c r="B43" s="129" t="s">
        <v>267</v>
      </c>
      <c r="C43" s="129">
        <f t="shared" si="1"/>
        <v>43</v>
      </c>
      <c r="F43" s="129" t="s">
        <v>238</v>
      </c>
      <c r="G43" s="129">
        <v>15</v>
      </c>
      <c r="H43" s="129" t="s">
        <v>272</v>
      </c>
      <c r="I43" s="129">
        <v>48</v>
      </c>
    </row>
    <row r="44" spans="1:9" ht="14.4">
      <c r="A44" s="129">
        <v>44</v>
      </c>
      <c r="B44" s="129" t="s">
        <v>269</v>
      </c>
      <c r="C44" s="129">
        <f t="shared" si="1"/>
        <v>44</v>
      </c>
      <c r="F44" s="129" t="s">
        <v>239</v>
      </c>
      <c r="G44" s="129">
        <v>16</v>
      </c>
      <c r="H44" s="129" t="s">
        <v>270</v>
      </c>
      <c r="I44" s="129">
        <v>47</v>
      </c>
    </row>
    <row r="45" spans="1:9" ht="14.4">
      <c r="A45" s="129">
        <v>45</v>
      </c>
      <c r="B45" s="129" t="s">
        <v>331</v>
      </c>
      <c r="C45" s="129">
        <f t="shared" si="1"/>
        <v>45</v>
      </c>
      <c r="F45" s="129" t="s">
        <v>240</v>
      </c>
      <c r="G45" s="129">
        <v>17</v>
      </c>
      <c r="H45" s="129" t="s">
        <v>257</v>
      </c>
      <c r="I45" s="129">
        <v>34</v>
      </c>
    </row>
    <row r="46" spans="1:9" ht="14.4">
      <c r="A46" s="129">
        <v>46</v>
      </c>
      <c r="B46" s="129" t="s">
        <v>332</v>
      </c>
      <c r="C46" s="129">
        <f t="shared" si="1"/>
        <v>46</v>
      </c>
      <c r="F46" s="129" t="s">
        <v>241</v>
      </c>
      <c r="G46" s="129">
        <v>18</v>
      </c>
      <c r="H46" s="129" t="s">
        <v>258</v>
      </c>
      <c r="I46" s="129">
        <v>35</v>
      </c>
    </row>
    <row r="47" spans="1:9" ht="14.4">
      <c r="A47" s="129">
        <v>47</v>
      </c>
      <c r="B47" s="129" t="s">
        <v>333</v>
      </c>
      <c r="C47" s="129">
        <f t="shared" si="1"/>
        <v>47</v>
      </c>
      <c r="F47" s="129" t="s">
        <v>242</v>
      </c>
      <c r="G47" s="129">
        <v>19</v>
      </c>
      <c r="H47" s="129" t="s">
        <v>259</v>
      </c>
      <c r="I47" s="129">
        <v>36</v>
      </c>
    </row>
    <row r="48" spans="1:9" ht="14.4">
      <c r="A48" s="129">
        <v>48</v>
      </c>
      <c r="B48" s="129" t="s">
        <v>334</v>
      </c>
      <c r="C48" s="129">
        <f t="shared" si="1"/>
        <v>48</v>
      </c>
      <c r="F48" s="129" t="s">
        <v>243</v>
      </c>
      <c r="G48" s="129">
        <v>20</v>
      </c>
      <c r="H48" s="129" t="s">
        <v>260</v>
      </c>
      <c r="I48" s="129">
        <v>37</v>
      </c>
    </row>
    <row r="49" spans="1:9" ht="14.4">
      <c r="A49" s="129">
        <v>49</v>
      </c>
      <c r="B49" s="129" t="s">
        <v>337</v>
      </c>
      <c r="C49" s="129">
        <f t="shared" si="1"/>
        <v>49</v>
      </c>
      <c r="F49" s="129" t="s">
        <v>244</v>
      </c>
      <c r="G49" s="129">
        <v>21</v>
      </c>
      <c r="H49" s="129" t="s">
        <v>261</v>
      </c>
      <c r="I49" s="129">
        <v>38</v>
      </c>
    </row>
    <row r="50" spans="1:9" ht="14.4">
      <c r="A50" s="129">
        <v>50</v>
      </c>
      <c r="B50" s="129" t="s">
        <v>335</v>
      </c>
      <c r="C50" s="129">
        <f t="shared" si="1"/>
        <v>50</v>
      </c>
      <c r="F50" s="129" t="s">
        <v>245</v>
      </c>
      <c r="G50" s="129">
        <v>22</v>
      </c>
      <c r="H50" s="129" t="s">
        <v>262</v>
      </c>
      <c r="I50" s="129">
        <v>39</v>
      </c>
    </row>
    <row r="51" spans="1:9" ht="14.4">
      <c r="A51" s="129">
        <v>51</v>
      </c>
      <c r="B51" s="129" t="s">
        <v>277</v>
      </c>
      <c r="C51" s="129">
        <f t="shared" si="1"/>
        <v>51</v>
      </c>
      <c r="F51" s="129" t="s">
        <v>246</v>
      </c>
      <c r="G51" s="129">
        <v>23</v>
      </c>
      <c r="H51" s="129" t="s">
        <v>263</v>
      </c>
      <c r="I51" s="129">
        <v>40</v>
      </c>
    </row>
    <row r="52" spans="1:9" ht="14.4">
      <c r="A52" s="129">
        <v>52</v>
      </c>
      <c r="B52" s="129" t="s">
        <v>278</v>
      </c>
      <c r="C52" s="129">
        <f t="shared" si="1"/>
        <v>52</v>
      </c>
      <c r="F52" s="129" t="s">
        <v>247</v>
      </c>
      <c r="G52" s="129">
        <v>24</v>
      </c>
      <c r="H52" s="129" t="s">
        <v>264</v>
      </c>
      <c r="I52" s="129">
        <v>41</v>
      </c>
    </row>
    <row r="53" spans="1:9" ht="14.4">
      <c r="A53" s="129">
        <v>53</v>
      </c>
      <c r="B53" s="129" t="s">
        <v>279</v>
      </c>
      <c r="C53" s="129">
        <f t="shared" si="1"/>
        <v>53</v>
      </c>
      <c r="F53" s="129" t="s">
        <v>248</v>
      </c>
      <c r="G53" s="129">
        <v>25</v>
      </c>
      <c r="H53" s="129" t="s">
        <v>265</v>
      </c>
      <c r="I53" s="129">
        <v>42</v>
      </c>
    </row>
    <row r="54" spans="1:9" ht="14.4">
      <c r="A54" s="129">
        <v>54</v>
      </c>
      <c r="B54" s="129" t="s">
        <v>280</v>
      </c>
      <c r="C54" s="129">
        <f t="shared" si="1"/>
        <v>54</v>
      </c>
      <c r="F54" s="129" t="s">
        <v>249</v>
      </c>
      <c r="G54" s="129">
        <v>26</v>
      </c>
      <c r="H54" s="129" t="s">
        <v>266</v>
      </c>
      <c r="I54" s="129">
        <v>43</v>
      </c>
    </row>
    <row r="55" spans="1:9" ht="14.4">
      <c r="A55" s="129">
        <v>55</v>
      </c>
      <c r="B55" s="129" t="s">
        <v>281</v>
      </c>
      <c r="C55" s="129">
        <f t="shared" si="1"/>
        <v>55</v>
      </c>
      <c r="F55" s="129" t="s">
        <v>250</v>
      </c>
      <c r="G55" s="129">
        <v>27</v>
      </c>
      <c r="H55" s="129" t="s">
        <v>267</v>
      </c>
      <c r="I55" s="129">
        <v>44</v>
      </c>
    </row>
    <row r="56" spans="1:9" ht="14.4">
      <c r="A56" s="129">
        <v>56</v>
      </c>
      <c r="B56" s="129" t="s">
        <v>282</v>
      </c>
      <c r="C56" s="129">
        <f t="shared" si="1"/>
        <v>56</v>
      </c>
      <c r="F56" s="129" t="s">
        <v>251</v>
      </c>
      <c r="G56" s="129">
        <v>28</v>
      </c>
      <c r="H56" s="129" t="s">
        <v>283</v>
      </c>
      <c r="I56" s="129">
        <v>59</v>
      </c>
    </row>
    <row r="57" spans="1:9" ht="14.4">
      <c r="A57" s="129">
        <v>57</v>
      </c>
      <c r="B57" s="129" t="s">
        <v>283</v>
      </c>
      <c r="C57" s="129">
        <f t="shared" si="1"/>
        <v>57</v>
      </c>
      <c r="F57" s="129" t="s">
        <v>252</v>
      </c>
      <c r="G57" s="129">
        <v>29</v>
      </c>
      <c r="H57" s="129" t="s">
        <v>268</v>
      </c>
      <c r="I57" s="129">
        <v>45</v>
      </c>
    </row>
    <row r="58" spans="1:9" ht="14.4">
      <c r="A58" s="129">
        <v>58</v>
      </c>
      <c r="B58" s="129" t="s">
        <v>338</v>
      </c>
      <c r="C58" s="129">
        <f t="shared" si="1"/>
        <v>58</v>
      </c>
    </row>
    <row r="59" spans="1:9" ht="14.4">
      <c r="A59" s="129">
        <v>59</v>
      </c>
      <c r="B59" s="129" t="s">
        <v>339</v>
      </c>
      <c r="C59" s="129">
        <f t="shared" si="1"/>
        <v>59</v>
      </c>
    </row>
  </sheetData>
  <pageMargins left="0.7" right="0.7" top="0.75" bottom="0.75" header="0.3" footer="0.3"/>
</worksheet>
</file>

<file path=xl/worksheets/sheet1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2"/>
  <dimension ref="A1:J188"/>
  <sheetViews>
    <sheetView workbookViewId="0">
      <selection activeCell="F2" sqref="F2"/>
    </sheetView>
  </sheetViews>
  <sheetFormatPr defaultColWidth="18.77734375" defaultRowHeight="12.75" customHeight="1"/>
  <cols>
    <col min="1" max="1" width="28.5546875" customWidth="1"/>
    <col min="2" max="13" width="9.109375" customWidth="1"/>
  </cols>
  <sheetData>
    <row r="1" spans="1:10" s="115" customFormat="1" ht="57.6">
      <c r="A1" s="187" t="s">
        <v>208</v>
      </c>
      <c r="B1" s="187" t="s">
        <v>209</v>
      </c>
      <c r="C1" s="187" t="s">
        <v>214</v>
      </c>
      <c r="D1" s="187" t="s">
        <v>210</v>
      </c>
      <c r="E1" s="187" t="s">
        <v>212</v>
      </c>
      <c r="F1" s="187" t="s">
        <v>213</v>
      </c>
      <c r="G1" s="187" t="s">
        <v>215</v>
      </c>
      <c r="H1" s="187"/>
      <c r="I1" s="187" t="s">
        <v>211</v>
      </c>
      <c r="J1" s="187"/>
    </row>
    <row r="2" spans="1:10" ht="14.4">
      <c r="A2" t="s">
        <v>225</v>
      </c>
      <c r="B2">
        <v>510.25421085871324</v>
      </c>
      <c r="C2">
        <v>2393.3694464285613</v>
      </c>
      <c r="D2">
        <v>199.40287655510329</v>
      </c>
      <c r="E2">
        <v>2157.6689453125</v>
      </c>
      <c r="F2">
        <v>848.6304931640625</v>
      </c>
      <c r="G2" s="188">
        <f>C2-E2</f>
        <v>235.70050111606133</v>
      </c>
      <c r="I2" t="s">
        <v>315</v>
      </c>
    </row>
    <row r="3" spans="1:10" ht="14.4">
      <c r="A3" t="s">
        <v>227</v>
      </c>
      <c r="B3">
        <v>342.32900405508576</v>
      </c>
      <c r="C3">
        <v>1420.6681317054256</v>
      </c>
      <c r="D3">
        <v>118.30457735358236</v>
      </c>
      <c r="E3">
        <v>1280.833984375</v>
      </c>
      <c r="F3">
        <v>516.0234375</v>
      </c>
      <c r="G3" s="188">
        <f t="shared" ref="G3:G66" si="0">C3-E3</f>
        <v>139.83414733042559</v>
      </c>
      <c r="I3" t="s">
        <v>316</v>
      </c>
    </row>
    <row r="4" spans="1:10" ht="14.4">
      <c r="A4" t="s">
        <v>228</v>
      </c>
      <c r="B4">
        <v>320.50190742500553</v>
      </c>
      <c r="C4">
        <v>1370.3213028623584</v>
      </c>
      <c r="D4">
        <v>118.07434201719028</v>
      </c>
      <c r="E4">
        <v>1236.3375244140625</v>
      </c>
      <c r="F4">
        <v>380.6259765625</v>
      </c>
      <c r="G4" s="188">
        <f t="shared" si="0"/>
        <v>133.98377844829588</v>
      </c>
      <c r="I4" t="s">
        <v>317</v>
      </c>
    </row>
    <row r="5" spans="1:10" ht="14.4">
      <c r="A5" t="s">
        <v>229</v>
      </c>
      <c r="B5">
        <v>0</v>
      </c>
      <c r="C5">
        <v>215.56834271940855</v>
      </c>
      <c r="D5">
        <v>18.075979577416419</v>
      </c>
      <c r="E5">
        <v>197.17695617675781</v>
      </c>
      <c r="F5">
        <v>0</v>
      </c>
      <c r="G5" s="188">
        <f t="shared" si="0"/>
        <v>18.391386542650736</v>
      </c>
      <c r="I5" t="s">
        <v>318</v>
      </c>
    </row>
    <row r="6" spans="1:10" ht="14.4">
      <c r="A6" t="s">
        <v>230</v>
      </c>
      <c r="B6">
        <v>1059.9873052963794</v>
      </c>
      <c r="C6">
        <v>4609.6954146183825</v>
      </c>
      <c r="D6">
        <v>408.37062991497862</v>
      </c>
      <c r="E6">
        <v>4157.8134765625</v>
      </c>
      <c r="F6">
        <v>1679.4990234375</v>
      </c>
      <c r="G6" s="188">
        <f t="shared" si="0"/>
        <v>451.88193805588253</v>
      </c>
      <c r="I6" t="s">
        <v>319</v>
      </c>
    </row>
    <row r="7" spans="1:10" ht="14.4">
      <c r="A7" t="s">
        <v>231</v>
      </c>
      <c r="B7">
        <v>510.02415553437572</v>
      </c>
      <c r="C7">
        <v>4962.3484930585573</v>
      </c>
      <c r="D7">
        <v>469.39872645621728</v>
      </c>
      <c r="E7">
        <v>4962.3486328125</v>
      </c>
      <c r="F7">
        <v>1306.1009521484375</v>
      </c>
      <c r="G7" s="188">
        <f t="shared" si="0"/>
        <v>-1.3975394267617958E-4</v>
      </c>
      <c r="I7" t="s">
        <v>320</v>
      </c>
    </row>
    <row r="8" spans="1:10" ht="14.4">
      <c r="A8" t="s">
        <v>234</v>
      </c>
      <c r="B8">
        <v>165.60402268728507</v>
      </c>
      <c r="C8">
        <v>502.89216879262926</v>
      </c>
      <c r="D8">
        <v>42.965904726980511</v>
      </c>
      <c r="E8">
        <v>454.011962890625</v>
      </c>
      <c r="F8">
        <v>121.90108489990234</v>
      </c>
      <c r="G8" s="188">
        <f t="shared" si="0"/>
        <v>48.880205902004263</v>
      </c>
      <c r="I8" t="s">
        <v>321</v>
      </c>
    </row>
    <row r="9" spans="1:10" ht="14.4">
      <c r="A9" t="s">
        <v>235</v>
      </c>
      <c r="B9">
        <v>126.84155779741624</v>
      </c>
      <c r="C9">
        <v>363.10264182879348</v>
      </c>
      <c r="D9">
        <v>30.349375304044358</v>
      </c>
      <c r="E9">
        <v>330.3304443359375</v>
      </c>
      <c r="F9">
        <v>40.927959442138672</v>
      </c>
      <c r="G9" s="188">
        <f t="shared" si="0"/>
        <v>32.77219749285598</v>
      </c>
      <c r="I9" t="s">
        <v>322</v>
      </c>
    </row>
    <row r="10" spans="1:10" ht="14.4">
      <c r="A10" t="s">
        <v>236</v>
      </c>
      <c r="B10">
        <v>162.4469895258265</v>
      </c>
      <c r="C10">
        <v>339.05182980120776</v>
      </c>
      <c r="D10">
        <v>28.340993355779879</v>
      </c>
      <c r="E10">
        <v>309.15625</v>
      </c>
      <c r="F10">
        <v>0</v>
      </c>
      <c r="G10" s="188">
        <f t="shared" si="0"/>
        <v>29.895579801207759</v>
      </c>
      <c r="I10" t="s">
        <v>323</v>
      </c>
    </row>
    <row r="11" spans="1:10" ht="14.4">
      <c r="A11" t="s">
        <v>238</v>
      </c>
      <c r="B11">
        <v>122.90427564624918</v>
      </c>
      <c r="C11">
        <v>304.99041174100586</v>
      </c>
      <c r="D11">
        <v>25.42937193101837</v>
      </c>
      <c r="E11">
        <v>277.39505004882813</v>
      </c>
      <c r="F11">
        <v>0</v>
      </c>
      <c r="G11" s="188">
        <f t="shared" si="0"/>
        <v>27.595361692177732</v>
      </c>
      <c r="I11" t="s">
        <v>357</v>
      </c>
    </row>
    <row r="12" spans="1:10" ht="14.4">
      <c r="A12" t="s">
        <v>239</v>
      </c>
      <c r="B12">
        <v>0</v>
      </c>
      <c r="C12">
        <v>2791.1531868109673</v>
      </c>
      <c r="D12">
        <v>232.66869176890398</v>
      </c>
      <c r="E12">
        <v>2537.560302734375</v>
      </c>
      <c r="F12">
        <v>0</v>
      </c>
      <c r="G12" s="188">
        <f t="shared" si="0"/>
        <v>253.59288407659233</v>
      </c>
      <c r="I12" t="s">
        <v>358</v>
      </c>
    </row>
    <row r="13" spans="1:10" ht="14.4">
      <c r="A13" t="s">
        <v>240</v>
      </c>
      <c r="B13">
        <v>0</v>
      </c>
      <c r="C13">
        <v>1209.7570854229511</v>
      </c>
      <c r="D13">
        <v>108.3548879800198</v>
      </c>
      <c r="E13">
        <v>1181.973876953125</v>
      </c>
      <c r="F13">
        <v>0</v>
      </c>
      <c r="G13" s="188">
        <f t="shared" si="0"/>
        <v>27.78320846982615</v>
      </c>
      <c r="I13" t="s">
        <v>359</v>
      </c>
    </row>
    <row r="14" spans="1:10" ht="14.4">
      <c r="A14" t="s">
        <v>242</v>
      </c>
      <c r="B14">
        <v>357.58892662188453</v>
      </c>
      <c r="C14">
        <v>797.20617392420218</v>
      </c>
      <c r="D14">
        <v>65.190098750794732</v>
      </c>
      <c r="E14">
        <v>711.2572021484375</v>
      </c>
      <c r="F14">
        <v>0</v>
      </c>
      <c r="G14" s="188">
        <f t="shared" si="0"/>
        <v>85.948971775764676</v>
      </c>
      <c r="I14" t="s">
        <v>360</v>
      </c>
    </row>
    <row r="15" spans="1:10" ht="14.4">
      <c r="A15" t="s">
        <v>243</v>
      </c>
      <c r="B15">
        <v>301.81052628887494</v>
      </c>
      <c r="C15">
        <v>806.64946196023675</v>
      </c>
      <c r="D15">
        <v>66.045936490732814</v>
      </c>
      <c r="E15">
        <v>720.5953369140625</v>
      </c>
      <c r="F15">
        <v>0</v>
      </c>
      <c r="G15" s="188">
        <f t="shared" si="0"/>
        <v>86.054125046174249</v>
      </c>
      <c r="I15" t="s">
        <v>361</v>
      </c>
    </row>
    <row r="16" spans="1:10" ht="14.4">
      <c r="A16" t="s">
        <v>246</v>
      </c>
      <c r="B16">
        <v>757.31608120253281</v>
      </c>
      <c r="C16">
        <v>3574.6328799247972</v>
      </c>
      <c r="D16">
        <v>320.54135425164498</v>
      </c>
      <c r="E16">
        <v>3109.616943359375</v>
      </c>
      <c r="F16">
        <v>0</v>
      </c>
      <c r="G16" s="188">
        <f t="shared" si="0"/>
        <v>465.01593656542218</v>
      </c>
      <c r="I16" t="s">
        <v>362</v>
      </c>
    </row>
    <row r="17" spans="1:9" ht="14.4">
      <c r="A17" t="s">
        <v>255</v>
      </c>
      <c r="B17">
        <v>185.28258346105153</v>
      </c>
      <c r="C17">
        <v>418.31012890123458</v>
      </c>
      <c r="D17">
        <v>67.870292636691218</v>
      </c>
      <c r="E17">
        <v>320.15689086914063</v>
      </c>
      <c r="F17">
        <v>0</v>
      </c>
      <c r="G17" s="188">
        <f t="shared" si="0"/>
        <v>98.153238032093952</v>
      </c>
      <c r="I17" t="s">
        <v>363</v>
      </c>
    </row>
    <row r="18" spans="1:9" ht="14.4">
      <c r="A18" t="s">
        <v>326</v>
      </c>
      <c r="B18">
        <v>1617.8623505001142</v>
      </c>
      <c r="C18">
        <v>11049.622937521288</v>
      </c>
      <c r="D18">
        <v>890.88007709568512</v>
      </c>
      <c r="E18">
        <v>9716.3994140625</v>
      </c>
      <c r="F18">
        <v>974.5455322265625</v>
      </c>
      <c r="G18" s="188">
        <f t="shared" si="0"/>
        <v>1333.2235234587879</v>
      </c>
      <c r="I18" t="s">
        <v>364</v>
      </c>
    </row>
    <row r="19" spans="1:9" ht="14.4">
      <c r="A19" t="s">
        <v>327</v>
      </c>
      <c r="B19">
        <v>722.81389812249563</v>
      </c>
      <c r="C19">
        <v>2349.0299349120028</v>
      </c>
      <c r="D19">
        <v>219.14107420319058</v>
      </c>
      <c r="E19">
        <v>2185.197021484375</v>
      </c>
      <c r="F19">
        <v>649.69293212890625</v>
      </c>
      <c r="G19" s="188">
        <f t="shared" si="0"/>
        <v>163.83291342762777</v>
      </c>
      <c r="I19" t="s">
        <v>365</v>
      </c>
    </row>
    <row r="20" spans="1:9" ht="14.4">
      <c r="A20" t="s">
        <v>328</v>
      </c>
      <c r="B20">
        <v>94.337166935751938</v>
      </c>
      <c r="C20">
        <v>301.6312200736985</v>
      </c>
      <c r="D20">
        <v>27.572870159549492</v>
      </c>
      <c r="E20">
        <v>271.2315673828125</v>
      </c>
      <c r="F20">
        <v>88.611396789550781</v>
      </c>
      <c r="G20" s="188">
        <f t="shared" si="0"/>
        <v>30.399652690886001</v>
      </c>
      <c r="I20" t="s">
        <v>366</v>
      </c>
    </row>
    <row r="21" spans="1:9" ht="14.4">
      <c r="A21" t="s">
        <v>260</v>
      </c>
      <c r="B21">
        <v>662.34369329438846</v>
      </c>
      <c r="C21">
        <v>118.13231576413673</v>
      </c>
      <c r="D21">
        <v>200</v>
      </c>
      <c r="E21">
        <v>88.600227355957031</v>
      </c>
      <c r="F21">
        <v>0</v>
      </c>
      <c r="G21" s="188">
        <f t="shared" si="0"/>
        <v>29.532088408179703</v>
      </c>
      <c r="I21" t="s">
        <v>367</v>
      </c>
    </row>
    <row r="22" spans="1:9" ht="14.4">
      <c r="A22" t="s">
        <v>261</v>
      </c>
      <c r="B22">
        <v>214.81855003660982</v>
      </c>
      <c r="C22">
        <v>364.40159323492827</v>
      </c>
      <c r="D22">
        <v>34.361420065784593</v>
      </c>
      <c r="E22">
        <v>323.41598510742188</v>
      </c>
      <c r="F22">
        <v>108.24916839599609</v>
      </c>
      <c r="G22" s="188">
        <f t="shared" si="0"/>
        <v>40.985608127506396</v>
      </c>
      <c r="I22" t="s">
        <v>368</v>
      </c>
    </row>
    <row r="23" spans="1:9" ht="14.4">
      <c r="A23" t="s">
        <v>264</v>
      </c>
      <c r="B23">
        <v>157.16806275453223</v>
      </c>
      <c r="C23">
        <v>4560.3738439019617</v>
      </c>
      <c r="D23">
        <v>399.69092838158667</v>
      </c>
      <c r="E23">
        <v>4359.94287109375</v>
      </c>
      <c r="F23">
        <v>48.723285675048828</v>
      </c>
      <c r="G23" s="188">
        <f t="shared" si="0"/>
        <v>200.43097280821166</v>
      </c>
      <c r="I23" t="s">
        <v>369</v>
      </c>
    </row>
    <row r="24" spans="1:9" ht="14.4">
      <c r="A24" t="s">
        <v>265</v>
      </c>
      <c r="B24">
        <v>795.85979210187338</v>
      </c>
      <c r="C24">
        <v>1330.5156671514812</v>
      </c>
      <c r="D24">
        <v>109.17297264164809</v>
      </c>
      <c r="E24">
        <v>1190.715087890625</v>
      </c>
      <c r="F24">
        <v>45.867977142333984</v>
      </c>
      <c r="G24" s="188">
        <f t="shared" si="0"/>
        <v>139.80057926085624</v>
      </c>
      <c r="I24" t="s">
        <v>370</v>
      </c>
    </row>
    <row r="25" spans="1:9" ht="14.4">
      <c r="A25" t="s">
        <v>266</v>
      </c>
      <c r="B25">
        <v>1389.1386602301513</v>
      </c>
      <c r="C25">
        <v>2647.5634545230541</v>
      </c>
      <c r="D25">
        <v>220.48328379905044</v>
      </c>
      <c r="E25">
        <v>2385.719482421875</v>
      </c>
      <c r="F25">
        <v>100.78496551513672</v>
      </c>
      <c r="G25" s="188">
        <f t="shared" si="0"/>
        <v>261.84397210117913</v>
      </c>
      <c r="I25" t="s">
        <v>371</v>
      </c>
    </row>
    <row r="26" spans="1:9" ht="14.4">
      <c r="A26" t="s">
        <v>237</v>
      </c>
      <c r="B26">
        <v>167.43335563966608</v>
      </c>
      <c r="C26">
        <v>294.8865036999469</v>
      </c>
      <c r="D26">
        <v>26.151519358353525</v>
      </c>
      <c r="E26">
        <v>263.51046752929688</v>
      </c>
      <c r="F26">
        <v>79.815650939941406</v>
      </c>
      <c r="G26" s="188">
        <f t="shared" si="0"/>
        <v>31.376036170650025</v>
      </c>
      <c r="I26" t="s">
        <v>372</v>
      </c>
    </row>
    <row r="27" spans="1:9" ht="14.4">
      <c r="A27" t="s">
        <v>241</v>
      </c>
      <c r="B27">
        <v>0</v>
      </c>
      <c r="C27">
        <v>1063.848506671844</v>
      </c>
      <c r="D27">
        <v>87.461662368454157</v>
      </c>
      <c r="E27">
        <v>954.2264404296875</v>
      </c>
      <c r="F27">
        <v>0</v>
      </c>
      <c r="G27" s="188">
        <f t="shared" si="0"/>
        <v>109.62206624215651</v>
      </c>
      <c r="I27" t="s">
        <v>373</v>
      </c>
    </row>
    <row r="28" spans="1:9" ht="14.4">
      <c r="A28" t="s">
        <v>244</v>
      </c>
      <c r="B28">
        <v>0</v>
      </c>
      <c r="C28">
        <v>3710.5211736755227</v>
      </c>
      <c r="D28">
        <v>297.30673064516981</v>
      </c>
      <c r="E28">
        <v>3242.4755859375</v>
      </c>
      <c r="F28">
        <v>0</v>
      </c>
      <c r="G28" s="188">
        <f t="shared" si="0"/>
        <v>468.04558773802273</v>
      </c>
      <c r="I28" t="s">
        <v>374</v>
      </c>
    </row>
    <row r="29" spans="1:9" ht="14.4">
      <c r="A29" t="s">
        <v>325</v>
      </c>
      <c r="B29">
        <v>34.601323024522166</v>
      </c>
      <c r="C29">
        <v>1873.2136702259515</v>
      </c>
      <c r="D29">
        <v>147.5826506192885</v>
      </c>
      <c r="E29">
        <v>1609.6336669921875</v>
      </c>
      <c r="F29">
        <v>73.649864196777344</v>
      </c>
      <c r="G29" s="188">
        <f t="shared" si="0"/>
        <v>263.58000323376405</v>
      </c>
      <c r="I29" t="s">
        <v>375</v>
      </c>
    </row>
    <row r="30" spans="1:9" ht="14.4">
      <c r="A30" t="s">
        <v>247</v>
      </c>
      <c r="B30">
        <v>0</v>
      </c>
      <c r="C30">
        <v>1453.9452837093284</v>
      </c>
      <c r="D30">
        <v>121.35542348183834</v>
      </c>
      <c r="E30">
        <v>1323.539794921875</v>
      </c>
      <c r="F30">
        <v>0</v>
      </c>
      <c r="G30" s="188">
        <f t="shared" si="0"/>
        <v>130.40548878745335</v>
      </c>
      <c r="I30" t="s">
        <v>376</v>
      </c>
    </row>
    <row r="31" spans="1:9" ht="14.4">
      <c r="A31" t="s">
        <v>249</v>
      </c>
      <c r="B31">
        <v>0</v>
      </c>
      <c r="C31">
        <v>3990.0014268934119</v>
      </c>
      <c r="D31">
        <v>332.85425775654596</v>
      </c>
      <c r="E31">
        <v>3630.2158203125</v>
      </c>
      <c r="F31">
        <v>0</v>
      </c>
      <c r="G31" s="188">
        <f t="shared" si="0"/>
        <v>359.78560658091192</v>
      </c>
      <c r="I31" t="s">
        <v>377</v>
      </c>
    </row>
    <row r="32" spans="1:9" ht="14.4">
      <c r="A32" t="s">
        <v>250</v>
      </c>
      <c r="B32">
        <v>0</v>
      </c>
      <c r="C32">
        <v>2784.1109327808413</v>
      </c>
      <c r="D32">
        <v>231.92997038954303</v>
      </c>
      <c r="E32">
        <v>2529.501953125</v>
      </c>
      <c r="F32">
        <v>0</v>
      </c>
      <c r="G32" s="188">
        <f t="shared" si="0"/>
        <v>254.60897965584127</v>
      </c>
      <c r="I32" t="s">
        <v>378</v>
      </c>
    </row>
    <row r="33" spans="1:9" ht="14.4">
      <c r="A33" t="s">
        <v>251</v>
      </c>
      <c r="B33">
        <v>0</v>
      </c>
      <c r="C33">
        <v>1736.8711476246365</v>
      </c>
      <c r="D33">
        <v>143.65709021193953</v>
      </c>
      <c r="E33">
        <v>1571.617919921875</v>
      </c>
      <c r="F33">
        <v>0</v>
      </c>
      <c r="G33" s="188">
        <f t="shared" si="0"/>
        <v>165.25322770276148</v>
      </c>
      <c r="I33" t="s">
        <v>379</v>
      </c>
    </row>
    <row r="34" spans="1:9" ht="14.4">
      <c r="A34" t="s">
        <v>252</v>
      </c>
      <c r="B34">
        <v>0</v>
      </c>
      <c r="C34">
        <v>17008.886872713065</v>
      </c>
      <c r="D34">
        <v>1417.0835578975261</v>
      </c>
      <c r="E34">
        <v>15455.189453125</v>
      </c>
      <c r="F34">
        <v>0</v>
      </c>
      <c r="G34" s="188">
        <f t="shared" si="0"/>
        <v>1553.6974195880648</v>
      </c>
      <c r="I34" t="s">
        <v>380</v>
      </c>
    </row>
    <row r="35" spans="1:9" ht="14.4">
      <c r="A35" t="s">
        <v>330</v>
      </c>
      <c r="B35">
        <v>0</v>
      </c>
      <c r="C35">
        <v>65.812837962860826</v>
      </c>
      <c r="D35">
        <v>5.4055691042977028</v>
      </c>
      <c r="E35">
        <v>58.954017639160156</v>
      </c>
      <c r="F35">
        <v>0</v>
      </c>
      <c r="G35" s="188">
        <f t="shared" si="0"/>
        <v>6.8588203237006695</v>
      </c>
      <c r="I35" t="s">
        <v>381</v>
      </c>
    </row>
    <row r="36" spans="1:9" ht="14.4">
      <c r="A36" t="s">
        <v>254</v>
      </c>
      <c r="B36">
        <v>32.135624190549926</v>
      </c>
      <c r="C36">
        <v>1023.3342185207082</v>
      </c>
      <c r="D36">
        <v>84.542642275404688</v>
      </c>
      <c r="E36">
        <v>922.04962158203125</v>
      </c>
      <c r="F36">
        <v>0</v>
      </c>
      <c r="G36" s="188">
        <f t="shared" si="0"/>
        <v>101.28459693867694</v>
      </c>
      <c r="I36" t="s">
        <v>382</v>
      </c>
    </row>
    <row r="37" spans="1:9" ht="14.4">
      <c r="A37" t="s">
        <v>256</v>
      </c>
      <c r="B37">
        <v>0</v>
      </c>
      <c r="C37">
        <v>532.43156472808744</v>
      </c>
      <c r="D37">
        <v>43.118927420860345</v>
      </c>
      <c r="E37">
        <v>470.26419067382813</v>
      </c>
      <c r="F37">
        <v>0</v>
      </c>
      <c r="G37" s="188">
        <f t="shared" si="0"/>
        <v>62.167374054259312</v>
      </c>
      <c r="I37" t="s">
        <v>383</v>
      </c>
    </row>
    <row r="38" spans="1:9" ht="14.4">
      <c r="A38" t="s">
        <v>331</v>
      </c>
      <c r="B38">
        <v>0</v>
      </c>
      <c r="C38">
        <v>852.85370688060732</v>
      </c>
      <c r="D38">
        <v>72.131428819524231</v>
      </c>
      <c r="E38">
        <v>786.82159423828125</v>
      </c>
      <c r="F38">
        <v>0</v>
      </c>
      <c r="G38" s="188">
        <f t="shared" si="0"/>
        <v>66.032112642326069</v>
      </c>
      <c r="I38" t="s">
        <v>384</v>
      </c>
    </row>
    <row r="39" spans="1:9" ht="14.4">
      <c r="A39" t="s">
        <v>332</v>
      </c>
      <c r="B39">
        <v>0</v>
      </c>
      <c r="C39">
        <v>2115.1402839523525</v>
      </c>
      <c r="D39">
        <v>176.50253717143312</v>
      </c>
      <c r="E39">
        <v>1925.04638671875</v>
      </c>
      <c r="F39">
        <v>0</v>
      </c>
      <c r="G39" s="188">
        <f t="shared" si="0"/>
        <v>190.09389723360255</v>
      </c>
      <c r="I39" t="s">
        <v>385</v>
      </c>
    </row>
    <row r="40" spans="1:9" ht="14.4">
      <c r="A40" t="s">
        <v>333</v>
      </c>
      <c r="B40">
        <v>0</v>
      </c>
      <c r="C40">
        <v>316.21733993687752</v>
      </c>
      <c r="D40">
        <v>27.111271569719868</v>
      </c>
      <c r="E40">
        <v>295.76303100585938</v>
      </c>
      <c r="F40">
        <v>0</v>
      </c>
      <c r="G40" s="188">
        <f t="shared" si="0"/>
        <v>20.454308931018147</v>
      </c>
      <c r="I40" t="s">
        <v>386</v>
      </c>
    </row>
    <row r="41" spans="1:9" ht="14.4">
      <c r="A41" t="s">
        <v>334</v>
      </c>
      <c r="B41">
        <v>0</v>
      </c>
      <c r="C41">
        <v>1234.2324324738236</v>
      </c>
      <c r="D41">
        <v>102.78826086866756</v>
      </c>
      <c r="E41">
        <v>1121.0423583984375</v>
      </c>
      <c r="F41">
        <v>0</v>
      </c>
      <c r="G41" s="188">
        <f t="shared" si="0"/>
        <v>113.19007407538606</v>
      </c>
      <c r="I41" t="s">
        <v>387</v>
      </c>
    </row>
    <row r="42" spans="1:9" ht="14.4">
      <c r="A42" t="s">
        <v>335</v>
      </c>
      <c r="B42">
        <v>0</v>
      </c>
      <c r="C42">
        <v>3738.9599651626249</v>
      </c>
      <c r="D42">
        <v>311.67623016893214</v>
      </c>
      <c r="E42">
        <v>3399.244140625</v>
      </c>
      <c r="F42">
        <v>0</v>
      </c>
      <c r="G42" s="188">
        <f t="shared" si="0"/>
        <v>339.71582453762494</v>
      </c>
      <c r="I42" t="s">
        <v>388</v>
      </c>
    </row>
    <row r="43" spans="1:9" ht="14.4">
      <c r="A43" t="s">
        <v>277</v>
      </c>
      <c r="B43">
        <v>0</v>
      </c>
      <c r="C43">
        <v>9566.9956888389443</v>
      </c>
      <c r="D43">
        <v>797.39186044716314</v>
      </c>
      <c r="E43">
        <v>8696.623046875</v>
      </c>
      <c r="F43">
        <v>0</v>
      </c>
      <c r="G43" s="188">
        <f t="shared" si="0"/>
        <v>870.37264196394426</v>
      </c>
      <c r="I43" t="s">
        <v>389</v>
      </c>
    </row>
    <row r="44" spans="1:9" ht="14.4">
      <c r="A44" t="s">
        <v>278</v>
      </c>
      <c r="B44">
        <v>0</v>
      </c>
      <c r="C44">
        <v>6300.8730972964076</v>
      </c>
      <c r="D44">
        <v>525.24158379484936</v>
      </c>
      <c r="E44">
        <v>5728.45947265625</v>
      </c>
      <c r="F44">
        <v>0</v>
      </c>
      <c r="G44" s="188">
        <f t="shared" si="0"/>
        <v>572.41362464015765</v>
      </c>
      <c r="I44" t="s">
        <v>390</v>
      </c>
    </row>
    <row r="45" spans="1:9" ht="14.4">
      <c r="A45" t="s">
        <v>279</v>
      </c>
      <c r="B45">
        <v>0</v>
      </c>
      <c r="C45">
        <v>18558.694706965296</v>
      </c>
      <c r="D45">
        <v>1546.7732130255731</v>
      </c>
      <c r="E45">
        <v>16869.630859375</v>
      </c>
      <c r="F45">
        <v>0</v>
      </c>
      <c r="G45" s="188">
        <f t="shared" si="0"/>
        <v>1689.0638475902961</v>
      </c>
      <c r="I45" t="s">
        <v>391</v>
      </c>
    </row>
    <row r="46" spans="1:9" ht="14.4">
      <c r="A46" t="s">
        <v>280</v>
      </c>
      <c r="B46">
        <v>0</v>
      </c>
      <c r="C46">
        <v>6429.254301305129</v>
      </c>
      <c r="D46">
        <v>535.9800086103387</v>
      </c>
      <c r="E46">
        <v>5845.57568359375</v>
      </c>
      <c r="F46">
        <v>0</v>
      </c>
      <c r="G46" s="188">
        <f t="shared" si="0"/>
        <v>583.67861771137905</v>
      </c>
      <c r="I46" t="s">
        <v>392</v>
      </c>
    </row>
    <row r="47" spans="1:9" ht="14.4">
      <c r="G47" s="188">
        <f t="shared" si="0"/>
        <v>0</v>
      </c>
    </row>
    <row r="48" spans="1:9" ht="14.4">
      <c r="G48" s="188">
        <f t="shared" si="0"/>
        <v>0</v>
      </c>
    </row>
    <row r="49" spans="7:7" ht="14.4">
      <c r="G49" s="188">
        <f t="shared" si="0"/>
        <v>0</v>
      </c>
    </row>
    <row r="50" spans="7:7" ht="14.4">
      <c r="G50" s="188">
        <f t="shared" si="0"/>
        <v>0</v>
      </c>
    </row>
    <row r="51" spans="7:7" ht="14.4">
      <c r="G51" s="188">
        <f t="shared" si="0"/>
        <v>0</v>
      </c>
    </row>
    <row r="52" spans="7:7" ht="14.4">
      <c r="G52" s="188">
        <f t="shared" si="0"/>
        <v>0</v>
      </c>
    </row>
    <row r="53" spans="7:7" ht="14.4">
      <c r="G53" s="188">
        <f t="shared" si="0"/>
        <v>0</v>
      </c>
    </row>
    <row r="54" spans="7:7" ht="14.4">
      <c r="G54" s="188">
        <f t="shared" si="0"/>
        <v>0</v>
      </c>
    </row>
    <row r="55" spans="7:7" ht="14.4">
      <c r="G55" s="188">
        <f t="shared" si="0"/>
        <v>0</v>
      </c>
    </row>
    <row r="56" spans="7:7" ht="14.4">
      <c r="G56" s="188">
        <f t="shared" si="0"/>
        <v>0</v>
      </c>
    </row>
    <row r="57" spans="7:7" ht="14.4">
      <c r="G57" s="188">
        <f t="shared" si="0"/>
        <v>0</v>
      </c>
    </row>
    <row r="58" spans="7:7" ht="14.4">
      <c r="G58" s="188">
        <f t="shared" si="0"/>
        <v>0</v>
      </c>
    </row>
    <row r="59" spans="7:7" ht="14.4">
      <c r="G59" s="188">
        <f t="shared" si="0"/>
        <v>0</v>
      </c>
    </row>
    <row r="60" spans="7:7" ht="14.4">
      <c r="G60" s="188">
        <f t="shared" si="0"/>
        <v>0</v>
      </c>
    </row>
    <row r="61" spans="7:7" ht="14.4">
      <c r="G61" s="188">
        <f t="shared" si="0"/>
        <v>0</v>
      </c>
    </row>
    <row r="62" spans="7:7" ht="14.4">
      <c r="G62" s="188">
        <f t="shared" si="0"/>
        <v>0</v>
      </c>
    </row>
    <row r="63" spans="7:7" ht="14.4">
      <c r="G63" s="188">
        <f t="shared" si="0"/>
        <v>0</v>
      </c>
    </row>
    <row r="64" spans="7:7" ht="14.4">
      <c r="G64" s="188">
        <f t="shared" si="0"/>
        <v>0</v>
      </c>
    </row>
    <row r="65" spans="7:7" ht="14.4">
      <c r="G65" s="188">
        <f t="shared" si="0"/>
        <v>0</v>
      </c>
    </row>
    <row r="66" spans="7:7" ht="14.4">
      <c r="G66" s="188">
        <f t="shared" si="0"/>
        <v>0</v>
      </c>
    </row>
    <row r="67" spans="7:7" ht="14.4">
      <c r="G67" s="188">
        <f t="shared" ref="G67:G130" si="1">C67-E67</f>
        <v>0</v>
      </c>
    </row>
    <row r="68" spans="7:7" ht="14.4">
      <c r="G68" s="188">
        <f t="shared" si="1"/>
        <v>0</v>
      </c>
    </row>
    <row r="69" spans="7:7" ht="14.4">
      <c r="G69" s="188">
        <f t="shared" si="1"/>
        <v>0</v>
      </c>
    </row>
    <row r="70" spans="7:7" ht="14.4">
      <c r="G70" s="188">
        <f t="shared" si="1"/>
        <v>0</v>
      </c>
    </row>
    <row r="71" spans="7:7" ht="14.4">
      <c r="G71" s="188">
        <f t="shared" si="1"/>
        <v>0</v>
      </c>
    </row>
    <row r="72" spans="7:7" ht="14.4">
      <c r="G72" s="188">
        <f t="shared" si="1"/>
        <v>0</v>
      </c>
    </row>
    <row r="73" spans="7:7" ht="14.4">
      <c r="G73" s="188">
        <f t="shared" si="1"/>
        <v>0</v>
      </c>
    </row>
    <row r="74" spans="7:7" ht="14.4">
      <c r="G74" s="188">
        <f t="shared" si="1"/>
        <v>0</v>
      </c>
    </row>
    <row r="75" spans="7:7" ht="14.4">
      <c r="G75" s="188">
        <f t="shared" si="1"/>
        <v>0</v>
      </c>
    </row>
    <row r="76" spans="7:7" ht="14.4">
      <c r="G76" s="188">
        <f t="shared" si="1"/>
        <v>0</v>
      </c>
    </row>
    <row r="77" spans="7:7" ht="14.4">
      <c r="G77" s="188">
        <f t="shared" si="1"/>
        <v>0</v>
      </c>
    </row>
    <row r="78" spans="7:7" ht="14.4">
      <c r="G78" s="188">
        <f t="shared" si="1"/>
        <v>0</v>
      </c>
    </row>
    <row r="79" spans="7:7" ht="14.4">
      <c r="G79" s="188">
        <f t="shared" si="1"/>
        <v>0</v>
      </c>
    </row>
    <row r="80" spans="7:7" ht="14.4">
      <c r="G80" s="188">
        <f t="shared" si="1"/>
        <v>0</v>
      </c>
    </row>
    <row r="81" spans="7:7" ht="14.4">
      <c r="G81" s="188">
        <f t="shared" si="1"/>
        <v>0</v>
      </c>
    </row>
    <row r="82" spans="7:7" ht="14.4">
      <c r="G82" s="188">
        <f t="shared" si="1"/>
        <v>0</v>
      </c>
    </row>
    <row r="83" spans="7:7" ht="14.4">
      <c r="G83" s="188">
        <f t="shared" si="1"/>
        <v>0</v>
      </c>
    </row>
    <row r="84" spans="7:7" ht="14.4">
      <c r="G84" s="188">
        <f t="shared" si="1"/>
        <v>0</v>
      </c>
    </row>
    <row r="85" spans="7:7" ht="14.4">
      <c r="G85" s="188">
        <f t="shared" si="1"/>
        <v>0</v>
      </c>
    </row>
    <row r="86" spans="7:7" ht="14.4">
      <c r="G86" s="188">
        <f t="shared" si="1"/>
        <v>0</v>
      </c>
    </row>
    <row r="87" spans="7:7" ht="14.4">
      <c r="G87" s="188">
        <f t="shared" si="1"/>
        <v>0</v>
      </c>
    </row>
    <row r="88" spans="7:7" ht="14.4">
      <c r="G88" s="188">
        <f t="shared" si="1"/>
        <v>0</v>
      </c>
    </row>
    <row r="89" spans="7:7" ht="14.4">
      <c r="G89" s="188">
        <f t="shared" si="1"/>
        <v>0</v>
      </c>
    </row>
    <row r="90" spans="7:7" ht="14.4">
      <c r="G90" s="188">
        <f t="shared" si="1"/>
        <v>0</v>
      </c>
    </row>
    <row r="91" spans="7:7" ht="14.4">
      <c r="G91" s="188">
        <f t="shared" si="1"/>
        <v>0</v>
      </c>
    </row>
    <row r="92" spans="7:7" ht="14.4">
      <c r="G92" s="188">
        <f t="shared" si="1"/>
        <v>0</v>
      </c>
    </row>
    <row r="93" spans="7:7" ht="14.4">
      <c r="G93" s="188">
        <f t="shared" si="1"/>
        <v>0</v>
      </c>
    </row>
    <row r="94" spans="7:7" ht="14.4">
      <c r="G94" s="188">
        <f t="shared" si="1"/>
        <v>0</v>
      </c>
    </row>
    <row r="95" spans="7:7" ht="14.4">
      <c r="G95" s="188">
        <f t="shared" si="1"/>
        <v>0</v>
      </c>
    </row>
    <row r="96" spans="7:7" ht="14.4">
      <c r="G96" s="188">
        <f t="shared" si="1"/>
        <v>0</v>
      </c>
    </row>
    <row r="97" spans="7:7" ht="14.4">
      <c r="G97" s="188">
        <f t="shared" si="1"/>
        <v>0</v>
      </c>
    </row>
    <row r="98" spans="7:7" ht="14.4">
      <c r="G98" s="188">
        <f t="shared" si="1"/>
        <v>0</v>
      </c>
    </row>
    <row r="99" spans="7:7" ht="14.4">
      <c r="G99" s="188">
        <f t="shared" si="1"/>
        <v>0</v>
      </c>
    </row>
    <row r="100" spans="7:7" ht="14.4">
      <c r="G100" s="188">
        <f t="shared" si="1"/>
        <v>0</v>
      </c>
    </row>
    <row r="101" spans="7:7" ht="14.4">
      <c r="G101" s="188">
        <f t="shared" si="1"/>
        <v>0</v>
      </c>
    </row>
    <row r="102" spans="7:7" ht="14.4">
      <c r="G102" s="188">
        <f t="shared" si="1"/>
        <v>0</v>
      </c>
    </row>
    <row r="103" spans="7:7" ht="14.4">
      <c r="G103" s="188">
        <f t="shared" si="1"/>
        <v>0</v>
      </c>
    </row>
    <row r="104" spans="7:7" ht="14.4">
      <c r="G104" s="188">
        <f t="shared" si="1"/>
        <v>0</v>
      </c>
    </row>
    <row r="105" spans="7:7" ht="14.4">
      <c r="G105" s="188">
        <f t="shared" si="1"/>
        <v>0</v>
      </c>
    </row>
    <row r="106" spans="7:7" ht="14.4">
      <c r="G106" s="188">
        <f t="shared" si="1"/>
        <v>0</v>
      </c>
    </row>
    <row r="107" spans="7:7" ht="14.4">
      <c r="G107" s="188">
        <f t="shared" si="1"/>
        <v>0</v>
      </c>
    </row>
    <row r="108" spans="7:7" ht="14.4">
      <c r="G108" s="188">
        <f t="shared" si="1"/>
        <v>0</v>
      </c>
    </row>
    <row r="109" spans="7:7" ht="14.4">
      <c r="G109" s="188">
        <f t="shared" si="1"/>
        <v>0</v>
      </c>
    </row>
    <row r="110" spans="7:7" ht="14.4">
      <c r="G110" s="188">
        <f t="shared" si="1"/>
        <v>0</v>
      </c>
    </row>
    <row r="111" spans="7:7" ht="14.4">
      <c r="G111" s="188">
        <f t="shared" si="1"/>
        <v>0</v>
      </c>
    </row>
    <row r="112" spans="7:7" ht="14.4">
      <c r="G112" s="188">
        <f t="shared" si="1"/>
        <v>0</v>
      </c>
    </row>
    <row r="113" spans="7:7" ht="14.4">
      <c r="G113" s="188">
        <f t="shared" si="1"/>
        <v>0</v>
      </c>
    </row>
    <row r="114" spans="7:7" ht="14.4">
      <c r="G114" s="188">
        <f t="shared" si="1"/>
        <v>0</v>
      </c>
    </row>
    <row r="115" spans="7:7" ht="14.4">
      <c r="G115" s="188">
        <f t="shared" si="1"/>
        <v>0</v>
      </c>
    </row>
    <row r="116" spans="7:7" ht="14.4">
      <c r="G116" s="188">
        <f t="shared" si="1"/>
        <v>0</v>
      </c>
    </row>
    <row r="117" spans="7:7" ht="14.4">
      <c r="G117" s="188">
        <f t="shared" si="1"/>
        <v>0</v>
      </c>
    </row>
    <row r="118" spans="7:7" ht="14.4">
      <c r="G118" s="188">
        <f t="shared" si="1"/>
        <v>0</v>
      </c>
    </row>
    <row r="119" spans="7:7" ht="14.4">
      <c r="G119" s="188">
        <f t="shared" si="1"/>
        <v>0</v>
      </c>
    </row>
    <row r="120" spans="7:7" ht="14.4">
      <c r="G120" s="188">
        <f t="shared" si="1"/>
        <v>0</v>
      </c>
    </row>
    <row r="121" spans="7:7" ht="14.4">
      <c r="G121" s="188">
        <f t="shared" si="1"/>
        <v>0</v>
      </c>
    </row>
    <row r="122" spans="7:7" ht="14.4">
      <c r="G122" s="188">
        <f t="shared" si="1"/>
        <v>0</v>
      </c>
    </row>
    <row r="123" spans="7:7" ht="14.4">
      <c r="G123" s="188">
        <f t="shared" si="1"/>
        <v>0</v>
      </c>
    </row>
    <row r="124" spans="7:7" ht="14.4">
      <c r="G124" s="188">
        <f t="shared" si="1"/>
        <v>0</v>
      </c>
    </row>
    <row r="125" spans="7:7" ht="14.4">
      <c r="G125" s="188">
        <f t="shared" si="1"/>
        <v>0</v>
      </c>
    </row>
    <row r="126" spans="7:7" ht="14.4">
      <c r="G126" s="188">
        <f t="shared" si="1"/>
        <v>0</v>
      </c>
    </row>
    <row r="127" spans="7:7" ht="14.4">
      <c r="G127" s="188">
        <f t="shared" si="1"/>
        <v>0</v>
      </c>
    </row>
    <row r="128" spans="7:7" ht="14.4">
      <c r="G128" s="188">
        <f t="shared" si="1"/>
        <v>0</v>
      </c>
    </row>
    <row r="129" spans="7:7" ht="14.4">
      <c r="G129" s="188">
        <f t="shared" si="1"/>
        <v>0</v>
      </c>
    </row>
    <row r="130" spans="7:7" ht="14.4">
      <c r="G130" s="188">
        <f t="shared" si="1"/>
        <v>0</v>
      </c>
    </row>
    <row r="131" spans="7:7" ht="14.4">
      <c r="G131" s="188">
        <f t="shared" ref="G131:G188" si="2">C131-E131</f>
        <v>0</v>
      </c>
    </row>
    <row r="132" spans="7:7" ht="14.4">
      <c r="G132" s="188">
        <f t="shared" si="2"/>
        <v>0</v>
      </c>
    </row>
    <row r="133" spans="7:7" ht="14.4">
      <c r="G133" s="188">
        <f t="shared" si="2"/>
        <v>0</v>
      </c>
    </row>
    <row r="134" spans="7:7" ht="14.4">
      <c r="G134" s="188">
        <f t="shared" si="2"/>
        <v>0</v>
      </c>
    </row>
    <row r="135" spans="7:7" ht="14.4">
      <c r="G135" s="188">
        <f t="shared" si="2"/>
        <v>0</v>
      </c>
    </row>
    <row r="136" spans="7:7" ht="14.4">
      <c r="G136" s="188">
        <f t="shared" si="2"/>
        <v>0</v>
      </c>
    </row>
    <row r="137" spans="7:7" ht="14.4">
      <c r="G137" s="188">
        <f t="shared" si="2"/>
        <v>0</v>
      </c>
    </row>
    <row r="138" spans="7:7" ht="14.4">
      <c r="G138" s="188">
        <f t="shared" si="2"/>
        <v>0</v>
      </c>
    </row>
    <row r="139" spans="7:7" ht="14.4">
      <c r="G139" s="188">
        <f t="shared" si="2"/>
        <v>0</v>
      </c>
    </row>
    <row r="140" spans="7:7" ht="14.4">
      <c r="G140" s="188">
        <f t="shared" si="2"/>
        <v>0</v>
      </c>
    </row>
    <row r="141" spans="7:7" ht="14.4">
      <c r="G141" s="188">
        <f t="shared" si="2"/>
        <v>0</v>
      </c>
    </row>
    <row r="142" spans="7:7" ht="14.4">
      <c r="G142" s="188">
        <f t="shared" si="2"/>
        <v>0</v>
      </c>
    </row>
    <row r="143" spans="7:7" ht="14.4">
      <c r="G143" s="188">
        <f t="shared" si="2"/>
        <v>0</v>
      </c>
    </row>
    <row r="144" spans="7:7" ht="14.4">
      <c r="G144" s="188">
        <f t="shared" si="2"/>
        <v>0</v>
      </c>
    </row>
    <row r="145" spans="7:7" ht="14.4">
      <c r="G145" s="188">
        <f t="shared" si="2"/>
        <v>0</v>
      </c>
    </row>
    <row r="146" spans="7:7" ht="14.4">
      <c r="G146" s="188">
        <f t="shared" si="2"/>
        <v>0</v>
      </c>
    </row>
    <row r="147" spans="7:7" ht="14.4">
      <c r="G147" s="188">
        <f t="shared" si="2"/>
        <v>0</v>
      </c>
    </row>
    <row r="148" spans="7:7" ht="14.4">
      <c r="G148" s="188">
        <f t="shared" si="2"/>
        <v>0</v>
      </c>
    </row>
    <row r="149" spans="7:7" ht="14.4">
      <c r="G149" s="188">
        <f t="shared" si="2"/>
        <v>0</v>
      </c>
    </row>
    <row r="150" spans="7:7" ht="14.4">
      <c r="G150" s="188">
        <f t="shared" si="2"/>
        <v>0</v>
      </c>
    </row>
    <row r="151" spans="7:7" ht="14.4">
      <c r="G151" s="188">
        <f t="shared" si="2"/>
        <v>0</v>
      </c>
    </row>
    <row r="152" spans="7:7" ht="14.4">
      <c r="G152" s="188">
        <f t="shared" si="2"/>
        <v>0</v>
      </c>
    </row>
    <row r="153" spans="7:7" ht="14.4">
      <c r="G153" s="188">
        <f t="shared" si="2"/>
        <v>0</v>
      </c>
    </row>
    <row r="154" spans="7:7" ht="14.4">
      <c r="G154" s="188">
        <f t="shared" si="2"/>
        <v>0</v>
      </c>
    </row>
    <row r="155" spans="7:7" ht="14.4">
      <c r="G155" s="188">
        <f t="shared" si="2"/>
        <v>0</v>
      </c>
    </row>
    <row r="156" spans="7:7" ht="14.4">
      <c r="G156" s="188">
        <f t="shared" si="2"/>
        <v>0</v>
      </c>
    </row>
    <row r="157" spans="7:7" ht="14.4">
      <c r="G157" s="188">
        <f t="shared" si="2"/>
        <v>0</v>
      </c>
    </row>
    <row r="158" spans="7:7" ht="14.4">
      <c r="G158" s="188">
        <f t="shared" si="2"/>
        <v>0</v>
      </c>
    </row>
    <row r="159" spans="7:7" ht="14.4">
      <c r="G159" s="188">
        <f t="shared" si="2"/>
        <v>0</v>
      </c>
    </row>
    <row r="160" spans="7:7" ht="14.4">
      <c r="G160" s="188">
        <f t="shared" si="2"/>
        <v>0</v>
      </c>
    </row>
    <row r="161" spans="7:7" ht="14.4">
      <c r="G161" s="188">
        <f t="shared" si="2"/>
        <v>0</v>
      </c>
    </row>
    <row r="162" spans="7:7" ht="14.4">
      <c r="G162" s="188">
        <f t="shared" si="2"/>
        <v>0</v>
      </c>
    </row>
    <row r="163" spans="7:7" ht="14.4">
      <c r="G163" s="188">
        <f t="shared" si="2"/>
        <v>0</v>
      </c>
    </row>
    <row r="164" spans="7:7" ht="14.4">
      <c r="G164" s="188">
        <f t="shared" si="2"/>
        <v>0</v>
      </c>
    </row>
    <row r="165" spans="7:7" ht="14.4">
      <c r="G165" s="188">
        <f t="shared" si="2"/>
        <v>0</v>
      </c>
    </row>
    <row r="166" spans="7:7" ht="14.4">
      <c r="G166" s="188">
        <f t="shared" si="2"/>
        <v>0</v>
      </c>
    </row>
    <row r="167" spans="7:7" ht="14.4">
      <c r="G167" s="188">
        <f t="shared" si="2"/>
        <v>0</v>
      </c>
    </row>
    <row r="168" spans="7:7" ht="14.4">
      <c r="G168" s="188">
        <f t="shared" si="2"/>
        <v>0</v>
      </c>
    </row>
    <row r="169" spans="7:7" ht="14.4">
      <c r="G169" s="188">
        <f t="shared" si="2"/>
        <v>0</v>
      </c>
    </row>
    <row r="170" spans="7:7" ht="14.4">
      <c r="G170" s="188">
        <f t="shared" si="2"/>
        <v>0</v>
      </c>
    </row>
    <row r="171" spans="7:7" ht="14.4">
      <c r="G171" s="188">
        <f t="shared" si="2"/>
        <v>0</v>
      </c>
    </row>
    <row r="172" spans="7:7" ht="14.4">
      <c r="G172" s="188">
        <f t="shared" si="2"/>
        <v>0</v>
      </c>
    </row>
    <row r="173" spans="7:7" ht="14.4">
      <c r="G173" s="188">
        <f t="shared" si="2"/>
        <v>0</v>
      </c>
    </row>
    <row r="174" spans="7:7" ht="14.4">
      <c r="G174" s="188">
        <f t="shared" si="2"/>
        <v>0</v>
      </c>
    </row>
    <row r="175" spans="7:7" ht="14.4">
      <c r="G175" s="188">
        <f t="shared" si="2"/>
        <v>0</v>
      </c>
    </row>
    <row r="176" spans="7:7" ht="14.4">
      <c r="G176" s="188">
        <f t="shared" si="2"/>
        <v>0</v>
      </c>
    </row>
    <row r="177" spans="7:7" ht="14.4">
      <c r="G177" s="188">
        <f t="shared" si="2"/>
        <v>0</v>
      </c>
    </row>
    <row r="178" spans="7:7" ht="14.4">
      <c r="G178" s="188">
        <f t="shared" si="2"/>
        <v>0</v>
      </c>
    </row>
    <row r="179" spans="7:7" ht="14.4">
      <c r="G179" s="188">
        <f t="shared" si="2"/>
        <v>0</v>
      </c>
    </row>
    <row r="180" spans="7:7" ht="14.4">
      <c r="G180" s="188">
        <f t="shared" si="2"/>
        <v>0</v>
      </c>
    </row>
    <row r="181" spans="7:7" ht="14.4">
      <c r="G181" s="188">
        <f t="shared" si="2"/>
        <v>0</v>
      </c>
    </row>
    <row r="182" spans="7:7" ht="14.4">
      <c r="G182" s="188">
        <f t="shared" si="2"/>
        <v>0</v>
      </c>
    </row>
    <row r="183" spans="7:7" ht="14.4">
      <c r="G183" s="188">
        <f t="shared" si="2"/>
        <v>0</v>
      </c>
    </row>
    <row r="184" spans="7:7" ht="14.4">
      <c r="G184" s="188">
        <f t="shared" si="2"/>
        <v>0</v>
      </c>
    </row>
    <row r="185" spans="7:7" ht="14.4">
      <c r="G185" s="188">
        <f t="shared" si="2"/>
        <v>0</v>
      </c>
    </row>
    <row r="186" spans="7:7" ht="14.4">
      <c r="G186" s="188">
        <f t="shared" si="2"/>
        <v>0</v>
      </c>
    </row>
    <row r="187" spans="7:7" ht="14.4">
      <c r="G187" s="188">
        <f t="shared" si="2"/>
        <v>0</v>
      </c>
    </row>
    <row r="188" spans="7:7" ht="14.4">
      <c r="G188" s="188">
        <f t="shared" si="2"/>
        <v>0</v>
      </c>
    </row>
  </sheetData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79875" r:id="rId3" name="Button 3">
              <controlPr defaultSize="0" print="0" autoFill="0" autoPict="0">
                <anchor moveWithCells="1" sizeWithCells="1">
                  <from>
                    <xdr:col>11</xdr:col>
                    <xdr:colOff>76200</xdr:colOff>
                    <xdr:row>0</xdr:row>
                    <xdr:rowOff>137160</xdr:rowOff>
                  </from>
                  <to>
                    <xdr:col>12</xdr:col>
                    <xdr:colOff>236220</xdr:colOff>
                    <xdr:row>0</xdr:row>
                    <xdr:rowOff>632460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3"/>
  <dimension ref="A1"/>
  <sheetViews>
    <sheetView workbookViewId="0">
      <selection activeCell="G26" sqref="G26"/>
    </sheetView>
  </sheetViews>
  <sheetFormatPr defaultColWidth="9.109375" defaultRowHeight="14.4"/>
  <sheetData/>
  <pageMargins left="0.7" right="0.7" top="0.75" bottom="0.75" header="0.3" footer="0.3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4"/>
  <dimension ref="A1:BM15"/>
  <sheetViews>
    <sheetView workbookViewId="0">
      <selection activeCell="AW15" sqref="AW15"/>
    </sheetView>
  </sheetViews>
  <sheetFormatPr defaultColWidth="18.77734375" defaultRowHeight="12.75" customHeight="1"/>
  <cols>
    <col min="1" max="65" width="9.109375" customWidth="1"/>
  </cols>
  <sheetData>
    <row r="1" spans="1:65" ht="14.4"/>
    <row r="2" spans="1:65" ht="14.4"/>
    <row r="3" spans="1:65" ht="14.4"/>
    <row r="4" spans="1:65" ht="14.4"/>
    <row r="5" spans="1:65" ht="14.4"/>
    <row r="6" spans="1:65" ht="14.4"/>
    <row r="7" spans="1:65" ht="14.4"/>
    <row r="8" spans="1:65" ht="14.4"/>
    <row r="9" spans="1:65" ht="14.4"/>
    <row r="10" spans="1:65" ht="14.4"/>
    <row r="11" spans="1:65" ht="14.4"/>
    <row r="12" spans="1:65" ht="14.4"/>
    <row r="13" spans="1:65" ht="14.4"/>
    <row r="14" spans="1:65" ht="14.4"/>
    <row r="15" spans="1:65" ht="14.4">
      <c r="A15">
        <v>1</v>
      </c>
      <c r="B15">
        <v>2</v>
      </c>
      <c r="C15" s="129">
        <v>3</v>
      </c>
      <c r="D15" s="129">
        <v>4</v>
      </c>
      <c r="E15" s="129">
        <v>5</v>
      </c>
      <c r="F15" s="129">
        <v>6</v>
      </c>
      <c r="G15" s="129">
        <v>7</v>
      </c>
      <c r="H15" s="129">
        <v>8</v>
      </c>
      <c r="I15" s="129">
        <v>9</v>
      </c>
      <c r="J15" s="129">
        <v>10</v>
      </c>
      <c r="K15" s="129">
        <v>11</v>
      </c>
      <c r="L15" s="129">
        <v>12</v>
      </c>
      <c r="M15" s="129">
        <v>13</v>
      </c>
      <c r="N15" s="129">
        <v>14</v>
      </c>
      <c r="O15" s="129">
        <v>15</v>
      </c>
      <c r="P15" s="129">
        <v>16</v>
      </c>
      <c r="Q15" s="129">
        <v>17</v>
      </c>
      <c r="R15" s="129">
        <v>18</v>
      </c>
      <c r="S15" s="129">
        <v>19</v>
      </c>
      <c r="T15" s="129">
        <v>20</v>
      </c>
      <c r="U15" s="129">
        <v>21</v>
      </c>
      <c r="V15" s="129">
        <v>22</v>
      </c>
      <c r="W15" s="129">
        <v>23</v>
      </c>
      <c r="X15" s="129">
        <v>24</v>
      </c>
      <c r="Y15" s="129">
        <v>25</v>
      </c>
      <c r="Z15" s="129">
        <v>26</v>
      </c>
      <c r="AA15" s="129">
        <v>27</v>
      </c>
      <c r="AB15" s="129">
        <v>28</v>
      </c>
      <c r="AC15" s="129">
        <v>29</v>
      </c>
      <c r="AD15" s="129">
        <v>30</v>
      </c>
      <c r="AE15" s="129">
        <v>31</v>
      </c>
      <c r="AF15" s="129">
        <v>32</v>
      </c>
      <c r="AG15" s="129">
        <v>33</v>
      </c>
      <c r="AH15" s="129">
        <v>34</v>
      </c>
      <c r="AI15" s="129">
        <v>35</v>
      </c>
      <c r="AJ15" s="129">
        <v>36</v>
      </c>
      <c r="AK15" s="129">
        <v>37</v>
      </c>
      <c r="AL15" s="129">
        <v>38</v>
      </c>
      <c r="AM15" s="129">
        <v>39</v>
      </c>
      <c r="AN15" s="129">
        <v>40</v>
      </c>
      <c r="AO15" s="129">
        <v>41</v>
      </c>
      <c r="AP15" s="129">
        <v>42</v>
      </c>
      <c r="AQ15" s="129">
        <v>43</v>
      </c>
      <c r="AR15" s="129">
        <v>44</v>
      </c>
      <c r="AS15" s="129">
        <v>45</v>
      </c>
      <c r="AT15" s="129">
        <v>46</v>
      </c>
      <c r="AU15" s="129">
        <v>47</v>
      </c>
      <c r="AV15" s="129">
        <v>48</v>
      </c>
      <c r="AW15" s="129">
        <v>49</v>
      </c>
      <c r="AX15" s="129">
        <v>50</v>
      </c>
      <c r="AY15" s="129">
        <v>51</v>
      </c>
      <c r="AZ15" s="129">
        <v>52</v>
      </c>
      <c r="BA15" s="129">
        <v>53</v>
      </c>
      <c r="BB15" s="129">
        <v>54</v>
      </c>
      <c r="BC15" s="129">
        <v>55</v>
      </c>
      <c r="BD15" s="129">
        <v>56</v>
      </c>
      <c r="BE15" s="129">
        <v>57</v>
      </c>
      <c r="BF15" s="129">
        <v>58</v>
      </c>
      <c r="BG15" s="129">
        <v>59</v>
      </c>
      <c r="BH15" s="129">
        <v>60</v>
      </c>
      <c r="BI15" s="129">
        <v>61</v>
      </c>
      <c r="BJ15" s="129">
        <v>62</v>
      </c>
      <c r="BK15" s="129">
        <v>63</v>
      </c>
      <c r="BL15" s="129">
        <v>64</v>
      </c>
      <c r="BM15" s="129">
        <v>65</v>
      </c>
    </row>
  </sheetData>
  <pageMargins left="0.7" right="0.7" top="0.75" bottom="0.75" header="0.3" footer="0.3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1"/>
  <dimension ref="A1:AY66"/>
  <sheetViews>
    <sheetView workbookViewId="0">
      <selection activeCell="B8" sqref="B8"/>
    </sheetView>
  </sheetViews>
  <sheetFormatPr defaultColWidth="18.77734375" defaultRowHeight="12.75" customHeight="1"/>
  <cols>
    <col min="1" max="18" width="9.109375" customWidth="1"/>
    <col min="19" max="19" width="9.109375" style="154" customWidth="1"/>
    <col min="20" max="51" width="9.109375" customWidth="1"/>
  </cols>
  <sheetData>
    <row r="1" spans="1:51" ht="14.4">
      <c r="A1">
        <v>1</v>
      </c>
      <c r="B1">
        <v>2</v>
      </c>
      <c r="C1">
        <v>3</v>
      </c>
      <c r="D1" s="129">
        <v>4</v>
      </c>
      <c r="E1" s="129">
        <v>5</v>
      </c>
      <c r="F1" s="129">
        <v>6</v>
      </c>
      <c r="G1" s="129">
        <v>7</v>
      </c>
      <c r="H1" s="129">
        <v>8</v>
      </c>
      <c r="I1" s="129">
        <v>9</v>
      </c>
      <c r="J1" s="129">
        <v>10</v>
      </c>
      <c r="K1" s="129">
        <v>11</v>
      </c>
      <c r="L1" s="129">
        <v>12</v>
      </c>
      <c r="M1" s="129">
        <v>13</v>
      </c>
      <c r="N1" s="129">
        <v>14</v>
      </c>
      <c r="O1" s="129">
        <v>15</v>
      </c>
      <c r="P1" s="129">
        <v>16</v>
      </c>
      <c r="Q1" s="129">
        <v>17</v>
      </c>
      <c r="R1" s="129">
        <v>18</v>
      </c>
      <c r="S1" s="154">
        <v>19</v>
      </c>
      <c r="T1" s="129">
        <v>20</v>
      </c>
      <c r="U1" s="129">
        <v>21</v>
      </c>
      <c r="V1" s="129">
        <v>22</v>
      </c>
      <c r="W1" s="129">
        <v>23</v>
      </c>
      <c r="X1" s="129">
        <v>24</v>
      </c>
      <c r="Y1" s="129">
        <v>25</v>
      </c>
      <c r="Z1" s="129">
        <v>26</v>
      </c>
      <c r="AA1" s="129">
        <v>27</v>
      </c>
      <c r="AB1" s="129">
        <v>28</v>
      </c>
      <c r="AC1" s="129">
        <v>29</v>
      </c>
      <c r="AD1" s="129">
        <v>30</v>
      </c>
      <c r="AE1" s="129">
        <v>31</v>
      </c>
      <c r="AF1" s="129">
        <v>32</v>
      </c>
      <c r="AG1" s="129">
        <v>33</v>
      </c>
      <c r="AH1" s="129">
        <v>34</v>
      </c>
      <c r="AI1" s="129">
        <v>35</v>
      </c>
      <c r="AJ1" s="129">
        <v>36</v>
      </c>
      <c r="AK1" s="129">
        <v>37</v>
      </c>
      <c r="AL1" s="129">
        <v>38</v>
      </c>
      <c r="AM1" s="129">
        <v>39</v>
      </c>
      <c r="AN1" s="129">
        <v>40</v>
      </c>
      <c r="AO1" s="129">
        <v>41</v>
      </c>
      <c r="AP1" s="129">
        <v>42</v>
      </c>
      <c r="AQ1" s="129">
        <v>43</v>
      </c>
      <c r="AR1" s="129">
        <v>44</v>
      </c>
      <c r="AS1" s="129">
        <v>45</v>
      </c>
      <c r="AT1" s="129">
        <v>46</v>
      </c>
      <c r="AU1" s="129">
        <v>47</v>
      </c>
      <c r="AV1" s="129">
        <v>48</v>
      </c>
      <c r="AW1" s="129">
        <v>49</v>
      </c>
      <c r="AX1" s="129">
        <v>50</v>
      </c>
      <c r="AY1" s="129">
        <v>51</v>
      </c>
    </row>
    <row r="2" spans="1:51" ht="14.4">
      <c r="A2" t="s">
        <v>453</v>
      </c>
      <c r="B2" t="s">
        <v>450</v>
      </c>
      <c r="C2" t="s">
        <v>451</v>
      </c>
      <c r="D2" t="s">
        <v>452</v>
      </c>
      <c r="E2" t="s">
        <v>454</v>
      </c>
      <c r="L2" t="s">
        <v>455</v>
      </c>
    </row>
    <row r="3" spans="1:51" ht="14.4">
      <c r="A3" s="144" t="s">
        <v>223</v>
      </c>
      <c r="B3" s="154" t="str">
        <f>C7</f>
        <v>5.8.2 tropical hall, 5.8.0 tropic showroom, 9.2.0 circulation,  9.0.6 circulation</v>
      </c>
      <c r="C3" s="100"/>
      <c r="J3" s="129"/>
    </row>
    <row r="4" spans="1:51" ht="14.4">
      <c r="B4" s="186" t="s">
        <v>221</v>
      </c>
      <c r="C4" s="129"/>
      <c r="J4" s="129"/>
    </row>
    <row r="5" spans="1:51" ht="14.4">
      <c r="B5" s="186" t="s">
        <v>233</v>
      </c>
      <c r="C5" s="129" t="str">
        <f>B4&amp;", "&amp;B5</f>
        <v>5.8.2 tropical hall, 5.8.0 tropic showroom</v>
      </c>
      <c r="J5" s="129"/>
    </row>
    <row r="6" spans="1:51" ht="14.4">
      <c r="B6" s="186" t="s">
        <v>267</v>
      </c>
      <c r="C6" s="100" t="str">
        <f>C5&amp;", "&amp;B6</f>
        <v>5.8.2 tropical hall, 5.8.0 tropic showroom, 9.2.0 circulation</v>
      </c>
      <c r="J6" s="129"/>
    </row>
    <row r="7" spans="1:51" s="129" customFormat="1" ht="14.4">
      <c r="B7" s="129" t="s">
        <v>393</v>
      </c>
      <c r="C7" s="154" t="str">
        <f>C6&amp;", "&amp;B7</f>
        <v>5.8.2 tropical hall, 5.8.0 tropic showroom, 9.2.0 circulation,  9.0.6 circulation</v>
      </c>
      <c r="S7" s="154"/>
    </row>
    <row r="8" spans="1:51" ht="14.4">
      <c r="A8" s="144" t="s">
        <v>226</v>
      </c>
      <c r="B8" t="str">
        <f>C16</f>
        <v xml:space="preserve"> 3.0.0 breeding station,  3.0.1 storage breeding,  4.0.0 shop,  4.0.1 storage shop,  5.0.0 multimedia room,  5.1.0 preparation room,  6.0.0 first aid room,  7.0.0 lockers</v>
      </c>
      <c r="C8" t="str">
        <f>C24</f>
        <v xml:space="preserve"> 7.0.1 sanitary f,  7.0.3 sanitary m,  7.1.0 storage,  7.-1.1 sanitary staff f,  7.-1.2 sanitary staff m,  8.-1.0 AHU room,  8.-1.8 AHU room,  9.0.1 arrival + meeting area</v>
      </c>
      <c r="D8" t="str">
        <f>C32</f>
        <v xml:space="preserve"> 9.0.2 circulation,  9.0.5 air lock,  9.0.3 circulation,  9.0.4 circulation,  9.1.0 circulation,  9.-1.0 corridor 1,  9.-1.2 staff circulation,  7.0.2 sanitary d</v>
      </c>
      <c r="E8" t="str">
        <f>C33</f>
        <v xml:space="preserve"> 7.0.4 storage mm-equipment</v>
      </c>
    </row>
    <row r="9" spans="1:51" ht="14.4">
      <c r="B9" s="186" t="s">
        <v>414</v>
      </c>
    </row>
    <row r="10" spans="1:51" ht="14.4">
      <c r="B10" s="186" t="s">
        <v>415</v>
      </c>
      <c r="C10" s="129" t="str">
        <f>B9&amp;", "&amp;B10</f>
        <v xml:space="preserve"> 3.0.0 breeding station,  3.0.1 storage breeding</v>
      </c>
    </row>
    <row r="11" spans="1:51" ht="14.4">
      <c r="B11" s="186" t="s">
        <v>416</v>
      </c>
      <c r="C11" s="129" t="str">
        <f>C10&amp;", "&amp;B11</f>
        <v xml:space="preserve"> 3.0.0 breeding station,  3.0.1 storage breeding,  4.0.0 shop</v>
      </c>
    </row>
    <row r="12" spans="1:51" ht="14.4">
      <c r="A12" s="129"/>
      <c r="B12" s="186" t="s">
        <v>417</v>
      </c>
      <c r="C12" s="129" t="str">
        <f t="shared" ref="C12:C32" si="0">C11&amp;", "&amp;B12</f>
        <v xml:space="preserve"> 3.0.0 breeding station,  3.0.1 storage breeding,  4.0.0 shop,  4.0.1 storage shop</v>
      </c>
    </row>
    <row r="13" spans="1:51" ht="14.4">
      <c r="A13" s="129"/>
      <c r="B13" s="186" t="s">
        <v>418</v>
      </c>
      <c r="C13" s="129" t="str">
        <f t="shared" si="0"/>
        <v xml:space="preserve"> 3.0.0 breeding station,  3.0.1 storage breeding,  4.0.0 shop,  4.0.1 storage shop,  5.0.0 multimedia room</v>
      </c>
    </row>
    <row r="14" spans="1:51" ht="14.4">
      <c r="A14" s="129"/>
      <c r="B14" s="186" t="s">
        <v>419</v>
      </c>
      <c r="C14" s="129" t="str">
        <f t="shared" si="0"/>
        <v xml:space="preserve"> 3.0.0 breeding station,  3.0.1 storage breeding,  4.0.0 shop,  4.0.1 storage shop,  5.0.0 multimedia room,  5.1.0 preparation room</v>
      </c>
    </row>
    <row r="15" spans="1:51" ht="14.4">
      <c r="A15" s="129"/>
      <c r="B15" s="186" t="s">
        <v>420</v>
      </c>
      <c r="C15" s="129" t="str">
        <f t="shared" si="0"/>
        <v xml:space="preserve"> 3.0.0 breeding station,  3.0.1 storage breeding,  4.0.0 shop,  4.0.1 storage shop,  5.0.0 multimedia room,  5.1.0 preparation room,  6.0.0 first aid room</v>
      </c>
    </row>
    <row r="16" spans="1:51" ht="14.4">
      <c r="A16" s="129"/>
      <c r="B16" s="186" t="s">
        <v>421</v>
      </c>
      <c r="C16" s="154" t="str">
        <f t="shared" si="0"/>
        <v xml:space="preserve"> 3.0.0 breeding station,  3.0.1 storage breeding,  4.0.0 shop,  4.0.1 storage shop,  5.0.0 multimedia room,  5.1.0 preparation room,  6.0.0 first aid room,  7.0.0 lockers</v>
      </c>
    </row>
    <row r="17" spans="1:3" ht="14.4">
      <c r="A17" s="129"/>
      <c r="B17" s="186" t="s">
        <v>422</v>
      </c>
      <c r="C17" s="129" t="str">
        <f>B17</f>
        <v xml:space="preserve"> 7.0.1 sanitary f</v>
      </c>
    </row>
    <row r="18" spans="1:3" ht="14.4">
      <c r="A18" s="129"/>
      <c r="B18" s="186" t="s">
        <v>423</v>
      </c>
      <c r="C18" s="129" t="str">
        <f t="shared" si="0"/>
        <v xml:space="preserve"> 7.0.1 sanitary f,  7.0.3 sanitary m</v>
      </c>
    </row>
    <row r="19" spans="1:3" ht="14.4">
      <c r="A19" s="129"/>
      <c r="B19" s="186" t="s">
        <v>424</v>
      </c>
      <c r="C19" s="129" t="str">
        <f t="shared" si="0"/>
        <v xml:space="preserve"> 7.0.1 sanitary f,  7.0.3 sanitary m,  7.1.0 storage</v>
      </c>
    </row>
    <row r="20" spans="1:3" ht="14.4">
      <c r="A20" s="129"/>
      <c r="B20" s="186" t="s">
        <v>425</v>
      </c>
      <c r="C20" s="129" t="str">
        <f t="shared" si="0"/>
        <v xml:space="preserve"> 7.0.1 sanitary f,  7.0.3 sanitary m,  7.1.0 storage,  7.-1.1 sanitary staff f</v>
      </c>
    </row>
    <row r="21" spans="1:3" ht="14.4">
      <c r="A21" s="129"/>
      <c r="B21" s="186" t="s">
        <v>426</v>
      </c>
      <c r="C21" s="129" t="str">
        <f t="shared" si="0"/>
        <v xml:space="preserve"> 7.0.1 sanitary f,  7.0.3 sanitary m,  7.1.0 storage,  7.-1.1 sanitary staff f,  7.-1.2 sanitary staff m</v>
      </c>
    </row>
    <row r="22" spans="1:3" ht="14.4">
      <c r="A22" s="129"/>
      <c r="B22" s="186" t="s">
        <v>427</v>
      </c>
      <c r="C22" s="129" t="str">
        <f t="shared" si="0"/>
        <v xml:space="preserve"> 7.0.1 sanitary f,  7.0.3 sanitary m,  7.1.0 storage,  7.-1.1 sanitary staff f,  7.-1.2 sanitary staff m,  8.-1.0 AHU room</v>
      </c>
    </row>
    <row r="23" spans="1:3" ht="14.4">
      <c r="A23" s="129"/>
      <c r="B23" s="186" t="s">
        <v>428</v>
      </c>
      <c r="C23" s="129" t="str">
        <f t="shared" si="0"/>
        <v xml:space="preserve"> 7.0.1 sanitary f,  7.0.3 sanitary m,  7.1.0 storage,  7.-1.1 sanitary staff f,  7.-1.2 sanitary staff m,  8.-1.0 AHU room,  8.-1.8 AHU room</v>
      </c>
    </row>
    <row r="24" spans="1:3" ht="14.4">
      <c r="A24" s="129"/>
      <c r="B24" s="186" t="s">
        <v>429</v>
      </c>
      <c r="C24" s="154" t="str">
        <f t="shared" si="0"/>
        <v xml:space="preserve"> 7.0.1 sanitary f,  7.0.3 sanitary m,  7.1.0 storage,  7.-1.1 sanitary staff f,  7.-1.2 sanitary staff m,  8.-1.0 AHU room,  8.-1.8 AHU room,  9.0.1 arrival + meeting area</v>
      </c>
    </row>
    <row r="25" spans="1:3" ht="14.4">
      <c r="A25" s="129"/>
      <c r="B25" s="186" t="s">
        <v>430</v>
      </c>
      <c r="C25" s="100" t="str">
        <f>B25</f>
        <v xml:space="preserve"> 9.0.2 circulation</v>
      </c>
    </row>
    <row r="26" spans="1:3" ht="14.4">
      <c r="A26" s="129"/>
      <c r="B26" s="186" t="s">
        <v>431</v>
      </c>
      <c r="C26" s="129" t="str">
        <f t="shared" si="0"/>
        <v xml:space="preserve"> 9.0.2 circulation,  9.0.5 air lock</v>
      </c>
    </row>
    <row r="27" spans="1:3" ht="14.4">
      <c r="A27" s="129"/>
      <c r="B27" s="186" t="s">
        <v>432</v>
      </c>
      <c r="C27" s="129" t="str">
        <f t="shared" si="0"/>
        <v xml:space="preserve"> 9.0.2 circulation,  9.0.5 air lock,  9.0.3 circulation</v>
      </c>
    </row>
    <row r="28" spans="1:3" ht="14.4">
      <c r="A28" s="129"/>
      <c r="B28" s="186" t="s">
        <v>433</v>
      </c>
      <c r="C28" s="129" t="str">
        <f t="shared" si="0"/>
        <v xml:space="preserve"> 9.0.2 circulation,  9.0.5 air lock,  9.0.3 circulation,  9.0.4 circulation</v>
      </c>
    </row>
    <row r="29" spans="1:3" ht="14.4">
      <c r="A29" s="129"/>
      <c r="B29" s="186" t="s">
        <v>434</v>
      </c>
      <c r="C29" s="129" t="str">
        <f t="shared" si="0"/>
        <v xml:space="preserve"> 9.0.2 circulation,  9.0.5 air lock,  9.0.3 circulation,  9.0.4 circulation,  9.1.0 circulation</v>
      </c>
    </row>
    <row r="30" spans="1:3" ht="14.4">
      <c r="A30" s="129"/>
      <c r="B30" s="186" t="s">
        <v>435</v>
      </c>
      <c r="C30" s="129" t="str">
        <f t="shared" si="0"/>
        <v xml:space="preserve"> 9.0.2 circulation,  9.0.5 air lock,  9.0.3 circulation,  9.0.4 circulation,  9.1.0 circulation,  9.-1.0 corridor 1</v>
      </c>
    </row>
    <row r="31" spans="1:3" ht="14.4">
      <c r="A31" s="129"/>
      <c r="B31" s="186" t="s">
        <v>436</v>
      </c>
      <c r="C31" s="129" t="str">
        <f t="shared" si="0"/>
        <v xml:space="preserve"> 9.0.2 circulation,  9.0.5 air lock,  9.0.3 circulation,  9.0.4 circulation,  9.1.0 circulation,  9.-1.0 corridor 1,  9.-1.2 staff circulation</v>
      </c>
    </row>
    <row r="32" spans="1:3" ht="14.4">
      <c r="A32" s="129"/>
      <c r="B32" s="186" t="s">
        <v>437</v>
      </c>
      <c r="C32" s="154" t="str">
        <f t="shared" si="0"/>
        <v xml:space="preserve"> 9.0.2 circulation,  9.0.5 air lock,  9.0.3 circulation,  9.0.4 circulation,  9.1.0 circulation,  9.-1.0 corridor 1,  9.-1.2 staff circulation,  7.0.2 sanitary d</v>
      </c>
    </row>
    <row r="33" spans="1:4" ht="14.4">
      <c r="A33" s="129"/>
      <c r="B33" s="186" t="s">
        <v>438</v>
      </c>
      <c r="C33" s="154" t="str">
        <f>B33</f>
        <v xml:space="preserve"> 7.0.4 storage mm-equipment</v>
      </c>
    </row>
    <row r="34" spans="1:4" ht="14.4">
      <c r="A34" s="144" t="s">
        <v>189</v>
      </c>
      <c r="B34" t="str">
        <f>C41</f>
        <v xml:space="preserve"> 8.-1.3 LV room,  8.-1.4 FTR room,  8.-1.5 CCTV/ICT room,  8.-2.6 oil room,  8.-2.1 RMU room,  8.-2.2 transformer room,  8.-2.3 electrical room</v>
      </c>
      <c r="C34" t="str">
        <f>C48</f>
        <v xml:space="preserve"> 8.-2.4 MTR room,  8.-2.5 electrical room,  8.-2.8 ETS control,  8.-2.9 energy transfer station,  8.-2.10 water,  8.-2.11 fire-water storage,  8.-1.1 essential LV switch room</v>
      </c>
      <c r="D34" t="str">
        <f>C54</f>
        <v xml:space="preserve"> 8.-1.2 LV electrical switch room,  8.-1.9 pump room,  7.-1.4 miscellaneous,  8.-1.7 technical area,  7.-1.3 storage/AWCS,  7.-1.0 storage</v>
      </c>
    </row>
    <row r="35" spans="1:4" ht="14.4">
      <c r="B35" s="186" t="s">
        <v>394</v>
      </c>
      <c r="C35" t="str">
        <f>B35</f>
        <v xml:space="preserve"> 8.-1.3 LV room</v>
      </c>
    </row>
    <row r="36" spans="1:4" ht="14.4">
      <c r="B36" s="186" t="s">
        <v>395</v>
      </c>
      <c r="C36" s="129" t="str">
        <f t="shared" ref="C36:C41" si="1">C35&amp;", "&amp;B36</f>
        <v xml:space="preserve"> 8.-1.3 LV room,  8.-1.4 FTR room</v>
      </c>
    </row>
    <row r="37" spans="1:4" ht="14.4">
      <c r="B37" s="186" t="s">
        <v>396</v>
      </c>
      <c r="C37" s="129" t="str">
        <f t="shared" si="1"/>
        <v xml:space="preserve"> 8.-1.3 LV room,  8.-1.4 FTR room,  8.-1.5 CCTV/ICT room</v>
      </c>
    </row>
    <row r="38" spans="1:4" ht="14.4">
      <c r="B38" s="186" t="s">
        <v>397</v>
      </c>
      <c r="C38" s="129" t="str">
        <f t="shared" si="1"/>
        <v xml:space="preserve"> 8.-1.3 LV room,  8.-1.4 FTR room,  8.-1.5 CCTV/ICT room,  8.-2.6 oil room</v>
      </c>
    </row>
    <row r="39" spans="1:4" ht="14.4">
      <c r="B39" s="186" t="s">
        <v>398</v>
      </c>
      <c r="C39" s="129" t="str">
        <f t="shared" si="1"/>
        <v xml:space="preserve"> 8.-1.3 LV room,  8.-1.4 FTR room,  8.-1.5 CCTV/ICT room,  8.-2.6 oil room,  8.-2.1 RMU room</v>
      </c>
    </row>
    <row r="40" spans="1:4" ht="14.4">
      <c r="A40" s="129"/>
      <c r="B40" t="s">
        <v>399</v>
      </c>
      <c r="C40" s="129" t="str">
        <f t="shared" si="1"/>
        <v xml:space="preserve"> 8.-1.3 LV room,  8.-1.4 FTR room,  8.-1.5 CCTV/ICT room,  8.-2.6 oil room,  8.-2.1 RMU room,  8.-2.2 transformer room</v>
      </c>
    </row>
    <row r="41" spans="1:4" ht="14.4">
      <c r="B41" s="186" t="s">
        <v>400</v>
      </c>
      <c r="C41" s="154" t="str">
        <f t="shared" si="1"/>
        <v xml:space="preserve"> 8.-1.3 LV room,  8.-1.4 FTR room,  8.-1.5 CCTV/ICT room,  8.-2.6 oil room,  8.-2.1 RMU room,  8.-2.2 transformer room,  8.-2.3 electrical room</v>
      </c>
    </row>
    <row r="42" spans="1:4" ht="14.4">
      <c r="B42" s="186" t="s">
        <v>401</v>
      </c>
      <c r="C42" s="129" t="str">
        <f>B42</f>
        <v xml:space="preserve"> 8.-2.4 MTR room</v>
      </c>
    </row>
    <row r="43" spans="1:4" ht="14.4">
      <c r="B43" s="186" t="s">
        <v>402</v>
      </c>
      <c r="C43" s="129" t="str">
        <f t="shared" ref="C43:C54" si="2">C42&amp;", "&amp;B43</f>
        <v xml:space="preserve"> 8.-2.4 MTR room,  8.-2.5 electrical room</v>
      </c>
    </row>
    <row r="44" spans="1:4" ht="14.4">
      <c r="B44" s="186" t="s">
        <v>403</v>
      </c>
      <c r="C44" s="129" t="str">
        <f t="shared" si="2"/>
        <v xml:space="preserve"> 8.-2.4 MTR room,  8.-2.5 electrical room,  8.-2.8 ETS control</v>
      </c>
    </row>
    <row r="45" spans="1:4" ht="14.4">
      <c r="B45" s="186" t="s">
        <v>404</v>
      </c>
      <c r="C45" s="129" t="str">
        <f t="shared" si="2"/>
        <v xml:space="preserve"> 8.-2.4 MTR room,  8.-2.5 electrical room,  8.-2.8 ETS control,  8.-2.9 energy transfer station</v>
      </c>
    </row>
    <row r="46" spans="1:4" ht="14.4">
      <c r="B46" s="186" t="s">
        <v>405</v>
      </c>
      <c r="C46" s="129" t="str">
        <f t="shared" si="2"/>
        <v xml:space="preserve"> 8.-2.4 MTR room,  8.-2.5 electrical room,  8.-2.8 ETS control,  8.-2.9 energy transfer station,  8.-2.10 water</v>
      </c>
    </row>
    <row r="47" spans="1:4" ht="14.4">
      <c r="B47" s="186" t="s">
        <v>406</v>
      </c>
      <c r="C47" s="129" t="str">
        <f t="shared" si="2"/>
        <v xml:space="preserve"> 8.-2.4 MTR room,  8.-2.5 electrical room,  8.-2.8 ETS control,  8.-2.9 energy transfer station,  8.-2.10 water,  8.-2.11 fire-water storage</v>
      </c>
    </row>
    <row r="48" spans="1:4" ht="14.4">
      <c r="B48" s="186" t="s">
        <v>407</v>
      </c>
      <c r="C48" s="154" t="str">
        <f t="shared" si="2"/>
        <v xml:space="preserve"> 8.-2.4 MTR room,  8.-2.5 electrical room,  8.-2.8 ETS control,  8.-2.9 energy transfer station,  8.-2.10 water,  8.-2.11 fire-water storage,  8.-1.1 essential LV switch room</v>
      </c>
    </row>
    <row r="49" spans="1:3" ht="14.4">
      <c r="B49" s="186" t="s">
        <v>408</v>
      </c>
      <c r="C49" s="100" t="str">
        <f>B49</f>
        <v xml:space="preserve"> 8.-1.2 LV electrical switch room</v>
      </c>
    </row>
    <row r="50" spans="1:3" ht="14.4">
      <c r="B50" s="186" t="s">
        <v>409</v>
      </c>
      <c r="C50" s="129" t="str">
        <f t="shared" si="2"/>
        <v xml:space="preserve"> 8.-1.2 LV electrical switch room,  8.-1.9 pump room</v>
      </c>
    </row>
    <row r="51" spans="1:3" ht="14.4">
      <c r="B51" s="186" t="s">
        <v>410</v>
      </c>
      <c r="C51" s="129" t="str">
        <f t="shared" si="2"/>
        <v xml:space="preserve"> 8.-1.2 LV electrical switch room,  8.-1.9 pump room,  7.-1.4 miscellaneous</v>
      </c>
    </row>
    <row r="52" spans="1:3" ht="14.4">
      <c r="B52" s="186" t="s">
        <v>411</v>
      </c>
      <c r="C52" s="129" t="str">
        <f t="shared" si="2"/>
        <v xml:space="preserve"> 8.-1.2 LV electrical switch room,  8.-1.9 pump room,  7.-1.4 miscellaneous,  8.-1.7 technical area</v>
      </c>
    </row>
    <row r="53" spans="1:3" ht="14.4">
      <c r="B53" s="186" t="s">
        <v>412</v>
      </c>
      <c r="C53" s="129" t="str">
        <f t="shared" si="2"/>
        <v xml:space="preserve"> 8.-1.2 LV electrical switch room,  8.-1.9 pump room,  7.-1.4 miscellaneous,  8.-1.7 technical area,  7.-1.3 storage/AWCS</v>
      </c>
    </row>
    <row r="54" spans="1:3" ht="14.4">
      <c r="B54" s="186" t="s">
        <v>413</v>
      </c>
      <c r="C54" s="154" t="str">
        <f t="shared" si="2"/>
        <v xml:space="preserve"> 8.-1.2 LV electrical switch room,  8.-1.9 pump room,  7.-1.4 miscellaneous,  8.-1.7 technical area,  7.-1.3 storage/AWCS,  7.-1.0 storage</v>
      </c>
    </row>
    <row r="55" spans="1:3" ht="14.4">
      <c r="A55" s="144" t="s">
        <v>271</v>
      </c>
      <c r="B55" t="str">
        <f>C62</f>
        <v xml:space="preserve"> UU 6 L2.75 Special Closed,  8.-1.10 elevator,  9.0.7 em. stairs,  9.2.2 em. stairs,  8.-2.0 utilities</v>
      </c>
    </row>
    <row r="56" spans="1:3" ht="14.4">
      <c r="B56" s="186" t="s">
        <v>448</v>
      </c>
      <c r="C56" t="str">
        <f>B56</f>
        <v xml:space="preserve"> 8.-2.7 generator room</v>
      </c>
    </row>
    <row r="57" spans="1:3" ht="14.4">
      <c r="A57" s="144" t="s">
        <v>188</v>
      </c>
      <c r="B57" s="186" t="str">
        <f>C66</f>
        <v xml:space="preserve"> UU 6 L2.75 Special Closed,  8.-1.10 elevator,  9.0.7 em. stairs,  9.2.2 em. stairs,  8.-2.0 utilities,  9.-2.0 circulation,  9.-2.1 sand trap,  Underpools South,  Underpools North</v>
      </c>
      <c r="C57" s="129"/>
    </row>
    <row r="58" spans="1:3" ht="14.4">
      <c r="B58" s="186" t="s">
        <v>439</v>
      </c>
      <c r="C58" s="129" t="str">
        <f>B58</f>
        <v xml:space="preserve"> UU 6 L2.75 Special Closed</v>
      </c>
    </row>
    <row r="59" spans="1:3" ht="14.4">
      <c r="B59" s="186" t="s">
        <v>440</v>
      </c>
      <c r="C59" s="129" t="str">
        <f t="shared" ref="C59:C66" si="3">C58&amp;", "&amp;B59</f>
        <v xml:space="preserve"> UU 6 L2.75 Special Closed,  8.-1.10 elevator</v>
      </c>
    </row>
    <row r="60" spans="1:3" ht="14.4">
      <c r="B60" s="186" t="s">
        <v>441</v>
      </c>
      <c r="C60" s="129" t="str">
        <f t="shared" si="3"/>
        <v xml:space="preserve"> UU 6 L2.75 Special Closed,  8.-1.10 elevator,  9.0.7 em. stairs</v>
      </c>
    </row>
    <row r="61" spans="1:3" ht="14.4">
      <c r="B61" s="186" t="s">
        <v>442</v>
      </c>
      <c r="C61" s="129" t="str">
        <f t="shared" si="3"/>
        <v xml:space="preserve"> UU 6 L2.75 Special Closed,  8.-1.10 elevator,  9.0.7 em. stairs,  9.2.2 em. stairs</v>
      </c>
    </row>
    <row r="62" spans="1:3" ht="14.4">
      <c r="B62" s="186" t="s">
        <v>443</v>
      </c>
      <c r="C62" s="129" t="str">
        <f t="shared" si="3"/>
        <v xml:space="preserve"> UU 6 L2.75 Special Closed,  8.-1.10 elevator,  9.0.7 em. stairs,  9.2.2 em. stairs,  8.-2.0 utilities</v>
      </c>
    </row>
    <row r="63" spans="1:3" ht="14.4">
      <c r="B63" t="s">
        <v>444</v>
      </c>
      <c r="C63" s="129" t="str">
        <f t="shared" si="3"/>
        <v xml:space="preserve"> UU 6 L2.75 Special Closed,  8.-1.10 elevator,  9.0.7 em. stairs,  9.2.2 em. stairs,  8.-2.0 utilities,  9.-2.0 circulation</v>
      </c>
    </row>
    <row r="64" spans="1:3" ht="14.4">
      <c r="B64" t="s">
        <v>445</v>
      </c>
      <c r="C64" s="129" t="str">
        <f t="shared" si="3"/>
        <v xml:space="preserve"> UU 6 L2.75 Special Closed,  8.-1.10 elevator,  9.0.7 em. stairs,  9.2.2 em. stairs,  8.-2.0 utilities,  9.-2.0 circulation,  9.-2.1 sand trap</v>
      </c>
    </row>
    <row r="65" spans="2:3" ht="14.4">
      <c r="B65" t="s">
        <v>446</v>
      </c>
      <c r="C65" s="129" t="str">
        <f t="shared" si="3"/>
        <v xml:space="preserve"> UU 6 L2.75 Special Closed,  8.-1.10 elevator,  9.0.7 em. stairs,  9.2.2 em. stairs,  8.-2.0 utilities,  9.-2.0 circulation,  9.-2.1 sand trap,  Underpools South</v>
      </c>
    </row>
    <row r="66" spans="2:3" ht="14.4">
      <c r="B66" t="s">
        <v>447</v>
      </c>
      <c r="C66" s="154" t="str">
        <f t="shared" si="3"/>
        <v xml:space="preserve"> UU 6 L2.75 Special Closed,  8.-1.10 elevator,  9.0.7 em. stairs,  9.2.2 em. stairs,  8.-2.0 utilities,  9.-2.0 circulation,  9.-2.1 sand trap,  Underpools South,  Underpools North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2"/>
  <dimension ref="A1:H23"/>
  <sheetViews>
    <sheetView topLeftCell="G1" workbookViewId="0">
      <selection activeCell="G2" sqref="G2:G22"/>
    </sheetView>
  </sheetViews>
  <sheetFormatPr defaultColWidth="18.77734375" defaultRowHeight="12.75" customHeight="1"/>
  <cols>
    <col min="1" max="1" width="35.33203125" style="484" bestFit="1" customWidth="1"/>
    <col min="2" max="2" width="7.5546875" customWidth="1"/>
    <col min="3" max="3" width="9.109375" customWidth="1"/>
    <col min="4" max="4" width="35.33203125" bestFit="1" customWidth="1"/>
    <col min="5" max="5" width="9.109375" customWidth="1"/>
    <col min="6" max="12" width="18.6640625" customWidth="1"/>
  </cols>
  <sheetData>
    <row r="1" spans="1:8" s="464" customFormat="1" ht="14.4">
      <c r="A1" s="484"/>
      <c r="B1" s="464" t="s">
        <v>508</v>
      </c>
      <c r="G1" s="464" t="s">
        <v>528</v>
      </c>
      <c r="H1" s="464" t="s">
        <v>529</v>
      </c>
    </row>
    <row r="2" spans="1:8" ht="14.4">
      <c r="A2" s="452" t="s">
        <v>471</v>
      </c>
      <c r="B2" s="483">
        <v>28</v>
      </c>
      <c r="D2" s="485" t="s">
        <v>484</v>
      </c>
      <c r="E2" s="486">
        <v>28</v>
      </c>
      <c r="G2" t="s">
        <v>513</v>
      </c>
      <c r="H2">
        <v>8</v>
      </c>
    </row>
    <row r="3" spans="1:8" ht="14.4">
      <c r="A3" s="452" t="s">
        <v>459</v>
      </c>
      <c r="B3" s="483">
        <v>29</v>
      </c>
      <c r="D3" s="485" t="s">
        <v>471</v>
      </c>
      <c r="E3" s="486">
        <v>29</v>
      </c>
      <c r="G3" t="s">
        <v>512</v>
      </c>
      <c r="H3">
        <v>16</v>
      </c>
    </row>
    <row r="4" spans="1:8" ht="14.4">
      <c r="A4" s="452" t="s">
        <v>478</v>
      </c>
      <c r="B4" s="483">
        <v>30</v>
      </c>
      <c r="D4" s="485" t="s">
        <v>459</v>
      </c>
      <c r="E4" s="486">
        <v>30</v>
      </c>
      <c r="G4" t="s">
        <v>510</v>
      </c>
      <c r="H4">
        <v>14</v>
      </c>
    </row>
    <row r="5" spans="1:8" ht="14.4">
      <c r="A5" s="452" t="s">
        <v>479</v>
      </c>
      <c r="B5" s="483">
        <v>31</v>
      </c>
      <c r="D5" s="485" t="s">
        <v>478</v>
      </c>
      <c r="E5" s="486">
        <v>31</v>
      </c>
      <c r="G5" t="s">
        <v>184</v>
      </c>
      <c r="H5">
        <v>19</v>
      </c>
    </row>
    <row r="6" spans="1:8" ht="14.4">
      <c r="A6" s="452" t="s">
        <v>460</v>
      </c>
      <c r="B6" s="483">
        <v>32</v>
      </c>
      <c r="D6" s="485" t="s">
        <v>479</v>
      </c>
      <c r="E6" s="486">
        <v>32</v>
      </c>
      <c r="G6" t="s">
        <v>185</v>
      </c>
      <c r="H6">
        <v>2</v>
      </c>
    </row>
    <row r="7" spans="1:8" ht="14.4">
      <c r="A7" s="452" t="s">
        <v>461</v>
      </c>
      <c r="B7" s="483">
        <v>33</v>
      </c>
      <c r="D7" s="485" t="s">
        <v>460</v>
      </c>
      <c r="E7" s="486">
        <v>33</v>
      </c>
      <c r="G7" t="s">
        <v>514</v>
      </c>
      <c r="H7">
        <v>15</v>
      </c>
    </row>
    <row r="8" spans="1:8" ht="14.4">
      <c r="A8" s="452" t="s">
        <v>462</v>
      </c>
      <c r="B8" s="483">
        <v>34</v>
      </c>
      <c r="D8" s="485" t="s">
        <v>461</v>
      </c>
      <c r="E8" s="486">
        <v>34</v>
      </c>
      <c r="G8" t="s">
        <v>511</v>
      </c>
      <c r="H8">
        <v>12</v>
      </c>
    </row>
    <row r="9" spans="1:8" ht="14.4">
      <c r="A9" s="452" t="s">
        <v>463</v>
      </c>
      <c r="B9" s="483">
        <v>35</v>
      </c>
      <c r="D9" s="485" t="s">
        <v>462</v>
      </c>
      <c r="E9" s="486">
        <v>35</v>
      </c>
      <c r="G9" t="s">
        <v>156</v>
      </c>
      <c r="H9">
        <v>1</v>
      </c>
    </row>
    <row r="10" spans="1:8" ht="14.4">
      <c r="A10" s="452" t="s">
        <v>464</v>
      </c>
      <c r="B10" s="483">
        <v>36</v>
      </c>
      <c r="D10" s="485" t="s">
        <v>463</v>
      </c>
      <c r="E10" s="486">
        <v>36</v>
      </c>
      <c r="G10" t="s">
        <v>515</v>
      </c>
      <c r="H10">
        <v>4</v>
      </c>
    </row>
    <row r="11" spans="1:8" ht="14.4">
      <c r="A11" s="452" t="s">
        <v>465</v>
      </c>
      <c r="B11" s="483">
        <v>37</v>
      </c>
      <c r="D11" s="485" t="s">
        <v>464</v>
      </c>
      <c r="E11" s="486">
        <v>37</v>
      </c>
      <c r="G11" t="s">
        <v>516</v>
      </c>
      <c r="H11">
        <v>0</v>
      </c>
    </row>
    <row r="12" spans="1:8" ht="14.4">
      <c r="A12" s="452" t="s">
        <v>466</v>
      </c>
      <c r="B12" s="483">
        <v>38</v>
      </c>
      <c r="D12" s="485" t="s">
        <v>465</v>
      </c>
      <c r="E12" s="486">
        <v>38</v>
      </c>
      <c r="G12" t="s">
        <v>517</v>
      </c>
      <c r="H12">
        <v>17</v>
      </c>
    </row>
    <row r="13" spans="1:8" ht="14.4">
      <c r="A13" s="452" t="s">
        <v>467</v>
      </c>
      <c r="B13" s="483">
        <v>39</v>
      </c>
      <c r="D13" s="485" t="s">
        <v>466</v>
      </c>
      <c r="E13" s="486">
        <v>39</v>
      </c>
      <c r="G13" t="s">
        <v>518</v>
      </c>
      <c r="H13">
        <v>10</v>
      </c>
    </row>
    <row r="14" spans="1:8" ht="14.4">
      <c r="A14" s="452" t="s">
        <v>468</v>
      </c>
      <c r="B14" s="483">
        <v>40</v>
      </c>
      <c r="D14" s="485" t="s">
        <v>467</v>
      </c>
      <c r="E14" s="486">
        <v>40</v>
      </c>
      <c r="G14" t="s">
        <v>519</v>
      </c>
      <c r="H14">
        <v>3</v>
      </c>
    </row>
    <row r="15" spans="1:8" ht="14.4">
      <c r="A15" s="452" t="s">
        <v>469</v>
      </c>
      <c r="B15" s="483">
        <v>41</v>
      </c>
      <c r="D15" s="485" t="s">
        <v>468</v>
      </c>
      <c r="E15" s="486">
        <v>41</v>
      </c>
      <c r="G15" t="s">
        <v>520</v>
      </c>
      <c r="H15">
        <v>13</v>
      </c>
    </row>
    <row r="16" spans="1:8" ht="14.4">
      <c r="A16" s="452" t="s">
        <v>470</v>
      </c>
      <c r="B16" s="483">
        <v>42</v>
      </c>
      <c r="D16" s="485" t="s">
        <v>469</v>
      </c>
      <c r="E16" s="486">
        <v>42</v>
      </c>
      <c r="G16" t="s">
        <v>521</v>
      </c>
      <c r="H16">
        <v>5</v>
      </c>
    </row>
    <row r="17" spans="1:8" ht="14.4">
      <c r="A17" s="452" t="s">
        <v>472</v>
      </c>
      <c r="B17" s="483">
        <v>43</v>
      </c>
      <c r="D17" s="485" t="s">
        <v>470</v>
      </c>
      <c r="E17" s="486">
        <v>43</v>
      </c>
      <c r="G17" t="s">
        <v>522</v>
      </c>
      <c r="H17">
        <v>11</v>
      </c>
    </row>
    <row r="18" spans="1:8" ht="14.4">
      <c r="A18" s="452" t="s">
        <v>473</v>
      </c>
      <c r="B18" s="483">
        <v>44</v>
      </c>
      <c r="D18" s="485" t="s">
        <v>472</v>
      </c>
      <c r="E18" s="486">
        <v>44</v>
      </c>
      <c r="G18" t="s">
        <v>523</v>
      </c>
      <c r="H18">
        <v>18</v>
      </c>
    </row>
    <row r="19" spans="1:8" ht="14.4">
      <c r="A19" s="452" t="s">
        <v>474</v>
      </c>
      <c r="B19" s="483">
        <v>45</v>
      </c>
      <c r="D19" s="485" t="s">
        <v>473</v>
      </c>
      <c r="E19" s="486">
        <v>45</v>
      </c>
      <c r="G19" t="s">
        <v>526</v>
      </c>
      <c r="H19">
        <v>6</v>
      </c>
    </row>
    <row r="20" spans="1:8" ht="14.4">
      <c r="A20" s="452" t="s">
        <v>475</v>
      </c>
      <c r="B20" s="483">
        <v>46</v>
      </c>
      <c r="D20" s="485" t="s">
        <v>474</v>
      </c>
      <c r="E20" s="486">
        <v>46</v>
      </c>
      <c r="G20" t="s">
        <v>524</v>
      </c>
      <c r="H20">
        <v>9</v>
      </c>
    </row>
    <row r="21" spans="1:8" ht="14.4">
      <c r="A21" s="452" t="s">
        <v>486</v>
      </c>
      <c r="B21" s="483">
        <v>47</v>
      </c>
      <c r="D21" s="485" t="s">
        <v>475</v>
      </c>
      <c r="E21" s="486">
        <v>47</v>
      </c>
      <c r="G21" t="s">
        <v>525</v>
      </c>
      <c r="H21">
        <v>7</v>
      </c>
    </row>
    <row r="22" spans="1:8" ht="14.4">
      <c r="A22" s="452" t="s">
        <v>476</v>
      </c>
      <c r="B22" s="483">
        <v>48</v>
      </c>
      <c r="D22" s="485" t="s">
        <v>486</v>
      </c>
      <c r="E22" s="486">
        <v>48</v>
      </c>
      <c r="G22" t="s">
        <v>527</v>
      </c>
      <c r="H22">
        <v>20</v>
      </c>
    </row>
    <row r="23" spans="1:8" ht="14.4">
      <c r="D23" s="485" t="s">
        <v>476</v>
      </c>
      <c r="E23" s="486">
        <v>49</v>
      </c>
    </row>
  </sheetData>
  <autoFilter ref="G1:H1" xr:uid="{00000000-0009-0000-0000-00000F000000}">
    <sortState xmlns:xlrd2="http://schemas.microsoft.com/office/spreadsheetml/2017/richdata2" ref="G2:H22">
      <sortCondition ref="G1"/>
    </sortState>
  </autoFilter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9</vt:i4>
      </vt:variant>
    </vt:vector>
  </HeadingPairs>
  <TitlesOfParts>
    <vt:vector size="26" baseType="lpstr">
      <vt:lpstr>ReadME</vt:lpstr>
      <vt:lpstr>Print Legend</vt:lpstr>
      <vt:lpstr>Print AHU</vt:lpstr>
      <vt:lpstr>Data</vt:lpstr>
      <vt:lpstr>Sheet3</vt:lpstr>
      <vt:lpstr>Print</vt:lpstr>
      <vt:lpstr>Construction</vt:lpstr>
      <vt:lpstr>Info</vt:lpstr>
      <vt:lpstr>Used functions</vt:lpstr>
      <vt:lpstr>Revit_FCU</vt:lpstr>
      <vt:lpstr>Sheet1</vt:lpstr>
      <vt:lpstr>TAS_Zones</vt:lpstr>
      <vt:lpstr>FCU_System</vt:lpstr>
      <vt:lpstr>TSD_Data</vt:lpstr>
      <vt:lpstr>Sheet2</vt:lpstr>
      <vt:lpstr>AHU_Zones</vt:lpstr>
      <vt:lpstr>BEType</vt:lpstr>
      <vt:lpstr>TAS_Zones!AHU_Zones</vt:lpstr>
      <vt:lpstr>AHU_Zones</vt:lpstr>
      <vt:lpstr>BEType</vt:lpstr>
      <vt:lpstr>Data</vt:lpstr>
      <vt:lpstr>DataColumn</vt:lpstr>
      <vt:lpstr>FCU_List</vt:lpstr>
      <vt:lpstr>Print!Print_Area</vt:lpstr>
      <vt:lpstr>'Print AHU'!Print_Area</vt:lpstr>
      <vt:lpstr>'Print Legend'!Print_Area</vt:lpstr>
    </vt:vector>
  </TitlesOfParts>
  <Company>Buro Happold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mdengusiak</dc:creator>
  <cp:lastModifiedBy>Michal Dengusiak</cp:lastModifiedBy>
  <cp:lastPrinted>2022-05-16T07:40:18Z</cp:lastPrinted>
  <dcterms:created xsi:type="dcterms:W3CDTF">2011-08-17T14:29:03Z</dcterms:created>
  <dcterms:modified xsi:type="dcterms:W3CDTF">2022-05-16T07:40:19Z</dcterms:modified>
</cp:coreProperties>
</file>