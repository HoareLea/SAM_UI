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ocuments\GitHub\SAM\SAM_UI\files\resources\Analytical\templates\RDS\"/>
    </mc:Choice>
  </mc:AlternateContent>
  <xr:revisionPtr revIDLastSave="0" documentId="13_ncr:1_{8C4489CB-AA24-47C8-9F3A-9BFB0EFD367F}" xr6:coauthVersionLast="47" xr6:coauthVersionMax="47" xr10:uidLastSave="{00000000-0000-0000-0000-000000000000}"/>
  <bookViews>
    <workbookView xWindow="-108" yWindow="-108" windowWidth="23256" windowHeight="12576" tabRatio="619" firstSheet="3" activeTab="5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Info" sheetId="33" state="hidden" r:id="rId8"/>
    <sheet name="Used functions" sheetId="65" state="hidden" r:id="rId9"/>
    <sheet name="Revit_FCU" sheetId="68" state="hidden" r:id="rId10"/>
    <sheet name="Sheet1" sheetId="69" state="hidden" r:id="rId11"/>
    <sheet name="TAS_Zones" sheetId="76" state="hidden" r:id="rId12"/>
    <sheet name="FCU_System" sheetId="73" state="hidden" r:id="rId13"/>
    <sheet name="TSD_Data" sheetId="74" state="hidden" r:id="rId14"/>
    <sheet name="Sheet2" sheetId="75" state="hidden" r:id="rId15"/>
    <sheet name="AHU_Zones" sheetId="71" state="hidden" r:id="rId16"/>
    <sheet name="BEType" sheetId="157" state="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6" hidden="1">BEType!$G$1:$H$1</definedName>
    <definedName name="_xlnm._FilterDatabase" localSheetId="6" hidden="1">Construction!$A$1:$L$1</definedName>
    <definedName name="_xlnm._FilterDatabase" localSheetId="9" hidden="1">Revit_FCU!$A$2:$D$2</definedName>
    <definedName name="_Var1" localSheetId="2">#REF!</definedName>
    <definedName name="_Var1" localSheetId="1">#REF!</definedName>
    <definedName name="_Var1" localSheetId="11">#REF!</definedName>
    <definedName name="_Var10" localSheetId="2">#REF!</definedName>
    <definedName name="_Var10" localSheetId="1">#REF!</definedName>
    <definedName name="_Var10" localSheetId="11">#REF!</definedName>
    <definedName name="_var11" localSheetId="2">#REF!</definedName>
    <definedName name="_var11" localSheetId="1">#REF!</definedName>
    <definedName name="_var11" localSheetId="11">#REF!</definedName>
    <definedName name="_Var2" localSheetId="2">#REF!</definedName>
    <definedName name="_Var2" localSheetId="1">#REF!</definedName>
    <definedName name="_Var2" localSheetId="11">#REF!</definedName>
    <definedName name="_Var3" localSheetId="2">#REF!</definedName>
    <definedName name="_Var3" localSheetId="1">#REF!</definedName>
    <definedName name="_Var3" localSheetId="11">#REF!</definedName>
    <definedName name="_Var4" localSheetId="2">#REF!</definedName>
    <definedName name="_Var4" localSheetId="1">#REF!</definedName>
    <definedName name="_Var4" localSheetId="11">#REF!</definedName>
    <definedName name="_Var5" localSheetId="2">#REF!</definedName>
    <definedName name="_Var5" localSheetId="1">#REF!</definedName>
    <definedName name="_Var5" localSheetId="11">#REF!</definedName>
    <definedName name="_Var6" localSheetId="2">#REF!</definedName>
    <definedName name="_Var6" localSheetId="1">#REF!</definedName>
    <definedName name="_Var6" localSheetId="11">#REF!</definedName>
    <definedName name="_Var7" localSheetId="2">#REF!</definedName>
    <definedName name="_Var7" localSheetId="1">#REF!</definedName>
    <definedName name="_Var7" localSheetId="11">#REF!</definedName>
    <definedName name="_Var8" localSheetId="2">#REF!</definedName>
    <definedName name="_Var8" localSheetId="1">#REF!</definedName>
    <definedName name="_Var8" localSheetId="11">#REF!</definedName>
    <definedName name="_Var9" localSheetId="2">#REF!</definedName>
    <definedName name="_Var9" localSheetId="1">#REF!</definedName>
    <definedName name="_Var9" localSheetId="11">#REF!</definedName>
    <definedName name="AHU_Zones" localSheetId="11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1">#REF!</definedName>
    <definedName name="Data">Data!$A$3:$DA$15</definedName>
    <definedName name="DataColumn">Data!$A$1:$DA$2</definedName>
    <definedName name="del" localSheetId="2">#REF!</definedName>
    <definedName name="del" localSheetId="1">#REF!</definedName>
    <definedName name="del" localSheetId="11">#REF!</definedName>
    <definedName name="Factor1" localSheetId="2">#REF!</definedName>
    <definedName name="Factor1" localSheetId="1">#REF!</definedName>
    <definedName name="Factor1" localSheetId="11">#REF!</definedName>
    <definedName name="Factor10" localSheetId="2">#REF!</definedName>
    <definedName name="Factor10" localSheetId="1">#REF!</definedName>
    <definedName name="Factor10" localSheetId="11">#REF!</definedName>
    <definedName name="Factor11" localSheetId="2">#REF!</definedName>
    <definedName name="Factor11" localSheetId="1">#REF!</definedName>
    <definedName name="Factor11" localSheetId="11">#REF!</definedName>
    <definedName name="Factor12" localSheetId="2">#REF!</definedName>
    <definedName name="Factor12" localSheetId="1">#REF!</definedName>
    <definedName name="Factor12" localSheetId="11">#REF!</definedName>
    <definedName name="Factor13" localSheetId="2">#REF!</definedName>
    <definedName name="Factor13" localSheetId="1">#REF!</definedName>
    <definedName name="Factor13" localSheetId="11">#REF!</definedName>
    <definedName name="Factor14" localSheetId="2">#REF!</definedName>
    <definedName name="Factor14" localSheetId="1">#REF!</definedName>
    <definedName name="Factor14" localSheetId="11">#REF!</definedName>
    <definedName name="Factor15" localSheetId="2">#REF!</definedName>
    <definedName name="Factor15" localSheetId="1">#REF!</definedName>
    <definedName name="Factor15" localSheetId="11">#REF!</definedName>
    <definedName name="Factor16" localSheetId="2">#REF!</definedName>
    <definedName name="Factor16" localSheetId="1">#REF!</definedName>
    <definedName name="Factor16" localSheetId="11">#REF!</definedName>
    <definedName name="Factor17" localSheetId="2">#REF!</definedName>
    <definedName name="Factor17" localSheetId="1">#REF!</definedName>
    <definedName name="Factor17" localSheetId="11">#REF!</definedName>
    <definedName name="Factor18" localSheetId="2">#REF!</definedName>
    <definedName name="Factor18" localSheetId="1">#REF!</definedName>
    <definedName name="Factor18" localSheetId="11">#REF!</definedName>
    <definedName name="Factor19" localSheetId="2">#REF!</definedName>
    <definedName name="Factor19" localSheetId="1">#REF!</definedName>
    <definedName name="Factor19" localSheetId="11">#REF!</definedName>
    <definedName name="Factor2" localSheetId="2">#REF!</definedName>
    <definedName name="Factor2" localSheetId="1">#REF!</definedName>
    <definedName name="Factor2" localSheetId="11">#REF!</definedName>
    <definedName name="Factor20" localSheetId="2">#REF!</definedName>
    <definedName name="Factor20" localSheetId="1">#REF!</definedName>
    <definedName name="Factor20" localSheetId="11">#REF!</definedName>
    <definedName name="Factor21" localSheetId="2">#REF!</definedName>
    <definedName name="Factor21" localSheetId="1">#REF!</definedName>
    <definedName name="Factor21" localSheetId="11">#REF!</definedName>
    <definedName name="Factor22" localSheetId="2">#REF!</definedName>
    <definedName name="Factor22" localSheetId="1">#REF!</definedName>
    <definedName name="Factor22" localSheetId="11">#REF!</definedName>
    <definedName name="Factor23" localSheetId="2">#REF!</definedName>
    <definedName name="Factor23" localSheetId="1">#REF!</definedName>
    <definedName name="Factor23" localSheetId="11">#REF!</definedName>
    <definedName name="Factor24" localSheetId="2">#REF!</definedName>
    <definedName name="Factor24" localSheetId="1">#REF!</definedName>
    <definedName name="Factor24" localSheetId="11">#REF!</definedName>
    <definedName name="Factor25" localSheetId="2">#REF!</definedName>
    <definedName name="Factor25" localSheetId="1">#REF!</definedName>
    <definedName name="Factor25" localSheetId="11">#REF!</definedName>
    <definedName name="Factor26" localSheetId="2">#REF!</definedName>
    <definedName name="Factor26" localSheetId="1">#REF!</definedName>
    <definedName name="Factor26" localSheetId="11">#REF!</definedName>
    <definedName name="Factor27" localSheetId="2">#REF!</definedName>
    <definedName name="Factor27" localSheetId="1">#REF!</definedName>
    <definedName name="Factor27" localSheetId="11">#REF!</definedName>
    <definedName name="Factor28" localSheetId="2">#REF!</definedName>
    <definedName name="Factor28" localSheetId="1">#REF!</definedName>
    <definedName name="Factor28" localSheetId="11">#REF!</definedName>
    <definedName name="Factor29" localSheetId="2">#REF!</definedName>
    <definedName name="Factor29" localSheetId="1">#REF!</definedName>
    <definedName name="Factor29" localSheetId="11">#REF!</definedName>
    <definedName name="Factor3" localSheetId="2">#REF!</definedName>
    <definedName name="Factor3" localSheetId="1">#REF!</definedName>
    <definedName name="Factor3" localSheetId="11">#REF!</definedName>
    <definedName name="Factor30" localSheetId="2">#REF!</definedName>
    <definedName name="Factor30" localSheetId="1">#REF!</definedName>
    <definedName name="Factor30" localSheetId="11">#REF!</definedName>
    <definedName name="Factor4" localSheetId="2">#REF!</definedName>
    <definedName name="Factor4" localSheetId="1">#REF!</definedName>
    <definedName name="Factor4" localSheetId="11">#REF!</definedName>
    <definedName name="Factor5" localSheetId="2">#REF!</definedName>
    <definedName name="Factor5" localSheetId="1">#REF!</definedName>
    <definedName name="Factor5" localSheetId="11">#REF!</definedName>
    <definedName name="Factor6" localSheetId="2">#REF!</definedName>
    <definedName name="Factor6" localSheetId="1">#REF!</definedName>
    <definedName name="Factor6" localSheetId="11">#REF!</definedName>
    <definedName name="Factor7" localSheetId="2">#REF!</definedName>
    <definedName name="Factor7" localSheetId="1">#REF!</definedName>
    <definedName name="Factor7" localSheetId="11">#REF!</definedName>
    <definedName name="Factor8" localSheetId="2">#REF!</definedName>
    <definedName name="Factor8" localSheetId="1">#REF!</definedName>
    <definedName name="Factor8" localSheetId="11">#REF!</definedName>
    <definedName name="Factor9" localSheetId="2">#REF!</definedName>
    <definedName name="Factor9" localSheetId="1">#REF!</definedName>
    <definedName name="Factor9" localSheetId="11">#REF!</definedName>
    <definedName name="FactorE" localSheetId="2">#REF!</definedName>
    <definedName name="FactorE" localSheetId="1">#REF!</definedName>
    <definedName name="FactorE" localSheetId="11">#REF!</definedName>
    <definedName name="FactorN" localSheetId="2">#REF!</definedName>
    <definedName name="FactorN" localSheetId="1">#REF!</definedName>
    <definedName name="FactorN" localSheetId="11">#REF!</definedName>
    <definedName name="FactorN2" localSheetId="2">#REF!</definedName>
    <definedName name="FactorN2" localSheetId="1">#REF!</definedName>
    <definedName name="FactorN2" localSheetId="11">#REF!</definedName>
    <definedName name="FactorNE" localSheetId="2">#REF!</definedName>
    <definedName name="FactorNE" localSheetId="1">#REF!</definedName>
    <definedName name="FactorNE" localSheetId="11">#REF!</definedName>
    <definedName name="FactorNW" localSheetId="2">#REF!</definedName>
    <definedName name="FactorNW" localSheetId="1">#REF!</definedName>
    <definedName name="FactorNW" localSheetId="11">#REF!</definedName>
    <definedName name="FactorS" localSheetId="2">#REF!</definedName>
    <definedName name="FactorS" localSheetId="1">#REF!</definedName>
    <definedName name="FactorS" localSheetId="11">#REF!</definedName>
    <definedName name="FactorSE" localSheetId="2">#REF!</definedName>
    <definedName name="FactorSE" localSheetId="1">#REF!</definedName>
    <definedName name="FactorSE" localSheetId="11">#REF!</definedName>
    <definedName name="FactorSW" localSheetId="2">#REF!</definedName>
    <definedName name="FactorSW" localSheetId="1">#REF!</definedName>
    <definedName name="FactorSW" localSheetId="11">#REF!</definedName>
    <definedName name="FactorW" localSheetId="2">#REF!</definedName>
    <definedName name="FactorW" localSheetId="1">#REF!</definedName>
    <definedName name="FactorW" localSheetId="11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1">[1]Interface!#REF!</definedName>
    <definedName name="FinAng" localSheetId="2">#REF!</definedName>
    <definedName name="FinAng" localSheetId="1">#REF!</definedName>
    <definedName name="FinAng" localSheetId="11">#REF!</definedName>
    <definedName name="gvalue" localSheetId="2">#REF!</definedName>
    <definedName name="gvalue" localSheetId="1">#REF!</definedName>
    <definedName name="gvalue" localSheetId="11">#REF!</definedName>
    <definedName name="horiz" localSheetId="2">#REF!</definedName>
    <definedName name="horiz" localSheetId="1">#REF!</definedName>
    <definedName name="horiz" localSheetId="11">#REF!</definedName>
    <definedName name="HorizDyn" localSheetId="2">#REF!</definedName>
    <definedName name="HorizDyn" localSheetId="1">#REF!</definedName>
    <definedName name="HorizDyn" localSheetId="11">#REF!</definedName>
    <definedName name="Lower" localSheetId="2">#REF!</definedName>
    <definedName name="Lower" localSheetId="1">#REF!</definedName>
    <definedName name="Lower" localSheetId="11">#REF!</definedName>
    <definedName name="Max" localSheetId="2">#REF!</definedName>
    <definedName name="Max" localSheetId="1">#REF!</definedName>
    <definedName name="Max" localSheetId="11">#REF!</definedName>
    <definedName name="MEAN_AIR_TEMP" localSheetId="2">'[2]Outdoor Running Mean'!#REF!</definedName>
    <definedName name="MEAN_AIR_TEMP" localSheetId="1">'[2]Outdoor Running Mean'!#REF!</definedName>
    <definedName name="MEAN_AIR_TEMP" localSheetId="11">'[2]Outdoor Running Mean'!#REF!</definedName>
    <definedName name="Orient" localSheetId="2">#REF!</definedName>
    <definedName name="Orient" localSheetId="1">#REF!</definedName>
    <definedName name="Orient" localSheetId="11">#REF!</definedName>
    <definedName name="output" localSheetId="2">#REF!</definedName>
    <definedName name="output" localSheetId="1">#REF!</definedName>
    <definedName name="output" localSheetId="11">#REF!</definedName>
    <definedName name="Over_L" localSheetId="2">[1]Interface!#REF!</definedName>
    <definedName name="Over_L" localSheetId="1">[1]Interface!#REF!</definedName>
    <definedName name="Over_L" localSheetId="11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1">'[3]W-Precedent Study'!#REF!</definedName>
    <definedName name="stepT" localSheetId="2">'[3]W-Precedent Study'!#REF!</definedName>
    <definedName name="stepT" localSheetId="1">'[3]W-Precedent Study'!#REF!</definedName>
    <definedName name="stepT" localSheetId="11">'[3]W-Precedent Study'!#REF!</definedName>
    <definedName name="tilt" localSheetId="2">#REF!</definedName>
    <definedName name="tilt" localSheetId="1">#REF!</definedName>
    <definedName name="tilt" localSheetId="11">#REF!</definedName>
    <definedName name="tiltDyn" localSheetId="2">#REF!</definedName>
    <definedName name="tiltDyn" localSheetId="1">#REF!</definedName>
    <definedName name="tiltDyn" localSheetId="11">#REF!</definedName>
    <definedName name="Upper" localSheetId="2">#REF!</definedName>
    <definedName name="Upper" localSheetId="1">#REF!</definedName>
    <definedName name="Upper" localSheetId="11">#REF!</definedName>
    <definedName name="Var" localSheetId="2">#REF!</definedName>
    <definedName name="Var" localSheetId="1">#REF!</definedName>
    <definedName name="Var" localSheetId="11">#REF!</definedName>
    <definedName name="vert" localSheetId="2">#REF!</definedName>
    <definedName name="vert" localSheetId="1">#REF!</definedName>
    <definedName name="vert" localSheetId="11">#REF!</definedName>
    <definedName name="VertandP" localSheetId="2">#REF!</definedName>
    <definedName name="VertandP" localSheetId="1">#REF!</definedName>
    <definedName name="VertandP" localSheetId="11">#REF!</definedName>
    <definedName name="vertang" localSheetId="2">#REF!</definedName>
    <definedName name="vertang" localSheetId="1">#REF!</definedName>
    <definedName name="vertang" localSheetId="11">#REF!</definedName>
    <definedName name="VertangDyn" localSheetId="2">#REF!</definedName>
    <definedName name="VertangDyn" localSheetId="1">#REF!</definedName>
    <definedName name="VertangDyn" localSheetId="11">#REF!</definedName>
    <definedName name="vertangdyn2" localSheetId="2">#REF!</definedName>
    <definedName name="vertangdyn2" localSheetId="1">#REF!</definedName>
    <definedName name="vertangdyn2" localSheetId="11">#REF!</definedName>
    <definedName name="VertangP" localSheetId="2">#REF!</definedName>
    <definedName name="VertangP" localSheetId="1">#REF!</definedName>
    <definedName name="VertangP" localSheetId="11">#REF!</definedName>
    <definedName name="VertDyn" localSheetId="2">#REF!</definedName>
    <definedName name="VertDyn" localSheetId="1">#REF!</definedName>
    <definedName name="VertDyn" localSheetId="11">#REF!</definedName>
    <definedName name="zone" localSheetId="2">#REF!</definedName>
    <definedName name="zone" localSheetId="1">#REF!</definedName>
    <definedName name="zone" localSheetId="1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B123" i="37" l="1"/>
  <c r="AC123" i="37" s="1"/>
  <c r="AB124" i="37"/>
  <c r="AC124" i="37" s="1"/>
  <c r="AB125" i="37"/>
  <c r="AC125" i="37" s="1"/>
  <c r="AF28" i="37" s="1"/>
  <c r="AB126" i="37"/>
  <c r="AC126" i="37" s="1"/>
  <c r="AF30" i="37" s="1"/>
  <c r="AB127" i="37"/>
  <c r="AC127" i="37" s="1"/>
  <c r="AF26" i="37" s="1"/>
  <c r="AB128" i="37"/>
  <c r="AC128" i="37" s="1"/>
  <c r="AF32" i="37" s="1"/>
  <c r="AB129" i="37"/>
  <c r="AC129" i="37" s="1"/>
  <c r="AB130" i="37"/>
  <c r="AC130" i="37" s="1"/>
  <c r="AF31" i="37" s="1"/>
  <c r="AC45" i="37"/>
  <c r="AC35" i="37"/>
  <c r="AC31" i="37"/>
  <c r="AC29" i="37"/>
  <c r="AC24" i="37"/>
  <c r="AB105" i="37"/>
  <c r="AC105" i="37" s="1"/>
  <c r="AF27" i="37" s="1"/>
  <c r="AB106" i="37"/>
  <c r="AC106" i="37" s="1"/>
  <c r="AB107" i="37"/>
  <c r="AC107" i="37" s="1"/>
  <c r="AB108" i="37"/>
  <c r="AC108" i="37" s="1"/>
  <c r="AB109" i="37"/>
  <c r="AC109" i="37" s="1"/>
  <c r="AB110" i="37"/>
  <c r="AC110" i="37" s="1"/>
  <c r="AF22" i="37" s="1"/>
  <c r="AB111" i="37"/>
  <c r="AC111" i="37" s="1"/>
  <c r="AB112" i="37"/>
  <c r="AC112" i="37" s="1"/>
  <c r="AB113" i="37"/>
  <c r="AC113" i="37" s="1"/>
  <c r="AB114" i="37"/>
  <c r="AC114" i="37" s="1"/>
  <c r="AB115" i="37"/>
  <c r="AC115" i="37" s="1"/>
  <c r="AB116" i="37"/>
  <c r="AC116" i="37" s="1"/>
  <c r="AB117" i="37"/>
  <c r="AC117" i="37" s="1"/>
  <c r="AB118" i="37"/>
  <c r="AC118" i="37" s="1"/>
  <c r="AB119" i="37"/>
  <c r="AC119" i="37" s="1"/>
  <c r="AF20" i="37" s="1"/>
  <c r="AB120" i="37"/>
  <c r="AC120" i="37" s="1"/>
  <c r="AB121" i="37"/>
  <c r="AC121" i="37" s="1"/>
  <c r="AB122" i="37"/>
  <c r="AC122" i="37" s="1"/>
  <c r="AF17" i="37" s="1"/>
  <c r="AF25" i="37" l="1"/>
  <c r="AF21" i="37"/>
  <c r="AF16" i="37"/>
  <c r="AF18" i="37"/>
  <c r="AF23" i="37"/>
  <c r="AF19" i="37"/>
  <c r="C4" i="37"/>
  <c r="K9" i="37" l="1"/>
  <c r="Q9" i="37"/>
  <c r="AN32" i="37" l="1"/>
  <c r="AN31" i="37"/>
  <c r="L3" i="67" l="1"/>
  <c r="AC9" i="37" l="1"/>
  <c r="AC11" i="37" l="1"/>
  <c r="AC12" i="37"/>
  <c r="AB92" i="37"/>
  <c r="AC92" i="37" s="1"/>
  <c r="AB93" i="37"/>
  <c r="AC93" i="37" s="1"/>
  <c r="AB94" i="37"/>
  <c r="AC94" i="37" s="1"/>
  <c r="AB95" i="37"/>
  <c r="AC95" i="37" s="1"/>
  <c r="AB96" i="37"/>
  <c r="AC96" i="37" s="1"/>
  <c r="AB97" i="37"/>
  <c r="AC97" i="37" s="1"/>
  <c r="AB98" i="37"/>
  <c r="AC98" i="37" s="1"/>
  <c r="AB99" i="37"/>
  <c r="AC99" i="37" s="1"/>
  <c r="AB100" i="37"/>
  <c r="AC100" i="37" s="1"/>
  <c r="AB101" i="37"/>
  <c r="AC101" i="37" s="1"/>
  <c r="AB102" i="37"/>
  <c r="AC102" i="37" s="1"/>
  <c r="AB103" i="37"/>
  <c r="AC103" i="37" s="1"/>
  <c r="AB104" i="37"/>
  <c r="AC104" i="37" s="1"/>
  <c r="K5" i="37" l="1"/>
  <c r="Q5" i="37"/>
  <c r="Q6" i="37"/>
  <c r="T15" i="37"/>
  <c r="T16" i="37"/>
  <c r="T17" i="37"/>
  <c r="T18" i="37"/>
  <c r="T14" i="37"/>
  <c r="Q8" i="37"/>
  <c r="AB91" i="37" l="1"/>
  <c r="AC91" i="37" s="1"/>
  <c r="J20" i="37" l="1"/>
  <c r="AB90" i="37"/>
  <c r="AC90" i="37" s="1"/>
  <c r="AB89" i="37"/>
  <c r="AC89" i="37" s="1"/>
  <c r="AB88" i="37"/>
  <c r="AC88" i="37" s="1"/>
  <c r="AB87" i="37"/>
  <c r="AC87" i="37" s="1"/>
  <c r="AB86" i="37"/>
  <c r="AC86" i="37" s="1"/>
  <c r="AB85" i="37"/>
  <c r="AC85" i="37" s="1"/>
  <c r="K30" i="37" l="1"/>
  <c r="H30" i="37"/>
  <c r="Q30" i="37"/>
  <c r="N30" i="37"/>
  <c r="D31" i="37"/>
  <c r="T29" i="37"/>
  <c r="P29" i="37"/>
  <c r="N29" i="37"/>
  <c r="AB81" i="37" l="1"/>
  <c r="AC81" i="37" s="1"/>
  <c r="L28" i="37" l="1"/>
  <c r="N30" i="67"/>
  <c r="AB44" i="37" l="1"/>
  <c r="AC44" i="37" s="1"/>
  <c r="AB84" i="37" l="1"/>
  <c r="AC84" i="37" s="1"/>
  <c r="AB83" i="37"/>
  <c r="AC83" i="37" s="1"/>
  <c r="AB82" i="37"/>
  <c r="AC82" i="37" s="1"/>
  <c r="L29" i="37" l="1"/>
  <c r="K6" i="37"/>
  <c r="K29" i="37" l="1"/>
  <c r="H29" i="37"/>
  <c r="AB80" i="37"/>
  <c r="AC80" i="37" s="1"/>
  <c r="C2" i="37" l="1"/>
  <c r="AB79" i="37" l="1"/>
  <c r="AC79" i="37" s="1"/>
  <c r="AB78" i="37"/>
  <c r="AC78" i="37" s="1"/>
  <c r="AB77" i="37"/>
  <c r="AC77" i="37" s="1"/>
  <c r="AB76" i="37"/>
  <c r="AC76" i="37" s="1"/>
  <c r="AB75" i="37"/>
  <c r="AC75" i="37" s="1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C74" i="37" s="1"/>
  <c r="AB73" i="37"/>
  <c r="AC73" i="37" s="1"/>
  <c r="AB72" i="37"/>
  <c r="AC72" i="37" s="1"/>
  <c r="AB71" i="37"/>
  <c r="AC71" i="37" s="1"/>
  <c r="AB70" i="37"/>
  <c r="AC70" i="37" s="1"/>
  <c r="AB69" i="37"/>
  <c r="AC69" i="37" s="1"/>
  <c r="AB68" i="37"/>
  <c r="AC68" i="37" s="1"/>
  <c r="AB67" i="37"/>
  <c r="AC67" i="37" s="1"/>
  <c r="AB66" i="37"/>
  <c r="AC66" i="37" s="1"/>
  <c r="AB65" i="37"/>
  <c r="AC65" i="37" s="1"/>
  <c r="AB64" i="37"/>
  <c r="AC64" i="37" s="1"/>
  <c r="AB63" i="37"/>
  <c r="AC63" i="37" s="1"/>
  <c r="AB62" i="37"/>
  <c r="AC62" i="37" s="1"/>
  <c r="AB61" i="37"/>
  <c r="AC61" i="37" s="1"/>
  <c r="AB60" i="37"/>
  <c r="AC60" i="37" s="1"/>
  <c r="AB59" i="37"/>
  <c r="AC59" i="37" s="1"/>
  <c r="AB58" i="37"/>
  <c r="AC58" i="37" s="1"/>
  <c r="AB57" i="37"/>
  <c r="AC57" i="37" s="1"/>
  <c r="AB56" i="37"/>
  <c r="AC56" i="37" s="1"/>
  <c r="AB55" i="37"/>
  <c r="AC55" i="37" s="1"/>
  <c r="AB54" i="37"/>
  <c r="AC54" i="37" s="1"/>
  <c r="AB53" i="37"/>
  <c r="AC53" i="37" s="1"/>
  <c r="AB52" i="37"/>
  <c r="AC52" i="37" s="1"/>
  <c r="AB51" i="37"/>
  <c r="AC51" i="37" s="1"/>
  <c r="AB50" i="37"/>
  <c r="AC50" i="37" s="1"/>
  <c r="AB49" i="37"/>
  <c r="AC49" i="37" s="1"/>
  <c r="AB48" i="37"/>
  <c r="AC48" i="37" s="1"/>
  <c r="AB47" i="37"/>
  <c r="AC47" i="37" s="1"/>
  <c r="AB46" i="37"/>
  <c r="AC46" i="37" s="1"/>
  <c r="AB43" i="37"/>
  <c r="AC43" i="37" s="1"/>
  <c r="AB42" i="37"/>
  <c r="AC42" i="37" s="1"/>
  <c r="AB41" i="37"/>
  <c r="AC41" i="37" s="1"/>
  <c r="AB40" i="37"/>
  <c r="AC40" i="37" s="1"/>
  <c r="AB39" i="37"/>
  <c r="AC39" i="37" s="1"/>
  <c r="AB38" i="37"/>
  <c r="AC38" i="37" s="1"/>
  <c r="AB37" i="37"/>
  <c r="AC37" i="37" s="1"/>
  <c r="AB36" i="37"/>
  <c r="AC36" i="37" s="1"/>
  <c r="AB34" i="37"/>
  <c r="AC34" i="37" s="1"/>
  <c r="BH33" i="37"/>
  <c r="BG33" i="37"/>
  <c r="AB33" i="37"/>
  <c r="AC33" i="37" s="1"/>
  <c r="V33" i="37"/>
  <c r="U33" i="37"/>
  <c r="BB32" i="37"/>
  <c r="AY32" i="37"/>
  <c r="AW32" i="37"/>
  <c r="AU32" i="37"/>
  <c r="AB32" i="37"/>
  <c r="AC32" i="37" s="1"/>
  <c r="E32" i="37"/>
  <c r="BD31" i="37"/>
  <c r="BB31" i="37"/>
  <c r="AU31" i="37"/>
  <c r="E31" i="37"/>
  <c r="AB30" i="37"/>
  <c r="AC30" i="37" s="1"/>
  <c r="D29" i="37"/>
  <c r="AB28" i="37"/>
  <c r="AC28" i="37" s="1"/>
  <c r="BD27" i="37"/>
  <c r="AX27" i="37"/>
  <c r="AB27" i="37"/>
  <c r="AC27" i="37" s="1"/>
  <c r="D27" i="37"/>
  <c r="AB26" i="37"/>
  <c r="AC26" i="37" s="1"/>
  <c r="D26" i="37"/>
  <c r="AB25" i="37"/>
  <c r="AC25" i="37" s="1"/>
  <c r="D25" i="37"/>
  <c r="D24" i="37"/>
  <c r="AZ23" i="37"/>
  <c r="AB23" i="37"/>
  <c r="AC23" i="37" s="1"/>
  <c r="D23" i="37"/>
  <c r="AX22" i="37"/>
  <c r="AB22" i="37"/>
  <c r="AC22" i="37" s="1"/>
  <c r="D22" i="37"/>
  <c r="AX21" i="37"/>
  <c r="AB21" i="37"/>
  <c r="AC21" i="37" s="1"/>
  <c r="D21" i="37"/>
  <c r="AZ20" i="37"/>
  <c r="AX20" i="37"/>
  <c r="AS20" i="37"/>
  <c r="AB20" i="37"/>
  <c r="AC20" i="37" s="1"/>
  <c r="K20" i="37"/>
  <c r="D20" i="37"/>
  <c r="AB19" i="37"/>
  <c r="AC19" i="37" s="1"/>
  <c r="AI18" i="37"/>
  <c r="AB18" i="37"/>
  <c r="AC18" i="37" s="1"/>
  <c r="D18" i="37"/>
  <c r="AB17" i="37"/>
  <c r="AC17" i="37" s="1"/>
  <c r="D17" i="37"/>
  <c r="AB16" i="37"/>
  <c r="AC16" i="37" s="1"/>
  <c r="D16" i="37"/>
  <c r="AB15" i="37"/>
  <c r="AC15" i="37" s="1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J18" i="37" l="1"/>
  <c r="F8" i="37"/>
  <c r="AJ7" i="77"/>
  <c r="M7" i="77" s="1"/>
  <c r="R18" i="37"/>
  <c r="T26" i="37"/>
  <c r="T27" i="37" s="1"/>
  <c r="D7" i="37"/>
  <c r="D11" i="37"/>
  <c r="I29" i="37"/>
  <c r="J7" i="37"/>
  <c r="D6" i="37"/>
  <c r="E6" i="37"/>
  <c r="D10" i="37"/>
  <c r="K8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4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P26" i="37" l="1"/>
  <c r="N26" i="37"/>
  <c r="S16" i="37"/>
  <c r="S27" i="37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P27" i="37"/>
  <c r="O27" i="37" s="1"/>
  <c r="D31" i="70"/>
  <c r="AI27" i="37"/>
  <c r="N27" i="37"/>
  <c r="M27" i="37" s="1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T23" i="67" s="1"/>
  <c r="S583" i="67"/>
  <c r="U583" i="67"/>
  <c r="T583" i="67"/>
  <c r="Q583" i="67"/>
  <c r="R583" i="67"/>
  <c r="P583" i="67"/>
  <c r="O583" i="67"/>
  <c r="Y582" i="67" l="1"/>
  <c r="T11" i="67" s="1"/>
  <c r="T7" i="67"/>
  <c r="T13" i="67"/>
  <c r="Q13" i="67" s="1"/>
  <c r="T15" i="67"/>
  <c r="Q15" i="67" s="1"/>
  <c r="T12" i="67"/>
  <c r="S32" i="37" s="1"/>
  <c r="V583" i="67"/>
  <c r="Y583" i="67" s="1"/>
  <c r="T17" i="67"/>
  <c r="T16" i="67"/>
  <c r="T10" i="67"/>
  <c r="T20" i="67"/>
  <c r="AF29" i="37" s="1"/>
  <c r="L33" i="37" s="1"/>
  <c r="T22" i="67"/>
  <c r="S31" i="37" s="1"/>
  <c r="T21" i="67"/>
  <c r="Q31" i="37" s="1"/>
  <c r="T19" i="67"/>
  <c r="J33" i="37" s="1"/>
  <c r="W583" i="67"/>
  <c r="X583" i="67"/>
  <c r="Q9" i="67"/>
  <c r="O31" i="37" l="1"/>
  <c r="K31" i="37"/>
  <c r="T14" i="67"/>
  <c r="Q14" i="67" s="1"/>
  <c r="T8" i="67"/>
  <c r="Q8" i="67" s="1"/>
  <c r="G33" i="37"/>
  <c r="Q7" i="67"/>
  <c r="Q12" i="67"/>
  <c r="AF24" i="37"/>
  <c r="I32" i="37" s="1"/>
  <c r="I31" i="37"/>
  <c r="AW31" i="37"/>
  <c r="Q10" i="67"/>
  <c r="K32" i="37"/>
  <c r="Q16" i="67"/>
  <c r="N32" i="37"/>
  <c r="Q17" i="67"/>
  <c r="Q11" i="67"/>
  <c r="P32" i="37"/>
  <c r="G31" i="37" l="1"/>
  <c r="G32" i="37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tc={CA3E4C37-0532-48DD-A027-133926406139}</author>
  </authors>
  <commentList>
    <comment ref="AE14" authorId="0" shapeId="0" xr:uid="{CA3E4C37-0532-48DD-A027-133926406139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True to get data fromData tab, or FALSE to get from Construction so loaded from Tas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<sst xmlns="http://schemas.openxmlformats.org/spreadsheetml/2006/main" count="1251" uniqueCount="680">
  <si>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</si>
  <si>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</si>
  <si>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</si>
  <si>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</si>
  <si>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</si>
  <si>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</si>
  <si>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</si>
  <si>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</si>
  <si>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</si>
  <si>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</si>
  <si>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</si>
  <si>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</si>
  <si>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</si>
  <si>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</si>
  <si>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</si>
  <si>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</si>
  <si>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</si>
  <si>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</si>
  <si>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</si>
  <si>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</si>
  <si>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</si>
  <si>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</si>
  <si>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</si>
  <si>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</si>
  <si>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</si>
  <si>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</si>
  <si>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</si>
  <si>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</si>
  <si>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</si>
  <si>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</si>
  <si>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</si>
  <si>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</si>
  <si>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</si>
  <si>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</si>
  <si>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</si>
  <si>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</si>
  <si>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</si>
  <si>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</si>
  <si>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</si>
  <si>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</si>
  <si>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</si>
  <si>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</si>
  <si>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</si>
  <si>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</si>
  <si>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</si>
  <si>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</si>
  <si>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</si>
  <si>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</si>
  <si>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</si>
  <si>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</si>
  <si>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</si>
  <si>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</si>
  <si>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</si>
  <si>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</si>
  <si>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</si>
  <si>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</si>
  <si>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</si>
  <si>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</si>
  <si>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</si>
  <si>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</si>
  <si>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</si>
  <si>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</si>
  <si>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</si>
  <si>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</si>
  <si>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</si>
  <si>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</si>
  <si>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</si>
  <si>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</si>
  <si>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</si>
  <si>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</si>
  <si>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</si>
  <si>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</si>
  <si>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</si>
  <si>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</si>
  <si>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</si>
  <si>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</si>
  <si>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</si>
  <si>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</si>
  <si>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</si>
  <si>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</si>
  <si>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</si>
  <si>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</si>
  <si>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</si>
  <si>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</si>
  <si>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</si>
  <si>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</si>
  <si>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</si>
  <si>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</si>
  <si>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</si>
  <si>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</si>
  <si>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</si>
  <si>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</si>
  <si>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</si>
  <si>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</si>
  <si>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</si>
  <si>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</si>
  <si>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</si>
  <si>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</si>
  <si>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</si>
  <si>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</si>
  <si>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</si>
  <si>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</si>
  <si>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</si>
  <si>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</si>
  <si>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</si>
  <si>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</si>
  <si>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</si>
  <si>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</si>
  <si>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</si>
  <si>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</si>
  <si>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</si>
  <si>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</si>
  <si>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</si>
  <si>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</si>
  <si>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</si>
  <si>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</si>
  <si>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</si>
  <si>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</si>
  <si>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</si>
  <si>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</si>
  <si>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</si>
  <si>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</si>
  <si>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</si>
  <si>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</si>
  <si>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</si>
  <si>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</si>
  <si>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</si>
  <si>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</si>
  <si>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</si>
  <si>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</si>
  <si>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</si>
  <si>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</si>
  <si>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</si>
  <si>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</si>
  <si>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</si>
  <si>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</si>
  <si>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</si>
  <si>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</si>
  <si>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</si>
  <si>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</si>
  <si>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</si>
  <si>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[%]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</si>
  <si>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</si>
  <si>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</si>
  <si>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</si>
  <si>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</si>
  <si>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</si>
  <si>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</si>
  <si>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</si>
  <si>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</si>
  <si>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</si>
  <si>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</si>
  <si>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</si>
  <si>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</si>
  <si>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</si>
  <si>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</si>
  <si>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</si>
  <si>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</si>
  <si>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</si>
  <si>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</si>
  <si>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</si>
  <si>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</si>
  <si>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</si>
  <si>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</si>
  <si>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</si>
  <si>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</si>
  <si>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</si>
  <si>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</si>
  <si>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</si>
  <si>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</si>
  <si>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</si>
  <si>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</si>
  <si>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</si>
  <si>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</si>
  <si>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</si>
  <si>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</si>
  <si>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</si>
  <si>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</si>
  <si>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</si>
  <si>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</si>
  <si>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</si>
  <si>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</si>
  <si>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</si>
  <si>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</si>
  <si>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</si>
  <si>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</si>
  <si>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</si>
  <si>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</si>
  <si>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</si>
  <si>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</si>
  <si>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</si>
  <si>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</si>
  <si>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</si>
  <si>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</si>
  <si>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</si>
  <si>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</si>
  <si>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</si>
  <si>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</si>
  <si>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</si>
  <si>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</si>
  <si>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</si>
  <si>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</si>
  <si>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</si>
  <si>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</si>
  <si>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</si>
  <si>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</si>
  <si>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</si>
  <si>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</si>
  <si>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</si>
  <si>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</si>
  <si>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</si>
  <si>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</si>
  <si>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</si>
  <si>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</si>
  <si>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</si>
  <si>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</si>
  <si>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</si>
  <si>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</si>
  <si>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</si>
  <si>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</si>
  <si>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</si>
  <si>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</si>
  <si>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</si>
  <si>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</si>
  <si>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</si>
  <si>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</si>
  <si>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</si>
  <si>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</si>
  <si>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</si>
  <si>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</si>
  <si>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</si>
  <si>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</si>
  <si>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</si>
  <si>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</si>
  <si>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</si>
  <si>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</si>
  <si>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</si>
  <si>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</si>
  <si>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</si>
  <si>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</si>
  <si>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</si>
  <si>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</si>
  <si>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</si>
  <si>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</si>
  <si>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</si>
  <si>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</si>
  <si>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</si>
  <si>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</si>
  <si>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</si>
  <si>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</si>
  <si>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</si>
  <si>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</si>
  <si>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</si>
  <si>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</si>
  <si>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</si>
  <si>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</si>
  <si>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</si>
  <si>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</si>
  <si>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</si>
  <si>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</si>
  <si>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</si>
  <si>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</si>
  <si>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</si>
  <si>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</si>
  <si>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</si>
  <si>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</si>
  <si>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</si>
  <si>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</si>
  <si>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</si>
  <si>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</si>
  <si>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</si>
  <si>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</si>
  <si>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</si>
  <si>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</si>
  <si>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</si>
  <si>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</si>
  <si>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</si>
  <si>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</si>
  <si>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</si>
  <si>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</si>
  <si>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</si>
  <si>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</si>
  <si>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</si>
  <si>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</si>
  <si>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</si>
  <si>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</si>
  <si>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</si>
  <si>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</si>
  <si>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</si>
  <si>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</si>
  <si>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</si>
  <si>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</si>
  <si>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</si>
  <si>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</si>
  <si>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</si>
  <si>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</si>
  <si>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</si>
  <si>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</si>
  <si>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</si>
  <si>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</si>
  <si>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</si>
  <si>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</si>
  <si>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</si>
  <si>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</si>
  <si>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</si>
  <si>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</si>
  <si>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</si>
  <si>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</si>
  <si>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</si>
  <si>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</si>
  <si>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</si>
  <si>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</si>
  <si>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</si>
  <si>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</si>
  <si>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</si>
  <si>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</si>
  <si>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</si>
  <si>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</si>
  <si>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</si>
  <si>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</si>
  <si>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</si>
  <si>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</si>
  <si>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</si>
  <si>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</si>
  <si>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</si>
  <si>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</si>
  <si>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</si>
  <si>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</si>
  <si>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</si>
  <si>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</si>
  <si>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</si>
  <si>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</si>
  <si>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</si>
  <si>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</si>
  <si>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</si>
  <si>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</si>
  <si>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</si>
  <si>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</si>
  <si>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</si>
  <si>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</si>
  <si>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</si>
  <si>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</si>
  <si>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</si>
  <si>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</si>
  <si>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</si>
  <si>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</si>
  <si>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</si>
  <si>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</si>
  <si>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</si>
  <si>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</si>
  <si>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</si>
  <si>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</si>
  <si>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</si>
  <si>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</si>
  <si>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</si>
  <si>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</si>
  <si>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</si>
  <si>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</si>
  <si>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</si>
  <si>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</si>
  <si>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</si>
  <si>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</si>
  <si>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</si>
  <si>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</si>
  <si>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</si>
  <si>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</si>
  <si>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</si>
  <si>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</si>
  <si>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</si>
  <si>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</si>
  <si>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</si>
  <si>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</si>
  <si>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</si>
  <si>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</si>
  <si>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</si>
  <si>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</si>
  <si>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</si>
  <si>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</si>
  <si>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</si>
  <si>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</si>
  <si>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</si>
  <si>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</si>
  <si>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</si>
  <si>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</si>
  <si>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</si>
  <si>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</si>
  <si>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</si>
  <si>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</si>
  <si>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</si>
  <si>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</si>
  <si>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</si>
  <si>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</si>
  <si>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</si>
  <si>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</si>
  <si>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</si>
  <si>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</si>
  <si>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</si>
  <si>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</si>
  <si>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</si>
  <si>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</si>
  <si>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</si>
  <si>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</si>
  <si>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</si>
  <si>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</si>
  <si>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</si>
  <si>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</si>
  <si>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</si>
  <si>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</si>
  <si>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</si>
  <si>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</si>
  <si>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</si>
  <si>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</si>
  <si>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</si>
  <si>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</si>
  <si>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</si>
  <si>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</si>
  <si>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</si>
  <si>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</si>
  <si>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</si>
  <si>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</si>
  <si>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</si>
  <si>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</si>
  <si>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</si>
  <si>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</si>
  <si>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</si>
  <si>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</si>
  <si>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</si>
  <si>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</si>
  <si>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</si>
  <si>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</si>
  <si>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</si>
  <si>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</si>
  <si>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</si>
  <si>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</si>
  <si>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</si>
  <si>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</si>
  <si>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</si>
  <si>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</si>
  <si>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</si>
  <si>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</si>
  <si>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</si>
  <si>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</si>
  <si>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</si>
  <si>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</si>
  <si>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</si>
  <si>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</si>
  <si>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</si>
  <si>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</si>
  <si>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</si>
  <si>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</si>
  <si>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</si>
  <si>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</si>
  <si>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</si>
  <si>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</si>
  <si>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</si>
  <si>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</si>
  <si>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</si>
  <si>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</si>
  <si>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</si>
  <si>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</si>
  <si>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</si>
  <si>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</si>
  <si>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</si>
  <si>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</si>
  <si>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</si>
  <si>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</si>
  <si>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</si>
  <si>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</si>
  <si>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</si>
  <si>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</si>
  <si>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</si>
  <si>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</si>
  <si>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</si>
  <si>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</si>
  <si>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</si>
  <si>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</si>
  <si>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</si>
  <si>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</si>
  <si>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</si>
  <si>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</si>
  <si>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</si>
  <si>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</si>
  <si>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</si>
  <si>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</si>
  <si>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</si>
  <si>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</si>
  <si>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</si>
  <si>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</si>
  <si>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</si>
  <si>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</si>
  <si>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</si>
  <si>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</si>
  <si>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</si>
  <si>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</si>
  <si>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</si>
  <si>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</si>
  <si>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</si>
  <si>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</si>
  <si>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</si>
  <si>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</si>
  <si>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</si>
  <si>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</si>
  <si>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</si>
  <si>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</si>
  <si>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</si>
  <si>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</si>
  <si>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</si>
  <si>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</si>
  <si>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</si>
  <si>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</si>
  <si>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</si>
  <si>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</si>
  <si>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</si>
  <si>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</si>
  <si>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</si>
  <si>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</si>
  <si>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</si>
  <si>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</si>
  <si>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</si>
  <si>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</si>
  <si>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</si>
  <si>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</si>
  <si>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</si>
  <si>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</si>
  <si>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</si>
  <si>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</si>
  <si>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</si>
  <si>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</si>
  <si>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</si>
  <si>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</si>
  <si>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</si>
  <si>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</si>
  <si>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</si>
  <si>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</si>
  <si>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</si>
  <si>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</si>
  <si>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</si>
  <si>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</si>
  <si>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</si>
  <si>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</si>
  <si>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</si>
  <si>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</si>
  <si>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</si>
  <si>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</si>
  <si>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</si>
  <si>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</si>
  <si>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</si>
  <si>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</si>
  <si>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</si>
  <si>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</si>
  <si>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</si>
  <si>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</si>
  <si>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</si>
  <si>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</si>
  <si>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</si>
  <si>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</si>
  <si>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</si>
  <si>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</si>
  <si>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</si>
  <si>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</si>
  <si>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</si>
  <si>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</si>
  <si>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</si>
  <si>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</si>
  <si>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</si>
  <si>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</si>
  <si>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</si>
  <si>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</si>
  <si>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</si>
  <si>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</si>
  <si>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</si>
  <si>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</si>
  <si>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</si>
  <si>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</si>
  <si>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</si>
  <si>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</si>
  <si>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</si>
  <si>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</si>
  <si>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</si>
  <si>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</si>
  <si>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</si>
  <si>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</si>
  <si>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</si>
  <si>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</si>
  <si>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</si>
  <si>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</si>
  <si>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</si>
  <si>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</si>
  <si>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</si>
  <si>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</si>
  <si>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</si>
  <si>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</si>
  <si>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</si>
  <si>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</si>
  <si>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</si>
  <si>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</si>
  <si>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</si>
  <si>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</si>
  <si>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</si>
  <si>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</si>
  <si>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</si>
  <si>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</si>
  <si>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</si>
  <si>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</si>
  <si>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</si>
  <si>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</si>
  <si>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</si>
  <si>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</si>
  <si>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</si>
  <si>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</si>
  <si>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</si>
  <si>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</si>
  <si>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</si>
  <si>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</si>
  <si>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Floor: SIM_EXT_GRD_FLR FLR01-ground</t>
  </si>
  <si>
    <t>Floor: SIM_EXT_GRD_FLR FLR01</t>
  </si>
  <si>
    <t>Heating Design Day</t>
  </si>
  <si>
    <t>S37_OfficeCell</t>
  </si>
  <si>
    <t>8to19</t>
  </si>
  <si>
    <t>Simulation</t>
  </si>
  <si>
    <t>Cell 2.1</t>
  </si>
  <si>
    <t>Level 3</t>
  </si>
  <si>
    <t>Cell 2.2</t>
  </si>
  <si>
    <t>Cell 2.3</t>
  </si>
  <si>
    <t>Cell 2.4</t>
  </si>
  <si>
    <t>Cell 2.5</t>
  </si>
  <si>
    <t>Cell 1.1</t>
  </si>
  <si>
    <t>Level 0</t>
  </si>
  <si>
    <t>Cell 1.2</t>
  </si>
  <si>
    <t>Cell 1.3</t>
  </si>
  <si>
    <t>Cell 1.4</t>
  </si>
  <si>
    <t>Cell 1.5</t>
  </si>
  <si>
    <t>Basic Wall: SIM_EXT_SLD</t>
  </si>
  <si>
    <t>Cell 1</t>
  </si>
  <si>
    <t>C:\Users\DengusiakM\Desktop\SAM\2021-02-22_SAMfromRevit\minerva\00000M_SAM_Live_945.tbd</t>
  </si>
  <si>
    <t>[SAM_Air]</t>
  </si>
  <si>
    <t>[SAM_CurtainWall_External]</t>
  </si>
  <si>
    <t>[SAM_Ceiling]</t>
  </si>
  <si>
    <t>[SAM_WallInternal]</t>
  </si>
  <si>
    <t>[SAM_WallExternal]</t>
  </si>
  <si>
    <t>[SAM_Wall]</t>
  </si>
  <si>
    <t>[SAM_UndergroundWall]</t>
  </si>
  <si>
    <t>[SAM_UndergroundSlab]</t>
  </si>
  <si>
    <t>[SAM_UndergroundCeiling]</t>
  </si>
  <si>
    <t>[SAM_SolarPanel]</t>
  </si>
  <si>
    <t>[SAM_SlabOnGrade]</t>
  </si>
  <si>
    <t>[SAM_Shade]</t>
  </si>
  <si>
    <t>[SAM_Roof]</t>
  </si>
  <si>
    <t>[SAM_FloorRaised]</t>
  </si>
  <si>
    <t>[SAM_FloorInternal]</t>
  </si>
  <si>
    <t>[SAM_FloorExposed]</t>
  </si>
  <si>
    <t>[SAM_Floor]</t>
  </si>
  <si>
    <t>[SAM_CurtainWall_Internal]</t>
  </si>
  <si>
    <t>00e6bda8-de8b-4fa4-a10d-8235543803e6</t>
  </si>
  <si>
    <t>S50_Toilet</t>
  </si>
  <si>
    <t>Cooling Design Day</t>
  </si>
  <si>
    <t>03b8e909-a88c-4046-985b-a2dc7433e55e</t>
  </si>
  <si>
    <t>bacbf1b5-af4a-46f3-862d-562fa829d3ad</t>
  </si>
  <si>
    <t>0f527afc-f709-43f6-a37d-c4a5e128accb</t>
  </si>
  <si>
    <t>43d2388f-6141-423c-9c16-e3f739854c0e</t>
  </si>
  <si>
    <t>5823fa23-3d17-434f-9466-3d89cf242f06</t>
  </si>
  <si>
    <t>71481815-621b-44f6-8801-779dadd45b5a</t>
  </si>
  <si>
    <t>2e84ee34-3fea-482e-aa69-5f336d70a0d7</t>
  </si>
  <si>
    <t>c298253a-f265-402e-bc18-fd9cb3661d82</t>
  </si>
  <si>
    <t>9d1f6182-90ec-4112-8c73-2ff2cfcb0cf0</t>
  </si>
  <si>
    <t>Cell 1.6</t>
  </si>
  <si>
    <t>fd53cc46-47d1-4a16-94de-02a7d27cbb48</t>
  </si>
  <si>
    <t>Cell 1.7</t>
  </si>
  <si>
    <t>12d5f021-8ebf-40ea-b969-103209c0cebc</t>
  </si>
  <si>
    <t>Cell 1.8</t>
  </si>
  <si>
    <t>13f3f7af-b465-4eef-ab6e-42f1e89b7576</t>
  </si>
  <si>
    <t>000111 PDF_Print_RDS_ver09d</t>
  </si>
  <si>
    <t>[SAM_WindowPane_External]</t>
  </si>
  <si>
    <t>[SAM_WindowPane_Internal]</t>
  </si>
  <si>
    <t>[SAM_DoorPane_External]</t>
  </si>
  <si>
    <t>[SAM_DoorPane_Internal]</t>
  </si>
  <si>
    <t>[SAM_WindowFrame_External]</t>
  </si>
  <si>
    <t>[SAM_WindowFrame_Internal]</t>
  </si>
  <si>
    <t>[SAM_DoorFrame_External]</t>
  </si>
  <si>
    <t>[SAM_DoorFrame_Internal]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</si>
</sst>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6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0" fillId="0" borderId="0" xfId="0" applyNumberFormat="1"/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9805988" y="261937"/>
          <a:ext cx="533400" cy="1114425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C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chal Dengusiak" id="{BC26B43D-777C-40CA-9205-FDD025C04676}" userId="Michal Dengusiak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E14" dT="2022-05-18T11:09:17.60" personId="{BC26B43D-777C-40CA-9205-FDD025C04676}" id="{CA3E4C37-0532-48DD-A027-133926406139}">
    <text>use True to get data fromData tab, or FALSE to get from Construction so loaded from Tas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349</v>
      </c>
    </row>
    <row r="3" spans="1:24" ht="14.4">
      <c r="A3" t="s">
        <v>340</v>
      </c>
    </row>
    <row r="4" spans="1:24" ht="14.4">
      <c r="A4" t="s">
        <v>341</v>
      </c>
      <c r="X4" t="s">
        <v>504</v>
      </c>
    </row>
    <row r="5" spans="1:24" ht="14.4">
      <c r="A5" t="s">
        <v>344</v>
      </c>
      <c r="X5" t="s">
        <v>505</v>
      </c>
    </row>
    <row r="6" spans="1:24" ht="14.4">
      <c r="A6" t="s">
        <v>342</v>
      </c>
      <c r="X6" t="s">
        <v>507</v>
      </c>
    </row>
    <row r="7" spans="1:24" ht="14.4">
      <c r="A7" t="s">
        <v>343</v>
      </c>
      <c r="X7" t="s">
        <v>506</v>
      </c>
    </row>
    <row r="8" spans="1:24" ht="14.4">
      <c r="A8" t="s">
        <v>346</v>
      </c>
      <c r="X8" t="s">
        <v>509</v>
      </c>
    </row>
    <row r="9" spans="1:24" ht="14.4">
      <c r="A9" s="129" t="s">
        <v>347</v>
      </c>
    </row>
    <row r="10" spans="1:24" ht="14.4">
      <c r="A10" s="129" t="s">
        <v>348</v>
      </c>
    </row>
    <row r="11" spans="1:24" ht="14.4">
      <c r="A11" t="s">
        <v>345</v>
      </c>
    </row>
    <row r="12" spans="1:24" ht="14.4">
      <c r="A12" s="129" t="s">
        <v>350</v>
      </c>
    </row>
    <row r="13" spans="1:24" ht="14.4">
      <c r="A13" s="129" t="s">
        <v>351</v>
      </c>
    </row>
    <row r="14" spans="1:24" ht="14.4">
      <c r="A14" s="129" t="s">
        <v>352</v>
      </c>
    </row>
    <row r="15" spans="1:24" ht="14.4">
      <c r="A15" s="129" t="s">
        <v>353</v>
      </c>
    </row>
    <row r="16" spans="1:24" ht="14.4">
      <c r="A16" t="s">
        <v>354</v>
      </c>
    </row>
    <row r="17" spans="1:2" ht="14.4">
      <c r="A17" s="129" t="s">
        <v>151</v>
      </c>
      <c r="B17" s="129" t="s">
        <v>153</v>
      </c>
    </row>
    <row r="18" spans="1:2" ht="14.4">
      <c r="A18" s="144"/>
      <c r="B18" t="s">
        <v>149</v>
      </c>
    </row>
    <row r="19" spans="1:2" ht="14.4">
      <c r="A19" t="s">
        <v>449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7">
        <f ca="1">Print!C2</f>
        <v>44699</v>
      </c>
      <c r="D2" s="518"/>
      <c r="E2" s="518"/>
      <c r="F2" s="200"/>
      <c r="G2" s="201"/>
      <c r="H2" s="201"/>
      <c r="I2" s="201"/>
      <c r="J2" s="201"/>
      <c r="K2" s="201"/>
      <c r="L2" s="411"/>
      <c r="M2" s="202" t="s">
        <v>220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221</v>
      </c>
      <c r="AO6" s="129">
        <v>1</v>
      </c>
      <c r="AP6" s="129" t="s">
        <v>254</v>
      </c>
      <c r="AR6" s="24">
        <v>29</v>
      </c>
      <c r="AS6" s="24" t="s">
        <v>338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224</v>
      </c>
      <c r="AO7" s="129">
        <v>2</v>
      </c>
      <c r="AP7" s="129" t="s">
        <v>255</v>
      </c>
      <c r="AR7" s="24">
        <v>30</v>
      </c>
      <c r="AS7" s="24" t="s">
        <v>339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225</v>
      </c>
      <c r="AO8" s="129">
        <v>3</v>
      </c>
      <c r="AP8" s="129" t="s">
        <v>256</v>
      </c>
      <c r="AR8" s="24">
        <v>31</v>
      </c>
      <c r="AS8" s="24" t="s">
        <v>237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227</v>
      </c>
      <c r="AO9" s="129">
        <v>4</v>
      </c>
      <c r="AP9" s="129" t="s">
        <v>326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228</v>
      </c>
      <c r="AO10" s="129">
        <v>5</v>
      </c>
      <c r="AP10" s="129" t="s">
        <v>327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229</v>
      </c>
      <c r="AO11" s="129">
        <v>6</v>
      </c>
      <c r="AP11" s="129" t="s">
        <v>328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230</v>
      </c>
      <c r="AO12" s="129">
        <v>7</v>
      </c>
      <c r="AP12" s="129" t="s">
        <v>329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231</v>
      </c>
      <c r="AO13" s="129">
        <v>8</v>
      </c>
      <c r="AP13" s="129" t="s">
        <v>260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233</v>
      </c>
      <c r="AO14" s="129">
        <v>9</v>
      </c>
      <c r="AP14" s="129" t="s">
        <v>261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234</v>
      </c>
      <c r="AO15" s="129">
        <v>10</v>
      </c>
      <c r="AP15" s="129" t="s">
        <v>336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235</v>
      </c>
      <c r="AO16" s="129">
        <v>11</v>
      </c>
      <c r="AP16" s="129" t="s">
        <v>264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236</v>
      </c>
      <c r="AO17" s="129">
        <v>12</v>
      </c>
      <c r="AP17" s="129" t="s">
        <v>265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238</v>
      </c>
      <c r="AO18" s="129">
        <v>13</v>
      </c>
      <c r="AP18" s="129" t="s">
        <v>266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239</v>
      </c>
      <c r="AO19" s="129">
        <v>14</v>
      </c>
      <c r="AP19" s="129" t="s">
        <v>267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240</v>
      </c>
      <c r="AO20" s="129">
        <v>15</v>
      </c>
      <c r="AP20" s="129" t="s">
        <v>269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241</v>
      </c>
      <c r="AO21" s="129">
        <v>16</v>
      </c>
      <c r="AP21" s="129" t="s">
        <v>331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242</v>
      </c>
      <c r="AO22" s="129">
        <v>17</v>
      </c>
      <c r="AP22" s="129" t="s">
        <v>332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243</v>
      </c>
      <c r="AO23" s="129">
        <v>18</v>
      </c>
      <c r="AP23" s="129" t="s">
        <v>333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244</v>
      </c>
      <c r="AO24" s="129">
        <v>19</v>
      </c>
      <c r="AP24" s="129" t="s">
        <v>334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325</v>
      </c>
      <c r="AO25" s="129">
        <v>20</v>
      </c>
      <c r="AP25" s="129" t="s">
        <v>337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246</v>
      </c>
      <c r="AO26" s="129">
        <v>21</v>
      </c>
      <c r="AP26" s="129" t="s">
        <v>335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247</v>
      </c>
      <c r="AO27" s="129">
        <v>22</v>
      </c>
      <c r="AP27" s="129" t="s">
        <v>277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248</v>
      </c>
      <c r="AO28" s="129">
        <v>23</v>
      </c>
      <c r="AP28" s="129" t="s">
        <v>278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249</v>
      </c>
      <c r="AO29" s="129">
        <v>24</v>
      </c>
      <c r="AP29" s="129" t="s">
        <v>279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250</v>
      </c>
      <c r="AO30" s="129">
        <v>25</v>
      </c>
      <c r="AP30" s="129" t="s">
        <v>280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251</v>
      </c>
      <c r="AO31" s="129">
        <v>26</v>
      </c>
      <c r="AP31" s="129" t="s">
        <v>281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252</v>
      </c>
      <c r="AO32" s="129">
        <v>27</v>
      </c>
      <c r="AP32" s="129" t="s">
        <v>282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330</v>
      </c>
      <c r="AO33" s="129">
        <v>28</v>
      </c>
      <c r="AP33" s="129" t="s">
        <v>283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9">
        <f ca="1">Print!C2</f>
        <v>44699</v>
      </c>
      <c r="D2" s="520"/>
      <c r="E2" s="520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613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152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1" t="s">
        <v>69</v>
      </c>
      <c r="N11" s="522"/>
      <c r="O11" s="521" t="s">
        <v>70</v>
      </c>
      <c r="P11" s="522"/>
      <c r="Q11" s="362"/>
      <c r="R11" s="361"/>
      <c r="S11" s="521" t="s">
        <v>69</v>
      </c>
      <c r="T11" s="522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207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150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146</v>
      </c>
      <c r="E29" s="395"/>
      <c r="F29" s="355"/>
      <c r="G29" s="355"/>
      <c r="H29" s="355"/>
      <c r="I29" s="355"/>
      <c r="J29" s="356"/>
      <c r="K29" s="403" t="s">
        <v>147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E641"/>
  <sheetViews>
    <sheetView workbookViewId="0">
      <selection sqref="A1:DA2"/>
    </sheetView>
  </sheetViews>
  <sheetFormatPr defaultColWidth="18.77734375" defaultRowHeight="12.75" customHeight="1"/>
  <cols>
    <col min="1" max="1" width="23.109375" bestFit="1" customWidth="1"/>
    <col min="2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69" width="8.88671875" customWidth="1"/>
  </cols>
  <sheetData>
    <row r="1" spans="1:109" s="115" customFormat="1" ht="72">
      <c r="A1" s="115" t="s">
        <v>458</v>
      </c>
      <c r="B1" s="115" t="s">
        <v>457</v>
      </c>
      <c r="C1" s="115" t="s">
        <v>456</v>
      </c>
      <c r="D1" s="115" t="s">
        <v>592</v>
      </c>
      <c r="E1" s="115" t="s">
        <v>593</v>
      </c>
      <c r="F1" s="115" t="s">
        <v>531</v>
      </c>
      <c r="G1" s="115" t="s">
        <v>532</v>
      </c>
      <c r="H1" s="115" t="s">
        <v>533</v>
      </c>
      <c r="I1" s="115" t="s">
        <v>534</v>
      </c>
      <c r="J1" s="115" t="s">
        <v>535</v>
      </c>
      <c r="K1" s="115" t="s">
        <v>536</v>
      </c>
      <c r="L1" s="115" t="s">
        <v>555</v>
      </c>
      <c r="M1" s="115" t="s">
        <v>477</v>
      </c>
      <c r="N1" s="115" t="s">
        <v>547</v>
      </c>
      <c r="O1" s="115" t="s">
        <v>480</v>
      </c>
      <c r="P1" s="115" t="s">
        <v>481</v>
      </c>
      <c r="Q1" s="115" t="s">
        <v>482</v>
      </c>
      <c r="R1" s="115" t="s">
        <v>548</v>
      </c>
      <c r="S1" s="115" t="s">
        <v>549</v>
      </c>
      <c r="T1" s="115" t="s">
        <v>550</v>
      </c>
      <c r="U1" s="115" t="s">
        <v>551</v>
      </c>
      <c r="V1" s="115" t="s">
        <v>552</v>
      </c>
      <c r="W1" s="115" t="s">
        <v>553</v>
      </c>
      <c r="X1" s="115" t="s">
        <v>554</v>
      </c>
      <c r="Y1" s="115" t="s">
        <v>537</v>
      </c>
      <c r="Z1" s="115" t="s">
        <v>538</v>
      </c>
      <c r="AA1" s="115" t="s">
        <v>539</v>
      </c>
      <c r="AB1" s="115" t="s">
        <v>540</v>
      </c>
      <c r="AC1" s="115" t="s">
        <v>574</v>
      </c>
      <c r="AD1" s="115" t="s">
        <v>575</v>
      </c>
      <c r="AE1" s="115" t="s">
        <v>570</v>
      </c>
      <c r="AF1" s="115" t="s">
        <v>571</v>
      </c>
      <c r="AG1" s="115" t="s">
        <v>572</v>
      </c>
      <c r="AH1" s="115" t="s">
        <v>580</v>
      </c>
      <c r="AI1" s="115" t="s">
        <v>581</v>
      </c>
      <c r="AJ1" s="115" t="s">
        <v>582</v>
      </c>
      <c r="AK1" s="115" t="s">
        <v>583</v>
      </c>
      <c r="AL1" s="115" t="s">
        <v>584</v>
      </c>
      <c r="AM1" s="115" t="s">
        <v>585</v>
      </c>
      <c r="AN1" s="115" t="s">
        <v>591</v>
      </c>
      <c r="AO1" s="115" t="s">
        <v>578</v>
      </c>
      <c r="AP1" s="115" t="s">
        <v>579</v>
      </c>
      <c r="AQ1" s="115" t="s">
        <v>573</v>
      </c>
      <c r="AR1" s="115" t="s">
        <v>476</v>
      </c>
      <c r="AS1" s="115" t="s">
        <v>543</v>
      </c>
      <c r="AT1" s="115" t="s">
        <v>544</v>
      </c>
      <c r="AU1" s="115" t="s">
        <v>545</v>
      </c>
      <c r="AV1" s="115" t="s">
        <v>577</v>
      </c>
      <c r="AW1" s="115" t="s">
        <v>546</v>
      </c>
      <c r="AX1" s="115" t="s">
        <v>557</v>
      </c>
      <c r="AY1" s="115" t="s">
        <v>558</v>
      </c>
      <c r="AZ1" s="115" t="s">
        <v>559</v>
      </c>
      <c r="BA1" s="115" t="s">
        <v>560</v>
      </c>
      <c r="BB1" s="115" t="s">
        <v>561</v>
      </c>
      <c r="BC1" s="115" t="s">
        <v>562</v>
      </c>
      <c r="BD1" s="115" t="s">
        <v>563</v>
      </c>
      <c r="BE1" s="115" t="s">
        <v>564</v>
      </c>
      <c r="BF1" s="115" t="s">
        <v>565</v>
      </c>
      <c r="BG1" s="115" t="s">
        <v>566</v>
      </c>
      <c r="BH1" s="115" t="s">
        <v>567</v>
      </c>
      <c r="BI1" s="115" t="s">
        <v>471</v>
      </c>
      <c r="BJ1" s="115" t="s">
        <v>568</v>
      </c>
      <c r="BK1" s="115" t="s">
        <v>478</v>
      </c>
      <c r="BL1" s="115" t="s">
        <v>569</v>
      </c>
      <c r="BM1" s="115" t="s">
        <v>541</v>
      </c>
      <c r="BN1" s="115" t="s">
        <v>542</v>
      </c>
      <c r="BO1" s="115" t="s">
        <v>483</v>
      </c>
      <c r="BP1" s="115" t="s">
        <v>576</v>
      </c>
      <c r="BQ1" s="115" t="s">
        <v>556</v>
      </c>
      <c r="BR1" s="115" t="s">
        <v>594</v>
      </c>
      <c r="BS1" s="115" t="s">
        <v>595</v>
      </c>
      <c r="BT1" s="115" t="s">
        <v>596</v>
      </c>
      <c r="BU1" s="115" t="s">
        <v>597</v>
      </c>
      <c r="BV1" s="115" t="s">
        <v>598</v>
      </c>
      <c r="BW1" s="115" t="s">
        <v>599</v>
      </c>
      <c r="BX1" s="115" t="s">
        <v>600</v>
      </c>
      <c r="BY1" s="115" t="s">
        <v>601</v>
      </c>
      <c r="BZ1" s="115" t="s">
        <v>602</v>
      </c>
      <c r="CA1" s="115" t="s">
        <v>603</v>
      </c>
      <c r="CB1" s="115" t="s">
        <v>604</v>
      </c>
      <c r="CC1" s="115" t="s">
        <v>605</v>
      </c>
      <c r="CD1" s="115" t="s">
        <v>606</v>
      </c>
      <c r="CE1" s="115" t="s">
        <v>607</v>
      </c>
      <c r="CF1" s="115" t="s">
        <v>635</v>
      </c>
      <c r="CG1" s="115" t="s">
        <v>637</v>
      </c>
      <c r="CH1" s="115" t="s">
        <v>636</v>
      </c>
      <c r="CI1" s="115" t="s">
        <v>652</v>
      </c>
      <c r="CJ1" s="115" t="s">
        <v>651</v>
      </c>
      <c r="CK1" s="115" t="s">
        <v>650</v>
      </c>
      <c r="CL1" s="115" t="s">
        <v>649</v>
      </c>
      <c r="CM1" s="115" t="s">
        <v>648</v>
      </c>
      <c r="CN1" s="115" t="s">
        <v>647</v>
      </c>
      <c r="CO1" s="115" t="s">
        <v>646</v>
      </c>
      <c r="CP1" s="115" t="s">
        <v>645</v>
      </c>
      <c r="CQ1" s="115" t="s">
        <v>644</v>
      </c>
      <c r="CR1" s="115" t="s">
        <v>643</v>
      </c>
      <c r="CS1" s="115" t="s">
        <v>642</v>
      </c>
      <c r="CT1" s="115" t="s">
        <v>641</v>
      </c>
      <c r="CU1" s="115" t="s">
        <v>640</v>
      </c>
      <c r="CV1" s="115" t="s">
        <v>639</v>
      </c>
      <c r="CW1" s="115" t="s">
        <v>638</v>
      </c>
      <c r="CX1" s="115" t="s">
        <v>672</v>
      </c>
      <c r="CY1" s="115" t="s">
        <v>673</v>
      </c>
      <c r="CZ1" s="115" t="s">
        <v>674</v>
      </c>
      <c r="DA1" s="115" t="s">
        <v>675</v>
      </c>
      <c r="DB1" s="115" t="s">
        <v>676</v>
      </c>
      <c r="DC1" s="115" t="s">
        <v>677</v>
      </c>
      <c r="DD1" s="115" t="s">
        <v>678</v>
      </c>
      <c r="DE1" s="115" t="s">
        <v>679</v>
      </c>
    </row>
    <row r="2" spans="1:109" s="176" customFormat="1" ht="14.4">
      <c r="A2" s="176">
        <v>0</v>
      </c>
      <c r="B2" s="176">
        <v>1</v>
      </c>
      <c r="C2" s="176">
        <v>2</v>
      </c>
      <c r="D2" s="176">
        <v>3</v>
      </c>
      <c r="E2" s="176">
        <v>4</v>
      </c>
      <c r="F2" s="176">
        <v>5</v>
      </c>
      <c r="G2" s="176">
        <v>6</v>
      </c>
      <c r="H2" s="176">
        <v>7</v>
      </c>
      <c r="I2" s="176">
        <v>8</v>
      </c>
      <c r="J2" s="176">
        <v>9</v>
      </c>
      <c r="K2" s="176">
        <v>10</v>
      </c>
      <c r="L2" s="176">
        <v>11</v>
      </c>
      <c r="M2" s="176">
        <v>12</v>
      </c>
      <c r="N2" s="176">
        <v>13</v>
      </c>
      <c r="O2" s="176">
        <v>14</v>
      </c>
      <c r="P2" s="176">
        <v>15</v>
      </c>
      <c r="Q2" s="176">
        <v>16</v>
      </c>
      <c r="R2" s="176">
        <v>17</v>
      </c>
      <c r="S2" s="176">
        <v>18</v>
      </c>
      <c r="T2" s="176">
        <v>19</v>
      </c>
      <c r="U2" s="176">
        <v>20</v>
      </c>
      <c r="V2" s="176">
        <v>21</v>
      </c>
      <c r="W2" s="176">
        <v>22</v>
      </c>
      <c r="X2" s="176">
        <v>23</v>
      </c>
      <c r="Y2" s="176">
        <v>24</v>
      </c>
      <c r="Z2" s="176">
        <v>25</v>
      </c>
      <c r="AA2" s="176">
        <v>26</v>
      </c>
      <c r="AB2" s="176">
        <v>27</v>
      </c>
      <c r="AC2" s="176">
        <v>28</v>
      </c>
      <c r="AD2" s="176">
        <v>29</v>
      </c>
      <c r="AE2" s="176">
        <v>30</v>
      </c>
      <c r="AF2" s="176">
        <v>31</v>
      </c>
      <c r="AG2" s="176">
        <v>32</v>
      </c>
      <c r="AH2" s="176">
        <v>33</v>
      </c>
      <c r="AI2" s="176">
        <v>34</v>
      </c>
      <c r="AJ2" s="176">
        <v>35</v>
      </c>
      <c r="AK2" s="176">
        <v>36</v>
      </c>
      <c r="AL2" s="176">
        <v>37</v>
      </c>
      <c r="AM2" s="176">
        <v>38</v>
      </c>
      <c r="AN2" s="176">
        <v>39</v>
      </c>
      <c r="AO2" s="176">
        <v>40</v>
      </c>
      <c r="AP2" s="176">
        <v>41</v>
      </c>
      <c r="AQ2" s="176">
        <v>42</v>
      </c>
      <c r="AR2" s="176">
        <v>43</v>
      </c>
      <c r="AS2" s="176">
        <v>44</v>
      </c>
      <c r="AT2" s="176">
        <v>45</v>
      </c>
      <c r="AU2" s="176">
        <v>46</v>
      </c>
      <c r="AV2" s="176">
        <v>47</v>
      </c>
      <c r="AW2" s="176">
        <v>48</v>
      </c>
      <c r="AX2" s="176">
        <v>49</v>
      </c>
      <c r="AY2" s="176">
        <v>50</v>
      </c>
      <c r="AZ2" s="176">
        <v>51</v>
      </c>
      <c r="BA2" s="176">
        <v>52</v>
      </c>
      <c r="BB2" s="176">
        <v>53</v>
      </c>
      <c r="BC2" s="176">
        <v>54</v>
      </c>
      <c r="BD2" s="176">
        <v>55</v>
      </c>
      <c r="BE2" s="176">
        <v>56</v>
      </c>
      <c r="BF2" s="176">
        <v>57</v>
      </c>
      <c r="BG2" s="176">
        <v>58</v>
      </c>
      <c r="BH2" s="176">
        <v>59</v>
      </c>
      <c r="BI2" s="176">
        <v>60</v>
      </c>
      <c r="BJ2" s="176">
        <v>61</v>
      </c>
      <c r="BK2" s="176">
        <v>62</v>
      </c>
      <c r="BL2" s="176">
        <v>63</v>
      </c>
      <c r="BM2" s="176">
        <v>64</v>
      </c>
      <c r="BN2" s="176">
        <v>65</v>
      </c>
      <c r="BO2" s="176">
        <v>66</v>
      </c>
      <c r="BP2" s="176">
        <v>67</v>
      </c>
      <c r="BQ2" s="176">
        <v>68</v>
      </c>
      <c r="BR2" s="176">
        <v>69</v>
      </c>
      <c r="BS2" s="176">
        <v>70</v>
      </c>
      <c r="BT2" s="176">
        <v>71</v>
      </c>
      <c r="BU2" s="176">
        <v>72</v>
      </c>
      <c r="BV2" s="176">
        <v>73</v>
      </c>
      <c r="BW2" s="176">
        <v>74</v>
      </c>
      <c r="BX2" s="176">
        <v>75</v>
      </c>
      <c r="BY2" s="176">
        <v>76</v>
      </c>
      <c r="BZ2" s="176">
        <v>77</v>
      </c>
      <c r="CA2" s="176">
        <v>78</v>
      </c>
      <c r="CB2" s="176">
        <v>79</v>
      </c>
      <c r="CC2" s="176">
        <v>80</v>
      </c>
      <c r="CD2" s="176">
        <v>81</v>
      </c>
      <c r="CE2" s="176">
        <v>82</v>
      </c>
      <c r="CF2" s="176">
        <v>83</v>
      </c>
      <c r="CG2" s="176">
        <v>84</v>
      </c>
      <c r="CH2" s="176">
        <v>85</v>
      </c>
      <c r="CI2" s="176">
        <v>86</v>
      </c>
      <c r="CJ2" s="176">
        <v>87</v>
      </c>
      <c r="CK2" s="176">
        <v>88</v>
      </c>
      <c r="CL2" s="176">
        <v>89</v>
      </c>
      <c r="CM2" s="176">
        <v>90</v>
      </c>
      <c r="CN2" s="176">
        <v>91</v>
      </c>
      <c r="CO2" s="176">
        <v>92</v>
      </c>
      <c r="CP2" s="176">
        <v>93</v>
      </c>
      <c r="CQ2" s="176">
        <v>94</v>
      </c>
      <c r="CR2" s="176">
        <v>95</v>
      </c>
      <c r="CS2" s="176">
        <v>96</v>
      </c>
      <c r="CT2" s="176">
        <v>97</v>
      </c>
      <c r="CU2" s="176">
        <v>98</v>
      </c>
      <c r="CV2" s="176">
        <v>99</v>
      </c>
      <c r="CW2" s="176">
        <v>100</v>
      </c>
      <c r="CX2" s="176">
        <v>101</v>
      </c>
      <c r="CY2" s="176">
        <v>102</v>
      </c>
      <c r="CZ2" s="176">
        <v>103</v>
      </c>
      <c r="DA2" s="176">
        <v>104</v>
      </c>
      <c r="DB2" s="176">
        <v>105</v>
      </c>
      <c r="DC2" s="176">
        <v>106</v>
      </c>
      <c r="DD2" s="176">
        <v>107</v>
      </c>
      <c r="DE2" s="176">
        <v>108</v>
      </c>
    </row>
    <row r="3" spans="1:109" ht="12.75" customHeight="1">
      <c r="A3" t="s">
        <v>620</v>
      </c>
      <c r="C3" t="s">
        <v>621</v>
      </c>
      <c r="D3">
        <v>1</v>
      </c>
      <c r="E3" t="s">
        <v>653</v>
      </c>
      <c r="F3">
        <v>65535</v>
      </c>
      <c r="I3" t="s">
        <v>654</v>
      </c>
      <c r="L3">
        <v>0.2</v>
      </c>
      <c r="N3">
        <v>200</v>
      </c>
      <c r="R3">
        <v>33.686535000000006</v>
      </c>
      <c r="S3">
        <v>0</v>
      </c>
      <c r="T3">
        <v>134.74613952636719</v>
      </c>
      <c r="V3" t="s">
        <v>618</v>
      </c>
      <c r="W3" s="514">
        <v>44698.404490740744</v>
      </c>
      <c r="AE3" s="516">
        <v>43101</v>
      </c>
      <c r="AG3" t="s">
        <v>655</v>
      </c>
      <c r="AS3">
        <v>0</v>
      </c>
      <c r="AU3">
        <v>8</v>
      </c>
      <c r="AV3">
        <v>-2.9685451576275237E-2</v>
      </c>
      <c r="AW3">
        <v>35.117084750591772</v>
      </c>
      <c r="AX3">
        <v>-1</v>
      </c>
      <c r="AY3">
        <v>-1</v>
      </c>
      <c r="AZ3">
        <v>-1</v>
      </c>
      <c r="BA3">
        <v>-1</v>
      </c>
      <c r="BB3">
        <v>-1</v>
      </c>
      <c r="BC3">
        <v>-1</v>
      </c>
      <c r="BD3">
        <v>-1</v>
      </c>
      <c r="BE3">
        <v>-1</v>
      </c>
      <c r="BF3">
        <v>-1</v>
      </c>
      <c r="BG3">
        <v>-1</v>
      </c>
      <c r="BH3">
        <v>-1</v>
      </c>
      <c r="BI3">
        <v>1182.972900390625</v>
      </c>
      <c r="BJ3">
        <v>1182.972900390625</v>
      </c>
      <c r="BK3">
        <v>0</v>
      </c>
      <c r="BL3">
        <v>-1</v>
      </c>
      <c r="BM3">
        <v>-1</v>
      </c>
      <c r="BN3">
        <v>-1</v>
      </c>
      <c r="BP3">
        <v>150</v>
      </c>
      <c r="BQ3">
        <v>20</v>
      </c>
      <c r="BR3">
        <v>-174.19200134277344</v>
      </c>
      <c r="BS3">
        <v>0</v>
      </c>
      <c r="BT3">
        <v>-14.719191622248823</v>
      </c>
      <c r="BU3">
        <v>0</v>
      </c>
      <c r="BV3">
        <v>-647.68994140625</v>
      </c>
      <c r="BW3" t="s">
        <v>619</v>
      </c>
      <c r="BX3">
        <v>19.802900314331055</v>
      </c>
      <c r="BY3">
        <v>18.108207702636719</v>
      </c>
      <c r="CB3">
        <v>20.000568389892578</v>
      </c>
      <c r="CC3">
        <v>0</v>
      </c>
      <c r="CD3" s="514">
        <v>43101.666666666664</v>
      </c>
      <c r="CE3" s="516">
        <v>43102</v>
      </c>
      <c r="CF3">
        <v>47.966152000000001</v>
      </c>
      <c r="CG3" s="464">
        <v>0</v>
      </c>
      <c r="CH3" s="464">
        <v>0</v>
      </c>
      <c r="CI3" s="464">
        <v>0</v>
      </c>
      <c r="CJ3" s="464">
        <v>0</v>
      </c>
      <c r="CK3" s="464">
        <v>8.4312767700001068E-2</v>
      </c>
      <c r="CL3" s="464">
        <v>33.602222232300001</v>
      </c>
      <c r="CM3" s="464">
        <v>0</v>
      </c>
      <c r="CN3" s="464">
        <v>33.686534782499997</v>
      </c>
      <c r="CO3" s="464">
        <v>0</v>
      </c>
      <c r="CP3" s="464">
        <v>0</v>
      </c>
      <c r="CQ3" s="464">
        <v>0</v>
      </c>
      <c r="CR3" s="464">
        <v>0</v>
      </c>
      <c r="CS3" s="464">
        <v>0</v>
      </c>
      <c r="CT3" s="464">
        <v>0</v>
      </c>
      <c r="CU3" s="464">
        <v>0</v>
      </c>
      <c r="CV3" s="464">
        <v>47.966151883999999</v>
      </c>
      <c r="CW3" s="464">
        <v>0</v>
      </c>
      <c r="CX3" s="464">
        <v>7</v>
      </c>
      <c r="CY3" s="464">
        <v>7</v>
      </c>
      <c r="CZ3" s="464">
        <v>7</v>
      </c>
      <c r="DA3" s="464">
        <v>7</v>
      </c>
      <c r="DB3" s="464">
        <v>7</v>
      </c>
      <c r="DC3" s="464">
        <v>7</v>
      </c>
      <c r="DD3" s="464">
        <v>7</v>
      </c>
      <c r="DE3" s="464">
        <v>7</v>
      </c>
    </row>
    <row r="4" spans="1:109" ht="12.75" customHeight="1">
      <c r="A4" t="s">
        <v>622</v>
      </c>
      <c r="C4" t="s">
        <v>621</v>
      </c>
      <c r="D4">
        <v>2</v>
      </c>
      <c r="E4" t="s">
        <v>656</v>
      </c>
      <c r="F4">
        <v>4.4915379709999996</v>
      </c>
      <c r="I4" t="s">
        <v>617</v>
      </c>
      <c r="L4">
        <v>0.2</v>
      </c>
      <c r="N4">
        <v>500</v>
      </c>
      <c r="R4">
        <v>33.686535000000006</v>
      </c>
      <c r="S4">
        <v>5464</v>
      </c>
      <c r="T4">
        <v>134.74613952636719</v>
      </c>
      <c r="V4" t="s">
        <v>618</v>
      </c>
      <c r="W4" s="514">
        <v>44698.404502314814</v>
      </c>
      <c r="X4">
        <v>98.847396850585938</v>
      </c>
      <c r="AE4" s="514">
        <v>43328.666666666664</v>
      </c>
      <c r="AF4">
        <v>1.9916463643312454E-2</v>
      </c>
      <c r="AG4" t="s">
        <v>655</v>
      </c>
      <c r="AS4">
        <v>20</v>
      </c>
      <c r="AT4">
        <v>10</v>
      </c>
      <c r="AU4">
        <v>8</v>
      </c>
      <c r="AV4">
        <v>0.87515846663970775</v>
      </c>
      <c r="AW4">
        <v>62.605870889620249</v>
      </c>
      <c r="AX4">
        <v>0</v>
      </c>
      <c r="AY4">
        <v>269.49227905273438</v>
      </c>
      <c r="AZ4">
        <v>70.582832336425781</v>
      </c>
      <c r="BA4">
        <v>0</v>
      </c>
      <c r="BB4">
        <v>29.481056213378906</v>
      </c>
      <c r="BC4">
        <v>0</v>
      </c>
      <c r="BD4">
        <v>113.34130859375</v>
      </c>
      <c r="BE4">
        <v>336.8653564453125</v>
      </c>
      <c r="BF4">
        <v>673.730712890625</v>
      </c>
      <c r="BG4">
        <v>0</v>
      </c>
      <c r="BH4">
        <v>247.03459167480469</v>
      </c>
      <c r="BI4">
        <v>2108.974853515625</v>
      </c>
      <c r="BJ4">
        <v>2108.902099609375</v>
      </c>
      <c r="BK4">
        <v>1493.592041015625</v>
      </c>
      <c r="BL4">
        <v>1493.4910888671875</v>
      </c>
      <c r="BM4">
        <v>25</v>
      </c>
      <c r="BN4">
        <v>25.940444946289063</v>
      </c>
      <c r="BP4">
        <v>25</v>
      </c>
      <c r="BQ4">
        <v>21</v>
      </c>
      <c r="BR4">
        <v>-305.24777221679688</v>
      </c>
      <c r="BS4">
        <v>0</v>
      </c>
      <c r="BT4">
        <v>-36.711587035399027</v>
      </c>
      <c r="BU4">
        <v>0</v>
      </c>
      <c r="BV4">
        <v>-566.96630859375</v>
      </c>
      <c r="BW4" t="s">
        <v>616</v>
      </c>
      <c r="BX4">
        <v>21</v>
      </c>
      <c r="BY4">
        <v>18.128402709960938</v>
      </c>
      <c r="CB4">
        <v>21.026443481445313</v>
      </c>
      <c r="CC4">
        <v>0</v>
      </c>
      <c r="CD4" s="514">
        <v>43101.666666666664</v>
      </c>
      <c r="CE4" s="516">
        <v>43102</v>
      </c>
      <c r="CF4">
        <v>17.966152000000001</v>
      </c>
      <c r="CG4">
        <v>0</v>
      </c>
      <c r="CH4">
        <v>0</v>
      </c>
      <c r="CI4">
        <v>0</v>
      </c>
      <c r="CJ4">
        <v>0</v>
      </c>
      <c r="CK4">
        <v>0</v>
      </c>
      <c r="CL4">
        <v>33.686534999999999</v>
      </c>
      <c r="CM4">
        <v>0</v>
      </c>
      <c r="CN4">
        <v>33.686534782499997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47.966151883999999</v>
      </c>
      <c r="CW4">
        <v>30</v>
      </c>
      <c r="CX4" s="464">
        <v>7</v>
      </c>
      <c r="CY4" s="464">
        <v>7</v>
      </c>
      <c r="CZ4" s="464">
        <v>7</v>
      </c>
      <c r="DA4" s="464">
        <v>7</v>
      </c>
      <c r="DB4" s="464">
        <v>7</v>
      </c>
      <c r="DC4" s="464">
        <v>7</v>
      </c>
      <c r="DD4" s="464">
        <v>7</v>
      </c>
      <c r="DE4" s="464">
        <v>7</v>
      </c>
    </row>
    <row r="5" spans="1:109" ht="12.75" customHeight="1">
      <c r="A5" t="s">
        <v>623</v>
      </c>
      <c r="C5" t="s">
        <v>621</v>
      </c>
      <c r="D5">
        <v>3</v>
      </c>
      <c r="E5" t="s">
        <v>657</v>
      </c>
      <c r="F5">
        <v>6.4871050640000005</v>
      </c>
      <c r="I5" t="s">
        <v>617</v>
      </c>
      <c r="L5">
        <v>0.2</v>
      </c>
      <c r="N5">
        <v>500</v>
      </c>
      <c r="R5">
        <v>48.653287499999998</v>
      </c>
      <c r="S5">
        <v>5464</v>
      </c>
      <c r="T5">
        <v>194.6131591796875</v>
      </c>
      <c r="V5" t="s">
        <v>618</v>
      </c>
      <c r="W5" s="514">
        <v>44698.404502314814</v>
      </c>
      <c r="X5">
        <v>98.847366333007813</v>
      </c>
      <c r="AE5" s="514">
        <v>43328.666666666664</v>
      </c>
      <c r="AF5">
        <v>1.9916458055377007E-2</v>
      </c>
      <c r="AG5" t="s">
        <v>655</v>
      </c>
      <c r="AS5">
        <v>20</v>
      </c>
      <c r="AT5">
        <v>10</v>
      </c>
      <c r="AU5">
        <v>8</v>
      </c>
      <c r="AV5">
        <v>-3.1598723773963444</v>
      </c>
      <c r="AW5">
        <v>28.239564998639267</v>
      </c>
      <c r="AX5">
        <v>0</v>
      </c>
      <c r="AY5">
        <v>389.22628784179688</v>
      </c>
      <c r="AZ5">
        <v>101.94242858886719</v>
      </c>
      <c r="BA5">
        <v>0</v>
      </c>
      <c r="BB5">
        <v>-153.73817443847656</v>
      </c>
      <c r="BC5">
        <v>0</v>
      </c>
      <c r="BD5">
        <v>31.403076171875</v>
      </c>
      <c r="BE5">
        <v>486.53286743164063</v>
      </c>
      <c r="BF5">
        <v>973.06573486328125</v>
      </c>
      <c r="BG5">
        <v>0</v>
      </c>
      <c r="BH5">
        <v>356.790771484375</v>
      </c>
      <c r="BI5">
        <v>1373.9476318359375</v>
      </c>
      <c r="BJ5">
        <v>1373.90087890625</v>
      </c>
      <c r="BK5">
        <v>1828.5103759765625</v>
      </c>
      <c r="BL5">
        <v>1828.4312744140625</v>
      </c>
      <c r="BM5">
        <v>25</v>
      </c>
      <c r="BN5">
        <v>25.555221557617188</v>
      </c>
      <c r="BP5">
        <v>25</v>
      </c>
      <c r="BQ5">
        <v>21</v>
      </c>
      <c r="BR5">
        <v>-440.86785888671875</v>
      </c>
      <c r="BS5">
        <v>0</v>
      </c>
      <c r="BT5">
        <v>-8.7879771371975917</v>
      </c>
      <c r="BU5">
        <v>0</v>
      </c>
      <c r="BV5">
        <v>-505.465087890625</v>
      </c>
      <c r="BW5" t="s">
        <v>616</v>
      </c>
      <c r="BX5">
        <v>21</v>
      </c>
      <c r="BY5">
        <v>19.46051025390625</v>
      </c>
      <c r="CB5">
        <v>24.999261856079102</v>
      </c>
      <c r="CC5">
        <v>0</v>
      </c>
      <c r="CD5" s="514">
        <v>43101.708333333336</v>
      </c>
      <c r="CE5" s="516">
        <v>43102</v>
      </c>
      <c r="CF5">
        <v>85.948424000000003</v>
      </c>
      <c r="CG5">
        <v>0</v>
      </c>
      <c r="CH5">
        <v>0</v>
      </c>
      <c r="CI5">
        <v>0</v>
      </c>
      <c r="CJ5">
        <v>0</v>
      </c>
      <c r="CK5">
        <v>0</v>
      </c>
      <c r="CL5">
        <v>48.653287499999998</v>
      </c>
      <c r="CM5">
        <v>0</v>
      </c>
      <c r="CN5">
        <v>48.653287980000002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25.948420255999999</v>
      </c>
      <c r="CW5">
        <v>0</v>
      </c>
      <c r="CX5" s="464">
        <v>7</v>
      </c>
      <c r="CY5" s="464">
        <v>7</v>
      </c>
      <c r="CZ5" s="464">
        <v>7</v>
      </c>
      <c r="DA5" s="464">
        <v>7</v>
      </c>
      <c r="DB5" s="464">
        <v>7</v>
      </c>
      <c r="DC5" s="464">
        <v>7</v>
      </c>
      <c r="DD5" s="464">
        <v>7</v>
      </c>
      <c r="DE5" s="464">
        <v>7</v>
      </c>
    </row>
    <row r="6" spans="1:109" ht="12.75" customHeight="1">
      <c r="A6" t="s">
        <v>624</v>
      </c>
      <c r="C6" t="s">
        <v>621</v>
      </c>
      <c r="D6">
        <v>4</v>
      </c>
      <c r="E6" t="s">
        <v>658</v>
      </c>
      <c r="F6">
        <v>65535</v>
      </c>
      <c r="R6">
        <v>60.160177500000003</v>
      </c>
      <c r="S6">
        <v>0</v>
      </c>
      <c r="T6">
        <v>240.69741821289063</v>
      </c>
      <c r="W6" s="514">
        <v>44698.404502314814</v>
      </c>
      <c r="AE6" s="516">
        <v>43101</v>
      </c>
      <c r="AG6" t="s">
        <v>655</v>
      </c>
      <c r="AV6">
        <v>-1.662229092940485E-2</v>
      </c>
      <c r="AW6">
        <v>0</v>
      </c>
      <c r="AX6">
        <v>-1</v>
      </c>
      <c r="AY6">
        <v>-1</v>
      </c>
      <c r="AZ6">
        <v>-1</v>
      </c>
      <c r="BA6">
        <v>-1</v>
      </c>
      <c r="BB6">
        <v>-1</v>
      </c>
      <c r="BC6">
        <v>-1</v>
      </c>
      <c r="BD6">
        <v>-1</v>
      </c>
      <c r="BE6">
        <v>-1</v>
      </c>
      <c r="BF6">
        <v>-1</v>
      </c>
      <c r="BG6">
        <v>-1</v>
      </c>
      <c r="BH6">
        <v>-1</v>
      </c>
      <c r="BI6">
        <v>0</v>
      </c>
      <c r="BJ6">
        <v>-1</v>
      </c>
      <c r="BK6">
        <v>0</v>
      </c>
      <c r="BL6">
        <v>-1</v>
      </c>
      <c r="BM6">
        <v>-1</v>
      </c>
      <c r="BN6">
        <v>-1</v>
      </c>
      <c r="BR6">
        <v>-1</v>
      </c>
      <c r="BS6">
        <v>-1</v>
      </c>
      <c r="BT6">
        <v>-1.662229092940485E-2</v>
      </c>
      <c r="BU6">
        <v>-1</v>
      </c>
      <c r="BV6">
        <v>-1</v>
      </c>
      <c r="BW6" t="s">
        <v>616</v>
      </c>
      <c r="BX6">
        <v>-1</v>
      </c>
      <c r="BY6">
        <v>-1</v>
      </c>
      <c r="CB6">
        <v>7.8473854064941406</v>
      </c>
      <c r="CC6">
        <v>0</v>
      </c>
      <c r="CD6" s="516">
        <v>43101</v>
      </c>
      <c r="CE6" s="516">
        <v>43102</v>
      </c>
      <c r="CF6">
        <v>30</v>
      </c>
      <c r="CG6">
        <v>0</v>
      </c>
      <c r="CH6">
        <v>0</v>
      </c>
      <c r="CI6">
        <v>0</v>
      </c>
      <c r="CJ6">
        <v>0</v>
      </c>
      <c r="CK6">
        <v>43</v>
      </c>
      <c r="CL6">
        <v>17.1601775</v>
      </c>
      <c r="CM6">
        <v>0</v>
      </c>
      <c r="CN6">
        <v>60.160177237499994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62.085427859999996</v>
      </c>
      <c r="CW6">
        <v>32.085427859999996</v>
      </c>
      <c r="CX6" s="464">
        <v>7</v>
      </c>
      <c r="CY6" s="464">
        <v>7</v>
      </c>
      <c r="CZ6" s="464">
        <v>7</v>
      </c>
      <c r="DA6" s="464">
        <v>7</v>
      </c>
      <c r="DB6" s="464">
        <v>7</v>
      </c>
      <c r="DC6" s="464">
        <v>7</v>
      </c>
      <c r="DD6" s="464">
        <v>7</v>
      </c>
      <c r="DE6" s="464">
        <v>7</v>
      </c>
    </row>
    <row r="7" spans="1:109" ht="12.75" customHeight="1">
      <c r="A7" t="s">
        <v>625</v>
      </c>
      <c r="C7" t="s">
        <v>621</v>
      </c>
      <c r="D7">
        <v>5</v>
      </c>
      <c r="E7" t="s">
        <v>659</v>
      </c>
      <c r="F7">
        <v>65535</v>
      </c>
      <c r="R7">
        <v>108.81346500000001</v>
      </c>
      <c r="S7">
        <v>0</v>
      </c>
      <c r="T7">
        <v>435.25384521484375</v>
      </c>
      <c r="W7" s="514">
        <v>44698.404502314814</v>
      </c>
      <c r="AE7" s="516">
        <v>43101</v>
      </c>
      <c r="AG7" t="s">
        <v>655</v>
      </c>
      <c r="AV7">
        <v>-9.1900394309568419E-3</v>
      </c>
      <c r="AW7">
        <v>0</v>
      </c>
      <c r="AX7">
        <v>-1</v>
      </c>
      <c r="AY7">
        <v>-1</v>
      </c>
      <c r="AZ7">
        <v>-1</v>
      </c>
      <c r="BA7">
        <v>-1</v>
      </c>
      <c r="BB7">
        <v>-1</v>
      </c>
      <c r="BC7">
        <v>-1</v>
      </c>
      <c r="BD7">
        <v>-1</v>
      </c>
      <c r="BE7">
        <v>-1</v>
      </c>
      <c r="BF7">
        <v>-1</v>
      </c>
      <c r="BG7">
        <v>-1</v>
      </c>
      <c r="BH7">
        <v>-1</v>
      </c>
      <c r="BI7">
        <v>0</v>
      </c>
      <c r="BJ7">
        <v>-1</v>
      </c>
      <c r="BK7">
        <v>0</v>
      </c>
      <c r="BL7">
        <v>-1</v>
      </c>
      <c r="BM7">
        <v>-1</v>
      </c>
      <c r="BN7">
        <v>-1</v>
      </c>
      <c r="BR7">
        <v>-1</v>
      </c>
      <c r="BS7">
        <v>-1</v>
      </c>
      <c r="BT7">
        <v>-9.1900394309568419E-3</v>
      </c>
      <c r="BU7">
        <v>-1</v>
      </c>
      <c r="BV7">
        <v>-1</v>
      </c>
      <c r="BW7" t="s">
        <v>616</v>
      </c>
      <c r="BX7">
        <v>-1</v>
      </c>
      <c r="BY7">
        <v>-1</v>
      </c>
      <c r="CB7">
        <v>10.712850570678711</v>
      </c>
      <c r="CC7">
        <v>0</v>
      </c>
      <c r="CD7" s="514">
        <v>43101.458333333336</v>
      </c>
      <c r="CE7" s="516">
        <v>43102</v>
      </c>
      <c r="CF7">
        <v>25.948424000000003</v>
      </c>
      <c r="CG7">
        <v>0</v>
      </c>
      <c r="CH7">
        <v>0</v>
      </c>
      <c r="CI7">
        <v>0</v>
      </c>
      <c r="CJ7">
        <v>0</v>
      </c>
      <c r="CK7">
        <v>15</v>
      </c>
      <c r="CL7">
        <v>93.813464999999994</v>
      </c>
      <c r="CM7">
        <v>0</v>
      </c>
      <c r="CN7">
        <v>108.8134652175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88.033848116000001</v>
      </c>
      <c r="CW7">
        <v>62.085427859999996</v>
      </c>
      <c r="CX7" s="464">
        <v>7</v>
      </c>
      <c r="CY7" s="464">
        <v>7</v>
      </c>
      <c r="CZ7" s="464">
        <v>7</v>
      </c>
      <c r="DA7" s="464">
        <v>7</v>
      </c>
      <c r="DB7" s="464">
        <v>7</v>
      </c>
      <c r="DC7" s="464">
        <v>7</v>
      </c>
      <c r="DD7" s="464">
        <v>7</v>
      </c>
      <c r="DE7" s="464">
        <v>7</v>
      </c>
    </row>
    <row r="8" spans="1:109" ht="12.75" customHeight="1">
      <c r="A8" t="s">
        <v>626</v>
      </c>
      <c r="C8" t="s">
        <v>627</v>
      </c>
      <c r="D8">
        <v>6</v>
      </c>
      <c r="E8" t="s">
        <v>660</v>
      </c>
      <c r="F8">
        <v>65535</v>
      </c>
      <c r="R8">
        <v>8</v>
      </c>
      <c r="S8">
        <v>0</v>
      </c>
      <c r="T8">
        <v>24</v>
      </c>
      <c r="W8" s="514">
        <v>44698.404513888891</v>
      </c>
      <c r="AE8" s="516">
        <v>43101</v>
      </c>
      <c r="AG8" t="s">
        <v>655</v>
      </c>
      <c r="AV8">
        <v>-0.125</v>
      </c>
      <c r="AW8">
        <v>0</v>
      </c>
      <c r="AX8">
        <v>-1</v>
      </c>
      <c r="AY8">
        <v>-1</v>
      </c>
      <c r="AZ8">
        <v>-1</v>
      </c>
      <c r="BA8">
        <v>-1</v>
      </c>
      <c r="BB8">
        <v>-1</v>
      </c>
      <c r="BC8">
        <v>-1</v>
      </c>
      <c r="BD8">
        <v>-1</v>
      </c>
      <c r="BE8">
        <v>-1</v>
      </c>
      <c r="BF8">
        <v>-1</v>
      </c>
      <c r="BG8">
        <v>-1</v>
      </c>
      <c r="BH8">
        <v>-1</v>
      </c>
      <c r="BI8">
        <v>0</v>
      </c>
      <c r="BJ8">
        <v>-1</v>
      </c>
      <c r="BK8">
        <v>0</v>
      </c>
      <c r="BL8">
        <v>-1</v>
      </c>
      <c r="BM8">
        <v>-1</v>
      </c>
      <c r="BN8">
        <v>-1</v>
      </c>
      <c r="BR8">
        <v>-1</v>
      </c>
      <c r="BS8">
        <v>-1</v>
      </c>
      <c r="BT8">
        <v>-0.125</v>
      </c>
      <c r="BU8">
        <v>-1</v>
      </c>
      <c r="BV8">
        <v>-1</v>
      </c>
      <c r="BW8" t="s">
        <v>616</v>
      </c>
      <c r="BX8">
        <v>-1</v>
      </c>
      <c r="BY8">
        <v>-1</v>
      </c>
      <c r="CB8">
        <v>11.169711112976074</v>
      </c>
      <c r="CC8">
        <v>0</v>
      </c>
      <c r="CD8" s="516">
        <v>43101</v>
      </c>
      <c r="CE8" s="516">
        <v>43102</v>
      </c>
      <c r="CF8">
        <v>36</v>
      </c>
      <c r="CG8">
        <v>0</v>
      </c>
      <c r="CH8">
        <v>0</v>
      </c>
      <c r="CI8">
        <v>0</v>
      </c>
      <c r="CJ8">
        <v>0</v>
      </c>
      <c r="CK8">
        <v>0</v>
      </c>
      <c r="CL8">
        <v>8</v>
      </c>
      <c r="CM8">
        <v>0</v>
      </c>
      <c r="CN8">
        <v>0</v>
      </c>
      <c r="CO8">
        <v>0</v>
      </c>
      <c r="CP8">
        <v>8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 s="464">
        <v>7</v>
      </c>
      <c r="CY8" s="464">
        <v>7</v>
      </c>
      <c r="CZ8" s="464">
        <v>7</v>
      </c>
      <c r="DA8" s="464">
        <v>7</v>
      </c>
      <c r="DB8" s="464">
        <v>7</v>
      </c>
      <c r="DC8" s="464">
        <v>7</v>
      </c>
      <c r="DD8" s="464">
        <v>7</v>
      </c>
      <c r="DE8" s="464">
        <v>7</v>
      </c>
    </row>
    <row r="9" spans="1:109" ht="12.75" customHeight="1">
      <c r="A9" t="s">
        <v>628</v>
      </c>
      <c r="C9" t="s">
        <v>627</v>
      </c>
      <c r="D9">
        <v>7</v>
      </c>
      <c r="E9" t="s">
        <v>661</v>
      </c>
      <c r="F9">
        <v>65535</v>
      </c>
      <c r="R9">
        <v>9.6226400000000005</v>
      </c>
      <c r="S9">
        <v>0</v>
      </c>
      <c r="T9">
        <v>28.867919921875</v>
      </c>
      <c r="W9" s="514">
        <v>44698.404513888891</v>
      </c>
      <c r="AE9" s="516">
        <v>43101</v>
      </c>
      <c r="AG9" t="s">
        <v>655</v>
      </c>
      <c r="AV9">
        <v>-0.10392158864324912</v>
      </c>
      <c r="AW9">
        <v>0</v>
      </c>
      <c r="AX9">
        <v>-1</v>
      </c>
      <c r="AY9">
        <v>-1</v>
      </c>
      <c r="AZ9">
        <v>-1</v>
      </c>
      <c r="BA9">
        <v>-1</v>
      </c>
      <c r="BB9">
        <v>-1</v>
      </c>
      <c r="BC9">
        <v>-1</v>
      </c>
      <c r="BD9">
        <v>-1</v>
      </c>
      <c r="BE9">
        <v>-1</v>
      </c>
      <c r="BF9">
        <v>-1</v>
      </c>
      <c r="BG9">
        <v>-1</v>
      </c>
      <c r="BH9">
        <v>-1</v>
      </c>
      <c r="BI9">
        <v>0</v>
      </c>
      <c r="BJ9">
        <v>-1</v>
      </c>
      <c r="BK9">
        <v>0</v>
      </c>
      <c r="BL9">
        <v>-1</v>
      </c>
      <c r="BM9">
        <v>-1</v>
      </c>
      <c r="BN9">
        <v>-1</v>
      </c>
      <c r="BR9">
        <v>-1</v>
      </c>
      <c r="BS9">
        <v>-1</v>
      </c>
      <c r="BT9">
        <v>-0.10392158864324912</v>
      </c>
      <c r="BU9">
        <v>-1</v>
      </c>
      <c r="BV9">
        <v>-1</v>
      </c>
      <c r="BW9" t="s">
        <v>616</v>
      </c>
      <c r="BX9">
        <v>-1</v>
      </c>
      <c r="BY9">
        <v>-1</v>
      </c>
      <c r="CB9">
        <v>7.6210551261901855</v>
      </c>
      <c r="CC9">
        <v>0</v>
      </c>
      <c r="CD9" s="516">
        <v>43101</v>
      </c>
      <c r="CE9" s="516">
        <v>43102</v>
      </c>
      <c r="CF9">
        <v>26.433959999999999</v>
      </c>
      <c r="CG9">
        <v>0</v>
      </c>
      <c r="CH9">
        <v>0</v>
      </c>
      <c r="CI9">
        <v>0</v>
      </c>
      <c r="CJ9">
        <v>0</v>
      </c>
      <c r="CK9">
        <v>0</v>
      </c>
      <c r="CL9">
        <v>9.6226400000000005</v>
      </c>
      <c r="CM9">
        <v>0</v>
      </c>
      <c r="CN9">
        <v>0</v>
      </c>
      <c r="CO9">
        <v>0</v>
      </c>
      <c r="CP9">
        <v>9.6226391639999989</v>
      </c>
      <c r="CQ9">
        <v>0</v>
      </c>
      <c r="CR9">
        <v>0</v>
      </c>
      <c r="CS9">
        <v>0</v>
      </c>
      <c r="CT9">
        <v>0</v>
      </c>
      <c r="CU9">
        <v>0</v>
      </c>
      <c r="CV9">
        <v>14.433958745999998</v>
      </c>
      <c r="CW9">
        <v>0</v>
      </c>
      <c r="CX9" s="464">
        <v>7</v>
      </c>
      <c r="CY9" s="464">
        <v>7</v>
      </c>
      <c r="CZ9" s="464">
        <v>7</v>
      </c>
      <c r="DA9" s="464">
        <v>7</v>
      </c>
      <c r="DB9" s="464">
        <v>7</v>
      </c>
      <c r="DC9" s="464">
        <v>7</v>
      </c>
      <c r="DD9" s="464">
        <v>7</v>
      </c>
      <c r="DE9" s="464">
        <v>7</v>
      </c>
    </row>
    <row r="10" spans="1:109" ht="12.75" customHeight="1">
      <c r="A10" t="s">
        <v>629</v>
      </c>
      <c r="C10" t="s">
        <v>627</v>
      </c>
      <c r="D10">
        <v>8</v>
      </c>
      <c r="E10" t="s">
        <v>662</v>
      </c>
      <c r="F10">
        <v>65535</v>
      </c>
      <c r="R10">
        <v>11.725919999999999</v>
      </c>
      <c r="S10">
        <v>0</v>
      </c>
      <c r="T10">
        <v>35.177764892578125</v>
      </c>
      <c r="W10" s="514">
        <v>44698.404513888891</v>
      </c>
      <c r="AE10" s="516">
        <v>43101</v>
      </c>
      <c r="AG10" t="s">
        <v>655</v>
      </c>
      <c r="AV10">
        <v>-8.5281156922384235E-2</v>
      </c>
      <c r="AW10">
        <v>0</v>
      </c>
      <c r="AX10">
        <v>-1</v>
      </c>
      <c r="AY10">
        <v>-1</v>
      </c>
      <c r="AZ10">
        <v>-1</v>
      </c>
      <c r="BA10">
        <v>-1</v>
      </c>
      <c r="BB10">
        <v>-1</v>
      </c>
      <c r="BC10">
        <v>-1</v>
      </c>
      <c r="BD10">
        <v>-1</v>
      </c>
      <c r="BE10">
        <v>-1</v>
      </c>
      <c r="BF10">
        <v>-1</v>
      </c>
      <c r="BG10">
        <v>-1</v>
      </c>
      <c r="BH10">
        <v>-1</v>
      </c>
      <c r="BI10">
        <v>0</v>
      </c>
      <c r="BJ10">
        <v>-1</v>
      </c>
      <c r="BK10">
        <v>0</v>
      </c>
      <c r="BL10">
        <v>-1</v>
      </c>
      <c r="BM10">
        <v>-1</v>
      </c>
      <c r="BN10">
        <v>-1</v>
      </c>
      <c r="BR10">
        <v>-1</v>
      </c>
      <c r="BS10">
        <v>-1</v>
      </c>
      <c r="BT10">
        <v>-8.5281156922384235E-2</v>
      </c>
      <c r="BU10">
        <v>-1</v>
      </c>
      <c r="BV10">
        <v>-1</v>
      </c>
      <c r="BW10" t="s">
        <v>616</v>
      </c>
      <c r="BX10">
        <v>-1</v>
      </c>
      <c r="BY10">
        <v>-1</v>
      </c>
      <c r="CB10">
        <v>7.1996402740478516</v>
      </c>
      <c r="CC10">
        <v>0</v>
      </c>
      <c r="CD10" s="516">
        <v>43101</v>
      </c>
      <c r="CE10" s="516">
        <v>43102</v>
      </c>
      <c r="CF10">
        <v>22.611720000000002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4.3773599999999995</v>
      </c>
      <c r="CM10">
        <v>0</v>
      </c>
      <c r="CN10">
        <v>7.3485599999999991</v>
      </c>
      <c r="CO10">
        <v>0</v>
      </c>
      <c r="CP10">
        <v>11.725920792000004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24.876300137622803</v>
      </c>
      <c r="CW10">
        <v>0</v>
      </c>
      <c r="CX10" s="464">
        <v>7</v>
      </c>
      <c r="CY10" s="464">
        <v>7</v>
      </c>
      <c r="CZ10" s="464">
        <v>7</v>
      </c>
      <c r="DA10" s="464">
        <v>7</v>
      </c>
      <c r="DB10" s="464">
        <v>7</v>
      </c>
      <c r="DC10" s="464">
        <v>7</v>
      </c>
      <c r="DD10" s="464">
        <v>7</v>
      </c>
      <c r="DE10" s="464">
        <v>7</v>
      </c>
    </row>
    <row r="11" spans="1:109" ht="12.75" customHeight="1">
      <c r="A11" t="s">
        <v>630</v>
      </c>
      <c r="C11" t="s">
        <v>627</v>
      </c>
      <c r="D11">
        <v>9</v>
      </c>
      <c r="E11" t="s">
        <v>663</v>
      </c>
      <c r="F11">
        <v>65535</v>
      </c>
      <c r="R11">
        <v>47.066540000000003</v>
      </c>
      <c r="S11">
        <v>0</v>
      </c>
      <c r="T11">
        <v>141.19961547851563</v>
      </c>
      <c r="W11" s="514">
        <v>44698.404513888891</v>
      </c>
      <c r="AE11" s="516">
        <v>43101</v>
      </c>
      <c r="AG11" t="s">
        <v>655</v>
      </c>
      <c r="AV11">
        <v>-2.1246516208873394E-2</v>
      </c>
      <c r="AW11">
        <v>0</v>
      </c>
      <c r="AX11">
        <v>-1</v>
      </c>
      <c r="AY11">
        <v>-1</v>
      </c>
      <c r="AZ11">
        <v>-1</v>
      </c>
      <c r="BA11">
        <v>-1</v>
      </c>
      <c r="BB11">
        <v>-1</v>
      </c>
      <c r="BC11">
        <v>-1</v>
      </c>
      <c r="BD11">
        <v>-1</v>
      </c>
      <c r="BE11">
        <v>-1</v>
      </c>
      <c r="BF11">
        <v>-1</v>
      </c>
      <c r="BG11">
        <v>-1</v>
      </c>
      <c r="BH11">
        <v>-1</v>
      </c>
      <c r="BI11">
        <v>0</v>
      </c>
      <c r="BJ11">
        <v>-1</v>
      </c>
      <c r="BK11">
        <v>0</v>
      </c>
      <c r="BL11">
        <v>-1</v>
      </c>
      <c r="BM11">
        <v>-1</v>
      </c>
      <c r="BN11">
        <v>-1</v>
      </c>
      <c r="BR11">
        <v>-1</v>
      </c>
      <c r="BS11">
        <v>-1</v>
      </c>
      <c r="BT11">
        <v>-2.1246516208873394E-2</v>
      </c>
      <c r="BU11">
        <v>-1</v>
      </c>
      <c r="BV11">
        <v>-1</v>
      </c>
      <c r="BW11" t="s">
        <v>616</v>
      </c>
      <c r="BX11">
        <v>-1</v>
      </c>
      <c r="BY11">
        <v>-1</v>
      </c>
      <c r="CB11">
        <v>11.775583267211914</v>
      </c>
      <c r="CC11">
        <v>0</v>
      </c>
      <c r="CD11" s="516">
        <v>43101</v>
      </c>
      <c r="CE11" s="516">
        <v>43102</v>
      </c>
      <c r="CF11">
        <v>40.611720000000005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23.991167232299993</v>
      </c>
      <c r="CM11">
        <v>0</v>
      </c>
      <c r="CN11">
        <v>23.075370425800003</v>
      </c>
      <c r="CO11">
        <v>0</v>
      </c>
      <c r="CP11">
        <v>47.066543178999993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61.220819996793828</v>
      </c>
      <c r="CW11">
        <v>19.416380514</v>
      </c>
      <c r="CX11" s="464">
        <v>7</v>
      </c>
      <c r="CY11" s="464">
        <v>7</v>
      </c>
      <c r="CZ11" s="464">
        <v>7</v>
      </c>
      <c r="DA11" s="464">
        <v>7</v>
      </c>
      <c r="DB11" s="464">
        <v>7</v>
      </c>
      <c r="DC11" s="464">
        <v>7</v>
      </c>
      <c r="DD11" s="464">
        <v>7</v>
      </c>
      <c r="DE11" s="464">
        <v>7</v>
      </c>
    </row>
    <row r="12" spans="1:109" ht="12.75" customHeight="1">
      <c r="A12" t="s">
        <v>631</v>
      </c>
      <c r="C12" t="s">
        <v>627</v>
      </c>
      <c r="D12">
        <v>10</v>
      </c>
      <c r="E12" t="s">
        <v>664</v>
      </c>
      <c r="F12">
        <v>65535</v>
      </c>
      <c r="R12">
        <v>52.231456000000001</v>
      </c>
      <c r="S12">
        <v>0</v>
      </c>
      <c r="T12">
        <v>156.69436645507813</v>
      </c>
      <c r="W12" s="514">
        <v>44698.404513888891</v>
      </c>
      <c r="AE12" s="516">
        <v>43101</v>
      </c>
      <c r="AG12" t="s">
        <v>655</v>
      </c>
      <c r="AV12">
        <v>-1.9145550633599673E-2</v>
      </c>
      <c r="AW12">
        <v>0</v>
      </c>
      <c r="AX12">
        <v>-1</v>
      </c>
      <c r="AY12">
        <v>-1</v>
      </c>
      <c r="AZ12">
        <v>-1</v>
      </c>
      <c r="BA12">
        <v>-1</v>
      </c>
      <c r="BB12">
        <v>-1</v>
      </c>
      <c r="BC12">
        <v>-1</v>
      </c>
      <c r="BD12">
        <v>-1</v>
      </c>
      <c r="BE12">
        <v>-1</v>
      </c>
      <c r="BF12">
        <v>-1</v>
      </c>
      <c r="BG12">
        <v>-1</v>
      </c>
      <c r="BH12">
        <v>-1</v>
      </c>
      <c r="BI12">
        <v>0</v>
      </c>
      <c r="BJ12">
        <v>-1</v>
      </c>
      <c r="BK12">
        <v>0</v>
      </c>
      <c r="BL12">
        <v>-1</v>
      </c>
      <c r="BM12">
        <v>-1</v>
      </c>
      <c r="BN12">
        <v>-1</v>
      </c>
      <c r="BR12">
        <v>-1</v>
      </c>
      <c r="BS12">
        <v>-1</v>
      </c>
      <c r="BT12">
        <v>-1.9145550633599673E-2</v>
      </c>
      <c r="BU12">
        <v>-1</v>
      </c>
      <c r="BV12">
        <v>-1</v>
      </c>
      <c r="BW12" t="s">
        <v>616</v>
      </c>
      <c r="BX12">
        <v>-1</v>
      </c>
      <c r="BY12">
        <v>-1</v>
      </c>
      <c r="CB12">
        <v>9.9173259735107422</v>
      </c>
      <c r="CC12">
        <v>0</v>
      </c>
      <c r="CD12" s="516">
        <v>43101</v>
      </c>
      <c r="CE12" s="516">
        <v>43102</v>
      </c>
      <c r="CF12">
        <v>18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40</v>
      </c>
      <c r="CM12">
        <v>0</v>
      </c>
      <c r="CN12">
        <v>12.231456000000001</v>
      </c>
      <c r="CO12">
        <v>0</v>
      </c>
      <c r="CP12">
        <v>52.231454488000004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60.115727243999999</v>
      </c>
      <c r="CW12">
        <v>18.115727244000002</v>
      </c>
      <c r="CX12" s="464">
        <v>7</v>
      </c>
      <c r="CY12" s="464">
        <v>7</v>
      </c>
      <c r="CZ12" s="464">
        <v>7</v>
      </c>
      <c r="DA12" s="464">
        <v>7</v>
      </c>
      <c r="DB12" s="464">
        <v>7</v>
      </c>
      <c r="DC12" s="464">
        <v>7</v>
      </c>
      <c r="DD12" s="464">
        <v>7</v>
      </c>
      <c r="DE12" s="464">
        <v>7</v>
      </c>
    </row>
    <row r="13" spans="1:109" ht="12.75" customHeight="1">
      <c r="A13" t="s">
        <v>665</v>
      </c>
      <c r="C13" t="s">
        <v>627</v>
      </c>
      <c r="D13">
        <v>11</v>
      </c>
      <c r="E13" t="s">
        <v>666</v>
      </c>
      <c r="F13">
        <v>65535</v>
      </c>
      <c r="R13">
        <v>57.027982077640004</v>
      </c>
      <c r="S13">
        <v>0</v>
      </c>
      <c r="T13">
        <v>171.08393859863281</v>
      </c>
      <c r="W13" s="514">
        <v>44698.404513888891</v>
      </c>
      <c r="AE13" s="516">
        <v>43101</v>
      </c>
      <c r="AG13" t="s">
        <v>655</v>
      </c>
      <c r="AV13">
        <v>-1.7535251746491516E-2</v>
      </c>
      <c r="AW13">
        <v>0</v>
      </c>
      <c r="AX13">
        <v>-1</v>
      </c>
      <c r="AY13">
        <v>-1</v>
      </c>
      <c r="AZ13">
        <v>-1</v>
      </c>
      <c r="BA13">
        <v>-1</v>
      </c>
      <c r="BB13">
        <v>-1</v>
      </c>
      <c r="BC13">
        <v>-1</v>
      </c>
      <c r="BD13">
        <v>-1</v>
      </c>
      <c r="BE13">
        <v>-1</v>
      </c>
      <c r="BF13">
        <v>-1</v>
      </c>
      <c r="BG13">
        <v>-1</v>
      </c>
      <c r="BH13">
        <v>-1</v>
      </c>
      <c r="BI13">
        <v>0</v>
      </c>
      <c r="BJ13">
        <v>-1</v>
      </c>
      <c r="BK13">
        <v>0</v>
      </c>
      <c r="BL13">
        <v>-1</v>
      </c>
      <c r="BM13">
        <v>-1</v>
      </c>
      <c r="BN13">
        <v>-1</v>
      </c>
      <c r="BR13">
        <v>-1</v>
      </c>
      <c r="BS13">
        <v>-1</v>
      </c>
      <c r="BT13">
        <v>-1.7535251746491516E-2</v>
      </c>
      <c r="BU13">
        <v>-1</v>
      </c>
      <c r="BV13">
        <v>-1</v>
      </c>
      <c r="BW13" t="s">
        <v>616</v>
      </c>
      <c r="BX13">
        <v>-1</v>
      </c>
      <c r="BY13">
        <v>-1</v>
      </c>
      <c r="CB13">
        <v>11.893588066101074</v>
      </c>
      <c r="CC13">
        <v>0</v>
      </c>
      <c r="CD13" s="516">
        <v>43101</v>
      </c>
      <c r="CE13" s="516">
        <v>43102</v>
      </c>
      <c r="CF13">
        <v>36.142151999999996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26.433959999999999</v>
      </c>
      <c r="CM13">
        <v>0</v>
      </c>
      <c r="CN13">
        <v>30.594022077640005</v>
      </c>
      <c r="CO13">
        <v>0</v>
      </c>
      <c r="CP13">
        <v>57.027977944857142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36.142149003</v>
      </c>
      <c r="CW13">
        <v>19.416380514</v>
      </c>
      <c r="CX13" s="464">
        <v>7</v>
      </c>
      <c r="CY13" s="464">
        <v>7</v>
      </c>
      <c r="CZ13" s="464">
        <v>7</v>
      </c>
      <c r="DA13" s="464">
        <v>7</v>
      </c>
      <c r="DB13" s="464">
        <v>7</v>
      </c>
      <c r="DC13" s="464">
        <v>7</v>
      </c>
      <c r="DD13" s="464">
        <v>7</v>
      </c>
      <c r="DE13" s="464">
        <v>7</v>
      </c>
    </row>
    <row r="14" spans="1:109" ht="12.75" customHeight="1">
      <c r="A14" t="s">
        <v>667</v>
      </c>
      <c r="C14" t="s">
        <v>627</v>
      </c>
      <c r="D14">
        <v>12</v>
      </c>
      <c r="E14" t="s">
        <v>668</v>
      </c>
      <c r="F14">
        <v>65535</v>
      </c>
      <c r="R14">
        <v>70.490560000000002</v>
      </c>
      <c r="S14">
        <v>0</v>
      </c>
      <c r="T14">
        <v>211.41496276855469</v>
      </c>
      <c r="W14" s="514">
        <v>44698.40452546296</v>
      </c>
      <c r="AE14" s="516">
        <v>43101</v>
      </c>
      <c r="AG14" t="s">
        <v>655</v>
      </c>
      <c r="AV14">
        <v>-1.4186296227468221E-2</v>
      </c>
      <c r="AW14">
        <v>0</v>
      </c>
      <c r="AX14">
        <v>-1</v>
      </c>
      <c r="AY14">
        <v>-1</v>
      </c>
      <c r="AZ14">
        <v>-1</v>
      </c>
      <c r="BA14">
        <v>-1</v>
      </c>
      <c r="BB14">
        <v>-1</v>
      </c>
      <c r="BC14">
        <v>-1</v>
      </c>
      <c r="BD14">
        <v>-1</v>
      </c>
      <c r="BE14">
        <v>-1</v>
      </c>
      <c r="BF14">
        <v>-1</v>
      </c>
      <c r="BG14">
        <v>-1</v>
      </c>
      <c r="BH14">
        <v>-1</v>
      </c>
      <c r="BI14">
        <v>0</v>
      </c>
      <c r="BJ14">
        <v>-1</v>
      </c>
      <c r="BK14">
        <v>0</v>
      </c>
      <c r="BL14">
        <v>-1</v>
      </c>
      <c r="BM14">
        <v>-1</v>
      </c>
      <c r="BN14">
        <v>-1</v>
      </c>
      <c r="BR14">
        <v>-1</v>
      </c>
      <c r="BS14">
        <v>-1</v>
      </c>
      <c r="BT14">
        <v>-1.4186296227468221E-2</v>
      </c>
      <c r="BU14">
        <v>-1</v>
      </c>
      <c r="BV14">
        <v>-1</v>
      </c>
      <c r="BW14" t="s">
        <v>616</v>
      </c>
      <c r="BX14">
        <v>-1</v>
      </c>
      <c r="BY14">
        <v>-1</v>
      </c>
      <c r="CB14">
        <v>14.129668235778809</v>
      </c>
      <c r="CC14">
        <v>0</v>
      </c>
      <c r="CD14" s="516">
        <v>43101</v>
      </c>
      <c r="CE14" s="516">
        <v>43102</v>
      </c>
      <c r="CF14">
        <v>76.867919999999998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70.490560000000002</v>
      </c>
      <c r="CM14">
        <v>0</v>
      </c>
      <c r="CN14">
        <v>0</v>
      </c>
      <c r="CO14">
        <v>0</v>
      </c>
      <c r="CP14">
        <v>70.490556655999995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24</v>
      </c>
      <c r="CX14" s="464">
        <v>7</v>
      </c>
      <c r="CY14" s="464">
        <v>7</v>
      </c>
      <c r="CZ14" s="464">
        <v>7</v>
      </c>
      <c r="DA14" s="464">
        <v>7</v>
      </c>
      <c r="DB14" s="464">
        <v>7</v>
      </c>
      <c r="DC14" s="464">
        <v>7</v>
      </c>
      <c r="DD14" s="464">
        <v>7</v>
      </c>
      <c r="DE14" s="464">
        <v>7</v>
      </c>
    </row>
    <row r="15" spans="1:109" ht="12.75" customHeight="1">
      <c r="A15" t="s">
        <v>669</v>
      </c>
      <c r="C15" t="s">
        <v>627</v>
      </c>
      <c r="D15">
        <v>13</v>
      </c>
      <c r="E15" t="s">
        <v>670</v>
      </c>
      <c r="F15">
        <v>65535</v>
      </c>
      <c r="R15">
        <v>78.652440999999996</v>
      </c>
      <c r="S15">
        <v>0</v>
      </c>
      <c r="T15">
        <v>235.95733642578125</v>
      </c>
      <c r="W15" s="514">
        <v>44698.40452546296</v>
      </c>
      <c r="AE15" s="516">
        <v>43101</v>
      </c>
      <c r="AG15" t="s">
        <v>655</v>
      </c>
      <c r="AV15">
        <v>-1.271416325698776E-2</v>
      </c>
      <c r="AW15">
        <v>0</v>
      </c>
      <c r="AX15">
        <v>-1</v>
      </c>
      <c r="AY15">
        <v>-1</v>
      </c>
      <c r="AZ15">
        <v>-1</v>
      </c>
      <c r="BA15">
        <v>-1</v>
      </c>
      <c r="BB15">
        <v>-1</v>
      </c>
      <c r="BC15">
        <v>-1</v>
      </c>
      <c r="BD15">
        <v>-1</v>
      </c>
      <c r="BE15">
        <v>-1</v>
      </c>
      <c r="BF15">
        <v>-1</v>
      </c>
      <c r="BG15">
        <v>-1</v>
      </c>
      <c r="BH15">
        <v>-1</v>
      </c>
      <c r="BI15">
        <v>0</v>
      </c>
      <c r="BJ15">
        <v>-1</v>
      </c>
      <c r="BK15">
        <v>0</v>
      </c>
      <c r="BL15">
        <v>-1</v>
      </c>
      <c r="BM15">
        <v>-1</v>
      </c>
      <c r="BN15">
        <v>-1</v>
      </c>
      <c r="BR15">
        <v>-1</v>
      </c>
      <c r="BS15">
        <v>-1</v>
      </c>
      <c r="BT15">
        <v>-1.271416325698776E-2</v>
      </c>
      <c r="BU15">
        <v>-1</v>
      </c>
      <c r="BV15">
        <v>-1</v>
      </c>
      <c r="BW15" t="s">
        <v>616</v>
      </c>
      <c r="BX15">
        <v>-1</v>
      </c>
      <c r="BY15">
        <v>-1</v>
      </c>
      <c r="CB15">
        <v>11.484760284423828</v>
      </c>
      <c r="CC15">
        <v>0</v>
      </c>
      <c r="CD15" s="516">
        <v>43101</v>
      </c>
      <c r="CE15" s="516">
        <v>43102</v>
      </c>
      <c r="CF15">
        <v>9.7081920000000004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44</v>
      </c>
      <c r="CM15">
        <v>0</v>
      </c>
      <c r="CN15">
        <v>34.652440999999996</v>
      </c>
      <c r="CO15">
        <v>0</v>
      </c>
      <c r="CP15">
        <v>78.652443933000001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57.592463013</v>
      </c>
      <c r="CW15">
        <v>42.115727243999999</v>
      </c>
      <c r="CX15" s="464">
        <v>7</v>
      </c>
      <c r="CY15" s="464">
        <v>7</v>
      </c>
      <c r="CZ15" s="464">
        <v>7</v>
      </c>
      <c r="DA15" s="464">
        <v>7</v>
      </c>
      <c r="DB15" s="464">
        <v>7</v>
      </c>
      <c r="DC15" s="464">
        <v>7</v>
      </c>
      <c r="DD15" s="464">
        <v>7</v>
      </c>
      <c r="DE15" s="464">
        <v>7</v>
      </c>
    </row>
    <row r="16" spans="1:109" ht="12.75" customHeight="1">
      <c r="W16" s="514"/>
    </row>
    <row r="17" spans="23:23" ht="12.75" customHeight="1">
      <c r="W17" s="514"/>
    </row>
    <row r="18" spans="23:23" ht="12.75" customHeight="1">
      <c r="W18" s="514"/>
    </row>
    <row r="19" spans="23:23" ht="12.75" customHeight="1">
      <c r="W19" s="514"/>
    </row>
    <row r="20" spans="23:23" ht="12.75" customHeight="1">
      <c r="W20" s="514"/>
    </row>
    <row r="21" spans="23:23" ht="12.75" customHeight="1">
      <c r="W21" s="514"/>
    </row>
    <row r="22" spans="23:23" ht="12.75" customHeight="1">
      <c r="W22" s="514"/>
    </row>
    <row r="23" spans="23:23" ht="12.75" customHeight="1">
      <c r="W23" s="514"/>
    </row>
    <row r="24" spans="23:23" ht="12.75" customHeight="1">
      <c r="W24" s="514"/>
    </row>
    <row r="25" spans="23:23" ht="12.75" customHeight="1">
      <c r="W25" s="514"/>
    </row>
    <row r="26" spans="23:23" ht="12.75" customHeight="1">
      <c r="W26" s="514"/>
    </row>
    <row r="27" spans="23:23" ht="12.75" customHeight="1">
      <c r="W27" s="514"/>
    </row>
    <row r="28" spans="23:23" ht="12.75" customHeight="1">
      <c r="W28" s="514"/>
    </row>
    <row r="29" spans="23:23" ht="12.75" customHeight="1">
      <c r="W29" s="514"/>
    </row>
    <row r="30" spans="23:23" ht="12.75" customHeight="1">
      <c r="W30" s="514"/>
    </row>
    <row r="31" spans="23:23" ht="12.75" customHeight="1">
      <c r="W31" s="514"/>
    </row>
    <row r="32" spans="23:23" ht="12.75" customHeight="1">
      <c r="W32" s="514"/>
    </row>
    <row r="33" spans="23:23" ht="12.75" customHeight="1">
      <c r="W33" s="514"/>
    </row>
    <row r="34" spans="23:23" ht="12.75" customHeight="1">
      <c r="W34" s="514"/>
    </row>
    <row r="35" spans="23:23" ht="12.75" customHeight="1">
      <c r="W35" s="514"/>
    </row>
    <row r="36" spans="23:23" ht="12.75" customHeight="1">
      <c r="W36" s="514"/>
    </row>
    <row r="37" spans="23:23" ht="12.75" customHeight="1">
      <c r="W37" s="514"/>
    </row>
    <row r="38" spans="23:23" ht="12.75" customHeight="1">
      <c r="W38" s="514"/>
    </row>
    <row r="39" spans="23:23" ht="12.75" customHeight="1">
      <c r="W39" s="514"/>
    </row>
    <row r="40" spans="23:23" ht="12.75" customHeight="1">
      <c r="W40" s="514"/>
    </row>
    <row r="41" spans="23:23" ht="12.75" customHeight="1">
      <c r="W41" s="514"/>
    </row>
    <row r="42" spans="23:23" ht="12.75" customHeight="1">
      <c r="W42" s="514"/>
    </row>
    <row r="43" spans="23:23" ht="12.75" customHeight="1">
      <c r="W43" s="514"/>
    </row>
    <row r="44" spans="23:23" ht="12.75" customHeight="1">
      <c r="W44" s="514"/>
    </row>
    <row r="45" spans="23:23" ht="12.75" customHeight="1">
      <c r="W45" s="514"/>
    </row>
    <row r="46" spans="23:23" ht="12.75" customHeight="1">
      <c r="W46" s="514"/>
    </row>
    <row r="47" spans="23:23" ht="12.75" customHeight="1">
      <c r="W47" s="514"/>
    </row>
    <row r="48" spans="23:23" ht="12.75" customHeight="1">
      <c r="W48" s="514"/>
    </row>
    <row r="49" spans="23:23" ht="12.75" customHeight="1">
      <c r="W49" s="514"/>
    </row>
    <row r="50" spans="23:23" ht="12.75" customHeight="1">
      <c r="W50" s="514"/>
    </row>
    <row r="51" spans="23:23" ht="12.75" customHeight="1">
      <c r="W51" s="514"/>
    </row>
    <row r="52" spans="23:23" ht="12.75" customHeight="1">
      <c r="W52" s="514"/>
    </row>
    <row r="53" spans="23:23" ht="12.75" customHeight="1">
      <c r="W53" s="514"/>
    </row>
    <row r="54" spans="23:23" ht="12.75" customHeight="1">
      <c r="W54" s="514"/>
    </row>
    <row r="55" spans="23:23" ht="12.75" customHeight="1">
      <c r="W55" s="514"/>
    </row>
    <row r="56" spans="23:23" ht="12.75" customHeight="1">
      <c r="W56" s="514"/>
    </row>
    <row r="57" spans="23:23" ht="12.75" customHeight="1">
      <c r="W57" s="514"/>
    </row>
    <row r="58" spans="23:23" ht="12.75" customHeight="1">
      <c r="W58" s="514"/>
    </row>
    <row r="59" spans="23:23" ht="12.75" customHeight="1">
      <c r="W59" s="514"/>
    </row>
    <row r="60" spans="23:23" ht="12.75" customHeight="1">
      <c r="W60" s="514"/>
    </row>
    <row r="61" spans="23:23" ht="12.75" customHeight="1">
      <c r="W61" s="514"/>
    </row>
    <row r="62" spans="23:23" ht="12.75" customHeight="1">
      <c r="W62" s="514"/>
    </row>
    <row r="63" spans="23:23" ht="12.75" customHeight="1">
      <c r="W63" s="514"/>
    </row>
    <row r="64" spans="23:23" ht="12.75" customHeight="1">
      <c r="W64" s="514"/>
    </row>
    <row r="65" spans="23:23" ht="12.75" customHeight="1">
      <c r="W65" s="514"/>
    </row>
    <row r="66" spans="23:23" ht="12.75" customHeight="1">
      <c r="W66" s="514"/>
    </row>
    <row r="67" spans="23:23" ht="12.75" customHeight="1">
      <c r="W67" s="514"/>
    </row>
    <row r="68" spans="23:23" ht="12.75" customHeight="1">
      <c r="W68" s="514"/>
    </row>
    <row r="69" spans="23:23" ht="12.75" customHeight="1">
      <c r="W69" s="514"/>
    </row>
    <row r="70" spans="23:23" ht="12.75" customHeight="1">
      <c r="W70" s="514"/>
    </row>
    <row r="71" spans="23:23" ht="12.75" customHeight="1">
      <c r="W71" s="514"/>
    </row>
    <row r="72" spans="23:23" ht="12.75" customHeight="1">
      <c r="W72" s="514"/>
    </row>
    <row r="73" spans="23:23" ht="12.75" customHeight="1">
      <c r="W73" s="514"/>
    </row>
    <row r="74" spans="23:23" ht="12.75" customHeight="1">
      <c r="W74" s="514"/>
    </row>
    <row r="75" spans="23:23" ht="12.75" customHeight="1">
      <c r="W75" s="514"/>
    </row>
    <row r="76" spans="23:23" ht="12.75" customHeight="1">
      <c r="W76" s="514"/>
    </row>
    <row r="77" spans="23:23" ht="12.75" customHeight="1">
      <c r="W77" s="514"/>
    </row>
    <row r="78" spans="23:23" ht="12.75" customHeight="1">
      <c r="W78" s="514"/>
    </row>
    <row r="79" spans="23:23" ht="12.75" customHeight="1">
      <c r="W79" s="514"/>
    </row>
    <row r="80" spans="23:23" ht="12.75" customHeight="1">
      <c r="W80" s="514"/>
    </row>
    <row r="81" spans="23:23" ht="12.75" customHeight="1">
      <c r="W81" s="514"/>
    </row>
    <row r="82" spans="23:23" ht="12.75" customHeight="1">
      <c r="W82" s="514"/>
    </row>
    <row r="83" spans="23:23" ht="12.75" customHeight="1">
      <c r="W83" s="514"/>
    </row>
    <row r="84" spans="23:23" ht="12.75" customHeight="1">
      <c r="W84" s="514"/>
    </row>
    <row r="85" spans="23:23" ht="12.75" customHeight="1">
      <c r="W85" s="514"/>
    </row>
    <row r="86" spans="23:23" ht="12.75" customHeight="1">
      <c r="W86" s="514"/>
    </row>
    <row r="90" spans="23:23" ht="12.75" customHeight="1">
      <c r="W90" s="514"/>
    </row>
    <row r="91" spans="23:23" ht="12.75" customHeight="1">
      <c r="W91" s="514"/>
    </row>
    <row r="92" spans="23:23" ht="12.75" customHeight="1">
      <c r="W92" s="514"/>
    </row>
    <row r="93" spans="23:23" ht="12.75" customHeight="1">
      <c r="W93" s="514"/>
    </row>
    <row r="94" spans="23:23" ht="12.75" customHeight="1">
      <c r="W94" s="514"/>
    </row>
    <row r="95" spans="23:23" ht="12.75" customHeight="1">
      <c r="W95" s="514"/>
    </row>
    <row r="96" spans="23:23" ht="12.75" customHeight="1">
      <c r="W96" s="514"/>
    </row>
    <row r="97" spans="23:23" ht="12.75" customHeight="1">
      <c r="W97" s="514"/>
    </row>
    <row r="98" spans="23:23" ht="12.75" customHeight="1">
      <c r="W98" s="514"/>
    </row>
    <row r="99" spans="23:23" ht="12.75" customHeight="1">
      <c r="W99" s="514"/>
    </row>
    <row r="100" spans="23:23" ht="12.75" customHeight="1">
      <c r="W100" s="514"/>
    </row>
    <row r="101" spans="23:23" ht="12.75" customHeight="1">
      <c r="W101" s="514"/>
    </row>
    <row r="102" spans="23:23" ht="12.75" customHeight="1">
      <c r="W102" s="514"/>
    </row>
    <row r="103" spans="23:23" ht="12.75" customHeight="1">
      <c r="W103" s="514"/>
    </row>
    <row r="104" spans="23:23" ht="12.75" customHeight="1">
      <c r="W104" s="514"/>
    </row>
    <row r="105" spans="23:23" ht="12.75" customHeight="1">
      <c r="W105" s="514"/>
    </row>
    <row r="106" spans="23:23" ht="12.75" customHeight="1">
      <c r="W106" s="514"/>
    </row>
    <row r="107" spans="23:23" ht="12.75" customHeight="1">
      <c r="W107" s="514"/>
    </row>
    <row r="108" spans="23:23" ht="12.75" customHeight="1">
      <c r="W108" s="514"/>
    </row>
    <row r="109" spans="23:23" ht="12.75" customHeight="1">
      <c r="W109" s="514"/>
    </row>
    <row r="113" spans="23:23" ht="12.75" customHeight="1">
      <c r="W113" s="514"/>
    </row>
    <row r="114" spans="23:23" ht="12.75" customHeight="1">
      <c r="W114" s="514"/>
    </row>
    <row r="115" spans="23:23" ht="12.75" customHeight="1">
      <c r="W115" s="514"/>
    </row>
    <row r="116" spans="23:23" ht="12.75" customHeight="1">
      <c r="W116" s="514"/>
    </row>
    <row r="117" spans="23:23" ht="12.75" customHeight="1">
      <c r="W117" s="514"/>
    </row>
    <row r="118" spans="23:23" ht="12.75" customHeight="1">
      <c r="W118" s="514"/>
    </row>
    <row r="119" spans="23:23" ht="12.75" customHeight="1">
      <c r="W119" s="514"/>
    </row>
    <row r="120" spans="23:23" ht="12.75" customHeight="1">
      <c r="W120" s="514"/>
    </row>
    <row r="121" spans="23:23" ht="12.75" customHeight="1">
      <c r="W121" s="514"/>
    </row>
    <row r="122" spans="23:23" ht="12.75" customHeight="1">
      <c r="W122" s="514"/>
    </row>
    <row r="123" spans="23:23" ht="12.75" customHeight="1">
      <c r="W123" s="514"/>
    </row>
    <row r="124" spans="23:23" ht="12.75" customHeight="1">
      <c r="W124" s="514"/>
    </row>
    <row r="125" spans="23:23" ht="12.75" customHeight="1">
      <c r="W125" s="514"/>
    </row>
    <row r="126" spans="23:23" ht="12.75" customHeight="1">
      <c r="W126" s="514"/>
    </row>
    <row r="127" spans="23:23" ht="12.75" customHeight="1">
      <c r="W127" s="514"/>
    </row>
    <row r="135" spans="23:23" ht="12.75" customHeight="1">
      <c r="W135" s="514"/>
    </row>
    <row r="136" spans="23:23" ht="12.75" customHeight="1">
      <c r="W136" s="514"/>
    </row>
    <row r="140" spans="23:23" ht="12.75" customHeight="1">
      <c r="W140" s="514"/>
    </row>
    <row r="141" spans="23:23" ht="12.75" customHeight="1">
      <c r="W141" s="514"/>
    </row>
    <row r="142" spans="23:23" ht="12.75" customHeight="1">
      <c r="W142" s="514"/>
    </row>
    <row r="144" spans="23:23" ht="12.75" customHeight="1">
      <c r="W144" s="514"/>
    </row>
    <row r="152" spans="23:23" ht="12.75" customHeight="1">
      <c r="W152" s="514"/>
    </row>
    <row r="153" spans="23:23" ht="12.75" customHeight="1">
      <c r="W153" s="514"/>
    </row>
    <row r="155" spans="23:23" ht="12.75" customHeight="1">
      <c r="W155" s="514"/>
    </row>
    <row r="156" spans="23:23" ht="12.75" customHeight="1">
      <c r="W156" s="514"/>
    </row>
    <row r="157" spans="23:23" ht="12.75" customHeight="1">
      <c r="W157" s="514"/>
    </row>
    <row r="161" spans="23:23" ht="12.75" customHeight="1">
      <c r="W161" s="514"/>
    </row>
    <row r="164" spans="23:23" ht="12.75" customHeight="1">
      <c r="W164" s="514"/>
    </row>
    <row r="165" spans="23:23" ht="12.75" customHeight="1">
      <c r="W165" s="514"/>
    </row>
    <row r="166" spans="23:23" ht="12.75" customHeight="1">
      <c r="W166" s="514"/>
    </row>
    <row r="167" spans="23:23" ht="12.75" customHeight="1">
      <c r="W167" s="514"/>
    </row>
    <row r="172" spans="23:23" ht="12.75" customHeight="1">
      <c r="W172" s="514"/>
    </row>
    <row r="173" spans="23:23" ht="12.75" customHeight="1">
      <c r="W173" s="514"/>
    </row>
    <row r="174" spans="23:23" ht="12.75" customHeight="1">
      <c r="W174" s="514"/>
    </row>
    <row r="175" spans="23:23" ht="12.75" customHeight="1">
      <c r="W175" s="514"/>
    </row>
    <row r="176" spans="23:23" ht="12.75" customHeight="1">
      <c r="W176" s="514"/>
    </row>
    <row r="177" spans="23:23" ht="12.75" customHeight="1">
      <c r="W177" s="514"/>
    </row>
    <row r="178" spans="23:23" ht="12.75" customHeight="1">
      <c r="W178" s="514"/>
    </row>
    <row r="179" spans="23:23" ht="12.75" customHeight="1">
      <c r="W179" s="514"/>
    </row>
    <row r="180" spans="23:23" ht="12.75" customHeight="1">
      <c r="W180" s="514"/>
    </row>
    <row r="181" spans="23:23" ht="12.75" customHeight="1">
      <c r="W181" s="514"/>
    </row>
    <row r="182" spans="23:23" ht="12.75" customHeight="1">
      <c r="W182" s="514"/>
    </row>
    <row r="183" spans="23:23" ht="12.75" customHeight="1">
      <c r="W183" s="514"/>
    </row>
    <row r="184" spans="23:23" ht="12.75" customHeight="1">
      <c r="W184" s="514"/>
    </row>
    <row r="185" spans="23:23" ht="12.75" customHeight="1">
      <c r="W185" s="514"/>
    </row>
    <row r="186" spans="23:23" ht="12.75" customHeight="1">
      <c r="W186" s="514"/>
    </row>
    <row r="187" spans="23:23" ht="12.75" customHeight="1">
      <c r="W187" s="514"/>
    </row>
    <row r="194" spans="23:23" ht="12.75" customHeight="1">
      <c r="W194" s="514"/>
    </row>
    <row r="195" spans="23:23" ht="12.75" customHeight="1">
      <c r="W195" s="514"/>
    </row>
    <row r="196" spans="23:23" ht="12.75" customHeight="1">
      <c r="W196" s="514"/>
    </row>
    <row r="197" spans="23:23" ht="12.75" customHeight="1">
      <c r="W197" s="514"/>
    </row>
    <row r="198" spans="23:23" ht="12.75" customHeight="1">
      <c r="W198" s="514"/>
    </row>
    <row r="200" spans="23:23" ht="12.75" customHeight="1">
      <c r="W200" s="514"/>
    </row>
    <row r="201" spans="23:23" ht="12.75" customHeight="1">
      <c r="W201" s="514"/>
    </row>
    <row r="202" spans="23:23" ht="12.75" customHeight="1">
      <c r="W202" s="514"/>
    </row>
    <row r="203" spans="23:23" ht="12.75" customHeight="1">
      <c r="W203" s="514"/>
    </row>
    <row r="204" spans="23:23" ht="12.75" customHeight="1">
      <c r="W204" s="514"/>
    </row>
    <row r="206" spans="23:23" ht="12.75" customHeight="1">
      <c r="W206" s="514"/>
    </row>
    <row r="207" spans="23:23" ht="12.75" customHeight="1">
      <c r="W207" s="514"/>
    </row>
    <row r="208" spans="23:23" ht="12.75" customHeight="1">
      <c r="W208" s="514"/>
    </row>
    <row r="209" spans="23:23" ht="12.75" customHeight="1">
      <c r="W209" s="514"/>
    </row>
    <row r="210" spans="23:23" ht="12.75" customHeight="1">
      <c r="W210" s="514"/>
    </row>
    <row r="212" spans="23:23" ht="12.75" customHeight="1">
      <c r="W212" s="514"/>
    </row>
    <row r="213" spans="23:23" ht="12.75" customHeight="1">
      <c r="W213" s="514"/>
    </row>
    <row r="214" spans="23:23" ht="12.75" customHeight="1">
      <c r="W214" s="514"/>
    </row>
    <row r="215" spans="23:23" ht="12.75" customHeight="1">
      <c r="W215" s="514"/>
    </row>
    <row r="216" spans="23:23" ht="12.75" customHeight="1">
      <c r="W216" s="514"/>
    </row>
    <row r="218" spans="23:23" ht="12.75" customHeight="1">
      <c r="W218" s="514"/>
    </row>
    <row r="219" spans="23:23" ht="12.75" customHeight="1">
      <c r="W219" s="514"/>
    </row>
    <row r="220" spans="23:23" ht="12.75" customHeight="1">
      <c r="W220" s="514"/>
    </row>
    <row r="221" spans="23:23" ht="12.75" customHeight="1">
      <c r="W221" s="514"/>
    </row>
    <row r="222" spans="23:23" ht="12.75" customHeight="1">
      <c r="W222" s="514"/>
    </row>
    <row r="224" spans="23:23" ht="12.75" customHeight="1">
      <c r="W224" s="514"/>
    </row>
    <row r="225" spans="23:23" ht="12.75" customHeight="1">
      <c r="W225" s="514"/>
    </row>
    <row r="226" spans="23:23" ht="12.75" customHeight="1">
      <c r="W226" s="514"/>
    </row>
    <row r="227" spans="23:23" ht="12.75" customHeight="1">
      <c r="W227" s="514"/>
    </row>
    <row r="228" spans="23:23" ht="12.75" customHeight="1">
      <c r="W228" s="514"/>
    </row>
    <row r="230" spans="23:23" ht="12.75" customHeight="1">
      <c r="W230" s="514"/>
    </row>
    <row r="231" spans="23:23" ht="12.75" customHeight="1">
      <c r="W231" s="514"/>
    </row>
    <row r="232" spans="23:23" ht="12.75" customHeight="1">
      <c r="W232" s="514"/>
    </row>
    <row r="233" spans="23:23" ht="12.75" customHeight="1">
      <c r="W233" s="514"/>
    </row>
    <row r="234" spans="23:23" ht="12.75" customHeight="1">
      <c r="W234" s="514"/>
    </row>
    <row r="236" spans="23:23" ht="12.75" customHeight="1">
      <c r="W236" s="514"/>
    </row>
    <row r="237" spans="23:23" ht="12.75" customHeight="1">
      <c r="W237" s="514"/>
    </row>
    <row r="238" spans="23:23" ht="12.75" customHeight="1">
      <c r="W238" s="514"/>
    </row>
    <row r="239" spans="23:23" ht="12.75" customHeight="1">
      <c r="W239" s="514"/>
    </row>
    <row r="240" spans="23:23" ht="12.75" customHeight="1">
      <c r="W240" s="514"/>
    </row>
    <row r="255" spans="23:23" ht="12.75" customHeight="1">
      <c r="W255" s="514"/>
    </row>
    <row r="256" spans="23:23" ht="12.75" customHeight="1">
      <c r="W256" s="514"/>
    </row>
    <row r="257" spans="23:23" ht="12.75" customHeight="1">
      <c r="W257" s="514"/>
    </row>
    <row r="258" spans="23:23" ht="12.75" customHeight="1">
      <c r="W258" s="514"/>
    </row>
    <row r="259" spans="23:23" ht="12.75" customHeight="1">
      <c r="W259" s="514"/>
    </row>
    <row r="264" spans="23:23" ht="12.75" customHeight="1">
      <c r="W264" s="514"/>
    </row>
    <row r="265" spans="23:23" ht="12.75" customHeight="1">
      <c r="W265" s="514"/>
    </row>
    <row r="266" spans="23:23" ht="12.75" customHeight="1">
      <c r="W266" s="514"/>
    </row>
    <row r="267" spans="23:23" ht="12.75" customHeight="1">
      <c r="W267" s="514"/>
    </row>
    <row r="268" spans="23:23" ht="12.75" customHeight="1">
      <c r="W268" s="514"/>
    </row>
    <row r="269" spans="23:23" ht="12.75" customHeight="1">
      <c r="W269" s="514"/>
    </row>
    <row r="270" spans="23:23" ht="12.75" customHeight="1">
      <c r="W270" s="514"/>
    </row>
    <row r="271" spans="23:23" ht="12.75" customHeight="1">
      <c r="W271" s="514"/>
    </row>
    <row r="272" spans="23:23" ht="12.75" customHeight="1">
      <c r="W272" s="514"/>
    </row>
    <row r="273" spans="23:23" ht="12.75" customHeight="1">
      <c r="W273" s="514"/>
    </row>
    <row r="274" spans="23:23" ht="12.75" customHeight="1">
      <c r="W274" s="514"/>
    </row>
    <row r="275" spans="23:23" ht="12.75" customHeight="1">
      <c r="W275" s="514"/>
    </row>
    <row r="276" spans="23:23" ht="12.75" customHeight="1">
      <c r="W276" s="514"/>
    </row>
    <row r="277" spans="23:23" ht="12.75" customHeight="1">
      <c r="W277" s="514"/>
    </row>
    <row r="278" spans="23:23" ht="12.75" customHeight="1">
      <c r="W278" s="514"/>
    </row>
    <row r="279" spans="23:23" ht="12.75" customHeight="1">
      <c r="W279" s="514"/>
    </row>
    <row r="280" spans="23:23" ht="12.75" customHeight="1">
      <c r="W280" s="514"/>
    </row>
    <row r="281" spans="23:23" ht="12.75" customHeight="1">
      <c r="W281" s="514"/>
    </row>
    <row r="282" spans="23:23" ht="12.75" customHeight="1">
      <c r="W282" s="514"/>
    </row>
    <row r="283" spans="23:23" ht="12.75" customHeight="1">
      <c r="W283" s="514"/>
    </row>
    <row r="284" spans="23:23" ht="12.75" customHeight="1">
      <c r="W284" s="514"/>
    </row>
    <row r="285" spans="23:23" ht="12.75" customHeight="1">
      <c r="W285" s="514"/>
    </row>
    <row r="286" spans="23:23" ht="12.75" customHeight="1">
      <c r="W286" s="514"/>
    </row>
    <row r="287" spans="23:23" ht="12.75" customHeight="1">
      <c r="W287" s="514"/>
    </row>
    <row r="288" spans="23:23" ht="12.75" customHeight="1">
      <c r="W288" s="514"/>
    </row>
    <row r="289" spans="23:23" ht="12.75" customHeight="1">
      <c r="W289" s="514"/>
    </row>
    <row r="290" spans="23:23" ht="12.75" customHeight="1">
      <c r="W290" s="514"/>
    </row>
    <row r="291" spans="23:23" ht="12.75" customHeight="1">
      <c r="W291" s="514"/>
    </row>
    <row r="292" spans="23:23" ht="12.75" customHeight="1">
      <c r="W292" s="514"/>
    </row>
    <row r="293" spans="23:23" ht="12.75" customHeight="1">
      <c r="W293" s="514"/>
    </row>
    <row r="294" spans="23:23" ht="12.75" customHeight="1">
      <c r="W294" s="514"/>
    </row>
    <row r="295" spans="23:23" ht="12.75" customHeight="1">
      <c r="W295" s="514"/>
    </row>
    <row r="296" spans="23:23" ht="12.75" customHeight="1">
      <c r="W296" s="514"/>
    </row>
    <row r="303" spans="23:23" ht="12.75" customHeight="1">
      <c r="W303" s="514"/>
    </row>
    <row r="307" spans="23:23" ht="12.75" customHeight="1">
      <c r="W307" s="514"/>
    </row>
    <row r="308" spans="23:23" ht="12.75" customHeight="1">
      <c r="W308" s="514"/>
    </row>
    <row r="309" spans="23:23" ht="12.75" customHeight="1">
      <c r="W309" s="514"/>
    </row>
    <row r="310" spans="23:23" ht="12.75" customHeight="1">
      <c r="W310" s="514"/>
    </row>
    <row r="311" spans="23:23" ht="12.75" customHeight="1">
      <c r="W311" s="514"/>
    </row>
    <row r="312" spans="23:23" ht="12.75" customHeight="1">
      <c r="W312" s="514"/>
    </row>
    <row r="314" spans="23:23" ht="12.75" customHeight="1">
      <c r="W314" s="514"/>
    </row>
    <row r="315" spans="23:23" ht="12.75" customHeight="1">
      <c r="W315" s="514"/>
    </row>
    <row r="316" spans="23:23" ht="12.75" customHeight="1">
      <c r="W316" s="514"/>
    </row>
    <row r="317" spans="23:23" ht="12.75" customHeight="1">
      <c r="W317" s="514"/>
    </row>
    <row r="318" spans="23:23" ht="12.75" customHeight="1">
      <c r="W318" s="514"/>
    </row>
    <row r="319" spans="23:23" ht="12.75" customHeight="1">
      <c r="W319" s="514"/>
    </row>
    <row r="320" spans="23:23" ht="12.75" customHeight="1">
      <c r="W320" s="514"/>
    </row>
    <row r="321" spans="23:23" ht="12.75" customHeight="1">
      <c r="W321" s="514"/>
    </row>
    <row r="322" spans="23:23" ht="12.75" customHeight="1">
      <c r="W322" s="514"/>
    </row>
    <row r="326" spans="23:23" ht="12.75" customHeight="1">
      <c r="W326" s="514"/>
    </row>
    <row r="327" spans="23:23" ht="12.75" customHeight="1">
      <c r="W327" s="514"/>
    </row>
    <row r="328" spans="23:23" ht="12.75" customHeight="1">
      <c r="W328" s="514"/>
    </row>
    <row r="329" spans="23:23" ht="12.75" customHeight="1">
      <c r="W329" s="514"/>
    </row>
    <row r="330" spans="23:23" ht="12.75" customHeight="1">
      <c r="W330" s="514"/>
    </row>
    <row r="331" spans="23:23" ht="12.75" customHeight="1">
      <c r="W331" s="514"/>
    </row>
    <row r="332" spans="23:23" ht="12.75" customHeight="1">
      <c r="W332" s="514"/>
    </row>
    <row r="350" spans="23:23" ht="12.75" customHeight="1">
      <c r="W350" s="514"/>
    </row>
    <row r="351" spans="23:23" ht="12.75" customHeight="1">
      <c r="W351" s="514"/>
    </row>
    <row r="353" spans="23:23" ht="12.75" customHeight="1">
      <c r="W353" s="514"/>
    </row>
    <row r="354" spans="23:23" ht="12.75" customHeight="1">
      <c r="W354" s="514"/>
    </row>
    <row r="357" spans="23:23" ht="12.75" customHeight="1">
      <c r="W357" s="514"/>
    </row>
    <row r="359" spans="23:23" ht="12.75" customHeight="1">
      <c r="W359" s="514"/>
    </row>
    <row r="360" spans="23:23" ht="12.75" customHeight="1">
      <c r="W360" s="514"/>
    </row>
    <row r="361" spans="23:23" ht="12.75" customHeight="1">
      <c r="W361" s="514"/>
    </row>
    <row r="362" spans="23:23" ht="12.75" customHeight="1">
      <c r="W362" s="514"/>
    </row>
    <row r="363" spans="23:23" ht="12.75" customHeight="1">
      <c r="W363" s="514"/>
    </row>
    <row r="368" spans="23:23" ht="12.75" customHeight="1">
      <c r="W368" s="514"/>
    </row>
    <row r="369" spans="23:23" ht="12.75" customHeight="1">
      <c r="W369" s="514"/>
    </row>
    <row r="370" spans="23:23" ht="12.75" customHeight="1">
      <c r="W370" s="514"/>
    </row>
    <row r="371" spans="23:23" ht="12.75" customHeight="1">
      <c r="W371" s="514"/>
    </row>
    <row r="372" spans="23:23" ht="12.75" customHeight="1">
      <c r="W372" s="514"/>
    </row>
    <row r="377" spans="23:23" ht="12.75" customHeight="1">
      <c r="W377" s="514"/>
    </row>
    <row r="378" spans="23:23" ht="12.75" customHeight="1">
      <c r="W378" s="514"/>
    </row>
    <row r="379" spans="23:23" ht="12.75" customHeight="1">
      <c r="W379" s="514"/>
    </row>
    <row r="380" spans="23:23" ht="12.75" customHeight="1">
      <c r="W380" s="514"/>
    </row>
    <row r="381" spans="23:23" ht="12.75" customHeight="1">
      <c r="W381" s="514"/>
    </row>
    <row r="383" spans="23:23" ht="12.75" customHeight="1">
      <c r="W383" s="514"/>
    </row>
    <row r="384" spans="23:23" ht="12.75" customHeight="1">
      <c r="W384" s="514"/>
    </row>
    <row r="385" spans="23:23" ht="12.75" customHeight="1">
      <c r="W385" s="514"/>
    </row>
    <row r="386" spans="23:23" ht="12.75" customHeight="1">
      <c r="W386" s="514"/>
    </row>
    <row r="387" spans="23:23" ht="12.75" customHeight="1">
      <c r="W387" s="514"/>
    </row>
    <row r="395" spans="23:23" ht="12.75" customHeight="1">
      <c r="W395" s="514"/>
    </row>
    <row r="396" spans="23:23" ht="12.75" customHeight="1">
      <c r="W396" s="514"/>
    </row>
    <row r="397" spans="23:23" ht="12.75" customHeight="1">
      <c r="W397" s="514"/>
    </row>
    <row r="399" spans="23:23" ht="12.75" customHeight="1">
      <c r="W399" s="514"/>
    </row>
    <row r="400" spans="23:23" ht="12.75" customHeight="1">
      <c r="W400" s="514"/>
    </row>
    <row r="401" spans="23:23" ht="12.75" customHeight="1">
      <c r="W401" s="514"/>
    </row>
    <row r="402" spans="23:23" ht="12.75" customHeight="1">
      <c r="W402" s="514"/>
    </row>
    <row r="403" spans="23:23" ht="12.75" customHeight="1">
      <c r="W403" s="514"/>
    </row>
    <row r="404" spans="23:23" ht="12.75" customHeight="1">
      <c r="W404" s="514"/>
    </row>
    <row r="405" spans="23:23" ht="12.75" customHeight="1">
      <c r="W405" s="514"/>
    </row>
    <row r="406" spans="23:23" ht="12.75" customHeight="1">
      <c r="W406" s="514"/>
    </row>
    <row r="407" spans="23:23" ht="12.75" customHeight="1">
      <c r="W407" s="514"/>
    </row>
    <row r="408" spans="23:23" ht="12.75" customHeight="1">
      <c r="W408" s="514"/>
    </row>
    <row r="409" spans="23:23" ht="12.75" customHeight="1">
      <c r="W409" s="514"/>
    </row>
    <row r="410" spans="23:23" ht="12.75" customHeight="1">
      <c r="W410" s="514"/>
    </row>
    <row r="411" spans="23:23" ht="12.75" customHeight="1">
      <c r="W411" s="514"/>
    </row>
    <row r="412" spans="23:23" ht="12.75" customHeight="1">
      <c r="W412" s="514"/>
    </row>
    <row r="413" spans="23:23" ht="12.75" customHeight="1">
      <c r="W413" s="514"/>
    </row>
    <row r="414" spans="23:23" ht="12.75" customHeight="1">
      <c r="W414" s="514"/>
    </row>
    <row r="415" spans="23:23" ht="12.75" customHeight="1">
      <c r="W415" s="514"/>
    </row>
    <row r="416" spans="23:23" ht="12.75" customHeight="1">
      <c r="W416" s="514"/>
    </row>
    <row r="417" spans="23:23" ht="12.75" customHeight="1">
      <c r="W417" s="514"/>
    </row>
    <row r="418" spans="23:23" ht="12.75" customHeight="1">
      <c r="W418" s="514"/>
    </row>
    <row r="419" spans="23:23" ht="12.75" customHeight="1">
      <c r="W419" s="514"/>
    </row>
    <row r="420" spans="23:23" ht="12.75" customHeight="1">
      <c r="W420" s="514"/>
    </row>
    <row r="421" spans="23:23" ht="12.75" customHeight="1">
      <c r="W421" s="514"/>
    </row>
    <row r="422" spans="23:23" ht="12.75" customHeight="1">
      <c r="W422" s="514"/>
    </row>
    <row r="423" spans="23:23" ht="12.75" customHeight="1">
      <c r="W423" s="514"/>
    </row>
    <row r="424" spans="23:23" ht="12.75" customHeight="1">
      <c r="W424" s="514"/>
    </row>
    <row r="425" spans="23:23" ht="12.75" customHeight="1">
      <c r="W425" s="514"/>
    </row>
    <row r="426" spans="23:23" ht="12.75" customHeight="1">
      <c r="W426" s="514"/>
    </row>
    <row r="427" spans="23:23" ht="12.75" customHeight="1">
      <c r="W427" s="514"/>
    </row>
    <row r="430" spans="23:23" ht="12.75" customHeight="1">
      <c r="W430" s="514"/>
    </row>
    <row r="437" spans="23:23" ht="12.75" customHeight="1">
      <c r="W437" s="514"/>
    </row>
    <row r="438" spans="23:23" ht="12.75" customHeight="1">
      <c r="W438" s="514"/>
    </row>
    <row r="439" spans="23:23" ht="12.75" customHeight="1">
      <c r="W439" s="514"/>
    </row>
    <row r="440" spans="23:23" ht="12.75" customHeight="1">
      <c r="W440" s="514"/>
    </row>
    <row r="441" spans="23:23" ht="12.75" customHeight="1">
      <c r="W441" s="514"/>
    </row>
    <row r="442" spans="23:23" ht="12.75" customHeight="1">
      <c r="W442" s="514"/>
    </row>
    <row r="443" spans="23:23" ht="12.75" customHeight="1">
      <c r="W443" s="514"/>
    </row>
    <row r="444" spans="23:23" ht="12.75" customHeight="1">
      <c r="W444" s="514"/>
    </row>
    <row r="445" spans="23:23" ht="12.75" customHeight="1">
      <c r="W445" s="514"/>
    </row>
    <row r="446" spans="23:23" ht="12.75" customHeight="1">
      <c r="W446" s="514"/>
    </row>
    <row r="447" spans="23:23" ht="12.75" customHeight="1">
      <c r="W447" s="514"/>
    </row>
    <row r="448" spans="23:23" ht="12.75" customHeight="1">
      <c r="W448" s="514"/>
    </row>
    <row r="461" spans="23:23" ht="12.75" customHeight="1">
      <c r="W461" s="514"/>
    </row>
    <row r="462" spans="23:23" ht="12.75" customHeight="1">
      <c r="W462" s="514"/>
    </row>
    <row r="463" spans="23:23" ht="12.75" customHeight="1">
      <c r="W463" s="514"/>
    </row>
    <row r="469" spans="23:23" ht="12.75" customHeight="1">
      <c r="W469" s="514"/>
    </row>
    <row r="472" spans="23:23" ht="12.75" customHeight="1">
      <c r="W472" s="514"/>
    </row>
    <row r="473" spans="23:23" ht="12.75" customHeight="1">
      <c r="W473" s="514"/>
    </row>
    <row r="474" spans="23:23" ht="12.75" customHeight="1">
      <c r="W474" s="514"/>
    </row>
    <row r="475" spans="23:23" ht="12.75" customHeight="1">
      <c r="W475" s="514"/>
    </row>
    <row r="476" spans="23:23" ht="12.75" customHeight="1">
      <c r="W476" s="514"/>
    </row>
    <row r="477" spans="23:23" ht="12.75" customHeight="1">
      <c r="W477" s="514"/>
    </row>
    <row r="478" spans="23:23" ht="12.75" customHeight="1">
      <c r="W478" s="514"/>
    </row>
    <row r="479" spans="23:23" ht="12.75" customHeight="1">
      <c r="W479" s="514"/>
    </row>
    <row r="480" spans="23:23" ht="12.75" customHeight="1">
      <c r="W480" s="514"/>
    </row>
    <row r="481" spans="23:23" ht="12.75" customHeight="1">
      <c r="W481" s="514"/>
    </row>
    <row r="482" spans="23:23" ht="12.75" customHeight="1">
      <c r="W482" s="514"/>
    </row>
    <row r="483" spans="23:23" ht="12.75" customHeight="1">
      <c r="W483" s="514"/>
    </row>
    <row r="484" spans="23:23" ht="12.75" customHeight="1">
      <c r="W484" s="514"/>
    </row>
    <row r="485" spans="23:23" ht="12.75" customHeight="1">
      <c r="W485" s="514"/>
    </row>
    <row r="486" spans="23:23" ht="12.75" customHeight="1">
      <c r="W486" s="514"/>
    </row>
    <row r="487" spans="23:23" ht="12.75" customHeight="1">
      <c r="W487" s="514"/>
    </row>
    <row r="488" spans="23:23" ht="12.75" customHeight="1">
      <c r="W488" s="514"/>
    </row>
    <row r="489" spans="23:23" ht="12.75" customHeight="1">
      <c r="W489" s="514"/>
    </row>
    <row r="492" spans="23:23" ht="12.75" customHeight="1">
      <c r="W492" s="514"/>
    </row>
    <row r="493" spans="23:23" ht="12.75" customHeight="1">
      <c r="W493" s="514"/>
    </row>
    <row r="494" spans="23:23" ht="12.75" customHeight="1">
      <c r="W494" s="514"/>
    </row>
    <row r="495" spans="23:23" ht="12.75" customHeight="1">
      <c r="W495" s="514"/>
    </row>
    <row r="501" spans="23:23" ht="12.75" customHeight="1">
      <c r="W501" s="514"/>
    </row>
    <row r="502" spans="23:23" ht="12.75" customHeight="1">
      <c r="W502" s="514"/>
    </row>
    <row r="503" spans="23:23" ht="12.75" customHeight="1">
      <c r="W503" s="514"/>
    </row>
    <row r="504" spans="23:23" ht="12.75" customHeight="1">
      <c r="W504" s="514"/>
    </row>
    <row r="505" spans="23:23" ht="12.75" customHeight="1">
      <c r="W505" s="514"/>
    </row>
    <row r="506" spans="23:23" ht="12.75" customHeight="1">
      <c r="W506" s="514"/>
    </row>
    <row r="507" spans="23:23" ht="12.75" customHeight="1">
      <c r="W507" s="514"/>
    </row>
    <row r="508" spans="23:23" ht="12.75" customHeight="1">
      <c r="W508" s="514"/>
    </row>
    <row r="509" spans="23:23" ht="12.75" customHeight="1">
      <c r="W509" s="514"/>
    </row>
    <row r="510" spans="23:23" ht="12.75" customHeight="1">
      <c r="W510" s="514"/>
    </row>
    <row r="513" spans="23:23" ht="12.75" customHeight="1">
      <c r="W513" s="514"/>
    </row>
    <row r="515" spans="23:23" ht="12.75" customHeight="1">
      <c r="W515" s="514"/>
    </row>
    <row r="516" spans="23:23" ht="12.75" customHeight="1">
      <c r="W516" s="514"/>
    </row>
    <row r="517" spans="23:23" ht="12.75" customHeight="1">
      <c r="W517" s="514"/>
    </row>
    <row r="518" spans="23:23" ht="12.75" customHeight="1">
      <c r="W518" s="514"/>
    </row>
    <row r="519" spans="23:23" ht="12.75" customHeight="1">
      <c r="W519" s="514"/>
    </row>
    <row r="520" spans="23:23" ht="12.75" customHeight="1">
      <c r="W520" s="514"/>
    </row>
    <row r="521" spans="23:23" ht="12.75" customHeight="1">
      <c r="W521" s="514"/>
    </row>
    <row r="522" spans="23:23" ht="12.75" customHeight="1">
      <c r="W522" s="514"/>
    </row>
    <row r="523" spans="23:23" ht="12.75" customHeight="1">
      <c r="W523" s="514"/>
    </row>
    <row r="525" spans="23:23" ht="12.75" customHeight="1">
      <c r="W525" s="514"/>
    </row>
    <row r="532" spans="23:23" ht="12.75" customHeight="1">
      <c r="W532" s="514"/>
    </row>
    <row r="533" spans="23:23" ht="12.75" customHeight="1">
      <c r="W533" s="514"/>
    </row>
    <row r="534" spans="23:23" ht="12.75" customHeight="1">
      <c r="W534" s="514"/>
    </row>
    <row r="535" spans="23:23" ht="12.75" customHeight="1">
      <c r="W535" s="514"/>
    </row>
    <row r="536" spans="23:23" ht="12.75" customHeight="1">
      <c r="W536" s="514"/>
    </row>
    <row r="537" spans="23:23" ht="12.75" customHeight="1">
      <c r="W537" s="514"/>
    </row>
    <row r="538" spans="23:23" ht="12.75" customHeight="1">
      <c r="W538" s="514"/>
    </row>
    <row r="540" spans="23:23" ht="12.75" customHeight="1">
      <c r="W540" s="514"/>
    </row>
    <row r="541" spans="23:23" ht="12.75" customHeight="1">
      <c r="W541" s="514"/>
    </row>
    <row r="542" spans="23:23" ht="12.75" customHeight="1">
      <c r="W542" s="514"/>
    </row>
    <row r="543" spans="23:23" ht="12.75" customHeight="1">
      <c r="W543" s="514"/>
    </row>
    <row r="544" spans="23:23" ht="12.75" customHeight="1">
      <c r="W544" s="514"/>
    </row>
    <row r="545" spans="23:23" ht="12.75" customHeight="1">
      <c r="W545" s="514"/>
    </row>
    <row r="546" spans="23:23" ht="12.75" customHeight="1">
      <c r="W546" s="514"/>
    </row>
    <row r="547" spans="23:23" ht="12.75" customHeight="1">
      <c r="W547" s="514"/>
    </row>
    <row r="548" spans="23:23" ht="12.75" customHeight="1">
      <c r="W548" s="514"/>
    </row>
    <row r="549" spans="23:23" ht="12.75" customHeight="1">
      <c r="W549" s="514"/>
    </row>
    <row r="550" spans="23:23" ht="12.75" customHeight="1">
      <c r="W550" s="514"/>
    </row>
    <row r="551" spans="23:23" ht="12.75" customHeight="1">
      <c r="W551" s="514"/>
    </row>
    <row r="552" spans="23:23" ht="12.75" customHeight="1">
      <c r="W552" s="514"/>
    </row>
    <row r="553" spans="23:23" ht="12.75" customHeight="1">
      <c r="W553" s="514"/>
    </row>
    <row r="554" spans="23:23" ht="12.75" customHeight="1">
      <c r="W554" s="514"/>
    </row>
    <row r="555" spans="23:23" ht="12.75" customHeight="1">
      <c r="W555" s="514"/>
    </row>
    <row r="556" spans="23:23" ht="12.75" customHeight="1">
      <c r="W556" s="514"/>
    </row>
    <row r="557" spans="23:23" ht="12.75" customHeight="1">
      <c r="W557" s="514"/>
    </row>
    <row r="558" spans="23:23" ht="12.75" customHeight="1">
      <c r="W558" s="514"/>
    </row>
    <row r="559" spans="23:23" ht="12.75" customHeight="1">
      <c r="W559" s="514"/>
    </row>
    <row r="560" spans="23:23" ht="12.75" customHeight="1">
      <c r="W560" s="514"/>
    </row>
    <row r="561" spans="23:23" ht="12.75" customHeight="1">
      <c r="W561" s="514"/>
    </row>
    <row r="562" spans="23:23" ht="12.75" customHeight="1">
      <c r="W562" s="514"/>
    </row>
    <row r="563" spans="23:23" ht="12.75" customHeight="1">
      <c r="W563" s="514"/>
    </row>
    <row r="564" spans="23:23" ht="12.75" customHeight="1">
      <c r="W564" s="514"/>
    </row>
    <row r="565" spans="23:23" ht="12.75" customHeight="1">
      <c r="W565" s="514"/>
    </row>
    <row r="566" spans="23:23" ht="12.75" customHeight="1">
      <c r="W566" s="514"/>
    </row>
    <row r="567" spans="23:23" ht="12.75" customHeight="1">
      <c r="W567" s="514"/>
    </row>
    <row r="571" spans="23:23" ht="12.75" customHeight="1">
      <c r="W571" s="514"/>
    </row>
    <row r="572" spans="23:23" ht="12.75" customHeight="1">
      <c r="W572" s="514"/>
    </row>
    <row r="573" spans="23:23" ht="12.75" customHeight="1">
      <c r="W573" s="514"/>
    </row>
    <row r="574" spans="23:23" ht="12.75" customHeight="1">
      <c r="W574" s="514"/>
    </row>
    <row r="575" spans="23:23" ht="12.75" customHeight="1">
      <c r="W575" s="514"/>
    </row>
    <row r="577" spans="23:23" ht="12.75" customHeight="1">
      <c r="W577" s="514"/>
    </row>
    <row r="578" spans="23:23" ht="12.75" customHeight="1">
      <c r="W578" s="514"/>
    </row>
    <row r="579" spans="23:23" ht="12.75" customHeight="1">
      <c r="W579" s="514"/>
    </row>
    <row r="580" spans="23:23" ht="12.75" customHeight="1">
      <c r="W580" s="514"/>
    </row>
    <row r="581" spans="23:23" ht="12.75" customHeight="1">
      <c r="W581" s="514"/>
    </row>
    <row r="582" spans="23:23" ht="12.75" customHeight="1">
      <c r="W582" s="514"/>
    </row>
    <row r="583" spans="23:23" ht="12.75" customHeight="1">
      <c r="W583" s="514"/>
    </row>
    <row r="584" spans="23:23" ht="12.75" customHeight="1">
      <c r="W584" s="514"/>
    </row>
    <row r="585" spans="23:23" ht="12.75" customHeight="1">
      <c r="W585" s="514"/>
    </row>
    <row r="586" spans="23:23" ht="12.75" customHeight="1">
      <c r="W586" s="514"/>
    </row>
    <row r="587" spans="23:23" ht="12.75" customHeight="1">
      <c r="W587" s="514"/>
    </row>
    <row r="588" spans="23:23" ht="12.75" customHeight="1">
      <c r="W588" s="514"/>
    </row>
    <row r="589" spans="23:23" ht="12.75" customHeight="1">
      <c r="W589" s="514"/>
    </row>
    <row r="590" spans="23:23" ht="12.75" customHeight="1">
      <c r="W590" s="514"/>
    </row>
    <row r="591" spans="23:23" ht="12.75" customHeight="1">
      <c r="W591" s="514"/>
    </row>
    <row r="592" spans="23:23" ht="12.75" customHeight="1">
      <c r="W592" s="514"/>
    </row>
    <row r="593" spans="23:23" ht="12.75" customHeight="1">
      <c r="W593" s="514"/>
    </row>
    <row r="594" spans="23:23" ht="12.75" customHeight="1">
      <c r="W594" s="514"/>
    </row>
    <row r="595" spans="23:23" ht="12.75" customHeight="1">
      <c r="W595" s="514"/>
    </row>
    <row r="601" spans="23:23" ht="12.75" customHeight="1">
      <c r="W601" s="514"/>
    </row>
    <row r="602" spans="23:23" ht="12.75" customHeight="1">
      <c r="W602" s="514"/>
    </row>
    <row r="603" spans="23:23" ht="12.75" customHeight="1">
      <c r="W603" s="514"/>
    </row>
    <row r="604" spans="23:23" ht="12.75" customHeight="1">
      <c r="W604" s="514"/>
    </row>
    <row r="606" spans="23:23" ht="12.75" customHeight="1">
      <c r="W606" s="514"/>
    </row>
    <row r="607" spans="23:23" ht="12.75" customHeight="1">
      <c r="W607" s="514"/>
    </row>
    <row r="609" spans="23:23" ht="12.75" customHeight="1">
      <c r="W609" s="514"/>
    </row>
    <row r="612" spans="23:23" ht="12.75" customHeight="1">
      <c r="W612" s="514"/>
    </row>
    <row r="613" spans="23:23" ht="12.75" customHeight="1">
      <c r="W613" s="514"/>
    </row>
    <row r="614" spans="23:23" ht="12.75" customHeight="1">
      <c r="W614" s="514"/>
    </row>
    <row r="633" spans="23:23" ht="12.75" customHeight="1">
      <c r="W633" s="514"/>
    </row>
    <row r="634" spans="23:23" ht="12.75" customHeight="1">
      <c r="W634" s="514"/>
    </row>
    <row r="635" spans="23:23" ht="12.75" customHeight="1">
      <c r="W635" s="514"/>
    </row>
    <row r="636" spans="23:23" ht="12.75" customHeight="1">
      <c r="W636" s="514"/>
    </row>
    <row r="637" spans="23:23" ht="12.75" customHeight="1">
      <c r="W637" s="514"/>
    </row>
    <row r="638" spans="23:23" ht="12.75" customHeight="1">
      <c r="W638" s="514"/>
    </row>
    <row r="640" spans="23:23" ht="12.75" customHeight="1">
      <c r="W640" s="514"/>
    </row>
    <row r="641" spans="23:23" ht="12.75" customHeight="1">
      <c r="W641" s="514"/>
    </row>
  </sheetData>
  <sortState xmlns:xlrd2="http://schemas.microsoft.com/office/spreadsheetml/2017/richdata2" ref="A3:DA15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458</v>
      </c>
    </row>
    <row r="2" spans="1:2">
      <c r="A2" s="464">
        <v>1</v>
      </c>
      <c r="B2" s="433" t="s">
        <v>457</v>
      </c>
    </row>
    <row r="3" spans="1:2">
      <c r="A3" s="464">
        <v>2</v>
      </c>
      <c r="B3" s="433" t="s">
        <v>456</v>
      </c>
    </row>
    <row r="4" spans="1:2">
      <c r="A4" s="464">
        <v>3</v>
      </c>
      <c r="B4" s="433" t="s">
        <v>592</v>
      </c>
    </row>
    <row r="5" spans="1:2">
      <c r="A5" s="464">
        <v>4</v>
      </c>
      <c r="B5" s="433" t="s">
        <v>593</v>
      </c>
    </row>
    <row r="6" spans="1:2">
      <c r="A6" s="464">
        <v>5</v>
      </c>
      <c r="B6" s="433" t="s">
        <v>531</v>
      </c>
    </row>
    <row r="7" spans="1:2">
      <c r="A7" s="464">
        <v>6</v>
      </c>
      <c r="B7" s="433" t="s">
        <v>532</v>
      </c>
    </row>
    <row r="8" spans="1:2">
      <c r="A8" s="464">
        <v>7</v>
      </c>
      <c r="B8" s="433" t="s">
        <v>533</v>
      </c>
    </row>
    <row r="9" spans="1:2">
      <c r="A9" s="464">
        <v>8</v>
      </c>
      <c r="B9" s="433" t="s">
        <v>534</v>
      </c>
    </row>
    <row r="10" spans="1:2">
      <c r="A10" s="464">
        <v>9</v>
      </c>
      <c r="B10" s="433" t="s">
        <v>535</v>
      </c>
    </row>
    <row r="11" spans="1:2">
      <c r="A11" s="464">
        <v>10</v>
      </c>
      <c r="B11" s="433" t="s">
        <v>536</v>
      </c>
    </row>
    <row r="12" spans="1:2">
      <c r="A12" s="464">
        <v>11</v>
      </c>
      <c r="B12" s="433" t="s">
        <v>555</v>
      </c>
    </row>
    <row r="13" spans="1:2">
      <c r="A13" s="464">
        <v>12</v>
      </c>
      <c r="B13" s="433" t="s">
        <v>477</v>
      </c>
    </row>
    <row r="14" spans="1:2">
      <c r="A14" s="464">
        <v>13</v>
      </c>
      <c r="B14" s="433" t="s">
        <v>547</v>
      </c>
    </row>
    <row r="15" spans="1:2">
      <c r="A15" s="464">
        <v>14</v>
      </c>
      <c r="B15" s="433" t="s">
        <v>480</v>
      </c>
    </row>
    <row r="16" spans="1:2">
      <c r="A16" s="464">
        <v>15</v>
      </c>
      <c r="B16" s="433" t="s">
        <v>481</v>
      </c>
    </row>
    <row r="17" spans="1:2">
      <c r="A17" s="464">
        <v>16</v>
      </c>
      <c r="B17" s="433" t="s">
        <v>482</v>
      </c>
    </row>
    <row r="18" spans="1:2">
      <c r="A18" s="464">
        <v>17</v>
      </c>
      <c r="B18" s="511" t="s">
        <v>548</v>
      </c>
    </row>
    <row r="19" spans="1:2">
      <c r="A19" s="464">
        <v>18</v>
      </c>
      <c r="B19" s="511" t="s">
        <v>549</v>
      </c>
    </row>
    <row r="20" spans="1:2">
      <c r="A20" s="464">
        <v>19</v>
      </c>
      <c r="B20" s="511" t="s">
        <v>550</v>
      </c>
    </row>
    <row r="21" spans="1:2">
      <c r="A21" s="464">
        <v>20</v>
      </c>
      <c r="B21" s="511" t="s">
        <v>551</v>
      </c>
    </row>
    <row r="22" spans="1:2">
      <c r="A22" s="464">
        <v>21</v>
      </c>
      <c r="B22" s="511" t="s">
        <v>552</v>
      </c>
    </row>
    <row r="23" spans="1:2">
      <c r="A23" s="464">
        <v>22</v>
      </c>
      <c r="B23" s="511" t="s">
        <v>553</v>
      </c>
    </row>
    <row r="24" spans="1:2">
      <c r="A24" s="464">
        <v>23</v>
      </c>
      <c r="B24" s="511" t="s">
        <v>554</v>
      </c>
    </row>
    <row r="25" spans="1:2">
      <c r="A25" s="464">
        <v>24</v>
      </c>
      <c r="B25" s="511" t="s">
        <v>537</v>
      </c>
    </row>
    <row r="26" spans="1:2">
      <c r="A26" s="464">
        <v>25</v>
      </c>
      <c r="B26" s="511" t="s">
        <v>538</v>
      </c>
    </row>
    <row r="27" spans="1:2">
      <c r="A27" s="464">
        <v>26</v>
      </c>
      <c r="B27" s="511" t="s">
        <v>539</v>
      </c>
    </row>
    <row r="28" spans="1:2">
      <c r="A28" s="464">
        <v>27</v>
      </c>
      <c r="B28" s="511" t="s">
        <v>540</v>
      </c>
    </row>
    <row r="29" spans="1:2">
      <c r="A29" s="464">
        <v>28</v>
      </c>
      <c r="B29" s="433" t="s">
        <v>574</v>
      </c>
    </row>
    <row r="30" spans="1:2">
      <c r="A30" s="464">
        <v>29</v>
      </c>
      <c r="B30" s="433" t="s">
        <v>575</v>
      </c>
    </row>
    <row r="31" spans="1:2">
      <c r="A31" s="464">
        <v>30</v>
      </c>
      <c r="B31" s="433" t="s">
        <v>570</v>
      </c>
    </row>
    <row r="32" spans="1:2">
      <c r="A32" s="464">
        <v>31</v>
      </c>
      <c r="B32" s="511" t="s">
        <v>571</v>
      </c>
    </row>
    <row r="33" spans="1:2">
      <c r="A33" s="464">
        <v>32</v>
      </c>
      <c r="B33" s="433" t="s">
        <v>572</v>
      </c>
    </row>
    <row r="34" spans="1:2">
      <c r="A34" s="464">
        <v>33</v>
      </c>
      <c r="B34" s="433" t="s">
        <v>580</v>
      </c>
    </row>
    <row r="35" spans="1:2">
      <c r="A35" s="464">
        <v>34</v>
      </c>
      <c r="B35" s="433" t="s">
        <v>581</v>
      </c>
    </row>
    <row r="36" spans="1:2">
      <c r="A36" s="464">
        <v>35</v>
      </c>
      <c r="B36" s="433" t="s">
        <v>582</v>
      </c>
    </row>
    <row r="37" spans="1:2">
      <c r="A37" s="464">
        <v>36</v>
      </c>
      <c r="B37" s="433" t="s">
        <v>583</v>
      </c>
    </row>
    <row r="38" spans="1:2">
      <c r="A38" s="464">
        <v>37</v>
      </c>
      <c r="B38" s="433" t="s">
        <v>584</v>
      </c>
    </row>
    <row r="39" spans="1:2">
      <c r="A39" s="464">
        <v>38</v>
      </c>
      <c r="B39" s="433" t="s">
        <v>585</v>
      </c>
    </row>
    <row r="40" spans="1:2">
      <c r="A40" s="464">
        <v>39</v>
      </c>
      <c r="B40" s="511" t="s">
        <v>591</v>
      </c>
    </row>
    <row r="41" spans="1:2">
      <c r="A41" s="464">
        <v>40</v>
      </c>
      <c r="B41" s="511" t="s">
        <v>578</v>
      </c>
    </row>
    <row r="42" spans="1:2">
      <c r="A42" s="464">
        <v>41</v>
      </c>
      <c r="B42" s="511" t="s">
        <v>579</v>
      </c>
    </row>
    <row r="43" spans="1:2">
      <c r="A43" s="464">
        <v>42</v>
      </c>
      <c r="B43" s="511" t="s">
        <v>573</v>
      </c>
    </row>
    <row r="44" spans="1:2">
      <c r="A44" s="464">
        <v>43</v>
      </c>
      <c r="B44" s="433" t="s">
        <v>476</v>
      </c>
    </row>
    <row r="45" spans="1:2">
      <c r="A45" s="464">
        <v>44</v>
      </c>
      <c r="B45" s="511" t="s">
        <v>543</v>
      </c>
    </row>
    <row r="46" spans="1:2">
      <c r="A46" s="464">
        <v>45</v>
      </c>
      <c r="B46" s="511" t="s">
        <v>544</v>
      </c>
    </row>
    <row r="47" spans="1:2">
      <c r="A47" s="464">
        <v>46</v>
      </c>
      <c r="B47" s="511" t="s">
        <v>545</v>
      </c>
    </row>
    <row r="48" spans="1:2">
      <c r="A48" s="464">
        <v>47</v>
      </c>
      <c r="B48" s="511" t="s">
        <v>577</v>
      </c>
    </row>
    <row r="49" spans="1:2">
      <c r="A49" s="464">
        <v>48</v>
      </c>
      <c r="B49" s="511" t="s">
        <v>546</v>
      </c>
    </row>
    <row r="50" spans="1:2">
      <c r="A50" s="464">
        <v>49</v>
      </c>
      <c r="B50" s="511" t="s">
        <v>557</v>
      </c>
    </row>
    <row r="51" spans="1:2">
      <c r="A51" s="464">
        <v>50</v>
      </c>
      <c r="B51" s="511" t="s">
        <v>558</v>
      </c>
    </row>
    <row r="52" spans="1:2">
      <c r="A52" s="464">
        <v>51</v>
      </c>
      <c r="B52" s="511" t="s">
        <v>559</v>
      </c>
    </row>
    <row r="53" spans="1:2">
      <c r="A53" s="464">
        <v>52</v>
      </c>
      <c r="B53" s="511" t="s">
        <v>560</v>
      </c>
    </row>
    <row r="54" spans="1:2">
      <c r="A54" s="464">
        <v>53</v>
      </c>
      <c r="B54" s="511" t="s">
        <v>561</v>
      </c>
    </row>
    <row r="55" spans="1:2">
      <c r="A55" s="464">
        <v>54</v>
      </c>
      <c r="B55" s="511" t="s">
        <v>562</v>
      </c>
    </row>
    <row r="56" spans="1:2">
      <c r="A56" s="464">
        <v>55</v>
      </c>
      <c r="B56" s="511" t="s">
        <v>563</v>
      </c>
    </row>
    <row r="57" spans="1:2">
      <c r="A57" s="464">
        <v>56</v>
      </c>
      <c r="B57" s="511" t="s">
        <v>564</v>
      </c>
    </row>
    <row r="58" spans="1:2">
      <c r="A58" s="464">
        <v>57</v>
      </c>
      <c r="B58" s="511" t="s">
        <v>565</v>
      </c>
    </row>
    <row r="59" spans="1:2">
      <c r="A59" s="464">
        <v>58</v>
      </c>
      <c r="B59" s="511" t="s">
        <v>566</v>
      </c>
    </row>
    <row r="60" spans="1:2">
      <c r="A60" s="464">
        <v>59</v>
      </c>
      <c r="B60" s="511" t="s">
        <v>567</v>
      </c>
    </row>
    <row r="61" spans="1:2">
      <c r="A61" s="464">
        <v>60</v>
      </c>
      <c r="B61" s="511" t="s">
        <v>471</v>
      </c>
    </row>
    <row r="62" spans="1:2">
      <c r="A62" s="464">
        <v>61</v>
      </c>
      <c r="B62" s="511" t="s">
        <v>568</v>
      </c>
    </row>
    <row r="63" spans="1:2">
      <c r="A63" s="464">
        <v>62</v>
      </c>
      <c r="B63" s="511" t="s">
        <v>478</v>
      </c>
    </row>
    <row r="64" spans="1:2">
      <c r="A64" s="464">
        <v>63</v>
      </c>
      <c r="B64" s="511" t="s">
        <v>569</v>
      </c>
    </row>
    <row r="65" spans="1:2">
      <c r="A65" s="464">
        <v>64</v>
      </c>
      <c r="B65" s="511" t="s">
        <v>541</v>
      </c>
    </row>
    <row r="66" spans="1:2">
      <c r="A66" s="464">
        <v>65</v>
      </c>
      <c r="B66" s="511" t="s">
        <v>542</v>
      </c>
    </row>
    <row r="67" spans="1:2">
      <c r="A67" s="464">
        <v>66</v>
      </c>
      <c r="B67" s="433" t="s">
        <v>483</v>
      </c>
    </row>
    <row r="68" spans="1:2">
      <c r="A68" s="464">
        <v>67</v>
      </c>
      <c r="B68" s="511" t="s">
        <v>576</v>
      </c>
    </row>
    <row r="69" spans="1:2">
      <c r="A69" s="464">
        <v>68</v>
      </c>
      <c r="B69" s="511" t="s">
        <v>556</v>
      </c>
    </row>
    <row r="70" spans="1:2">
      <c r="A70" s="464">
        <v>69</v>
      </c>
      <c r="B70" s="433" t="s">
        <v>594</v>
      </c>
    </row>
    <row r="71" spans="1:2">
      <c r="A71" s="464">
        <v>70</v>
      </c>
      <c r="B71" s="433" t="s">
        <v>595</v>
      </c>
    </row>
    <row r="72" spans="1:2">
      <c r="A72" s="464">
        <v>71</v>
      </c>
      <c r="B72" s="433" t="s">
        <v>596</v>
      </c>
    </row>
    <row r="73" spans="1:2">
      <c r="A73" s="464">
        <v>72</v>
      </c>
      <c r="B73" s="433" t="s">
        <v>597</v>
      </c>
    </row>
    <row r="74" spans="1:2">
      <c r="A74" s="464">
        <v>73</v>
      </c>
      <c r="B74" s="433" t="s">
        <v>598</v>
      </c>
    </row>
    <row r="75" spans="1:2">
      <c r="A75" s="464">
        <v>74</v>
      </c>
      <c r="B75" s="433" t="s">
        <v>599</v>
      </c>
    </row>
    <row r="76" spans="1:2">
      <c r="A76" s="464">
        <v>75</v>
      </c>
      <c r="B76" s="433" t="s">
        <v>600</v>
      </c>
    </row>
    <row r="77" spans="1:2">
      <c r="A77" s="464">
        <v>76</v>
      </c>
      <c r="B77" s="433" t="s">
        <v>601</v>
      </c>
    </row>
    <row r="78" spans="1:2">
      <c r="A78" s="464">
        <v>77</v>
      </c>
      <c r="B78" s="433" t="s">
        <v>602</v>
      </c>
    </row>
    <row r="79" spans="1:2">
      <c r="A79" s="464">
        <v>78</v>
      </c>
      <c r="B79" s="433" t="s">
        <v>603</v>
      </c>
    </row>
    <row r="80" spans="1:2">
      <c r="A80" s="464">
        <v>79</v>
      </c>
      <c r="B80" s="433" t="s">
        <v>604</v>
      </c>
    </row>
    <row r="81" spans="1:2">
      <c r="A81" s="464">
        <v>80</v>
      </c>
      <c r="B81" s="433" t="s">
        <v>605</v>
      </c>
    </row>
    <row r="82" spans="1:2">
      <c r="A82" s="464">
        <v>81</v>
      </c>
      <c r="B82" s="433" t="s">
        <v>606</v>
      </c>
    </row>
    <row r="83" spans="1:2">
      <c r="A83" s="464">
        <v>82</v>
      </c>
      <c r="B83" s="433" t="s">
        <v>607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30"/>
  <sheetViews>
    <sheetView tabSelected="1" view="pageBreakPreview" zoomScale="70" zoomScaleNormal="40" zoomScaleSheetLayoutView="70" workbookViewId="0">
      <selection activeCell="J14" sqref="J14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503</v>
      </c>
      <c r="AC1" s="489" t="s">
        <v>502</v>
      </c>
      <c r="AF1" s="25"/>
      <c r="AG1" s="24" t="s">
        <v>324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34">
        <f ca="1">TODAY()</f>
        <v>44699</v>
      </c>
      <c r="D2" s="535"/>
      <c r="E2" s="535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1">
        <v>41589</v>
      </c>
      <c r="AO2" s="532"/>
      <c r="AP2" s="532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671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219</v>
      </c>
      <c r="AF3" s="178" t="s">
        <v>223</v>
      </c>
      <c r="AG3" s="178"/>
      <c r="AK3" s="11"/>
      <c r="AL3" s="8"/>
      <c r="AM3" s="8"/>
      <c r="AN3" s="12" t="s">
        <v>192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N/A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226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145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145</v>
      </c>
      <c r="I5" s="204"/>
      <c r="J5" s="204" t="str">
        <f ca="1">IF(AC46="FCU",AI18,"N/A")</f>
        <v>N/A</v>
      </c>
      <c r="K5" s="465" t="str">
        <f ca="1">" Tmax="&amp;ROUND(AC102,2)&amp;"°C @"&amp;AC104</f>
        <v xml:space="preserve"> Tmax=11.48°C @43101</v>
      </c>
      <c r="L5" s="204"/>
      <c r="M5" s="204"/>
      <c r="N5" s="204"/>
      <c r="O5" s="204"/>
      <c r="P5" s="204"/>
      <c r="Q5" s="465" t="str">
        <f ca="1">" Tmin="&amp;ROUND(AC103,2)&amp;"°C @"&amp;AC105</f>
        <v xml:space="preserve"> Tmin=0°C @9.708192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189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 t="str">
        <f ca="1">AC49</f>
        <v>13f3f7af-b465-4eef-ab6e-42f1e89b7576</v>
      </c>
      <c r="F6" s="493"/>
      <c r="G6" s="204"/>
      <c r="H6" s="204"/>
      <c r="I6" s="204"/>
      <c r="J6" s="204"/>
      <c r="K6" s="465" t="str">
        <f ca="1">AC83</f>
        <v>Cooling Design Day</v>
      </c>
      <c r="L6" s="204"/>
      <c r="M6" s="204"/>
      <c r="N6" s="204"/>
      <c r="O6" s="204"/>
      <c r="P6" s="204"/>
      <c r="Q6" s="465" t="str">
        <f ca="1">$AC$97</f>
        <v>Heating Design Day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271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13</v>
      </c>
      <c r="E7" s="214">
        <f ca="1">AC16</f>
        <v>0</v>
      </c>
      <c r="F7" s="466" t="str">
        <f ca="1">$AC$15</f>
        <v>Cell 1.8</v>
      </c>
      <c r="G7" s="215"/>
      <c r="H7" s="215"/>
      <c r="I7" s="215"/>
      <c r="J7" s="496" t="str">
        <f ca="1">AC47</f>
        <v>Level 0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No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488</v>
      </c>
      <c r="AF7" s="178" t="s">
        <v>188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78.652440999999996</v>
      </c>
      <c r="G8" s="208" t="s">
        <v>133</v>
      </c>
      <c r="H8" s="201"/>
      <c r="I8" s="220"/>
      <c r="J8" s="201"/>
      <c r="K8" s="221" t="str">
        <f ca="1">IF($AB$1="English","  CLG Peak ON "&amp;AC80&amp;" "&amp;AC72,"  NACH MAXIMALWERT "&amp;AC80&amp;" "&amp;AC72)</f>
        <v xml:space="preserve">  CLG Peak ON 43101 0</v>
      </c>
      <c r="L8" s="222"/>
      <c r="M8" s="222"/>
      <c r="N8" s="222"/>
      <c r="O8" s="222"/>
      <c r="P8" s="481" t="str">
        <f ca="1">IF(AC46=0,"N/A",AC46)</f>
        <v>N/A</v>
      </c>
      <c r="Q8" s="221" t="str">
        <f ca="1">IF($AB$1="English","  HTG Peak ON "&amp;AC101&amp;" "&amp;AC100,"  NACH MAXIMALWERT "&amp;AC101&amp;" "&amp;AC100)</f>
        <v xml:space="preserve">  HTG Peak ON 0 0</v>
      </c>
      <c r="R8" s="223"/>
      <c r="S8" s="223"/>
      <c r="T8" s="216"/>
      <c r="U8" s="216"/>
      <c r="V8" s="482" t="str">
        <f ca="1">IF(AC50=0,"N/A",AC50)</f>
        <v>N/A</v>
      </c>
      <c r="W8" s="213"/>
      <c r="X8" s="213"/>
      <c r="Y8" s="218"/>
      <c r="Z8" s="204"/>
      <c r="AA8" s="8"/>
      <c r="AB8" s="27"/>
      <c r="AC8" s="127">
        <v>13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235.95733642578125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013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-1°C/ -1°C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  = - °C 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T-STAT=0°C</v>
      </c>
      <c r="R10" s="244"/>
      <c r="S10" s="245"/>
      <c r="T10" s="246"/>
      <c r="U10" s="508" t="str">
        <f ca="1">IF($V$7="No","   - °C ","  "&amp;ROUND($AC$99,1)&amp;"°C")</f>
        <v xml:space="preserve">  -1°C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=0°C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=0°C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=0% / 0kg/kg</v>
      </c>
      <c r="E11" s="248"/>
      <c r="F11" s="248"/>
      <c r="G11" s="248"/>
      <c r="H11" s="248"/>
      <c r="I11" s="248"/>
      <c r="J11" s="249"/>
      <c r="K11" s="523" t="s">
        <v>68</v>
      </c>
      <c r="L11" s="524"/>
      <c r="M11" s="527" t="str">
        <f>IF($AB$1="English","Sensible","Sensibel")</f>
        <v>Sensible</v>
      </c>
      <c r="N11" s="528"/>
      <c r="O11" s="527" t="s">
        <v>70</v>
      </c>
      <c r="P11" s="528"/>
      <c r="Q11" s="523" t="s">
        <v>68</v>
      </c>
      <c r="R11" s="524"/>
      <c r="S11" s="527" t="str">
        <f>IF($AB$1="English","Sensible","Sensibel")</f>
        <v>Sensible</v>
      </c>
      <c r="T11" s="528"/>
      <c r="U11" s="527" t="s">
        <v>70</v>
      </c>
      <c r="V11" s="528"/>
      <c r="W11" s="250"/>
      <c r="X11" s="218"/>
      <c r="Y11" s="213"/>
      <c r="Z11" s="204"/>
      <c r="AA11" s="8"/>
      <c r="AB11" s="27" t="s">
        <v>82</v>
      </c>
      <c r="AC11" s="126">
        <f>AB12</f>
        <v>13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29" t="s">
        <v>69</v>
      </c>
      <c r="AY11" s="530"/>
      <c r="AZ11" s="529" t="s">
        <v>70</v>
      </c>
      <c r="BA11" s="530"/>
      <c r="BB11" s="86"/>
      <c r="BC11" s="83"/>
      <c r="BD11" s="529" t="s">
        <v>69</v>
      </c>
      <c r="BE11" s="530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0</v>
      </c>
      <c r="G12" s="199"/>
      <c r="H12" s="199"/>
      <c r="I12" s="199"/>
      <c r="J12" s="252"/>
      <c r="K12" s="525"/>
      <c r="L12" s="526"/>
      <c r="M12" s="254" t="s">
        <v>487</v>
      </c>
      <c r="N12" s="253" t="s">
        <v>84</v>
      </c>
      <c r="O12" s="254" t="s">
        <v>487</v>
      </c>
      <c r="P12" s="253" t="s">
        <v>84</v>
      </c>
      <c r="Q12" s="525"/>
      <c r="R12" s="526"/>
      <c r="S12" s="254" t="s">
        <v>487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v>13</v>
      </c>
      <c r="AC12" s="24" t="str">
        <f>"  Index End Max  ="&amp;AB12&amp;"  Zones"</f>
        <v xml:space="preserve">  Index End Max  =13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-1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-1</v>
      </c>
      <c r="O14" s="263"/>
      <c r="P14" s="261"/>
      <c r="Q14" s="264"/>
      <c r="R14" s="261"/>
      <c r="S14" s="263"/>
      <c r="T14" s="261">
        <f ca="1">$AC$96</f>
        <v>-1</v>
      </c>
      <c r="U14" s="262"/>
      <c r="V14" s="261"/>
      <c r="W14" s="213"/>
      <c r="X14" s="213"/>
      <c r="Y14" s="213"/>
      <c r="Z14" s="204"/>
      <c r="AA14" s="8"/>
      <c r="AB14" s="27"/>
      <c r="AE14" s="478" t="b">
        <v>1</v>
      </c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-1</v>
      </c>
      <c r="O15" s="263"/>
      <c r="P15" s="261"/>
      <c r="Q15" s="264"/>
      <c r="R15" s="261"/>
      <c r="S15" s="263"/>
      <c r="T15" s="261">
        <f ca="1">$AC$95</f>
        <v>-1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Cell 1.8</v>
      </c>
      <c r="AD15" s="420" t="s">
        <v>458</v>
      </c>
      <c r="AE15" s="11" t="s">
        <v>193</v>
      </c>
      <c r="AH15" s="11" t="s">
        <v>194</v>
      </c>
      <c r="AJ15" s="24" t="s">
        <v>198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-1</v>
      </c>
      <c r="O16" s="263"/>
      <c r="P16" s="261"/>
      <c r="Q16" s="264"/>
      <c r="R16" s="261"/>
      <c r="S16" s="509" t="str">
        <f ca="1">"*"&amp;ROUND((T26-T15-T17-T14-T18),0)</f>
        <v>*4</v>
      </c>
      <c r="T16" s="510">
        <f ca="1">$AC$94</f>
        <v>-1.271416325698776E-2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457</v>
      </c>
      <c r="AE16" s="24" t="s">
        <v>160</v>
      </c>
      <c r="AF16" s="162">
        <f ca="1">(IF(AE14=TRUE,AC111+AC117,ROUND(Construction!T7,1)))</f>
        <v>44</v>
      </c>
      <c r="AG16" s="472" t="s">
        <v>155</v>
      </c>
      <c r="AH16" s="129" t="s">
        <v>128</v>
      </c>
      <c r="AI16" s="165"/>
      <c r="AJ16" s="24" t="s">
        <v>499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-1</v>
      </c>
      <c r="O17" s="263"/>
      <c r="P17" s="261"/>
      <c r="Q17" s="264"/>
      <c r="R17" s="261"/>
      <c r="S17" s="263"/>
      <c r="T17" s="510">
        <f ca="1">$AC$93</f>
        <v>-1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>
        <f ca="1">OFFSET(Data!$A$2,$AC$8,AB17,1,1)</f>
        <v>0</v>
      </c>
      <c r="AD17" s="490" t="s">
        <v>534</v>
      </c>
      <c r="AE17" s="445" t="s">
        <v>161</v>
      </c>
      <c r="AF17" s="162">
        <f ca="1">(IF(AE14=TRUE,AC122,ROUND(Construction!T8,1)))</f>
        <v>42.115727243999999</v>
      </c>
      <c r="AG17" s="473" t="s">
        <v>156</v>
      </c>
      <c r="AH17" s="129" t="s">
        <v>129</v>
      </c>
      <c r="AI17" s="128"/>
      <c r="AJ17" s="166" t="s">
        <v>500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485</v>
      </c>
      <c r="J18" s="513" t="str">
        <f ca="1">AC51&amp;" ac/h"</f>
        <v>0 ac/h</v>
      </c>
      <c r="K18" s="260" t="s">
        <v>148</v>
      </c>
      <c r="L18" s="418">
        <f ca="1">AC26</f>
        <v>0</v>
      </c>
      <c r="M18" s="263"/>
      <c r="N18" s="261">
        <f ca="1">$AC$62</f>
        <v>-1</v>
      </c>
      <c r="O18" s="263"/>
      <c r="P18" s="261"/>
      <c r="Q18" s="260" t="s">
        <v>148</v>
      </c>
      <c r="R18" s="418">
        <f ca="1">AC55</f>
        <v>0</v>
      </c>
      <c r="S18" s="263"/>
      <c r="T18" s="261">
        <f ca="1">$AC$92</f>
        <v>-1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>
        <f ca="1">OFFSET(Data!$A$2,$AC$8,AB18,1,1)</f>
        <v>0</v>
      </c>
      <c r="AD18" s="490" t="s">
        <v>535</v>
      </c>
      <c r="AE18" s="445" t="s">
        <v>162</v>
      </c>
      <c r="AF18" s="162">
        <f ca="1">(IF(AE14=TRUE,AC106+AC117,ROUND(Construction!T9,1)))</f>
        <v>0</v>
      </c>
      <c r="AG18" s="472" t="s">
        <v>157</v>
      </c>
      <c r="AH18" s="129" t="s">
        <v>195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532</v>
      </c>
      <c r="AE19" s="445" t="s">
        <v>163</v>
      </c>
      <c r="AF19" s="162">
        <f ca="1">(IF(AE14=TRUE,AC106+AC117,ROUND(Construction!T10,1)))</f>
        <v>0</v>
      </c>
      <c r="AG19" s="472" t="s">
        <v>163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0</v>
      </c>
      <c r="I20" s="272"/>
      <c r="J20" s="277" t="str">
        <f ca="1">IFERROR(AC91&amp;" hr/y","")</f>
        <v>0 hr/y</v>
      </c>
      <c r="K20" s="260" t="str">
        <f>IF($AB$1="English","Number:","Anzahl")</f>
        <v>Number:</v>
      </c>
      <c r="L20" s="279">
        <f ca="1">AC25</f>
        <v>65535</v>
      </c>
      <c r="M20" s="467">
        <f ca="1">IF(AC8=0,N20,N20/$F$8)</f>
        <v>-1.2714163569316305E-2</v>
      </c>
      <c r="N20" s="261">
        <f ca="1">$AC$67</f>
        <v>-1</v>
      </c>
      <c r="O20" s="467">
        <f ca="1">P20/$F$8</f>
        <v>-1.2714163569316305E-2</v>
      </c>
      <c r="P20" s="261">
        <f ca="1">$AC$70</f>
        <v>-1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533</v>
      </c>
      <c r="AE20" s="445" t="s">
        <v>165</v>
      </c>
      <c r="AF20" s="162">
        <f ca="1">(IF(AE14=TRUE,AC119,ROUND(Construction!T11,1)))</f>
        <v>0</v>
      </c>
      <c r="AG20" s="472" t="s">
        <v>165</v>
      </c>
      <c r="AH20" s="189" t="s">
        <v>216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-1.2714163569316305E-2</v>
      </c>
      <c r="N21" s="261">
        <f ca="1">$AC$61</f>
        <v>-1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551</v>
      </c>
      <c r="AE21" s="445" t="s">
        <v>166</v>
      </c>
      <c r="AF21" s="162">
        <f ca="1">(IF(AE14=TRUE,AC118+AC115,ROUND(Construction!T12,1)))</f>
        <v>78.652443933000001</v>
      </c>
      <c r="AG21" s="472" t="s">
        <v>183</v>
      </c>
      <c r="AH21" s="189" t="s">
        <v>217</v>
      </c>
      <c r="AI21" s="178"/>
      <c r="AJ21" s="24" t="s">
        <v>501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-1.2714163569316305E-2</v>
      </c>
      <c r="N22" s="261">
        <f ca="1">$AC$68</f>
        <v>-1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78.652440999999996</v>
      </c>
      <c r="AD22" s="490" t="s">
        <v>548</v>
      </c>
      <c r="AE22" s="445" t="s">
        <v>184</v>
      </c>
      <c r="AF22" s="162">
        <f ca="1">(IF(AE14=TRUE,AC110,ROUND(Construction!T13,1)))</f>
        <v>0</v>
      </c>
      <c r="AG22" s="472" t="s">
        <v>184</v>
      </c>
      <c r="AI22" s="178" t="str">
        <f ca="1">IFERROR(ROUND(VLOOKUP($AC$15,FCU_System,2,FALSE), 0),"")</f>
        <v/>
      </c>
      <c r="AJ22" s="189" t="s">
        <v>209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-1.2714163569316305E-2</v>
      </c>
      <c r="N23" s="261">
        <f ca="1">$AC$69</f>
        <v>-1</v>
      </c>
      <c r="O23" s="467">
        <f ca="1">P23/$F$8</f>
        <v>-1.2714163569316305E-2</v>
      </c>
      <c r="P23" s="261">
        <f ca="1">$AC$69</f>
        <v>-1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235.95733642578125</v>
      </c>
      <c r="AD23" s="490" t="s">
        <v>550</v>
      </c>
      <c r="AE23" s="445" t="s">
        <v>167</v>
      </c>
      <c r="AF23" s="162">
        <f ca="1">(IF(AE14=TRUE,AC121+AC120,ROUND(Construction!T14,1)))</f>
        <v>57.592463013</v>
      </c>
      <c r="AG23" s="472" t="s">
        <v>185</v>
      </c>
      <c r="AI23" s="178" t="str">
        <f ca="1">IFERROR(ROUND(VLOOKUP($AC$15,FCU_System,3,FALSE), 0),"")</f>
        <v/>
      </c>
      <c r="AJ23" s="189" t="s">
        <v>214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Cell 1.8</v>
      </c>
      <c r="AD24" s="129" t="s">
        <v>131</v>
      </c>
      <c r="AE24" s="445" t="s">
        <v>168</v>
      </c>
      <c r="AF24" s="162">
        <f ca="1">ROUND(Construction!T15,1)</f>
        <v>0</v>
      </c>
      <c r="AG24" s="472" t="s">
        <v>168</v>
      </c>
      <c r="AI24" s="178" t="str">
        <f ca="1">IFERROR(ROUND(VLOOKUP($AC$15,FCU_System,4,FALSE), 0),"")</f>
        <v/>
      </c>
      <c r="AJ24" s="189" t="s">
        <v>210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65535</v>
      </c>
      <c r="AD25" s="490" t="s">
        <v>531</v>
      </c>
      <c r="AE25" s="445" t="s">
        <v>169</v>
      </c>
      <c r="AF25" s="162">
        <f ca="1">(IF(AE14=TRUE,AC107+AC123,ROUND(Construction!T16,1)))</f>
        <v>7</v>
      </c>
      <c r="AG25" s="472" t="s">
        <v>169</v>
      </c>
      <c r="AI25" s="178" t="str">
        <f ca="1">IFERROR(ROUND(VLOOKUP($AC$15,FCU_System,5,FALSE),0),"")</f>
        <v/>
      </c>
      <c r="AJ25" s="189" t="s">
        <v>212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IF(SUM(N13:N24)-N23&gt;0,SUM(N13:N24)-N23,0)</f>
        <v>0</v>
      </c>
      <c r="O26" s="467"/>
      <c r="P26" s="261">
        <f ca="1">IF(P20+P23+P24&gt;0,P20+P23+P24,0)</f>
        <v>0</v>
      </c>
      <c r="Q26" s="264"/>
      <c r="R26" s="261"/>
      <c r="S26" s="468"/>
      <c r="T26" s="261">
        <f ca="1">-AC39</f>
        <v>0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</v>
      </c>
      <c r="AD26" s="490" t="s">
        <v>555</v>
      </c>
      <c r="AE26" s="445" t="s">
        <v>170</v>
      </c>
      <c r="AF26" s="162" t="e">
        <f ca="1">(IF(AE14=TRUE,AC127,ROUND(Construction!T17,1)))</f>
        <v>#N/A</v>
      </c>
      <c r="AG26" s="472" t="s">
        <v>170</v>
      </c>
      <c r="AI26" s="178" t="str">
        <f ca="1">IFERROR(ROUND(VLOOKUP($AC$15,FCU_System,6,FALSE), 0),"")</f>
        <v/>
      </c>
      <c r="AJ26" s="189" t="s">
        <v>218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0</v>
      </c>
      <c r="N27" s="471">
        <f ca="1">IF(N26=0,0,N26*(1+N25))</f>
        <v>0</v>
      </c>
      <c r="O27" s="467">
        <f ca="1">IF(P26=0,0,P27/$F$8)</f>
        <v>0</v>
      </c>
      <c r="P27" s="261">
        <f ca="1">IF(P26=0,0,P26*(P25/100+1))</f>
        <v>0</v>
      </c>
      <c r="Q27" s="264"/>
      <c r="R27" s="261"/>
      <c r="S27" s="467">
        <f ca="1">IF(T26=0,0,T27/$F$8)</f>
        <v>0</v>
      </c>
      <c r="T27" s="515">
        <f ca="1">IF(T26=0,0,T26*(1+T25))</f>
        <v>0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0</v>
      </c>
      <c r="AD27" s="491" t="s">
        <v>545</v>
      </c>
      <c r="AE27" s="445" t="s">
        <v>186</v>
      </c>
      <c r="AF27" s="162">
        <f ca="1">(IF(AE14=TRUE,AC105,ROUND(Construction!T18,1)))</f>
        <v>9.7081920000000004</v>
      </c>
      <c r="AG27" s="472" t="s">
        <v>186</v>
      </c>
      <c r="AI27" s="178" t="str">
        <f ca="1">IFERROR(ROUND(VLOOKUP($AC$15,FCU_System,7,FALSE),0),"")</f>
        <v/>
      </c>
      <c r="AJ27" s="189" t="s">
        <v>215</v>
      </c>
      <c r="AK27" s="11"/>
      <c r="AL27" s="8"/>
      <c r="AM27" s="8"/>
      <c r="AN27" s="8"/>
      <c r="AO27" s="89" t="s">
        <v>150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0</v>
      </c>
      <c r="AD28" s="491" t="s">
        <v>544</v>
      </c>
      <c r="AE28" s="445" t="s">
        <v>494</v>
      </c>
      <c r="AF28" s="162">
        <f ca="1">(IF(AE14=TRUE,AC125,ROUND(Construction!T19,1)))</f>
        <v>7</v>
      </c>
      <c r="AG28" s="472" t="s">
        <v>494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Cell 1.8</v>
      </c>
      <c r="AD29" s="129" t="s">
        <v>138</v>
      </c>
      <c r="AE29" s="445" t="s">
        <v>495</v>
      </c>
      <c r="AF29" s="162">
        <f ca="1">ROUND(Construction!T20,1)</f>
        <v>0</v>
      </c>
      <c r="AG29" s="474" t="s">
        <v>495</v>
      </c>
      <c r="AH29" s="189"/>
      <c r="AK29" s="11"/>
      <c r="AL29" s="8"/>
      <c r="AM29" s="8"/>
      <c r="AN29" s="8"/>
      <c r="AO29" s="42" t="s">
        <v>146</v>
      </c>
      <c r="AP29" s="53"/>
      <c r="AQ29" s="54"/>
      <c r="AR29" s="54"/>
      <c r="AS29" s="54"/>
      <c r="AT29" s="54"/>
      <c r="AU29" s="55"/>
      <c r="AV29" s="63" t="s">
        <v>147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586</v>
      </c>
      <c r="E30" s="503"/>
      <c r="F30" s="503" t="s">
        <v>587</v>
      </c>
      <c r="G30" s="504"/>
      <c r="H30" s="504" t="str">
        <f ca="1">IFERROR(AC85&amp;"%","")</f>
        <v>0%</v>
      </c>
      <c r="I30" s="503" t="s">
        <v>588</v>
      </c>
      <c r="J30" s="504"/>
      <c r="K30" s="504" t="str">
        <f ca="1">IFERROR(AC86&amp;"%","")</f>
        <v>0%</v>
      </c>
      <c r="L30" s="533" t="s">
        <v>589</v>
      </c>
      <c r="M30" s="533"/>
      <c r="N30" s="504">
        <f ca="1">IFERROR(AC87,"")</f>
        <v>0</v>
      </c>
      <c r="O30" s="533" t="s">
        <v>590</v>
      </c>
      <c r="P30" s="533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0</v>
      </c>
      <c r="AD30" s="491" t="s">
        <v>543</v>
      </c>
      <c r="AE30" s="445" t="s">
        <v>496</v>
      </c>
      <c r="AF30" s="162">
        <f ca="1">(IF(AE14=TRUE,AC126,ROUND(Construction!T21,1)))</f>
        <v>7</v>
      </c>
      <c r="AG30" s="474" t="s">
        <v>496</v>
      </c>
      <c r="AH30" s="189"/>
      <c r="AK30" s="28"/>
      <c r="AL30" s="8"/>
      <c r="AM30" s="15"/>
      <c r="AN30" s="8"/>
      <c r="AO30" s="57" t="s">
        <v>154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=42.115727244m²</v>
      </c>
      <c r="H31" s="469"/>
      <c r="I31" s="470" t="str">
        <f ca="1">"iCeiling ="&amp;$AF$18&amp;"m²"</f>
        <v>iCeiling =0m²</v>
      </c>
      <c r="J31" s="469"/>
      <c r="K31" s="470" t="str">
        <f ca="1">" iFloor ="&amp;$AF$16&amp;"m²"</f>
        <v xml:space="preserve"> iFloor =44m²</v>
      </c>
      <c r="L31" s="297"/>
      <c r="M31" s="470" t="str">
        <f ca="1">"iWindow ="&amp;$AF$19&amp;"m²"</f>
        <v>iWindow =0m²</v>
      </c>
      <c r="N31" s="445"/>
      <c r="O31" s="470" t="e">
        <f ca="1">"iFrame ="&amp;AF32&amp;"m²"</f>
        <v>#N/A</v>
      </c>
      <c r="P31" s="445"/>
      <c r="Q31" s="470" t="str">
        <f ca="1">"iDoor ="&amp;$AF$30&amp;"m²"</f>
        <v>iDoor =7m²</v>
      </c>
      <c r="R31" s="445"/>
      <c r="S31" s="470" t="e">
        <f ca="1">"iFrameDoor ="&amp;AF31&amp;"m²"</f>
        <v>#N/A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Cell 1.8</v>
      </c>
      <c r="AD31" s="129" t="s">
        <v>139</v>
      </c>
      <c r="AE31" s="445" t="s">
        <v>498</v>
      </c>
      <c r="AF31" s="162" t="e">
        <f ca="1">(IF(AE14=TRUE,AC130,ROUND(Construction!T22,1)))</f>
        <v>#N/A</v>
      </c>
      <c r="AG31" s="474" t="s">
        <v>497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158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=0m²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=57.592463013m²</v>
      </c>
      <c r="H32" s="469"/>
      <c r="I32" s="470" t="str">
        <f ca="1">"Roof ="&amp;AF24&amp;"m²"</f>
        <v>Roof =0m²</v>
      </c>
      <c r="J32" s="297"/>
      <c r="K32" s="470" t="str">
        <f ca="1">"eWindow ="&amp;AF25&amp;"m²"</f>
        <v>eWindow =7m²</v>
      </c>
      <c r="L32" s="297"/>
      <c r="M32" s="297"/>
      <c r="N32" s="470" t="e">
        <f ca="1">"eFrame ="&amp;AF26&amp;"m²"</f>
        <v>#N/A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=78.652443933m²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0</v>
      </c>
      <c r="AD32" s="176" t="s">
        <v>478</v>
      </c>
      <c r="AE32" s="445" t="s">
        <v>164</v>
      </c>
      <c r="AF32" s="162" t="e">
        <f ca="1">(IF(AE14=TRUE,AC128,ROUND(Construction!T23,1)))</f>
        <v>#N/A</v>
      </c>
      <c r="AG32" s="474" t="s">
        <v>164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159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=7m²</v>
      </c>
      <c r="K33" s="297"/>
      <c r="L33" s="470" t="str">
        <f ca="1">"eFrameDoor ="&amp;AF29&amp;"m²"</f>
        <v>eFrameDoor =0m²</v>
      </c>
      <c r="M33" s="445"/>
      <c r="N33" s="297"/>
      <c r="O33" s="470" t="str">
        <f ca="1">"Null-Air ="&amp;AF27&amp;"m²"</f>
        <v>Null-Air =9.708192m²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13</v>
      </c>
      <c r="W33" s="218" t="str">
        <f>"/ "&amp;AC11</f>
        <v>/ 13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-1</v>
      </c>
      <c r="AD33" s="492" t="s">
        <v>541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0</v>
      </c>
      <c r="AD34" s="436" t="s">
        <v>483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Cell 1.8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 t="e">
        <f t="shared" ref="AB36:AB43" si="1">HLOOKUP(AD36,DataColumn,2,0)</f>
        <v>#N/A</v>
      </c>
      <c r="AC36" s="451" t="e">
        <f ca="1">OFFSET(Data!$A$2,$AC$8,AB36,1,1)</f>
        <v>#N/A</v>
      </c>
      <c r="AD36" s="129" t="s">
        <v>141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142</v>
      </c>
      <c r="AE37" s="11" t="s">
        <v>608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>
        <f ca="1">OFFSET(Data!$A$2,$AC$8,AB38,1,1)</f>
        <v>0</v>
      </c>
      <c r="AD38" s="491" t="s">
        <v>552</v>
      </c>
      <c r="AE38" s="445" t="s">
        <v>610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0</v>
      </c>
      <c r="AD39" s="491" t="s">
        <v>471</v>
      </c>
      <c r="AE39" s="445" t="s">
        <v>611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486</v>
      </c>
      <c r="AE40" s="445" t="s">
        <v>612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0</v>
      </c>
      <c r="AD41" s="491" t="s">
        <v>478</v>
      </c>
      <c r="AE41" s="445" t="s">
        <v>609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143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144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573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Cell 1.8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>
        <f ca="1">OFFSET(Data!$A$2,$AC$8,AB46,1,1)</f>
        <v>0</v>
      </c>
      <c r="AD46" s="491" t="s">
        <v>537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 t="str">
        <f ca="1">OFFSET(Data!$A$2,$AC$8,AB47,1,1)</f>
        <v>Level 0</v>
      </c>
      <c r="AD47" s="423" t="s">
        <v>456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13</v>
      </c>
      <c r="AD48" s="115" t="s">
        <v>592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 t="str">
        <f ca="1">OFFSET(Data!$A$2,$AC$8,AB49,1,1)</f>
        <v>13f3f7af-b465-4eef-ab6e-42f1e89b7576</v>
      </c>
      <c r="AD49" s="115" t="s">
        <v>593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>
        <f ca="1">OFFSET(Data!$A$2,$AC$8,AB50,1,1)</f>
        <v>0</v>
      </c>
      <c r="AD50" s="490" t="s">
        <v>536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477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0</v>
      </c>
      <c r="AD52" s="490" t="s">
        <v>547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480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481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482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-1</v>
      </c>
      <c r="AD56" s="491" t="s">
        <v>542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484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-1</v>
      </c>
      <c r="AD58" s="492" t="s">
        <v>568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-1</v>
      </c>
      <c r="AD59" s="492" t="s">
        <v>569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-1</v>
      </c>
      <c r="AD60" s="491" t="s">
        <v>557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-1</v>
      </c>
      <c r="AD61" s="491" t="s">
        <v>558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-1</v>
      </c>
      <c r="AD62" s="491" t="s">
        <v>559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-1</v>
      </c>
      <c r="AD63" s="491" t="s">
        <v>560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-1</v>
      </c>
      <c r="AD64" s="491" t="s">
        <v>561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-1</v>
      </c>
      <c r="AD65" s="491" t="s">
        <v>562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-1</v>
      </c>
      <c r="AD66" s="491" t="s">
        <v>563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-1</v>
      </c>
      <c r="AD67" s="491" t="s">
        <v>564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-1</v>
      </c>
      <c r="AD68" s="491" t="s">
        <v>565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-1</v>
      </c>
      <c r="AD69" s="491" t="s">
        <v>566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-1</v>
      </c>
      <c r="AD70" s="491" t="s">
        <v>567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0</v>
      </c>
      <c r="AD71" s="452" t="s">
        <v>476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0</v>
      </c>
      <c r="AD72" s="490" t="s">
        <v>549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>
        <f ca="1">OFFSET(Data!$A$2,$AC$8,AB73,1,1)</f>
        <v>44698.40452546296</v>
      </c>
      <c r="AD73" s="491" t="s">
        <v>553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0</v>
      </c>
      <c r="AD74" s="491" t="s">
        <v>554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538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539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540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0</v>
      </c>
      <c r="AD78" s="491" t="s">
        <v>556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0</v>
      </c>
      <c r="AD79" s="491" t="s">
        <v>546</v>
      </c>
    </row>
    <row r="80" spans="1:65" ht="12.75" customHeight="1">
      <c r="AB80" s="448">
        <f t="shared" ref="AB80" si="4">HLOOKUP(AD80,DataColumn,2,0)</f>
        <v>30</v>
      </c>
      <c r="AC80" s="451">
        <f ca="1">OFFSET(Data!$A$2,$AC$8,AB80,1,1)</f>
        <v>43101</v>
      </c>
      <c r="AD80" s="115" t="s">
        <v>570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578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579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Cooling Design Day</v>
      </c>
      <c r="AD83" s="181" t="s">
        <v>572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0</v>
      </c>
      <c r="AD84" s="115" t="s">
        <v>571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580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581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582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583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584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585</v>
      </c>
    </row>
    <row r="91" spans="28:30" ht="12.75" customHeight="1">
      <c r="AB91" s="448">
        <f t="shared" ref="AB91:AB122" si="9">HLOOKUP(AD91,DataColumn,2,0)</f>
        <v>39</v>
      </c>
      <c r="AC91" s="451">
        <f ca="1">OFFSET(Data!$A$2,$AC$8,AB91,1,1)</f>
        <v>0</v>
      </c>
      <c r="AD91" s="445" t="s">
        <v>591</v>
      </c>
    </row>
    <row r="92" spans="28:30" ht="12.75" customHeight="1">
      <c r="AB92" s="448">
        <f t="shared" si="9"/>
        <v>69</v>
      </c>
      <c r="AC92" s="451">
        <f ca="1">OFFSET(Data!$A$2,$AC$8,AB92,1,1)</f>
        <v>-1</v>
      </c>
      <c r="AD92" s="115" t="s">
        <v>594</v>
      </c>
    </row>
    <row r="93" spans="28:30" ht="12.75" customHeight="1">
      <c r="AB93" s="448">
        <f t="shared" si="9"/>
        <v>70</v>
      </c>
      <c r="AC93" s="451">
        <f ca="1">OFFSET(Data!$A$2,$AC$8,AB93,1,1)</f>
        <v>-1</v>
      </c>
      <c r="AD93" s="115" t="s">
        <v>595</v>
      </c>
    </row>
    <row r="94" spans="28:30" ht="12.75" customHeight="1">
      <c r="AB94" s="448">
        <f t="shared" si="9"/>
        <v>71</v>
      </c>
      <c r="AC94" s="451">
        <f ca="1">OFFSET(Data!$A$2,$AC$8,AB94,1,1)</f>
        <v>-1.271416325698776E-2</v>
      </c>
      <c r="AD94" s="115" t="s">
        <v>596</v>
      </c>
    </row>
    <row r="95" spans="28:30" ht="12.75" customHeight="1">
      <c r="AB95" s="448">
        <f t="shared" si="9"/>
        <v>72</v>
      </c>
      <c r="AC95" s="451">
        <f ca="1">OFFSET(Data!$A$2,$AC$8,AB95,1,1)</f>
        <v>-1</v>
      </c>
      <c r="AD95" s="115" t="s">
        <v>597</v>
      </c>
    </row>
    <row r="96" spans="28:30" ht="12.75" customHeight="1">
      <c r="AB96" s="448">
        <f t="shared" si="9"/>
        <v>73</v>
      </c>
      <c r="AC96" s="451">
        <f ca="1">OFFSET(Data!$A$2,$AC$8,AB96,1,1)</f>
        <v>-1</v>
      </c>
      <c r="AD96" s="115" t="s">
        <v>598</v>
      </c>
    </row>
    <row r="97" spans="28:30" ht="12.75" customHeight="1">
      <c r="AB97" s="448">
        <f t="shared" si="9"/>
        <v>74</v>
      </c>
      <c r="AC97" s="451" t="str">
        <f ca="1">OFFSET(Data!$A$2,$AC$8,AB97,1,1)</f>
        <v>Heating Design Day</v>
      </c>
      <c r="AD97" s="115" t="s">
        <v>599</v>
      </c>
    </row>
    <row r="98" spans="28:30" ht="12.75" customHeight="1">
      <c r="AB98" s="448">
        <f t="shared" si="9"/>
        <v>75</v>
      </c>
      <c r="AC98" s="451">
        <f ca="1">OFFSET(Data!$A$2,$AC$8,AB98,1,1)</f>
        <v>-1</v>
      </c>
      <c r="AD98" s="115" t="s">
        <v>600</v>
      </c>
    </row>
    <row r="99" spans="28:30" ht="12.75" customHeight="1">
      <c r="AB99" s="448">
        <f t="shared" si="9"/>
        <v>76</v>
      </c>
      <c r="AC99" s="451">
        <f ca="1">OFFSET(Data!$A$2,$AC$8,AB99,1,1)</f>
        <v>-1</v>
      </c>
      <c r="AD99" s="115" t="s">
        <v>601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602</v>
      </c>
    </row>
    <row r="101" spans="28:30" ht="12.75" customHeight="1">
      <c r="AB101" s="448">
        <f t="shared" si="9"/>
        <v>78</v>
      </c>
      <c r="AC101" s="451">
        <f ca="1">OFFSET(Data!$A$2,$AC$8,AB101,1,1)</f>
        <v>0</v>
      </c>
      <c r="AD101" s="115" t="s">
        <v>603</v>
      </c>
    </row>
    <row r="102" spans="28:30" ht="12.75" customHeight="1">
      <c r="AB102" s="448">
        <f t="shared" si="9"/>
        <v>79</v>
      </c>
      <c r="AC102" s="451">
        <f ca="1">OFFSET(Data!$A$2,$AC$8,AB102,1,1)</f>
        <v>11.484760284423828</v>
      </c>
      <c r="AD102" s="115" t="s">
        <v>604</v>
      </c>
    </row>
    <row r="103" spans="28:30" ht="12.75" customHeight="1">
      <c r="AB103" s="448">
        <f t="shared" si="9"/>
        <v>80</v>
      </c>
      <c r="AC103" s="451">
        <f ca="1">OFFSET(Data!$A$2,$AC$8,AB103,1,1)</f>
        <v>0</v>
      </c>
      <c r="AD103" s="115" t="s">
        <v>605</v>
      </c>
    </row>
    <row r="104" spans="28:30" ht="12.75" customHeight="1">
      <c r="AB104" s="448">
        <f t="shared" si="9"/>
        <v>81</v>
      </c>
      <c r="AC104" s="451">
        <f ca="1">OFFSET(Data!$A$2,$AC$8,AB104,1,1)</f>
        <v>43101</v>
      </c>
      <c r="AD104" s="115" t="s">
        <v>606</v>
      </c>
    </row>
    <row r="105" spans="28:30" ht="12.75" customHeight="1">
      <c r="AB105" s="448">
        <f t="shared" si="9"/>
        <v>83</v>
      </c>
      <c r="AC105" s="451">
        <f ca="1">OFFSET(Data!$A$2,$AC$8,AB105,1,1)</f>
        <v>9.7081920000000004</v>
      </c>
      <c r="AD105" s="433" t="s">
        <v>635</v>
      </c>
    </row>
    <row r="106" spans="28:30" ht="12.75" customHeight="1">
      <c r="AB106" s="448">
        <f t="shared" si="9"/>
        <v>84</v>
      </c>
      <c r="AC106" s="451">
        <f ca="1">OFFSET(Data!$A$2,$AC$8,AB106,1,1)</f>
        <v>0</v>
      </c>
      <c r="AD106" s="433" t="s">
        <v>637</v>
      </c>
    </row>
    <row r="107" spans="28:30" ht="12.75" customHeight="1">
      <c r="AB107" s="448">
        <f t="shared" si="9"/>
        <v>85</v>
      </c>
      <c r="AC107" s="451">
        <f ca="1">OFFSET(Data!$A$2,$AC$8,AB107,1,1)</f>
        <v>0</v>
      </c>
      <c r="AD107" s="433" t="s">
        <v>636</v>
      </c>
    </row>
    <row r="108" spans="28:30" ht="12.75" customHeight="1">
      <c r="AB108" s="448">
        <f t="shared" si="9"/>
        <v>86</v>
      </c>
      <c r="AC108" s="451">
        <f ca="1">OFFSET(Data!$A$2,$AC$8,AB108,1,1)</f>
        <v>0</v>
      </c>
      <c r="AD108" s="433" t="s">
        <v>652</v>
      </c>
    </row>
    <row r="109" spans="28:30" ht="12.75" customHeight="1">
      <c r="AB109" s="448">
        <f t="shared" si="9"/>
        <v>87</v>
      </c>
      <c r="AC109" s="451">
        <f ca="1">OFFSET(Data!$A$2,$AC$8,AB109,1,1)</f>
        <v>0</v>
      </c>
      <c r="AD109" s="433" t="s">
        <v>651</v>
      </c>
    </row>
    <row r="110" spans="28:30" ht="12.75" customHeight="1">
      <c r="AB110" s="448">
        <f t="shared" si="9"/>
        <v>88</v>
      </c>
      <c r="AC110" s="451">
        <f ca="1">OFFSET(Data!$A$2,$AC$8,AB110,1,1)</f>
        <v>0</v>
      </c>
      <c r="AD110" s="433" t="s">
        <v>650</v>
      </c>
    </row>
    <row r="111" spans="28:30" ht="12.75" customHeight="1">
      <c r="AB111" s="448">
        <f t="shared" si="9"/>
        <v>89</v>
      </c>
      <c r="AC111" s="451">
        <f ca="1">OFFSET(Data!$A$2,$AC$8,AB111,1,1)</f>
        <v>44</v>
      </c>
      <c r="AD111" s="433" t="s">
        <v>649</v>
      </c>
    </row>
    <row r="112" spans="28:30" ht="12.75" customHeight="1">
      <c r="AB112" s="448">
        <f t="shared" si="9"/>
        <v>90</v>
      </c>
      <c r="AC112" s="451">
        <f ca="1">OFFSET(Data!$A$2,$AC$8,AB112,1,1)</f>
        <v>0</v>
      </c>
      <c r="AD112" s="433" t="s">
        <v>648</v>
      </c>
    </row>
    <row r="113" spans="28:30" ht="12.75" customHeight="1">
      <c r="AB113" s="448">
        <f t="shared" si="9"/>
        <v>91</v>
      </c>
      <c r="AC113" s="451">
        <f ca="1">OFFSET(Data!$A$2,$AC$8,AB113,1,1)</f>
        <v>34.652440999999996</v>
      </c>
      <c r="AD113" s="433" t="s">
        <v>647</v>
      </c>
    </row>
    <row r="114" spans="28:30" ht="12.75" customHeight="1">
      <c r="AB114" s="448">
        <f t="shared" si="9"/>
        <v>92</v>
      </c>
      <c r="AC114" s="451">
        <f ca="1">OFFSET(Data!$A$2,$AC$8,AB114,1,1)</f>
        <v>0</v>
      </c>
      <c r="AD114" s="433" t="s">
        <v>646</v>
      </c>
    </row>
    <row r="115" spans="28:30" ht="12.75" customHeight="1">
      <c r="AB115" s="448">
        <f t="shared" si="9"/>
        <v>93</v>
      </c>
      <c r="AC115" s="451">
        <f ca="1">OFFSET(Data!$A$2,$AC$8,AB115,1,1)</f>
        <v>78.652443933000001</v>
      </c>
      <c r="AD115" s="433" t="s">
        <v>645</v>
      </c>
    </row>
    <row r="116" spans="28:30" ht="12.75" customHeight="1">
      <c r="AB116" s="448">
        <f t="shared" si="9"/>
        <v>94</v>
      </c>
      <c r="AC116" s="451">
        <f ca="1">OFFSET(Data!$A$2,$AC$8,AB116,1,1)</f>
        <v>0</v>
      </c>
      <c r="AD116" s="433" t="s">
        <v>644</v>
      </c>
    </row>
    <row r="117" spans="28:30" ht="12.75" customHeight="1">
      <c r="AB117" s="448">
        <f t="shared" si="9"/>
        <v>95</v>
      </c>
      <c r="AC117" s="451">
        <f ca="1">OFFSET(Data!$A$2,$AC$8,AB117,1,1)</f>
        <v>0</v>
      </c>
      <c r="AD117" s="433" t="s">
        <v>643</v>
      </c>
    </row>
    <row r="118" spans="28:30" ht="12.75" customHeight="1">
      <c r="AB118" s="448">
        <f t="shared" si="9"/>
        <v>96</v>
      </c>
      <c r="AC118" s="451">
        <f ca="1">OFFSET(Data!$A$2,$AC$8,AB118,1,1)</f>
        <v>0</v>
      </c>
      <c r="AD118" s="433" t="s">
        <v>642</v>
      </c>
    </row>
    <row r="119" spans="28:30" ht="12.75" customHeight="1">
      <c r="AB119" s="448">
        <f t="shared" si="9"/>
        <v>97</v>
      </c>
      <c r="AC119" s="451">
        <f ca="1">OFFSET(Data!$A$2,$AC$8,AB119,1,1)</f>
        <v>0</v>
      </c>
      <c r="AD119" s="433" t="s">
        <v>641</v>
      </c>
    </row>
    <row r="120" spans="28:30" ht="12.75" customHeight="1">
      <c r="AB120" s="448">
        <f t="shared" si="9"/>
        <v>98</v>
      </c>
      <c r="AC120" s="451">
        <f ca="1">OFFSET(Data!$A$2,$AC$8,AB120,1,1)</f>
        <v>0</v>
      </c>
      <c r="AD120" s="433" t="s">
        <v>640</v>
      </c>
    </row>
    <row r="121" spans="28:30" ht="12.75" customHeight="1">
      <c r="AB121" s="448">
        <f t="shared" si="9"/>
        <v>99</v>
      </c>
      <c r="AC121" s="451">
        <f ca="1">OFFSET(Data!$A$2,$AC$8,AB121,1,1)</f>
        <v>57.592463013</v>
      </c>
      <c r="AD121" s="433" t="s">
        <v>639</v>
      </c>
    </row>
    <row r="122" spans="28:30" ht="12.75" customHeight="1">
      <c r="AB122" s="448">
        <f t="shared" si="9"/>
        <v>100</v>
      </c>
      <c r="AC122" s="451">
        <f ca="1">OFFSET(Data!$A$2,$AC$8,AB122,1,1)</f>
        <v>42.115727243999999</v>
      </c>
      <c r="AD122" s="433" t="s">
        <v>638</v>
      </c>
    </row>
    <row r="123" spans="28:30" ht="12.75" customHeight="1">
      <c r="AB123" s="448">
        <f t="shared" ref="AB123:AB130" si="10">HLOOKUP(AD123,DataColumn,2,0)</f>
        <v>101</v>
      </c>
      <c r="AC123" s="451">
        <f ca="1">OFFSET(Data!$A$2,$AC$8,AB123,1,1)</f>
        <v>7</v>
      </c>
      <c r="AD123" s="433" t="s">
        <v>672</v>
      </c>
    </row>
    <row r="124" spans="28:30" ht="12.75" customHeight="1">
      <c r="AB124" s="448">
        <f t="shared" si="10"/>
        <v>102</v>
      </c>
      <c r="AC124" s="451">
        <f ca="1">OFFSET(Data!$A$2,$AC$8,AB124,1,1)</f>
        <v>7</v>
      </c>
      <c r="AD124" s="433" t="s">
        <v>673</v>
      </c>
    </row>
    <row r="125" spans="28:30" ht="12.75" customHeight="1">
      <c r="AB125" s="448">
        <f t="shared" si="10"/>
        <v>103</v>
      </c>
      <c r="AC125" s="451">
        <f ca="1">OFFSET(Data!$A$2,$AC$8,AB125,1,1)</f>
        <v>7</v>
      </c>
      <c r="AD125" s="433" t="s">
        <v>674</v>
      </c>
    </row>
    <row r="126" spans="28:30" ht="12.75" customHeight="1">
      <c r="AB126" s="448">
        <f t="shared" si="10"/>
        <v>104</v>
      </c>
      <c r="AC126" s="451">
        <f ca="1">OFFSET(Data!$A$2,$AC$8,AB126,1,1)</f>
        <v>7</v>
      </c>
      <c r="AD126" s="433" t="s">
        <v>675</v>
      </c>
    </row>
    <row r="127" spans="28:30" ht="12.75" customHeight="1">
      <c r="AB127" s="448" t="e">
        <f t="shared" si="10"/>
        <v>#N/A</v>
      </c>
      <c r="AC127" s="451" t="e">
        <f ca="1">OFFSET(Data!$A$2,$AC$8,AB127,1,1)</f>
        <v>#N/A</v>
      </c>
      <c r="AD127" s="433" t="s">
        <v>676</v>
      </c>
    </row>
    <row r="128" spans="28:30" ht="12.75" customHeight="1">
      <c r="AB128" s="448" t="e">
        <f t="shared" si="10"/>
        <v>#N/A</v>
      </c>
      <c r="AC128" s="451" t="e">
        <f ca="1">OFFSET(Data!$A$2,$AC$8,AB128,1,1)</f>
        <v>#N/A</v>
      </c>
      <c r="AD128" s="433" t="s">
        <v>677</v>
      </c>
    </row>
    <row r="129" spans="28:30" ht="12.75" customHeight="1">
      <c r="AB129" s="448" t="e">
        <f t="shared" si="10"/>
        <v>#N/A</v>
      </c>
      <c r="AC129" s="451" t="e">
        <f ca="1">OFFSET(Data!$A$2,$AC$8,AB129,1,1)</f>
        <v>#N/A</v>
      </c>
      <c r="AD129" s="433" t="s">
        <v>678</v>
      </c>
    </row>
    <row r="130" spans="28:30" ht="12.75" customHeight="1">
      <c r="AB130" s="448" t="e">
        <f t="shared" si="10"/>
        <v>#N/A</v>
      </c>
      <c r="AC130" s="451" t="e">
        <f ca="1">OFFSET(Data!$A$2,$AC$8,AB130,1,1)</f>
        <v>#N/A</v>
      </c>
      <c r="AD130" s="433" t="s">
        <v>679</v>
      </c>
    </row>
  </sheetData>
  <dataConsolidate/>
  <mergeCells count="13">
    <mergeCell ref="L30:M30"/>
    <mergeCell ref="O30:P30"/>
    <mergeCell ref="C2:E2"/>
    <mergeCell ref="M11:N11"/>
    <mergeCell ref="O11:P11"/>
    <mergeCell ref="K11:L12"/>
    <mergeCell ref="Q11:R12"/>
    <mergeCell ref="U11:V11"/>
    <mergeCell ref="S11:T11"/>
    <mergeCell ref="BD11:BE11"/>
    <mergeCell ref="AN2:AP2"/>
    <mergeCell ref="AX11:AY11"/>
    <mergeCell ref="AZ11:BA11"/>
  </mergeCells>
  <dataValidations count="2">
    <dataValidation type="list" allowBlank="1" showInputMessage="1" showErrorMessage="1" sqref="AB1" xr:uid="{00000000-0002-0000-0400-000000000000}">
      <formula1>"English, Deutsch"</formula1>
    </dataValidation>
    <dataValidation type="list" allowBlank="1" showInputMessage="1" showErrorMessage="1" sqref="AE14" xr:uid="{DECF817C-03EC-4DA2-81F1-E486E8E94192}">
      <formula1>"True, False"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19" r:id="rId4" name="CommandButton3">
          <controlPr defaultSize="0" autoLine="0" r:id="rId5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autoPict="0" r:id="rId9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8" name="CommandButton2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1005"/>
  <sheetViews>
    <sheetView zoomScale="80" zoomScaleNormal="80" workbookViewId="0">
      <selection activeCell="I15" sqref="I15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171</v>
      </c>
      <c r="C1" s="150" t="s">
        <v>172</v>
      </c>
      <c r="D1" s="150" t="s">
        <v>173</v>
      </c>
      <c r="E1" s="151" t="s">
        <v>174</v>
      </c>
      <c r="F1" s="151" t="s">
        <v>175</v>
      </c>
      <c r="G1" s="151" t="s">
        <v>176</v>
      </c>
      <c r="H1" s="151" t="s">
        <v>530</v>
      </c>
      <c r="I1" s="150" t="s">
        <v>177</v>
      </c>
      <c r="J1" s="475">
        <f>N30</f>
        <v>13</v>
      </c>
      <c r="K1" s="475" t="e">
        <f>VLOOKUP($N$30,$J$2:$L$588,2,0)</f>
        <v>#N/A</v>
      </c>
      <c r="L1" s="475" t="e">
        <f>VLOOKUP($N$30,$J$2:$L$588,3,0)</f>
        <v>#N/A</v>
      </c>
      <c r="N1" s="150"/>
      <c r="O1" s="150"/>
    </row>
    <row r="2" spans="1:22" ht="14.4">
      <c r="A2" s="129">
        <v>2</v>
      </c>
      <c r="B2" s="129">
        <v>1</v>
      </c>
      <c r="C2" s="129" t="s">
        <v>633</v>
      </c>
      <c r="D2" s="129" t="s">
        <v>632</v>
      </c>
      <c r="E2" s="152">
        <v>897.5999755859375</v>
      </c>
      <c r="F2" s="129">
        <v>1</v>
      </c>
      <c r="G2" s="129">
        <v>90</v>
      </c>
      <c r="H2" s="129">
        <v>2</v>
      </c>
      <c r="I2" s="129" t="s">
        <v>632</v>
      </c>
      <c r="J2" s="129">
        <v>1</v>
      </c>
      <c r="K2" s="129">
        <v>36</v>
      </c>
      <c r="L2" s="464">
        <v>2</v>
      </c>
      <c r="N2" s="129">
        <v>72</v>
      </c>
    </row>
    <row r="3" spans="1:22" ht="14.4">
      <c r="A3" s="129">
        <v>3</v>
      </c>
      <c r="B3" s="129">
        <v>1</v>
      </c>
      <c r="C3" s="152"/>
      <c r="D3" s="129" t="s">
        <v>615</v>
      </c>
      <c r="E3" s="129">
        <v>2138.800048828125</v>
      </c>
      <c r="F3" s="129">
        <v>0</v>
      </c>
      <c r="G3" s="129">
        <v>180</v>
      </c>
      <c r="H3" s="129">
        <v>11</v>
      </c>
      <c r="I3" s="153" t="s">
        <v>614</v>
      </c>
      <c r="J3" s="129">
        <v>2</v>
      </c>
      <c r="K3" s="129">
        <v>61</v>
      </c>
      <c r="L3" s="464">
        <f t="shared" ref="L3" si="0">K2+$L$2</f>
        <v>38</v>
      </c>
    </row>
    <row r="4" spans="1:22" ht="14.4">
      <c r="C4" s="152"/>
      <c r="I4" s="153"/>
      <c r="L4" s="464"/>
      <c r="O4" s="129" t="s">
        <v>178</v>
      </c>
      <c r="P4" s="154" t="s">
        <v>634</v>
      </c>
      <c r="Q4" s="154"/>
    </row>
    <row r="5" spans="1:22" ht="14.4">
      <c r="C5" s="152"/>
      <c r="I5" s="153"/>
      <c r="L5" s="464"/>
      <c r="O5" s="129" t="s">
        <v>179</v>
      </c>
      <c r="P5" s="129">
        <f>MAX(B2:B588)</f>
        <v>1</v>
      </c>
    </row>
    <row r="6" spans="1:22" ht="14.4">
      <c r="C6" s="152"/>
      <c r="I6" s="153"/>
      <c r="L6" s="464"/>
      <c r="O6" s="129" t="str">
        <f>C2</f>
        <v>Cell 1</v>
      </c>
      <c r="S6" s="129" t="s">
        <v>180</v>
      </c>
      <c r="T6" s="129" t="s">
        <v>181</v>
      </c>
      <c r="U6" s="129" t="s">
        <v>182</v>
      </c>
    </row>
    <row r="7" spans="1:22" ht="14.4">
      <c r="C7" s="152"/>
      <c r="I7" s="153"/>
      <c r="L7" s="464"/>
      <c r="O7" s="155" t="s">
        <v>160</v>
      </c>
      <c r="P7" s="155"/>
      <c r="Q7" s="145">
        <f ca="1">T7</f>
        <v>0</v>
      </c>
      <c r="R7" s="156" t="s">
        <v>155</v>
      </c>
      <c r="S7" s="156"/>
      <c r="T7" s="157">
        <f ca="1">SUMIF($V$30:$V$582,R7, $Q$30:$Q$582)</f>
        <v>0</v>
      </c>
      <c r="U7" s="487" t="s">
        <v>513</v>
      </c>
      <c r="V7" s="488">
        <f t="shared" ref="V7:V27" ca="1" si="1">SUMIF($T$30:$T$582,VLOOKUP(U7,BEType,2), $Q$30:$Q$582)</f>
        <v>0</v>
      </c>
    </row>
    <row r="8" spans="1:22" ht="14.4">
      <c r="C8" s="152"/>
      <c r="I8" s="153"/>
      <c r="L8" s="464"/>
      <c r="O8" s="155" t="s">
        <v>161</v>
      </c>
      <c r="P8" s="155"/>
      <c r="Q8" s="145">
        <f t="shared" ref="Q8:Q17" ca="1" si="2">T8</f>
        <v>0</v>
      </c>
      <c r="R8" s="158" t="s">
        <v>156</v>
      </c>
      <c r="S8" s="156"/>
      <c r="T8" s="157">
        <f ca="1">SUMIF($Y$30:$Y$582,R8, $Q$30:$Q$582)</f>
        <v>0</v>
      </c>
      <c r="U8" s="487" t="s">
        <v>512</v>
      </c>
      <c r="V8" s="488">
        <f t="shared" ca="1" si="1"/>
        <v>0</v>
      </c>
    </row>
    <row r="9" spans="1:22" ht="14.4">
      <c r="C9" s="152"/>
      <c r="I9" s="153"/>
      <c r="L9" s="464"/>
      <c r="O9" s="155" t="s">
        <v>162</v>
      </c>
      <c r="P9" s="155"/>
      <c r="Q9" s="145">
        <f t="shared" ca="1" si="2"/>
        <v>0</v>
      </c>
      <c r="R9" s="156" t="s">
        <v>157</v>
      </c>
      <c r="S9" s="156"/>
      <c r="T9" s="157">
        <f ca="1">SUMIF($V$30:$V$582,R9, $Q$30:$Q$582)</f>
        <v>0</v>
      </c>
      <c r="U9" s="487" t="s">
        <v>510</v>
      </c>
      <c r="V9" s="488">
        <f t="shared" ca="1" si="1"/>
        <v>0</v>
      </c>
    </row>
    <row r="10" spans="1:22" ht="14.4">
      <c r="C10" s="152"/>
      <c r="I10" s="153"/>
      <c r="L10" s="464"/>
      <c r="O10" s="155" t="s">
        <v>163</v>
      </c>
      <c r="P10" s="155"/>
      <c r="Q10" s="145">
        <f ca="1">T10+T19</f>
        <v>0</v>
      </c>
      <c r="R10" s="156" t="s">
        <v>163</v>
      </c>
      <c r="S10" s="156"/>
      <c r="T10" s="157">
        <f ca="1">SUMIF($W$30:$W$582,R10, $Q$30:$Q$582)</f>
        <v>0</v>
      </c>
      <c r="U10" s="487" t="s">
        <v>184</v>
      </c>
      <c r="V10" s="488">
        <f t="shared" ca="1" si="1"/>
        <v>0</v>
      </c>
    </row>
    <row r="11" spans="1:22" ht="14.4">
      <c r="C11" s="152"/>
      <c r="I11" s="153"/>
      <c r="L11" s="464"/>
      <c r="O11" s="155" t="s">
        <v>164</v>
      </c>
      <c r="P11" s="155"/>
      <c r="Q11" s="145">
        <f t="shared" ca="1" si="2"/>
        <v>0</v>
      </c>
      <c r="R11" s="156" t="s">
        <v>165</v>
      </c>
      <c r="S11" s="156"/>
      <c r="T11" s="157">
        <f ca="1">SUMIF($Y$30:$Y$582,R11, $Q$30:$Q$582)</f>
        <v>0</v>
      </c>
      <c r="U11" s="487" t="s">
        <v>185</v>
      </c>
      <c r="V11" s="488">
        <f t="shared" ca="1" si="1"/>
        <v>0</v>
      </c>
    </row>
    <row r="12" spans="1:22" ht="14.4">
      <c r="C12" s="152"/>
      <c r="I12" s="153"/>
      <c r="L12" s="464"/>
      <c r="O12" s="155" t="s">
        <v>165</v>
      </c>
      <c r="P12" s="155"/>
      <c r="Q12" s="145">
        <f t="shared" ca="1" si="2"/>
        <v>0</v>
      </c>
      <c r="R12" s="156" t="s">
        <v>183</v>
      </c>
      <c r="S12" s="156"/>
      <c r="T12" s="157">
        <f ca="1">SUMIF($V$30:$V$582,R12, $Q$30:$Q$582)</f>
        <v>0</v>
      </c>
      <c r="U12" s="487" t="s">
        <v>514</v>
      </c>
      <c r="V12" s="488">
        <f t="shared" ca="1" si="1"/>
        <v>0</v>
      </c>
    </row>
    <row r="13" spans="1:22" ht="14.4">
      <c r="C13" s="152"/>
      <c r="I13" s="153"/>
      <c r="L13" s="464"/>
      <c r="O13" s="155" t="s">
        <v>166</v>
      </c>
      <c r="P13" s="155"/>
      <c r="Q13" s="145">
        <f t="shared" ca="1" si="2"/>
        <v>0</v>
      </c>
      <c r="R13" s="156" t="s">
        <v>184</v>
      </c>
      <c r="S13" s="156"/>
      <c r="T13" s="157">
        <f ca="1">SUMIF($V$30:$V$582,R13, $Q$30:$Q$582)</f>
        <v>0</v>
      </c>
      <c r="U13" s="487" t="s">
        <v>511</v>
      </c>
      <c r="V13" s="488">
        <f t="shared" ca="1" si="1"/>
        <v>0</v>
      </c>
    </row>
    <row r="14" spans="1:22" ht="14.4">
      <c r="A14" s="464"/>
      <c r="C14" s="152"/>
      <c r="I14" s="153"/>
      <c r="L14" s="464"/>
      <c r="O14" s="155" t="s">
        <v>167</v>
      </c>
      <c r="P14" s="155"/>
      <c r="Q14" s="145">
        <f t="shared" ca="1" si="2"/>
        <v>0</v>
      </c>
      <c r="R14" s="156" t="s">
        <v>185</v>
      </c>
      <c r="S14" s="156"/>
      <c r="T14" s="157">
        <f ca="1">SUMIF($Y$30:$Y$582,R14, $Q$30:$Q$582)</f>
        <v>0</v>
      </c>
      <c r="U14" s="487" t="s">
        <v>156</v>
      </c>
      <c r="V14" s="488">
        <f t="shared" ca="1" si="1"/>
        <v>0</v>
      </c>
    </row>
    <row r="15" spans="1:22" ht="14.4">
      <c r="A15" s="464"/>
      <c r="C15" s="152"/>
      <c r="I15" s="153"/>
      <c r="L15" s="464"/>
      <c r="O15" s="155" t="s">
        <v>168</v>
      </c>
      <c r="P15" s="155"/>
      <c r="Q15" s="145">
        <f t="shared" ca="1" si="2"/>
        <v>0</v>
      </c>
      <c r="R15" s="156" t="s">
        <v>168</v>
      </c>
      <c r="S15" s="156"/>
      <c r="T15" s="157">
        <f ca="1">SUMIF($V$30:$V$582,R15, $Q$30:$Q$582)</f>
        <v>0</v>
      </c>
      <c r="U15" s="487" t="s">
        <v>515</v>
      </c>
      <c r="V15" s="488">
        <f t="shared" ca="1" si="1"/>
        <v>0</v>
      </c>
    </row>
    <row r="16" spans="1:22" ht="14.4">
      <c r="A16" s="464"/>
      <c r="C16" s="152"/>
      <c r="I16" s="153"/>
      <c r="L16" s="464"/>
      <c r="O16" s="155" t="s">
        <v>169</v>
      </c>
      <c r="P16" s="155"/>
      <c r="Q16" s="145">
        <f ca="1">T16+T20+T21+T22</f>
        <v>0</v>
      </c>
      <c r="R16" s="156" t="s">
        <v>169</v>
      </c>
      <c r="S16" s="156"/>
      <c r="T16" s="157">
        <f ca="1">SUMIF($W$30:$W$582,R16, $Q$30:$Q$582)</f>
        <v>0</v>
      </c>
      <c r="U16" s="487" t="s">
        <v>516</v>
      </c>
      <c r="V16" s="488">
        <f t="shared" ca="1" si="1"/>
        <v>0</v>
      </c>
    </row>
    <row r="17" spans="1:25" ht="14.4">
      <c r="A17" s="464"/>
      <c r="C17" s="152"/>
      <c r="I17" s="153"/>
      <c r="L17" s="464"/>
      <c r="O17" s="155" t="s">
        <v>170</v>
      </c>
      <c r="P17" s="155"/>
      <c r="Q17" s="145">
        <f t="shared" ca="1" si="2"/>
        <v>0</v>
      </c>
      <c r="R17" s="156" t="s">
        <v>170</v>
      </c>
      <c r="S17" s="156"/>
      <c r="T17" s="157">
        <f ca="1">SUMIF($W$30:$W$582,R17, $Q$30:$Q$582)</f>
        <v>0</v>
      </c>
      <c r="U17" s="487" t="s">
        <v>517</v>
      </c>
      <c r="V17" s="488">
        <f t="shared" ca="1" si="1"/>
        <v>0</v>
      </c>
    </row>
    <row r="18" spans="1:25" ht="14.4">
      <c r="A18" s="464"/>
      <c r="C18" s="152"/>
      <c r="I18" s="153"/>
      <c r="L18" s="464"/>
      <c r="Q18" s="145"/>
      <c r="R18" s="156" t="s">
        <v>186</v>
      </c>
      <c r="S18" s="156"/>
      <c r="T18" s="157">
        <f ca="1">SUMIF($P$30:$P$582,R18, $Q$30:$Q$582)</f>
        <v>0</v>
      </c>
      <c r="U18" s="487" t="s">
        <v>518</v>
      </c>
      <c r="V18" s="488">
        <f t="shared" ca="1" si="1"/>
        <v>0</v>
      </c>
    </row>
    <row r="19" spans="1:25" ht="14.4">
      <c r="A19" s="464"/>
      <c r="C19" s="152"/>
      <c r="I19" s="153"/>
      <c r="L19" s="464"/>
      <c r="R19" s="156" t="s">
        <v>494</v>
      </c>
      <c r="S19" s="156"/>
      <c r="T19" s="157">
        <f ca="1">SUMIF($X$30:$X$582,R19, $Q$30:$Q$582)</f>
        <v>0</v>
      </c>
      <c r="U19" s="487" t="s">
        <v>519</v>
      </c>
      <c r="V19" s="488">
        <f t="shared" ca="1" si="1"/>
        <v>0</v>
      </c>
    </row>
    <row r="20" spans="1:25" ht="14.4">
      <c r="A20" s="464"/>
      <c r="C20" s="152"/>
      <c r="I20" s="153"/>
      <c r="L20" s="464"/>
      <c r="R20" s="164" t="s">
        <v>495</v>
      </c>
      <c r="S20" s="156"/>
      <c r="T20" s="157">
        <f ca="1">SUMIF($X$30:$X$582,R20, $Q$30:$Q$582)</f>
        <v>0</v>
      </c>
      <c r="U20" s="487" t="s">
        <v>520</v>
      </c>
      <c r="V20" s="488">
        <f t="shared" ca="1" si="1"/>
        <v>0</v>
      </c>
    </row>
    <row r="21" spans="1:25" ht="14.4">
      <c r="A21" s="464"/>
      <c r="C21" s="152"/>
      <c r="I21" s="153"/>
      <c r="L21" s="464"/>
      <c r="R21" s="156" t="s">
        <v>496</v>
      </c>
      <c r="S21" s="156"/>
      <c r="T21" s="157">
        <f ca="1">SUMIF($X$30:$X$582,R21, $Q$30:$Q$582)</f>
        <v>0</v>
      </c>
      <c r="U21" s="487" t="s">
        <v>521</v>
      </c>
      <c r="V21" s="488">
        <f t="shared" ca="1" si="1"/>
        <v>0</v>
      </c>
    </row>
    <row r="22" spans="1:25" ht="14.4">
      <c r="A22" s="464"/>
      <c r="C22" s="152"/>
      <c r="I22" s="153"/>
      <c r="L22" s="464"/>
      <c r="R22" s="164" t="s">
        <v>497</v>
      </c>
      <c r="S22" s="156"/>
      <c r="T22" s="157">
        <f ca="1">SUMIF($X$30:$X$582,R22, $Q$30:$Q$582)</f>
        <v>0</v>
      </c>
      <c r="U22" s="487" t="s">
        <v>522</v>
      </c>
      <c r="V22" s="488">
        <f t="shared" ca="1" si="1"/>
        <v>0</v>
      </c>
    </row>
    <row r="23" spans="1:25" ht="14.4">
      <c r="A23" s="464"/>
      <c r="C23" s="152"/>
      <c r="I23" s="153"/>
      <c r="L23" s="464"/>
      <c r="R23" s="156" t="s">
        <v>164</v>
      </c>
      <c r="S23" s="156"/>
      <c r="T23" s="157">
        <f ca="1">SUMIF($W$30:$W$582,R23, $Q$30:$Q$582)</f>
        <v>0</v>
      </c>
      <c r="U23" s="487" t="s">
        <v>523</v>
      </c>
      <c r="V23" s="488">
        <f t="shared" ca="1" si="1"/>
        <v>0</v>
      </c>
    </row>
    <row r="24" spans="1:25" ht="14.4">
      <c r="A24" s="464"/>
      <c r="C24" s="152"/>
      <c r="I24" s="153"/>
      <c r="L24" s="464"/>
      <c r="T24" s="153"/>
      <c r="U24" s="487" t="s">
        <v>526</v>
      </c>
      <c r="V24" s="488">
        <f t="shared" ca="1" si="1"/>
        <v>0</v>
      </c>
    </row>
    <row r="25" spans="1:25" ht="14.4">
      <c r="A25" s="464"/>
      <c r="C25" s="152"/>
      <c r="I25" s="153"/>
      <c r="L25" s="464"/>
      <c r="M25" s="100"/>
      <c r="N25" s="100"/>
      <c r="O25" s="100"/>
      <c r="P25" s="100"/>
      <c r="T25" s="153"/>
      <c r="U25" s="487" t="s">
        <v>524</v>
      </c>
      <c r="V25" s="488">
        <f t="shared" ca="1" si="1"/>
        <v>0</v>
      </c>
    </row>
    <row r="26" spans="1:25" ht="14.4">
      <c r="A26" s="464"/>
      <c r="C26" s="152"/>
      <c r="I26" s="153"/>
      <c r="L26" s="464"/>
      <c r="M26" s="100"/>
      <c r="N26" s="100"/>
      <c r="O26" s="100"/>
      <c r="P26" s="100"/>
      <c r="T26" s="153"/>
      <c r="U26" s="487" t="s">
        <v>525</v>
      </c>
      <c r="V26" s="488">
        <f t="shared" ca="1" si="1"/>
        <v>0</v>
      </c>
    </row>
    <row r="27" spans="1:25" ht="14.4">
      <c r="A27" s="464"/>
      <c r="C27" s="152"/>
      <c r="I27" s="153"/>
      <c r="L27" s="464"/>
      <c r="M27" s="100"/>
      <c r="N27" s="100" t="e">
        <f ca="1">O30</f>
        <v>#N/A</v>
      </c>
      <c r="O27" s="100"/>
      <c r="P27" s="100"/>
      <c r="T27" s="153"/>
      <c r="U27" s="487" t="s">
        <v>527</v>
      </c>
      <c r="V27" s="488">
        <f t="shared" ca="1" si="1"/>
        <v>0</v>
      </c>
      <c r="W27" s="129" t="s">
        <v>492</v>
      </c>
      <c r="X27" s="129" t="s">
        <v>492</v>
      </c>
    </row>
    <row r="28" spans="1:25" ht="14.4">
      <c r="A28" s="464"/>
      <c r="C28" s="152"/>
      <c r="I28" s="153"/>
      <c r="L28" s="464"/>
      <c r="M28" s="100"/>
      <c r="N28" s="100"/>
      <c r="O28" s="100"/>
      <c r="P28" s="100"/>
      <c r="V28" s="129" t="s">
        <v>191</v>
      </c>
      <c r="W28" s="129" t="s">
        <v>491</v>
      </c>
      <c r="X28" s="129" t="s">
        <v>491</v>
      </c>
    </row>
    <row r="29" spans="1:25" ht="14.4">
      <c r="C29" s="152"/>
      <c r="I29" s="153"/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190</v>
      </c>
      <c r="W29" s="129" t="s">
        <v>490</v>
      </c>
      <c r="X29" s="129" t="s">
        <v>493</v>
      </c>
      <c r="Y29" s="129" t="s">
        <v>489</v>
      </c>
    </row>
    <row r="30" spans="1:25" ht="14.4">
      <c r="C30" s="152"/>
      <c r="I30" s="153"/>
      <c r="L30" s="464"/>
      <c r="M30" s="129" t="e">
        <f>L1</f>
        <v>#N/A</v>
      </c>
      <c r="N30" s="159">
        <f>Print!AC8</f>
        <v>13</v>
      </c>
      <c r="O30" s="160" t="e">
        <f ca="1">IF($M30="end",0,OFFSET($A$1,$M30-1,O$29,1,1))</f>
        <v>#N/A</v>
      </c>
      <c r="P30" s="160" t="e">
        <f t="shared" ref="P30:U45" ca="1" si="3">IF($M30="end",0,OFFSET($A$1,$M30-1,P$29,1,1))</f>
        <v>#N/A</v>
      </c>
      <c r="Q30" s="160" t="e">
        <f t="shared" ca="1" si="3"/>
        <v>#N/A</v>
      </c>
      <c r="R30" s="160" t="e">
        <f t="shared" ca="1" si="3"/>
        <v>#N/A</v>
      </c>
      <c r="S30" s="160" t="e">
        <f t="shared" ca="1" si="3"/>
        <v>#N/A</v>
      </c>
      <c r="T30" s="160" t="e">
        <f ca="1">IF($M30="end",0,OFFSET($A$1,$M30-1,T$29,1,1))</f>
        <v>#N/A</v>
      </c>
      <c r="U30" s="160" t="e">
        <f ca="1">IF($M30="end",0,OFFSET($A$1,$M30-1,U$29,1,1))</f>
        <v>#N/A</v>
      </c>
      <c r="V30" s="163" t="e">
        <f ca="1">IF(Q30=0,0,IF(S30=180,IF(R30=0,"Slab on Grade",IF(R30=1,"Exposed Floor",IF(R30=3,"Internal Floor",U30))),IF(S30&lt;45,IF(R30=3,"Internal Ceiling",IF(R30=1,"Roof",U30)))))</f>
        <v>#N/A</v>
      </c>
      <c r="W30" s="163" t="e">
        <f ca="1">IF(ISNUMBER(SEARCH($W$29,U30))=TRUE,IF(ISNUMBER(SEARCH($W$27,U30))=TRUE,IF(R30=1,"eFrame",IF(R30=3,"iFrame")),IF(R30=1,"eWindow",IF(R30=3,"iWindow"))),U30)</f>
        <v>#N/A</v>
      </c>
      <c r="X30" s="163" t="e">
        <f ca="1">IF(ISNUMBER(SEARCH($X$29,U30))=TRUE,IF(ISNUMBER(SEARCH($X$27,U30))=TRUE,IF(R30=1,"eFrameDoor",IF(R30=3,"iFrameDoor")),IF(R30=1,"eDoor",IF(R30=3,"iDoor"))),U30)</f>
        <v>#N/A</v>
      </c>
      <c r="Y30" s="163" t="e">
        <f ca="1">IF(ISNUMBER(SEARCH($W$29,U30))=TRUE,"Substract",IF(ISNUMBER(SEARCH($X$29,U30))=TRUE, "Sunstract",IF(S30=90,IF(R30=1,"External Wall",IF(R30=3,"Internal Wall",IF(R30=0,"Below Grade Wall",U30))),V30)))</f>
        <v>#N/A</v>
      </c>
    </row>
    <row r="31" spans="1:25" ht="14.4">
      <c r="I31" s="153"/>
      <c r="L31" s="464"/>
      <c r="M31" s="129" t="e">
        <f>IF(M30="end","end",IF(M30=$K$1,"end",M30+1))</f>
        <v>#N/A</v>
      </c>
      <c r="N31" s="161">
        <f>N30</f>
        <v>13</v>
      </c>
      <c r="O31" s="160" t="e">
        <f t="shared" ref="O31:O40" ca="1" si="4">IF($M31="end",0,OFFSET($A$1,$M31-1,O$29,1,1))</f>
        <v>#N/A</v>
      </c>
      <c r="P31" s="160" t="e">
        <f t="shared" ca="1" si="3"/>
        <v>#N/A</v>
      </c>
      <c r="Q31" s="160" t="e">
        <f t="shared" ca="1" si="3"/>
        <v>#N/A</v>
      </c>
      <c r="R31" s="160" t="e">
        <f t="shared" ca="1" si="3"/>
        <v>#N/A</v>
      </c>
      <c r="S31" s="160" t="e">
        <f t="shared" ca="1" si="3"/>
        <v>#N/A</v>
      </c>
      <c r="T31" s="160" t="e">
        <f t="shared" ca="1" si="3"/>
        <v>#N/A</v>
      </c>
      <c r="U31" s="160" t="e">
        <f t="shared" ca="1" si="3"/>
        <v>#N/A</v>
      </c>
      <c r="V31" s="163" t="e">
        <f t="shared" ref="V31:V94" ca="1" si="5">IF(Q31=0,0,IF(S31=180,IF(R31=0,"Slab on Grade",IF(R31=1,"Exposed Floor",IF(R31=3,"Internal Floor",U31))),IF(S31&lt;45,IF(R31=3,"Internal Ceiling",IF(R31=1,"Roof",U31)))))</f>
        <v>#N/A</v>
      </c>
      <c r="W31" s="163" t="e">
        <f t="shared" ref="W31:W94" ca="1" si="6">IF(ISNUMBER(SEARCH($W$29,U31))=TRUE,IF(ISNUMBER(SEARCH($W$27,U31))=TRUE,IF(R31=1,"eFrame",IF(R31=3,"iFrame")),IF(R31=1,"eWindow",IF(R31=3,"iWindow"))),U31)</f>
        <v>#N/A</v>
      </c>
      <c r="X31" s="163" t="e">
        <f t="shared" ref="X31:X94" ca="1" si="7">IF(ISNUMBER(SEARCH($X$29,U31))=TRUE,IF(ISNUMBER(SEARCH($X$27,U31))=TRUE,IF(R31=1,"eFrameDoor",IF(R31=3,"iFrameDoor")),IF(R31=1,"eDoor",IF(R31=3,"iDoor"))),U31)</f>
        <v>#N/A</v>
      </c>
      <c r="Y31" s="163" t="e">
        <f t="shared" ref="Y31:Y94" ca="1" si="8">IF(ISNUMBER(SEARCH($W$29,U31))=TRUE,"Substract",IF(ISNUMBER(SEARCH($X$29,U31))=TRUE, "Sunstract",IF(S31=90,IF(R31=1,"External Wall",IF(R31=3,"Internal Wall",IF(R31=0,"Below Grade Wall",U31))),V31)))</f>
        <v>#N/A</v>
      </c>
    </row>
    <row r="32" spans="1:25" ht="14.4">
      <c r="I32" s="153"/>
      <c r="L32" s="464"/>
      <c r="M32" s="129" t="e">
        <f t="shared" ref="M32:M95" si="9">IF(M31="end","end",IF(M31=$K$1,"end",M31+1))</f>
        <v>#N/A</v>
      </c>
      <c r="N32" s="161">
        <f t="shared" ref="N32:N40" si="10">N31</f>
        <v>13</v>
      </c>
      <c r="O32" s="160" t="e">
        <f t="shared" ca="1" si="4"/>
        <v>#N/A</v>
      </c>
      <c r="P32" s="160" t="e">
        <f t="shared" ca="1" si="3"/>
        <v>#N/A</v>
      </c>
      <c r="Q32" s="160" t="e">
        <f t="shared" ca="1" si="3"/>
        <v>#N/A</v>
      </c>
      <c r="R32" s="160" t="e">
        <f t="shared" ca="1" si="3"/>
        <v>#N/A</v>
      </c>
      <c r="S32" s="160" t="e">
        <f t="shared" ca="1" si="3"/>
        <v>#N/A</v>
      </c>
      <c r="T32" s="160" t="e">
        <f t="shared" ca="1" si="3"/>
        <v>#N/A</v>
      </c>
      <c r="U32" s="160" t="e">
        <f t="shared" ca="1" si="3"/>
        <v>#N/A</v>
      </c>
      <c r="V32" s="163" t="e">
        <f t="shared" ca="1" si="5"/>
        <v>#N/A</v>
      </c>
      <c r="W32" s="163" t="e">
        <f t="shared" ca="1" si="6"/>
        <v>#N/A</v>
      </c>
      <c r="X32" s="163" t="e">
        <f t="shared" ca="1" si="7"/>
        <v>#N/A</v>
      </c>
      <c r="Y32" s="163" t="e">
        <f t="shared" ca="1" si="8"/>
        <v>#N/A</v>
      </c>
    </row>
    <row r="33" spans="9:25" ht="14.4">
      <c r="I33" s="153"/>
      <c r="L33" s="464"/>
      <c r="M33" s="129" t="e">
        <f t="shared" si="9"/>
        <v>#N/A</v>
      </c>
      <c r="N33" s="161">
        <f t="shared" si="10"/>
        <v>13</v>
      </c>
      <c r="O33" s="160" t="e">
        <f t="shared" ca="1" si="4"/>
        <v>#N/A</v>
      </c>
      <c r="P33" s="160" t="e">
        <f t="shared" ca="1" si="3"/>
        <v>#N/A</v>
      </c>
      <c r="Q33" s="160" t="e">
        <f t="shared" ca="1" si="3"/>
        <v>#N/A</v>
      </c>
      <c r="R33" s="160" t="e">
        <f t="shared" ca="1" si="3"/>
        <v>#N/A</v>
      </c>
      <c r="S33" s="160" t="e">
        <f t="shared" ca="1" si="3"/>
        <v>#N/A</v>
      </c>
      <c r="T33" s="160" t="e">
        <f t="shared" ca="1" si="3"/>
        <v>#N/A</v>
      </c>
      <c r="U33" s="160" t="e">
        <f t="shared" ca="1" si="3"/>
        <v>#N/A</v>
      </c>
      <c r="V33" s="163" t="e">
        <f t="shared" ca="1" si="5"/>
        <v>#N/A</v>
      </c>
      <c r="W33" s="163" t="e">
        <f t="shared" ca="1" si="6"/>
        <v>#N/A</v>
      </c>
      <c r="X33" s="163" t="e">
        <f t="shared" ca="1" si="7"/>
        <v>#N/A</v>
      </c>
      <c r="Y33" s="163" t="e">
        <f t="shared" ca="1" si="8"/>
        <v>#N/A</v>
      </c>
    </row>
    <row r="34" spans="9:25" ht="14.4">
      <c r="I34" s="153"/>
      <c r="L34" s="464"/>
      <c r="M34" s="129" t="e">
        <f t="shared" si="9"/>
        <v>#N/A</v>
      </c>
      <c r="N34" s="161">
        <f t="shared" si="10"/>
        <v>13</v>
      </c>
      <c r="O34" s="160" t="e">
        <f t="shared" ca="1" si="4"/>
        <v>#N/A</v>
      </c>
      <c r="P34" s="160" t="e">
        <f t="shared" ca="1" si="3"/>
        <v>#N/A</v>
      </c>
      <c r="Q34" s="160" t="e">
        <f t="shared" ca="1" si="3"/>
        <v>#N/A</v>
      </c>
      <c r="R34" s="160" t="e">
        <f t="shared" ca="1" si="3"/>
        <v>#N/A</v>
      </c>
      <c r="S34" s="160" t="e">
        <f t="shared" ca="1" si="3"/>
        <v>#N/A</v>
      </c>
      <c r="T34" s="160" t="e">
        <f t="shared" ca="1" si="3"/>
        <v>#N/A</v>
      </c>
      <c r="U34" s="160" t="e">
        <f t="shared" ca="1" si="3"/>
        <v>#N/A</v>
      </c>
      <c r="V34" s="163" t="e">
        <f t="shared" ca="1" si="5"/>
        <v>#N/A</v>
      </c>
      <c r="W34" s="163" t="e">
        <f t="shared" ca="1" si="6"/>
        <v>#N/A</v>
      </c>
      <c r="X34" s="163" t="e">
        <f t="shared" ca="1" si="7"/>
        <v>#N/A</v>
      </c>
      <c r="Y34" s="163" t="e">
        <f t="shared" ca="1" si="8"/>
        <v>#N/A</v>
      </c>
    </row>
    <row r="35" spans="9:25" ht="14.4">
      <c r="I35" s="153"/>
      <c r="L35" s="464"/>
      <c r="M35" s="129" t="e">
        <f t="shared" si="9"/>
        <v>#N/A</v>
      </c>
      <c r="N35" s="161">
        <f t="shared" si="10"/>
        <v>13</v>
      </c>
      <c r="O35" s="160" t="e">
        <f t="shared" ca="1" si="4"/>
        <v>#N/A</v>
      </c>
      <c r="P35" s="160" t="e">
        <f t="shared" ca="1" si="3"/>
        <v>#N/A</v>
      </c>
      <c r="Q35" s="160" t="e">
        <f t="shared" ca="1" si="3"/>
        <v>#N/A</v>
      </c>
      <c r="R35" s="160" t="e">
        <f t="shared" ca="1" si="3"/>
        <v>#N/A</v>
      </c>
      <c r="S35" s="160" t="e">
        <f t="shared" ca="1" si="3"/>
        <v>#N/A</v>
      </c>
      <c r="T35" s="160" t="e">
        <f t="shared" ca="1" si="3"/>
        <v>#N/A</v>
      </c>
      <c r="U35" s="160" t="e">
        <f t="shared" ca="1" si="3"/>
        <v>#N/A</v>
      </c>
      <c r="V35" s="163" t="e">
        <f t="shared" ca="1" si="5"/>
        <v>#N/A</v>
      </c>
      <c r="W35" s="163" t="e">
        <f t="shared" ca="1" si="6"/>
        <v>#N/A</v>
      </c>
      <c r="X35" s="163" t="e">
        <f t="shared" ca="1" si="7"/>
        <v>#N/A</v>
      </c>
      <c r="Y35" s="163" t="e">
        <f t="shared" ca="1" si="8"/>
        <v>#N/A</v>
      </c>
    </row>
    <row r="36" spans="9:25" ht="14.4">
      <c r="I36" s="153"/>
      <c r="L36" s="464"/>
      <c r="M36" s="129" t="e">
        <f t="shared" si="9"/>
        <v>#N/A</v>
      </c>
      <c r="N36" s="161">
        <f t="shared" si="10"/>
        <v>13</v>
      </c>
      <c r="O36" s="160" t="e">
        <f t="shared" ca="1" si="4"/>
        <v>#N/A</v>
      </c>
      <c r="P36" s="160" t="e">
        <f t="shared" ca="1" si="3"/>
        <v>#N/A</v>
      </c>
      <c r="Q36" s="160" t="e">
        <f t="shared" ca="1" si="3"/>
        <v>#N/A</v>
      </c>
      <c r="R36" s="160" t="e">
        <f t="shared" ca="1" si="3"/>
        <v>#N/A</v>
      </c>
      <c r="S36" s="160" t="e">
        <f t="shared" ca="1" si="3"/>
        <v>#N/A</v>
      </c>
      <c r="T36" s="160" t="e">
        <f t="shared" ca="1" si="3"/>
        <v>#N/A</v>
      </c>
      <c r="U36" s="160" t="e">
        <f t="shared" ca="1" si="3"/>
        <v>#N/A</v>
      </c>
      <c r="V36" s="163" t="e">
        <f t="shared" ca="1" si="5"/>
        <v>#N/A</v>
      </c>
      <c r="W36" s="163" t="e">
        <f t="shared" ca="1" si="6"/>
        <v>#N/A</v>
      </c>
      <c r="X36" s="163" t="e">
        <f t="shared" ca="1" si="7"/>
        <v>#N/A</v>
      </c>
      <c r="Y36" s="163" t="e">
        <f t="shared" ca="1" si="8"/>
        <v>#N/A</v>
      </c>
    </row>
    <row r="37" spans="9:25" ht="14.4">
      <c r="I37" s="153"/>
      <c r="L37" s="464"/>
      <c r="M37" s="129" t="e">
        <f t="shared" si="9"/>
        <v>#N/A</v>
      </c>
      <c r="N37" s="161">
        <f t="shared" si="10"/>
        <v>13</v>
      </c>
      <c r="O37" s="160" t="e">
        <f t="shared" ca="1" si="4"/>
        <v>#N/A</v>
      </c>
      <c r="P37" s="160" t="e">
        <f t="shared" ca="1" si="3"/>
        <v>#N/A</v>
      </c>
      <c r="Q37" s="160" t="e">
        <f t="shared" ca="1" si="3"/>
        <v>#N/A</v>
      </c>
      <c r="R37" s="160" t="e">
        <f t="shared" ca="1" si="3"/>
        <v>#N/A</v>
      </c>
      <c r="S37" s="160" t="e">
        <f t="shared" ca="1" si="3"/>
        <v>#N/A</v>
      </c>
      <c r="T37" s="160" t="e">
        <f t="shared" ca="1" si="3"/>
        <v>#N/A</v>
      </c>
      <c r="U37" s="160" t="e">
        <f t="shared" ca="1" si="3"/>
        <v>#N/A</v>
      </c>
      <c r="V37" s="163" t="e">
        <f t="shared" ca="1" si="5"/>
        <v>#N/A</v>
      </c>
      <c r="W37" s="163" t="e">
        <f t="shared" ca="1" si="6"/>
        <v>#N/A</v>
      </c>
      <c r="X37" s="163" t="e">
        <f t="shared" ca="1" si="7"/>
        <v>#N/A</v>
      </c>
      <c r="Y37" s="163" t="e">
        <f t="shared" ca="1" si="8"/>
        <v>#N/A</v>
      </c>
    </row>
    <row r="38" spans="9:25" ht="14.4">
      <c r="I38" s="153"/>
      <c r="L38" s="464"/>
      <c r="M38" s="129" t="e">
        <f t="shared" si="9"/>
        <v>#N/A</v>
      </c>
      <c r="N38" s="161">
        <f t="shared" si="10"/>
        <v>13</v>
      </c>
      <c r="O38" s="160" t="e">
        <f t="shared" ca="1" si="4"/>
        <v>#N/A</v>
      </c>
      <c r="P38" s="160" t="e">
        <f t="shared" ca="1" si="3"/>
        <v>#N/A</v>
      </c>
      <c r="Q38" s="160" t="e">
        <f t="shared" ca="1" si="3"/>
        <v>#N/A</v>
      </c>
      <c r="R38" s="160" t="e">
        <f t="shared" ca="1" si="3"/>
        <v>#N/A</v>
      </c>
      <c r="S38" s="160" t="e">
        <f t="shared" ca="1" si="3"/>
        <v>#N/A</v>
      </c>
      <c r="T38" s="160" t="e">
        <f t="shared" ca="1" si="3"/>
        <v>#N/A</v>
      </c>
      <c r="U38" s="160" t="e">
        <f t="shared" ca="1" si="3"/>
        <v>#N/A</v>
      </c>
      <c r="V38" s="163" t="e">
        <f t="shared" ca="1" si="5"/>
        <v>#N/A</v>
      </c>
      <c r="W38" s="163" t="e">
        <f t="shared" ca="1" si="6"/>
        <v>#N/A</v>
      </c>
      <c r="X38" s="163" t="e">
        <f t="shared" ca="1" si="7"/>
        <v>#N/A</v>
      </c>
      <c r="Y38" s="163" t="e">
        <f t="shared" ca="1" si="8"/>
        <v>#N/A</v>
      </c>
    </row>
    <row r="39" spans="9:25" ht="14.4">
      <c r="I39" s="153"/>
      <c r="L39" s="464"/>
      <c r="M39" s="129" t="e">
        <f t="shared" si="9"/>
        <v>#N/A</v>
      </c>
      <c r="N39" s="161">
        <f t="shared" si="10"/>
        <v>13</v>
      </c>
      <c r="O39" s="160" t="e">
        <f t="shared" ca="1" si="4"/>
        <v>#N/A</v>
      </c>
      <c r="P39" s="160" t="e">
        <f t="shared" ca="1" si="3"/>
        <v>#N/A</v>
      </c>
      <c r="Q39" s="160" t="e">
        <f t="shared" ca="1" si="3"/>
        <v>#N/A</v>
      </c>
      <c r="R39" s="160" t="e">
        <f t="shared" ca="1" si="3"/>
        <v>#N/A</v>
      </c>
      <c r="S39" s="160" t="e">
        <f t="shared" ca="1" si="3"/>
        <v>#N/A</v>
      </c>
      <c r="T39" s="160" t="e">
        <f t="shared" ca="1" si="3"/>
        <v>#N/A</v>
      </c>
      <c r="U39" s="160" t="e">
        <f t="shared" ca="1" si="3"/>
        <v>#N/A</v>
      </c>
      <c r="V39" s="163" t="e">
        <f t="shared" ca="1" si="5"/>
        <v>#N/A</v>
      </c>
      <c r="W39" s="163" t="e">
        <f t="shared" ca="1" si="6"/>
        <v>#N/A</v>
      </c>
      <c r="X39" s="163" t="e">
        <f t="shared" ca="1" si="7"/>
        <v>#N/A</v>
      </c>
      <c r="Y39" s="163" t="e">
        <f t="shared" ca="1" si="8"/>
        <v>#N/A</v>
      </c>
    </row>
    <row r="40" spans="9:25" ht="14.4">
      <c r="I40" s="153"/>
      <c r="L40" s="464"/>
      <c r="M40" s="129" t="e">
        <f t="shared" si="9"/>
        <v>#N/A</v>
      </c>
      <c r="N40" s="161">
        <f t="shared" si="10"/>
        <v>13</v>
      </c>
      <c r="O40" s="160" t="e">
        <f t="shared" ca="1" si="4"/>
        <v>#N/A</v>
      </c>
      <c r="P40" s="160" t="e">
        <f t="shared" ca="1" si="3"/>
        <v>#N/A</v>
      </c>
      <c r="Q40" s="160" t="e">
        <f t="shared" ca="1" si="3"/>
        <v>#N/A</v>
      </c>
      <c r="R40" s="160" t="e">
        <f t="shared" ca="1" si="3"/>
        <v>#N/A</v>
      </c>
      <c r="S40" s="160" t="e">
        <f t="shared" ca="1" si="3"/>
        <v>#N/A</v>
      </c>
      <c r="T40" s="160" t="e">
        <f t="shared" ca="1" si="3"/>
        <v>#N/A</v>
      </c>
      <c r="U40" s="160" t="e">
        <f t="shared" ca="1" si="3"/>
        <v>#N/A</v>
      </c>
      <c r="V40" s="163" t="e">
        <f t="shared" ca="1" si="5"/>
        <v>#N/A</v>
      </c>
      <c r="W40" s="163" t="e">
        <f t="shared" ca="1" si="6"/>
        <v>#N/A</v>
      </c>
      <c r="X40" s="163" t="e">
        <f t="shared" ca="1" si="7"/>
        <v>#N/A</v>
      </c>
      <c r="Y40" s="163" t="e">
        <f t="shared" ca="1" si="8"/>
        <v>#N/A</v>
      </c>
    </row>
    <row r="41" spans="9:25" ht="14.4">
      <c r="I41" s="153"/>
      <c r="L41" s="464"/>
      <c r="M41" s="129" t="e">
        <f t="shared" si="9"/>
        <v>#N/A</v>
      </c>
      <c r="N41" s="161">
        <f t="shared" ref="N41:N81" si="11">N40</f>
        <v>13</v>
      </c>
      <c r="O41" s="160" t="e">
        <f t="shared" ref="O41:O104" ca="1" si="12">IF($M41="end",0,OFFSET($A$1,$M41-1,O$29,1,1))</f>
        <v>#N/A</v>
      </c>
      <c r="P41" s="160" t="e">
        <f t="shared" ca="1" si="3"/>
        <v>#N/A</v>
      </c>
      <c r="Q41" s="160" t="e">
        <f t="shared" ca="1" si="3"/>
        <v>#N/A</v>
      </c>
      <c r="R41" s="160" t="e">
        <f t="shared" ca="1" si="3"/>
        <v>#N/A</v>
      </c>
      <c r="S41" s="160" t="e">
        <f t="shared" ca="1" si="3"/>
        <v>#N/A</v>
      </c>
      <c r="T41" s="160" t="e">
        <f t="shared" ca="1" si="3"/>
        <v>#N/A</v>
      </c>
      <c r="U41" s="160" t="e">
        <f t="shared" ca="1" si="3"/>
        <v>#N/A</v>
      </c>
      <c r="V41" s="163" t="e">
        <f t="shared" ca="1" si="5"/>
        <v>#N/A</v>
      </c>
      <c r="W41" s="163" t="e">
        <f t="shared" ca="1" si="6"/>
        <v>#N/A</v>
      </c>
      <c r="X41" s="163" t="e">
        <f t="shared" ca="1" si="7"/>
        <v>#N/A</v>
      </c>
      <c r="Y41" s="163" t="e">
        <f t="shared" ca="1" si="8"/>
        <v>#N/A</v>
      </c>
    </row>
    <row r="42" spans="9:25" ht="14.4">
      <c r="L42" s="464"/>
      <c r="M42" s="129" t="e">
        <f t="shared" si="9"/>
        <v>#N/A</v>
      </c>
      <c r="N42" s="161">
        <f t="shared" si="11"/>
        <v>13</v>
      </c>
      <c r="O42" s="160" t="e">
        <f t="shared" ca="1" si="12"/>
        <v>#N/A</v>
      </c>
      <c r="P42" s="160" t="e">
        <f t="shared" ca="1" si="3"/>
        <v>#N/A</v>
      </c>
      <c r="Q42" s="160" t="e">
        <f t="shared" ca="1" si="3"/>
        <v>#N/A</v>
      </c>
      <c r="R42" s="160" t="e">
        <f t="shared" ca="1" si="3"/>
        <v>#N/A</v>
      </c>
      <c r="S42" s="160" t="e">
        <f t="shared" ca="1" si="3"/>
        <v>#N/A</v>
      </c>
      <c r="T42" s="160" t="e">
        <f t="shared" ca="1" si="3"/>
        <v>#N/A</v>
      </c>
      <c r="U42" s="160" t="e">
        <f t="shared" ca="1" si="3"/>
        <v>#N/A</v>
      </c>
      <c r="V42" s="163" t="e">
        <f t="shared" ca="1" si="5"/>
        <v>#N/A</v>
      </c>
      <c r="W42" s="163" t="e">
        <f t="shared" ca="1" si="6"/>
        <v>#N/A</v>
      </c>
      <c r="X42" s="163" t="e">
        <f t="shared" ca="1" si="7"/>
        <v>#N/A</v>
      </c>
      <c r="Y42" s="163" t="e">
        <f t="shared" ca="1" si="8"/>
        <v>#N/A</v>
      </c>
    </row>
    <row r="43" spans="9:25" ht="14.4">
      <c r="L43" s="464"/>
      <c r="M43" s="129" t="e">
        <f t="shared" si="9"/>
        <v>#N/A</v>
      </c>
      <c r="N43" s="161">
        <f t="shared" si="11"/>
        <v>13</v>
      </c>
      <c r="O43" s="160" t="e">
        <f t="shared" ca="1" si="12"/>
        <v>#N/A</v>
      </c>
      <c r="P43" s="160" t="e">
        <f t="shared" ca="1" si="3"/>
        <v>#N/A</v>
      </c>
      <c r="Q43" s="160" t="e">
        <f t="shared" ca="1" si="3"/>
        <v>#N/A</v>
      </c>
      <c r="R43" s="160" t="e">
        <f t="shared" ca="1" si="3"/>
        <v>#N/A</v>
      </c>
      <c r="S43" s="160" t="e">
        <f t="shared" ca="1" si="3"/>
        <v>#N/A</v>
      </c>
      <c r="T43" s="160" t="e">
        <f t="shared" ca="1" si="3"/>
        <v>#N/A</v>
      </c>
      <c r="U43" s="160" t="e">
        <f t="shared" ca="1" si="3"/>
        <v>#N/A</v>
      </c>
      <c r="V43" s="163" t="e">
        <f t="shared" ca="1" si="5"/>
        <v>#N/A</v>
      </c>
      <c r="W43" s="163" t="e">
        <f t="shared" ca="1" si="6"/>
        <v>#N/A</v>
      </c>
      <c r="X43" s="163" t="e">
        <f t="shared" ca="1" si="7"/>
        <v>#N/A</v>
      </c>
      <c r="Y43" s="163" t="e">
        <f t="shared" ca="1" si="8"/>
        <v>#N/A</v>
      </c>
    </row>
    <row r="44" spans="9:25" ht="14.4">
      <c r="L44" s="464"/>
      <c r="M44" s="129" t="e">
        <f t="shared" si="9"/>
        <v>#N/A</v>
      </c>
      <c r="N44" s="161">
        <f t="shared" si="11"/>
        <v>13</v>
      </c>
      <c r="O44" s="160" t="e">
        <f t="shared" ca="1" si="12"/>
        <v>#N/A</v>
      </c>
      <c r="P44" s="160" t="e">
        <f t="shared" ca="1" si="3"/>
        <v>#N/A</v>
      </c>
      <c r="Q44" s="160" t="e">
        <f t="shared" ca="1" si="3"/>
        <v>#N/A</v>
      </c>
      <c r="R44" s="160" t="e">
        <f t="shared" ca="1" si="3"/>
        <v>#N/A</v>
      </c>
      <c r="S44" s="160" t="e">
        <f t="shared" ca="1" si="3"/>
        <v>#N/A</v>
      </c>
      <c r="T44" s="160" t="e">
        <f t="shared" ca="1" si="3"/>
        <v>#N/A</v>
      </c>
      <c r="U44" s="160" t="e">
        <f t="shared" ca="1" si="3"/>
        <v>#N/A</v>
      </c>
      <c r="V44" s="163" t="e">
        <f t="shared" ca="1" si="5"/>
        <v>#N/A</v>
      </c>
      <c r="W44" s="163" t="e">
        <f t="shared" ca="1" si="6"/>
        <v>#N/A</v>
      </c>
      <c r="X44" s="163" t="e">
        <f t="shared" ca="1" si="7"/>
        <v>#N/A</v>
      </c>
      <c r="Y44" s="163" t="e">
        <f t="shared" ca="1" si="8"/>
        <v>#N/A</v>
      </c>
    </row>
    <row r="45" spans="9:25" ht="14.4">
      <c r="L45" s="464"/>
      <c r="M45" s="129" t="e">
        <f t="shared" si="9"/>
        <v>#N/A</v>
      </c>
      <c r="N45" s="161">
        <f t="shared" si="11"/>
        <v>13</v>
      </c>
      <c r="O45" s="160" t="e">
        <f t="shared" ca="1" si="12"/>
        <v>#N/A</v>
      </c>
      <c r="P45" s="160" t="e">
        <f t="shared" ca="1" si="3"/>
        <v>#N/A</v>
      </c>
      <c r="Q45" s="160" t="e">
        <f t="shared" ca="1" si="3"/>
        <v>#N/A</v>
      </c>
      <c r="R45" s="160" t="e">
        <f t="shared" ca="1" si="3"/>
        <v>#N/A</v>
      </c>
      <c r="S45" s="160" t="e">
        <f t="shared" ca="1" si="3"/>
        <v>#N/A</v>
      </c>
      <c r="T45" s="160" t="e">
        <f t="shared" ca="1" si="3"/>
        <v>#N/A</v>
      </c>
      <c r="U45" s="160" t="e">
        <f t="shared" ca="1" si="3"/>
        <v>#N/A</v>
      </c>
      <c r="V45" s="163" t="e">
        <f t="shared" ca="1" si="5"/>
        <v>#N/A</v>
      </c>
      <c r="W45" s="163" t="e">
        <f t="shared" ca="1" si="6"/>
        <v>#N/A</v>
      </c>
      <c r="X45" s="163" t="e">
        <f t="shared" ca="1" si="7"/>
        <v>#N/A</v>
      </c>
      <c r="Y45" s="163" t="e">
        <f t="shared" ca="1" si="8"/>
        <v>#N/A</v>
      </c>
    </row>
    <row r="46" spans="9:25" ht="14.4">
      <c r="L46" s="464"/>
      <c r="M46" s="129" t="e">
        <f t="shared" si="9"/>
        <v>#N/A</v>
      </c>
      <c r="N46" s="161">
        <f t="shared" si="11"/>
        <v>13</v>
      </c>
      <c r="O46" s="160" t="e">
        <f t="shared" ca="1" si="12"/>
        <v>#N/A</v>
      </c>
      <c r="P46" s="160" t="e">
        <f t="shared" ref="P46:Q65" ca="1" si="13">IF($M46="end",0,OFFSET($A$1,$M46-1,P$29,1,1))</f>
        <v>#N/A</v>
      </c>
      <c r="Q46" s="160" t="e">
        <f t="shared" ca="1" si="13"/>
        <v>#N/A</v>
      </c>
      <c r="R46" s="160" t="e">
        <f t="shared" ref="R46:U109" ca="1" si="14">IF($M46="end",0,OFFSET($A$1,$M46-1,R$29,1,1))</f>
        <v>#N/A</v>
      </c>
      <c r="S46" s="160" t="e">
        <f t="shared" ca="1" si="14"/>
        <v>#N/A</v>
      </c>
      <c r="T46" s="160" t="e">
        <f t="shared" ca="1" si="14"/>
        <v>#N/A</v>
      </c>
      <c r="U46" s="160" t="e">
        <f t="shared" ca="1" si="14"/>
        <v>#N/A</v>
      </c>
      <c r="V46" s="163" t="e">
        <f t="shared" ca="1" si="5"/>
        <v>#N/A</v>
      </c>
      <c r="W46" s="163" t="e">
        <f t="shared" ca="1" si="6"/>
        <v>#N/A</v>
      </c>
      <c r="X46" s="163" t="e">
        <f t="shared" ca="1" si="7"/>
        <v>#N/A</v>
      </c>
      <c r="Y46" s="163" t="e">
        <f t="shared" ca="1" si="8"/>
        <v>#N/A</v>
      </c>
    </row>
    <row r="47" spans="9:25" ht="14.4">
      <c r="L47" s="464"/>
      <c r="M47" s="129" t="e">
        <f t="shared" si="9"/>
        <v>#N/A</v>
      </c>
      <c r="N47" s="161">
        <f t="shared" si="11"/>
        <v>13</v>
      </c>
      <c r="O47" s="160" t="e">
        <f t="shared" ca="1" si="12"/>
        <v>#N/A</v>
      </c>
      <c r="P47" s="160" t="e">
        <f t="shared" ca="1" si="13"/>
        <v>#N/A</v>
      </c>
      <c r="Q47" s="160" t="e">
        <f t="shared" ca="1" si="13"/>
        <v>#N/A</v>
      </c>
      <c r="R47" s="160" t="e">
        <f t="shared" ca="1" si="14"/>
        <v>#N/A</v>
      </c>
      <c r="S47" s="160" t="e">
        <f t="shared" ca="1" si="14"/>
        <v>#N/A</v>
      </c>
      <c r="T47" s="160" t="e">
        <f t="shared" ca="1" si="14"/>
        <v>#N/A</v>
      </c>
      <c r="U47" s="160" t="e">
        <f t="shared" ca="1" si="14"/>
        <v>#N/A</v>
      </c>
      <c r="V47" s="163" t="e">
        <f t="shared" ca="1" si="5"/>
        <v>#N/A</v>
      </c>
      <c r="W47" s="163" t="e">
        <f t="shared" ca="1" si="6"/>
        <v>#N/A</v>
      </c>
      <c r="X47" s="163" t="e">
        <f t="shared" ca="1" si="7"/>
        <v>#N/A</v>
      </c>
      <c r="Y47" s="163" t="e">
        <f t="shared" ca="1" si="8"/>
        <v>#N/A</v>
      </c>
    </row>
    <row r="48" spans="9:25" ht="14.4">
      <c r="L48" s="464"/>
      <c r="M48" s="129" t="e">
        <f t="shared" si="9"/>
        <v>#N/A</v>
      </c>
      <c r="N48" s="161">
        <f t="shared" si="11"/>
        <v>13</v>
      </c>
      <c r="O48" s="160" t="e">
        <f t="shared" ca="1" si="12"/>
        <v>#N/A</v>
      </c>
      <c r="P48" s="160" t="e">
        <f t="shared" ca="1" si="13"/>
        <v>#N/A</v>
      </c>
      <c r="Q48" s="160" t="e">
        <f t="shared" ca="1" si="13"/>
        <v>#N/A</v>
      </c>
      <c r="R48" s="160" t="e">
        <f t="shared" ca="1" si="14"/>
        <v>#N/A</v>
      </c>
      <c r="S48" s="160" t="e">
        <f t="shared" ca="1" si="14"/>
        <v>#N/A</v>
      </c>
      <c r="T48" s="160" t="e">
        <f t="shared" ca="1" si="14"/>
        <v>#N/A</v>
      </c>
      <c r="U48" s="160" t="e">
        <f t="shared" ca="1" si="14"/>
        <v>#N/A</v>
      </c>
      <c r="V48" s="163" t="e">
        <f t="shared" ca="1" si="5"/>
        <v>#N/A</v>
      </c>
      <c r="W48" s="163" t="e">
        <f t="shared" ca="1" si="6"/>
        <v>#N/A</v>
      </c>
      <c r="X48" s="163" t="e">
        <f t="shared" ca="1" si="7"/>
        <v>#N/A</v>
      </c>
      <c r="Y48" s="163" t="e">
        <f t="shared" ca="1" si="8"/>
        <v>#N/A</v>
      </c>
    </row>
    <row r="49" spans="6:25" ht="14.4">
      <c r="L49" s="464"/>
      <c r="M49" s="129" t="e">
        <f t="shared" si="9"/>
        <v>#N/A</v>
      </c>
      <c r="N49" s="161">
        <f t="shared" si="11"/>
        <v>13</v>
      </c>
      <c r="O49" s="160" t="e">
        <f t="shared" ca="1" si="12"/>
        <v>#N/A</v>
      </c>
      <c r="P49" s="160" t="e">
        <f t="shared" ca="1" si="13"/>
        <v>#N/A</v>
      </c>
      <c r="Q49" s="160" t="e">
        <f t="shared" ca="1" si="13"/>
        <v>#N/A</v>
      </c>
      <c r="R49" s="160" t="e">
        <f t="shared" ca="1" si="14"/>
        <v>#N/A</v>
      </c>
      <c r="S49" s="160" t="e">
        <f t="shared" ca="1" si="14"/>
        <v>#N/A</v>
      </c>
      <c r="T49" s="160" t="e">
        <f t="shared" ca="1" si="14"/>
        <v>#N/A</v>
      </c>
      <c r="U49" s="160" t="e">
        <f t="shared" ca="1" si="14"/>
        <v>#N/A</v>
      </c>
      <c r="V49" s="163" t="e">
        <f t="shared" ca="1" si="5"/>
        <v>#N/A</v>
      </c>
      <c r="W49" s="163" t="e">
        <f t="shared" ca="1" si="6"/>
        <v>#N/A</v>
      </c>
      <c r="X49" s="163" t="e">
        <f t="shared" ca="1" si="7"/>
        <v>#N/A</v>
      </c>
      <c r="Y49" s="163" t="e">
        <f t="shared" ca="1" si="8"/>
        <v>#N/A</v>
      </c>
    </row>
    <row r="50" spans="6:25" ht="14.4">
      <c r="L50" s="464"/>
      <c r="M50" s="129" t="e">
        <f t="shared" si="9"/>
        <v>#N/A</v>
      </c>
      <c r="N50" s="161">
        <f t="shared" si="11"/>
        <v>13</v>
      </c>
      <c r="O50" s="160" t="e">
        <f t="shared" ca="1" si="12"/>
        <v>#N/A</v>
      </c>
      <c r="P50" s="160" t="e">
        <f t="shared" ca="1" si="13"/>
        <v>#N/A</v>
      </c>
      <c r="Q50" s="160" t="e">
        <f t="shared" ca="1" si="13"/>
        <v>#N/A</v>
      </c>
      <c r="R50" s="160" t="e">
        <f t="shared" ca="1" si="14"/>
        <v>#N/A</v>
      </c>
      <c r="S50" s="160" t="e">
        <f t="shared" ca="1" si="14"/>
        <v>#N/A</v>
      </c>
      <c r="T50" s="160" t="e">
        <f t="shared" ca="1" si="14"/>
        <v>#N/A</v>
      </c>
      <c r="U50" s="160" t="e">
        <f t="shared" ca="1" si="14"/>
        <v>#N/A</v>
      </c>
      <c r="V50" s="163" t="e">
        <f t="shared" ca="1" si="5"/>
        <v>#N/A</v>
      </c>
      <c r="W50" s="163" t="e">
        <f t="shared" ca="1" si="6"/>
        <v>#N/A</v>
      </c>
      <c r="X50" s="163" t="e">
        <f t="shared" ca="1" si="7"/>
        <v>#N/A</v>
      </c>
      <c r="Y50" s="163" t="e">
        <f t="shared" ca="1" si="8"/>
        <v>#N/A</v>
      </c>
    </row>
    <row r="51" spans="6:25" ht="14.4">
      <c r="L51" s="464"/>
      <c r="M51" s="129" t="e">
        <f t="shared" si="9"/>
        <v>#N/A</v>
      </c>
      <c r="N51" s="161">
        <f t="shared" si="11"/>
        <v>13</v>
      </c>
      <c r="O51" s="160" t="e">
        <f t="shared" ca="1" si="12"/>
        <v>#N/A</v>
      </c>
      <c r="P51" s="160" t="e">
        <f t="shared" ca="1" si="13"/>
        <v>#N/A</v>
      </c>
      <c r="Q51" s="160" t="e">
        <f t="shared" ca="1" si="13"/>
        <v>#N/A</v>
      </c>
      <c r="R51" s="160" t="e">
        <f t="shared" ca="1" si="14"/>
        <v>#N/A</v>
      </c>
      <c r="S51" s="160" t="e">
        <f t="shared" ca="1" si="14"/>
        <v>#N/A</v>
      </c>
      <c r="T51" s="160" t="e">
        <f t="shared" ca="1" si="14"/>
        <v>#N/A</v>
      </c>
      <c r="U51" s="160" t="e">
        <f t="shared" ca="1" si="14"/>
        <v>#N/A</v>
      </c>
      <c r="V51" s="163" t="e">
        <f t="shared" ca="1" si="5"/>
        <v>#N/A</v>
      </c>
      <c r="W51" s="163" t="e">
        <f t="shared" ca="1" si="6"/>
        <v>#N/A</v>
      </c>
      <c r="X51" s="163" t="e">
        <f t="shared" ca="1" si="7"/>
        <v>#N/A</v>
      </c>
      <c r="Y51" s="163" t="e">
        <f t="shared" ca="1" si="8"/>
        <v>#N/A</v>
      </c>
    </row>
    <row r="52" spans="6:25" ht="14.4">
      <c r="L52" s="464"/>
      <c r="M52" s="129" t="e">
        <f t="shared" si="9"/>
        <v>#N/A</v>
      </c>
      <c r="N52" s="161">
        <f t="shared" si="11"/>
        <v>13</v>
      </c>
      <c r="O52" s="160" t="e">
        <f t="shared" ca="1" si="12"/>
        <v>#N/A</v>
      </c>
      <c r="P52" s="160" t="e">
        <f t="shared" ca="1" si="13"/>
        <v>#N/A</v>
      </c>
      <c r="Q52" s="160" t="e">
        <f t="shared" ca="1" si="13"/>
        <v>#N/A</v>
      </c>
      <c r="R52" s="160" t="e">
        <f t="shared" ca="1" si="14"/>
        <v>#N/A</v>
      </c>
      <c r="S52" s="160" t="e">
        <f t="shared" ca="1" si="14"/>
        <v>#N/A</v>
      </c>
      <c r="T52" s="160" t="e">
        <f t="shared" ca="1" si="14"/>
        <v>#N/A</v>
      </c>
      <c r="U52" s="160" t="e">
        <f t="shared" ca="1" si="14"/>
        <v>#N/A</v>
      </c>
      <c r="V52" s="163" t="e">
        <f t="shared" ca="1" si="5"/>
        <v>#N/A</v>
      </c>
      <c r="W52" s="163" t="e">
        <f t="shared" ca="1" si="6"/>
        <v>#N/A</v>
      </c>
      <c r="X52" s="163" t="e">
        <f t="shared" ca="1" si="7"/>
        <v>#N/A</v>
      </c>
      <c r="Y52" s="163" t="e">
        <f t="shared" ca="1" si="8"/>
        <v>#N/A</v>
      </c>
    </row>
    <row r="53" spans="6:25" ht="14.4">
      <c r="L53" s="464"/>
      <c r="M53" s="129" t="e">
        <f t="shared" si="9"/>
        <v>#N/A</v>
      </c>
      <c r="N53" s="161">
        <f t="shared" si="11"/>
        <v>13</v>
      </c>
      <c r="O53" s="160" t="e">
        <f t="shared" ca="1" si="12"/>
        <v>#N/A</v>
      </c>
      <c r="P53" s="160" t="e">
        <f t="shared" ca="1" si="13"/>
        <v>#N/A</v>
      </c>
      <c r="Q53" s="160" t="e">
        <f t="shared" ca="1" si="13"/>
        <v>#N/A</v>
      </c>
      <c r="R53" s="160" t="e">
        <f t="shared" ca="1" si="14"/>
        <v>#N/A</v>
      </c>
      <c r="S53" s="160" t="e">
        <f t="shared" ca="1" si="14"/>
        <v>#N/A</v>
      </c>
      <c r="T53" s="160" t="e">
        <f t="shared" ca="1" si="14"/>
        <v>#N/A</v>
      </c>
      <c r="U53" s="160" t="e">
        <f t="shared" ca="1" si="14"/>
        <v>#N/A</v>
      </c>
      <c r="V53" s="163" t="e">
        <f t="shared" ca="1" si="5"/>
        <v>#N/A</v>
      </c>
      <c r="W53" s="163" t="e">
        <f t="shared" ca="1" si="6"/>
        <v>#N/A</v>
      </c>
      <c r="X53" s="163" t="e">
        <f t="shared" ca="1" si="7"/>
        <v>#N/A</v>
      </c>
      <c r="Y53" s="163" t="e">
        <f t="shared" ca="1" si="8"/>
        <v>#N/A</v>
      </c>
    </row>
    <row r="54" spans="6:25" ht="14.4">
      <c r="L54" s="464"/>
      <c r="M54" s="129" t="e">
        <f t="shared" si="9"/>
        <v>#N/A</v>
      </c>
      <c r="N54" s="161">
        <f t="shared" si="11"/>
        <v>13</v>
      </c>
      <c r="O54" s="160" t="e">
        <f t="shared" ca="1" si="12"/>
        <v>#N/A</v>
      </c>
      <c r="P54" s="160" t="e">
        <f t="shared" ca="1" si="13"/>
        <v>#N/A</v>
      </c>
      <c r="Q54" s="160" t="e">
        <f t="shared" ca="1" si="13"/>
        <v>#N/A</v>
      </c>
      <c r="R54" s="160" t="e">
        <f t="shared" ca="1" si="14"/>
        <v>#N/A</v>
      </c>
      <c r="S54" s="160" t="e">
        <f t="shared" ca="1" si="14"/>
        <v>#N/A</v>
      </c>
      <c r="T54" s="160" t="e">
        <f t="shared" ca="1" si="14"/>
        <v>#N/A</v>
      </c>
      <c r="U54" s="160" t="e">
        <f t="shared" ca="1" si="14"/>
        <v>#N/A</v>
      </c>
      <c r="V54" s="163" t="e">
        <f t="shared" ca="1" si="5"/>
        <v>#N/A</v>
      </c>
      <c r="W54" s="163" t="e">
        <f t="shared" ca="1" si="6"/>
        <v>#N/A</v>
      </c>
      <c r="X54" s="163" t="e">
        <f t="shared" ca="1" si="7"/>
        <v>#N/A</v>
      </c>
      <c r="Y54" s="163" t="e">
        <f t="shared" ca="1" si="8"/>
        <v>#N/A</v>
      </c>
    </row>
    <row r="55" spans="6:25" ht="14.4">
      <c r="L55" s="464"/>
      <c r="M55" s="129" t="e">
        <f t="shared" si="9"/>
        <v>#N/A</v>
      </c>
      <c r="N55" s="161">
        <f t="shared" si="11"/>
        <v>13</v>
      </c>
      <c r="O55" s="160" t="e">
        <f t="shared" ca="1" si="12"/>
        <v>#N/A</v>
      </c>
      <c r="P55" s="160" t="e">
        <f t="shared" ca="1" si="13"/>
        <v>#N/A</v>
      </c>
      <c r="Q55" s="160" t="e">
        <f t="shared" ca="1" si="13"/>
        <v>#N/A</v>
      </c>
      <c r="R55" s="160" t="e">
        <f t="shared" ca="1" si="14"/>
        <v>#N/A</v>
      </c>
      <c r="S55" s="160" t="e">
        <f t="shared" ca="1" si="14"/>
        <v>#N/A</v>
      </c>
      <c r="T55" s="160" t="e">
        <f t="shared" ca="1" si="14"/>
        <v>#N/A</v>
      </c>
      <c r="U55" s="160" t="e">
        <f t="shared" ca="1" si="14"/>
        <v>#N/A</v>
      </c>
      <c r="V55" s="163" t="e">
        <f t="shared" ca="1" si="5"/>
        <v>#N/A</v>
      </c>
      <c r="W55" s="163" t="e">
        <f t="shared" ca="1" si="6"/>
        <v>#N/A</v>
      </c>
      <c r="X55" s="163" t="e">
        <f t="shared" ca="1" si="7"/>
        <v>#N/A</v>
      </c>
      <c r="Y55" s="163" t="e">
        <f t="shared" ca="1" si="8"/>
        <v>#N/A</v>
      </c>
    </row>
    <row r="56" spans="6:25" ht="14.4">
      <c r="L56" s="464"/>
      <c r="M56" s="129" t="e">
        <f t="shared" si="9"/>
        <v>#N/A</v>
      </c>
      <c r="N56" s="161">
        <f t="shared" si="11"/>
        <v>13</v>
      </c>
      <c r="O56" s="160" t="e">
        <f t="shared" ca="1" si="12"/>
        <v>#N/A</v>
      </c>
      <c r="P56" s="160" t="e">
        <f t="shared" ca="1" si="13"/>
        <v>#N/A</v>
      </c>
      <c r="Q56" s="160" t="e">
        <f t="shared" ca="1" si="13"/>
        <v>#N/A</v>
      </c>
      <c r="R56" s="160" t="e">
        <f t="shared" ca="1" si="14"/>
        <v>#N/A</v>
      </c>
      <c r="S56" s="160" t="e">
        <f t="shared" ca="1" si="14"/>
        <v>#N/A</v>
      </c>
      <c r="T56" s="160" t="e">
        <f t="shared" ca="1" si="14"/>
        <v>#N/A</v>
      </c>
      <c r="U56" s="160" t="e">
        <f t="shared" ca="1" si="14"/>
        <v>#N/A</v>
      </c>
      <c r="V56" s="163" t="e">
        <f t="shared" ca="1" si="5"/>
        <v>#N/A</v>
      </c>
      <c r="W56" s="163" t="e">
        <f t="shared" ca="1" si="6"/>
        <v>#N/A</v>
      </c>
      <c r="X56" s="163" t="e">
        <f t="shared" ca="1" si="7"/>
        <v>#N/A</v>
      </c>
      <c r="Y56" s="163" t="e">
        <f t="shared" ca="1" si="8"/>
        <v>#N/A</v>
      </c>
    </row>
    <row r="57" spans="6:25" ht="14.4">
      <c r="F57" s="149"/>
      <c r="I57" s="149"/>
      <c r="L57" s="464"/>
      <c r="M57" s="129" t="e">
        <f t="shared" si="9"/>
        <v>#N/A</v>
      </c>
      <c r="N57" s="161">
        <f t="shared" si="11"/>
        <v>13</v>
      </c>
      <c r="O57" s="160" t="e">
        <f t="shared" ca="1" si="12"/>
        <v>#N/A</v>
      </c>
      <c r="P57" s="160" t="e">
        <f t="shared" ca="1" si="13"/>
        <v>#N/A</v>
      </c>
      <c r="Q57" s="160" t="e">
        <f t="shared" ca="1" si="13"/>
        <v>#N/A</v>
      </c>
      <c r="R57" s="160" t="e">
        <f t="shared" ca="1" si="14"/>
        <v>#N/A</v>
      </c>
      <c r="S57" s="160" t="e">
        <f t="shared" ca="1" si="14"/>
        <v>#N/A</v>
      </c>
      <c r="T57" s="160" t="e">
        <f t="shared" ca="1" si="14"/>
        <v>#N/A</v>
      </c>
      <c r="U57" s="160" t="e">
        <f t="shared" ca="1" si="14"/>
        <v>#N/A</v>
      </c>
      <c r="V57" s="163" t="e">
        <f t="shared" ca="1" si="5"/>
        <v>#N/A</v>
      </c>
      <c r="W57" s="163" t="e">
        <f t="shared" ca="1" si="6"/>
        <v>#N/A</v>
      </c>
      <c r="X57" s="163" t="e">
        <f t="shared" ca="1" si="7"/>
        <v>#N/A</v>
      </c>
      <c r="Y57" s="163" t="e">
        <f t="shared" ca="1" si="8"/>
        <v>#N/A</v>
      </c>
    </row>
    <row r="58" spans="6:25" ht="14.4">
      <c r="F58" s="149"/>
      <c r="I58" s="149"/>
      <c r="L58" s="464"/>
      <c r="M58" s="129" t="e">
        <f t="shared" si="9"/>
        <v>#N/A</v>
      </c>
      <c r="N58" s="161">
        <f t="shared" si="11"/>
        <v>13</v>
      </c>
      <c r="O58" s="160" t="e">
        <f t="shared" ca="1" si="12"/>
        <v>#N/A</v>
      </c>
      <c r="P58" s="160" t="e">
        <f t="shared" ca="1" si="13"/>
        <v>#N/A</v>
      </c>
      <c r="Q58" s="160" t="e">
        <f t="shared" ca="1" si="13"/>
        <v>#N/A</v>
      </c>
      <c r="R58" s="160" t="e">
        <f t="shared" ca="1" si="14"/>
        <v>#N/A</v>
      </c>
      <c r="S58" s="160" t="e">
        <f t="shared" ca="1" si="14"/>
        <v>#N/A</v>
      </c>
      <c r="T58" s="160" t="e">
        <f t="shared" ca="1" si="14"/>
        <v>#N/A</v>
      </c>
      <c r="U58" s="160" t="e">
        <f t="shared" ca="1" si="14"/>
        <v>#N/A</v>
      </c>
      <c r="V58" s="163" t="e">
        <f t="shared" ca="1" si="5"/>
        <v>#N/A</v>
      </c>
      <c r="W58" s="163" t="e">
        <f t="shared" ca="1" si="6"/>
        <v>#N/A</v>
      </c>
      <c r="X58" s="163" t="e">
        <f t="shared" ca="1" si="7"/>
        <v>#N/A</v>
      </c>
      <c r="Y58" s="163" t="e">
        <f t="shared" ca="1" si="8"/>
        <v>#N/A</v>
      </c>
    </row>
    <row r="59" spans="6:25" ht="14.4">
      <c r="L59" s="464"/>
      <c r="M59" s="129" t="e">
        <f t="shared" si="9"/>
        <v>#N/A</v>
      </c>
      <c r="N59" s="161">
        <f t="shared" si="11"/>
        <v>13</v>
      </c>
      <c r="O59" s="160" t="e">
        <f t="shared" ca="1" si="12"/>
        <v>#N/A</v>
      </c>
      <c r="P59" s="160" t="e">
        <f t="shared" ca="1" si="13"/>
        <v>#N/A</v>
      </c>
      <c r="Q59" s="160" t="e">
        <f t="shared" ca="1" si="13"/>
        <v>#N/A</v>
      </c>
      <c r="R59" s="160" t="e">
        <f t="shared" ca="1" si="14"/>
        <v>#N/A</v>
      </c>
      <c r="S59" s="160" t="e">
        <f t="shared" ca="1" si="14"/>
        <v>#N/A</v>
      </c>
      <c r="T59" s="160" t="e">
        <f t="shared" ca="1" si="14"/>
        <v>#N/A</v>
      </c>
      <c r="U59" s="160" t="e">
        <f t="shared" ca="1" si="14"/>
        <v>#N/A</v>
      </c>
      <c r="V59" s="163" t="e">
        <f t="shared" ca="1" si="5"/>
        <v>#N/A</v>
      </c>
      <c r="W59" s="163" t="e">
        <f t="shared" ca="1" si="6"/>
        <v>#N/A</v>
      </c>
      <c r="X59" s="163" t="e">
        <f t="shared" ca="1" si="7"/>
        <v>#N/A</v>
      </c>
      <c r="Y59" s="163" t="e">
        <f t="shared" ca="1" si="8"/>
        <v>#N/A</v>
      </c>
    </row>
    <row r="60" spans="6:25" ht="14.4">
      <c r="L60" s="464"/>
      <c r="M60" s="129" t="e">
        <f t="shared" si="9"/>
        <v>#N/A</v>
      </c>
      <c r="N60" s="161">
        <f t="shared" si="11"/>
        <v>13</v>
      </c>
      <c r="O60" s="160" t="e">
        <f t="shared" ca="1" si="12"/>
        <v>#N/A</v>
      </c>
      <c r="P60" s="160" t="e">
        <f t="shared" ca="1" si="13"/>
        <v>#N/A</v>
      </c>
      <c r="Q60" s="160" t="e">
        <f t="shared" ca="1" si="13"/>
        <v>#N/A</v>
      </c>
      <c r="R60" s="160" t="e">
        <f t="shared" ca="1" si="14"/>
        <v>#N/A</v>
      </c>
      <c r="S60" s="160" t="e">
        <f t="shared" ca="1" si="14"/>
        <v>#N/A</v>
      </c>
      <c r="T60" s="160" t="e">
        <f t="shared" ca="1" si="14"/>
        <v>#N/A</v>
      </c>
      <c r="U60" s="160" t="e">
        <f t="shared" ca="1" si="14"/>
        <v>#N/A</v>
      </c>
      <c r="V60" s="163" t="e">
        <f t="shared" ca="1" si="5"/>
        <v>#N/A</v>
      </c>
      <c r="W60" s="163" t="e">
        <f t="shared" ca="1" si="6"/>
        <v>#N/A</v>
      </c>
      <c r="X60" s="163" t="e">
        <f t="shared" ca="1" si="7"/>
        <v>#N/A</v>
      </c>
      <c r="Y60" s="163" t="e">
        <f t="shared" ca="1" si="8"/>
        <v>#N/A</v>
      </c>
    </row>
    <row r="61" spans="6:25" ht="14.4">
      <c r="L61" s="464"/>
      <c r="M61" s="129" t="e">
        <f t="shared" si="9"/>
        <v>#N/A</v>
      </c>
      <c r="N61" s="161">
        <f t="shared" si="11"/>
        <v>13</v>
      </c>
      <c r="O61" s="160" t="e">
        <f t="shared" ca="1" si="12"/>
        <v>#N/A</v>
      </c>
      <c r="P61" s="160" t="e">
        <f t="shared" ca="1" si="13"/>
        <v>#N/A</v>
      </c>
      <c r="Q61" s="160" t="e">
        <f t="shared" ca="1" si="13"/>
        <v>#N/A</v>
      </c>
      <c r="R61" s="160" t="e">
        <f t="shared" ca="1" si="14"/>
        <v>#N/A</v>
      </c>
      <c r="S61" s="160" t="e">
        <f t="shared" ca="1" si="14"/>
        <v>#N/A</v>
      </c>
      <c r="T61" s="160" t="e">
        <f t="shared" ca="1" si="14"/>
        <v>#N/A</v>
      </c>
      <c r="U61" s="160" t="e">
        <f t="shared" ca="1" si="14"/>
        <v>#N/A</v>
      </c>
      <c r="V61" s="163" t="e">
        <f t="shared" ca="1" si="5"/>
        <v>#N/A</v>
      </c>
      <c r="W61" s="163" t="e">
        <f t="shared" ca="1" si="6"/>
        <v>#N/A</v>
      </c>
      <c r="X61" s="163" t="e">
        <f t="shared" ca="1" si="7"/>
        <v>#N/A</v>
      </c>
      <c r="Y61" s="163" t="e">
        <f t="shared" ca="1" si="8"/>
        <v>#N/A</v>
      </c>
    </row>
    <row r="62" spans="6:25" ht="14.4">
      <c r="L62" s="464"/>
      <c r="M62" s="129" t="e">
        <f t="shared" si="9"/>
        <v>#N/A</v>
      </c>
      <c r="N62" s="161">
        <f t="shared" si="11"/>
        <v>13</v>
      </c>
      <c r="O62" s="160" t="e">
        <f t="shared" ca="1" si="12"/>
        <v>#N/A</v>
      </c>
      <c r="P62" s="160" t="e">
        <f t="shared" ca="1" si="13"/>
        <v>#N/A</v>
      </c>
      <c r="Q62" s="160" t="e">
        <f t="shared" ca="1" si="13"/>
        <v>#N/A</v>
      </c>
      <c r="R62" s="160" t="e">
        <f t="shared" ca="1" si="14"/>
        <v>#N/A</v>
      </c>
      <c r="S62" s="160" t="e">
        <f t="shared" ca="1" si="14"/>
        <v>#N/A</v>
      </c>
      <c r="T62" s="160" t="e">
        <f t="shared" ca="1" si="14"/>
        <v>#N/A</v>
      </c>
      <c r="U62" s="160" t="e">
        <f t="shared" ca="1" si="14"/>
        <v>#N/A</v>
      </c>
      <c r="V62" s="163" t="e">
        <f t="shared" ca="1" si="5"/>
        <v>#N/A</v>
      </c>
      <c r="W62" s="163" t="e">
        <f t="shared" ca="1" si="6"/>
        <v>#N/A</v>
      </c>
      <c r="X62" s="163" t="e">
        <f t="shared" ca="1" si="7"/>
        <v>#N/A</v>
      </c>
      <c r="Y62" s="163" t="e">
        <f t="shared" ca="1" si="8"/>
        <v>#N/A</v>
      </c>
    </row>
    <row r="63" spans="6:25" ht="14.4">
      <c r="L63" s="464"/>
      <c r="M63" s="129" t="e">
        <f t="shared" si="9"/>
        <v>#N/A</v>
      </c>
      <c r="N63" s="161">
        <f t="shared" si="11"/>
        <v>13</v>
      </c>
      <c r="O63" s="160" t="e">
        <f t="shared" ca="1" si="12"/>
        <v>#N/A</v>
      </c>
      <c r="P63" s="160" t="e">
        <f t="shared" ca="1" si="13"/>
        <v>#N/A</v>
      </c>
      <c r="Q63" s="160" t="e">
        <f t="shared" ca="1" si="13"/>
        <v>#N/A</v>
      </c>
      <c r="R63" s="160" t="e">
        <f t="shared" ca="1" si="14"/>
        <v>#N/A</v>
      </c>
      <c r="S63" s="160" t="e">
        <f t="shared" ca="1" si="14"/>
        <v>#N/A</v>
      </c>
      <c r="T63" s="160" t="e">
        <f t="shared" ca="1" si="14"/>
        <v>#N/A</v>
      </c>
      <c r="U63" s="160" t="e">
        <f t="shared" ca="1" si="14"/>
        <v>#N/A</v>
      </c>
      <c r="V63" s="163" t="e">
        <f t="shared" ca="1" si="5"/>
        <v>#N/A</v>
      </c>
      <c r="W63" s="163" t="e">
        <f t="shared" ca="1" si="6"/>
        <v>#N/A</v>
      </c>
      <c r="X63" s="163" t="e">
        <f t="shared" ca="1" si="7"/>
        <v>#N/A</v>
      </c>
      <c r="Y63" s="163" t="e">
        <f t="shared" ca="1" si="8"/>
        <v>#N/A</v>
      </c>
    </row>
    <row r="64" spans="6:25" ht="14.4">
      <c r="L64" s="464"/>
      <c r="M64" s="129" t="e">
        <f t="shared" si="9"/>
        <v>#N/A</v>
      </c>
      <c r="N64" s="161">
        <f t="shared" si="11"/>
        <v>13</v>
      </c>
      <c r="O64" s="160" t="e">
        <f t="shared" ca="1" si="12"/>
        <v>#N/A</v>
      </c>
      <c r="P64" s="160" t="e">
        <f t="shared" ca="1" si="13"/>
        <v>#N/A</v>
      </c>
      <c r="Q64" s="160" t="e">
        <f t="shared" ca="1" si="13"/>
        <v>#N/A</v>
      </c>
      <c r="R64" s="160" t="e">
        <f t="shared" ca="1" si="14"/>
        <v>#N/A</v>
      </c>
      <c r="S64" s="160" t="e">
        <f t="shared" ca="1" si="14"/>
        <v>#N/A</v>
      </c>
      <c r="T64" s="160" t="e">
        <f t="shared" ca="1" si="14"/>
        <v>#N/A</v>
      </c>
      <c r="U64" s="160" t="e">
        <f t="shared" ca="1" si="14"/>
        <v>#N/A</v>
      </c>
      <c r="V64" s="163" t="e">
        <f t="shared" ca="1" si="5"/>
        <v>#N/A</v>
      </c>
      <c r="W64" s="163" t="e">
        <f t="shared" ca="1" si="6"/>
        <v>#N/A</v>
      </c>
      <c r="X64" s="163" t="e">
        <f t="shared" ca="1" si="7"/>
        <v>#N/A</v>
      </c>
      <c r="Y64" s="163" t="e">
        <f t="shared" ca="1" si="8"/>
        <v>#N/A</v>
      </c>
    </row>
    <row r="65" spans="12:25" ht="14.4">
      <c r="L65" s="464"/>
      <c r="M65" s="129" t="e">
        <f t="shared" si="9"/>
        <v>#N/A</v>
      </c>
      <c r="N65" s="161">
        <f t="shared" si="11"/>
        <v>13</v>
      </c>
      <c r="O65" s="160" t="e">
        <f t="shared" ca="1" si="12"/>
        <v>#N/A</v>
      </c>
      <c r="P65" s="160" t="e">
        <f t="shared" ca="1" si="13"/>
        <v>#N/A</v>
      </c>
      <c r="Q65" s="160" t="e">
        <f t="shared" ca="1" si="13"/>
        <v>#N/A</v>
      </c>
      <c r="R65" s="160" t="e">
        <f t="shared" ca="1" si="14"/>
        <v>#N/A</v>
      </c>
      <c r="S65" s="160" t="e">
        <f t="shared" ca="1" si="14"/>
        <v>#N/A</v>
      </c>
      <c r="T65" s="160" t="e">
        <f t="shared" ca="1" si="14"/>
        <v>#N/A</v>
      </c>
      <c r="U65" s="160" t="e">
        <f t="shared" ca="1" si="14"/>
        <v>#N/A</v>
      </c>
      <c r="V65" s="163" t="e">
        <f t="shared" ca="1" si="5"/>
        <v>#N/A</v>
      </c>
      <c r="W65" s="163" t="e">
        <f t="shared" ca="1" si="6"/>
        <v>#N/A</v>
      </c>
      <c r="X65" s="163" t="e">
        <f t="shared" ca="1" si="7"/>
        <v>#N/A</v>
      </c>
      <c r="Y65" s="163" t="e">
        <f t="shared" ca="1" si="8"/>
        <v>#N/A</v>
      </c>
    </row>
    <row r="66" spans="12:25" ht="14.4">
      <c r="L66" s="464"/>
      <c r="M66" s="129" t="e">
        <f t="shared" si="9"/>
        <v>#N/A</v>
      </c>
      <c r="N66" s="161">
        <f t="shared" si="11"/>
        <v>13</v>
      </c>
      <c r="O66" s="160" t="e">
        <f t="shared" ca="1" si="12"/>
        <v>#N/A</v>
      </c>
      <c r="P66" s="160" t="e">
        <f t="shared" ref="P66:Q85" ca="1" si="15">IF($M66="end",0,OFFSET($A$1,$M66-1,P$29,1,1))</f>
        <v>#N/A</v>
      </c>
      <c r="Q66" s="160" t="e">
        <f t="shared" ca="1" si="15"/>
        <v>#N/A</v>
      </c>
      <c r="R66" s="160" t="e">
        <f t="shared" ca="1" si="14"/>
        <v>#N/A</v>
      </c>
      <c r="S66" s="160" t="e">
        <f t="shared" ca="1" si="14"/>
        <v>#N/A</v>
      </c>
      <c r="T66" s="160" t="e">
        <f t="shared" ca="1" si="14"/>
        <v>#N/A</v>
      </c>
      <c r="U66" s="160" t="e">
        <f t="shared" ca="1" si="14"/>
        <v>#N/A</v>
      </c>
      <c r="V66" s="163" t="e">
        <f t="shared" ca="1" si="5"/>
        <v>#N/A</v>
      </c>
      <c r="W66" s="163" t="e">
        <f t="shared" ca="1" si="6"/>
        <v>#N/A</v>
      </c>
      <c r="X66" s="163" t="e">
        <f t="shared" ca="1" si="7"/>
        <v>#N/A</v>
      </c>
      <c r="Y66" s="163" t="e">
        <f t="shared" ca="1" si="8"/>
        <v>#N/A</v>
      </c>
    </row>
    <row r="67" spans="12:25" ht="14.4">
      <c r="L67" s="464"/>
      <c r="M67" s="129" t="e">
        <f t="shared" si="9"/>
        <v>#N/A</v>
      </c>
      <c r="N67" s="161">
        <f t="shared" si="11"/>
        <v>13</v>
      </c>
      <c r="O67" s="160" t="e">
        <f t="shared" ca="1" si="12"/>
        <v>#N/A</v>
      </c>
      <c r="P67" s="160" t="e">
        <f t="shared" ca="1" si="15"/>
        <v>#N/A</v>
      </c>
      <c r="Q67" s="160" t="e">
        <f t="shared" ca="1" si="15"/>
        <v>#N/A</v>
      </c>
      <c r="R67" s="160" t="e">
        <f t="shared" ca="1" si="14"/>
        <v>#N/A</v>
      </c>
      <c r="S67" s="160" t="e">
        <f t="shared" ca="1" si="14"/>
        <v>#N/A</v>
      </c>
      <c r="T67" s="160" t="e">
        <f t="shared" ca="1" si="14"/>
        <v>#N/A</v>
      </c>
      <c r="U67" s="160" t="e">
        <f t="shared" ca="1" si="14"/>
        <v>#N/A</v>
      </c>
      <c r="V67" s="163" t="e">
        <f t="shared" ca="1" si="5"/>
        <v>#N/A</v>
      </c>
      <c r="W67" s="163" t="e">
        <f t="shared" ca="1" si="6"/>
        <v>#N/A</v>
      </c>
      <c r="X67" s="163" t="e">
        <f t="shared" ca="1" si="7"/>
        <v>#N/A</v>
      </c>
      <c r="Y67" s="163" t="e">
        <f t="shared" ca="1" si="8"/>
        <v>#N/A</v>
      </c>
    </row>
    <row r="68" spans="12:25" ht="14.4">
      <c r="L68" s="464"/>
      <c r="M68" s="129" t="e">
        <f t="shared" si="9"/>
        <v>#N/A</v>
      </c>
      <c r="N68" s="161">
        <f t="shared" si="11"/>
        <v>13</v>
      </c>
      <c r="O68" s="160" t="e">
        <f t="shared" ca="1" si="12"/>
        <v>#N/A</v>
      </c>
      <c r="P68" s="160" t="e">
        <f t="shared" ca="1" si="15"/>
        <v>#N/A</v>
      </c>
      <c r="Q68" s="160" t="e">
        <f t="shared" ca="1" si="15"/>
        <v>#N/A</v>
      </c>
      <c r="R68" s="160" t="e">
        <f t="shared" ca="1" si="14"/>
        <v>#N/A</v>
      </c>
      <c r="S68" s="160" t="e">
        <f t="shared" ca="1" si="14"/>
        <v>#N/A</v>
      </c>
      <c r="T68" s="160" t="e">
        <f t="shared" ca="1" si="14"/>
        <v>#N/A</v>
      </c>
      <c r="U68" s="160" t="e">
        <f t="shared" ca="1" si="14"/>
        <v>#N/A</v>
      </c>
      <c r="V68" s="163" t="e">
        <f t="shared" ca="1" si="5"/>
        <v>#N/A</v>
      </c>
      <c r="W68" s="163" t="e">
        <f t="shared" ca="1" si="6"/>
        <v>#N/A</v>
      </c>
      <c r="X68" s="163" t="e">
        <f t="shared" ca="1" si="7"/>
        <v>#N/A</v>
      </c>
      <c r="Y68" s="163" t="e">
        <f t="shared" ca="1" si="8"/>
        <v>#N/A</v>
      </c>
    </row>
    <row r="69" spans="12:25" ht="14.4">
      <c r="L69" s="464"/>
      <c r="M69" s="129" t="e">
        <f t="shared" si="9"/>
        <v>#N/A</v>
      </c>
      <c r="N69" s="161">
        <f t="shared" si="11"/>
        <v>13</v>
      </c>
      <c r="O69" s="160" t="e">
        <f t="shared" ca="1" si="12"/>
        <v>#N/A</v>
      </c>
      <c r="P69" s="160" t="e">
        <f t="shared" ca="1" si="15"/>
        <v>#N/A</v>
      </c>
      <c r="Q69" s="160" t="e">
        <f t="shared" ca="1" si="15"/>
        <v>#N/A</v>
      </c>
      <c r="R69" s="160" t="e">
        <f t="shared" ca="1" si="14"/>
        <v>#N/A</v>
      </c>
      <c r="S69" s="160" t="e">
        <f t="shared" ca="1" si="14"/>
        <v>#N/A</v>
      </c>
      <c r="T69" s="160" t="e">
        <f t="shared" ca="1" si="14"/>
        <v>#N/A</v>
      </c>
      <c r="U69" s="160" t="e">
        <f t="shared" ca="1" si="14"/>
        <v>#N/A</v>
      </c>
      <c r="V69" s="163" t="e">
        <f t="shared" ca="1" si="5"/>
        <v>#N/A</v>
      </c>
      <c r="W69" s="163" t="e">
        <f t="shared" ca="1" si="6"/>
        <v>#N/A</v>
      </c>
      <c r="X69" s="163" t="e">
        <f t="shared" ca="1" si="7"/>
        <v>#N/A</v>
      </c>
      <c r="Y69" s="163" t="e">
        <f t="shared" ca="1" si="8"/>
        <v>#N/A</v>
      </c>
    </row>
    <row r="70" spans="12:25" ht="14.4">
      <c r="L70" s="464"/>
      <c r="M70" s="129" t="e">
        <f t="shared" si="9"/>
        <v>#N/A</v>
      </c>
      <c r="N70" s="161">
        <f t="shared" si="11"/>
        <v>13</v>
      </c>
      <c r="O70" s="160" t="e">
        <f t="shared" ca="1" si="12"/>
        <v>#N/A</v>
      </c>
      <c r="P70" s="160" t="e">
        <f t="shared" ca="1" si="15"/>
        <v>#N/A</v>
      </c>
      <c r="Q70" s="160" t="e">
        <f t="shared" ca="1" si="15"/>
        <v>#N/A</v>
      </c>
      <c r="R70" s="160" t="e">
        <f t="shared" ca="1" si="14"/>
        <v>#N/A</v>
      </c>
      <c r="S70" s="160" t="e">
        <f t="shared" ca="1" si="14"/>
        <v>#N/A</v>
      </c>
      <c r="T70" s="160" t="e">
        <f t="shared" ca="1" si="14"/>
        <v>#N/A</v>
      </c>
      <c r="U70" s="160" t="e">
        <f t="shared" ca="1" si="14"/>
        <v>#N/A</v>
      </c>
      <c r="V70" s="163" t="e">
        <f t="shared" ca="1" si="5"/>
        <v>#N/A</v>
      </c>
      <c r="W70" s="163" t="e">
        <f t="shared" ca="1" si="6"/>
        <v>#N/A</v>
      </c>
      <c r="X70" s="163" t="e">
        <f t="shared" ca="1" si="7"/>
        <v>#N/A</v>
      </c>
      <c r="Y70" s="163" t="e">
        <f t="shared" ca="1" si="8"/>
        <v>#N/A</v>
      </c>
    </row>
    <row r="71" spans="12:25" ht="14.4">
      <c r="L71" s="464"/>
      <c r="M71" s="129" t="e">
        <f t="shared" si="9"/>
        <v>#N/A</v>
      </c>
      <c r="N71" s="161">
        <f t="shared" si="11"/>
        <v>13</v>
      </c>
      <c r="O71" s="160" t="e">
        <f t="shared" ca="1" si="12"/>
        <v>#N/A</v>
      </c>
      <c r="P71" s="160" t="e">
        <f t="shared" ca="1" si="15"/>
        <v>#N/A</v>
      </c>
      <c r="Q71" s="160" t="e">
        <f t="shared" ca="1" si="15"/>
        <v>#N/A</v>
      </c>
      <c r="R71" s="160" t="e">
        <f t="shared" ca="1" si="14"/>
        <v>#N/A</v>
      </c>
      <c r="S71" s="160" t="e">
        <f t="shared" ca="1" si="14"/>
        <v>#N/A</v>
      </c>
      <c r="T71" s="160" t="e">
        <f t="shared" ca="1" si="14"/>
        <v>#N/A</v>
      </c>
      <c r="U71" s="160" t="e">
        <f t="shared" ca="1" si="14"/>
        <v>#N/A</v>
      </c>
      <c r="V71" s="163" t="e">
        <f t="shared" ca="1" si="5"/>
        <v>#N/A</v>
      </c>
      <c r="W71" s="163" t="e">
        <f t="shared" ca="1" si="6"/>
        <v>#N/A</v>
      </c>
      <c r="X71" s="163" t="e">
        <f t="shared" ca="1" si="7"/>
        <v>#N/A</v>
      </c>
      <c r="Y71" s="163" t="e">
        <f t="shared" ca="1" si="8"/>
        <v>#N/A</v>
      </c>
    </row>
    <row r="72" spans="12:25" ht="14.4">
      <c r="L72" s="464"/>
      <c r="M72" s="129" t="e">
        <f t="shared" si="9"/>
        <v>#N/A</v>
      </c>
      <c r="N72" s="161">
        <f t="shared" si="11"/>
        <v>13</v>
      </c>
      <c r="O72" s="160" t="e">
        <f t="shared" ca="1" si="12"/>
        <v>#N/A</v>
      </c>
      <c r="P72" s="160" t="e">
        <f t="shared" ca="1" si="15"/>
        <v>#N/A</v>
      </c>
      <c r="Q72" s="160" t="e">
        <f t="shared" ca="1" si="15"/>
        <v>#N/A</v>
      </c>
      <c r="R72" s="160" t="e">
        <f t="shared" ca="1" si="14"/>
        <v>#N/A</v>
      </c>
      <c r="S72" s="160" t="e">
        <f t="shared" ca="1" si="14"/>
        <v>#N/A</v>
      </c>
      <c r="T72" s="160" t="e">
        <f t="shared" ca="1" si="14"/>
        <v>#N/A</v>
      </c>
      <c r="U72" s="160" t="e">
        <f t="shared" ca="1" si="14"/>
        <v>#N/A</v>
      </c>
      <c r="V72" s="163" t="e">
        <f t="shared" ca="1" si="5"/>
        <v>#N/A</v>
      </c>
      <c r="W72" s="163" t="e">
        <f t="shared" ca="1" si="6"/>
        <v>#N/A</v>
      </c>
      <c r="X72" s="163" t="e">
        <f t="shared" ca="1" si="7"/>
        <v>#N/A</v>
      </c>
      <c r="Y72" s="163" t="e">
        <f t="shared" ca="1" si="8"/>
        <v>#N/A</v>
      </c>
    </row>
    <row r="73" spans="12:25" ht="14.4">
      <c r="L73" s="464"/>
      <c r="M73" s="129" t="e">
        <f t="shared" si="9"/>
        <v>#N/A</v>
      </c>
      <c r="N73" s="161">
        <f t="shared" si="11"/>
        <v>13</v>
      </c>
      <c r="O73" s="160" t="e">
        <f t="shared" ca="1" si="12"/>
        <v>#N/A</v>
      </c>
      <c r="P73" s="160" t="e">
        <f t="shared" ca="1" si="15"/>
        <v>#N/A</v>
      </c>
      <c r="Q73" s="160" t="e">
        <f t="shared" ca="1" si="15"/>
        <v>#N/A</v>
      </c>
      <c r="R73" s="160" t="e">
        <f t="shared" ca="1" si="14"/>
        <v>#N/A</v>
      </c>
      <c r="S73" s="160" t="e">
        <f t="shared" ca="1" si="14"/>
        <v>#N/A</v>
      </c>
      <c r="T73" s="160" t="e">
        <f t="shared" ca="1" si="14"/>
        <v>#N/A</v>
      </c>
      <c r="U73" s="160" t="e">
        <f t="shared" ca="1" si="14"/>
        <v>#N/A</v>
      </c>
      <c r="V73" s="163" t="e">
        <f t="shared" ca="1" si="5"/>
        <v>#N/A</v>
      </c>
      <c r="W73" s="163" t="e">
        <f t="shared" ca="1" si="6"/>
        <v>#N/A</v>
      </c>
      <c r="X73" s="163" t="e">
        <f t="shared" ca="1" si="7"/>
        <v>#N/A</v>
      </c>
      <c r="Y73" s="163" t="e">
        <f t="shared" ca="1" si="8"/>
        <v>#N/A</v>
      </c>
    </row>
    <row r="74" spans="12:25" ht="14.4">
      <c r="L74" s="464"/>
      <c r="M74" s="129" t="e">
        <f t="shared" si="9"/>
        <v>#N/A</v>
      </c>
      <c r="N74" s="161">
        <f t="shared" si="11"/>
        <v>13</v>
      </c>
      <c r="O74" s="160" t="e">
        <f t="shared" ca="1" si="12"/>
        <v>#N/A</v>
      </c>
      <c r="P74" s="160" t="e">
        <f t="shared" ca="1" si="15"/>
        <v>#N/A</v>
      </c>
      <c r="Q74" s="160" t="e">
        <f t="shared" ca="1" si="15"/>
        <v>#N/A</v>
      </c>
      <c r="R74" s="160" t="e">
        <f t="shared" ca="1" si="14"/>
        <v>#N/A</v>
      </c>
      <c r="S74" s="160" t="e">
        <f t="shared" ca="1" si="14"/>
        <v>#N/A</v>
      </c>
      <c r="T74" s="160" t="e">
        <f t="shared" ca="1" si="14"/>
        <v>#N/A</v>
      </c>
      <c r="U74" s="160" t="e">
        <f t="shared" ca="1" si="14"/>
        <v>#N/A</v>
      </c>
      <c r="V74" s="163" t="e">
        <f t="shared" ca="1" si="5"/>
        <v>#N/A</v>
      </c>
      <c r="W74" s="163" t="e">
        <f t="shared" ca="1" si="6"/>
        <v>#N/A</v>
      </c>
      <c r="X74" s="163" t="e">
        <f t="shared" ca="1" si="7"/>
        <v>#N/A</v>
      </c>
      <c r="Y74" s="163" t="e">
        <f t="shared" ca="1" si="8"/>
        <v>#N/A</v>
      </c>
    </row>
    <row r="75" spans="12:25" ht="14.4">
      <c r="L75" s="464"/>
      <c r="M75" s="129" t="e">
        <f t="shared" si="9"/>
        <v>#N/A</v>
      </c>
      <c r="N75" s="161">
        <f t="shared" si="11"/>
        <v>13</v>
      </c>
      <c r="O75" s="160" t="e">
        <f t="shared" ca="1" si="12"/>
        <v>#N/A</v>
      </c>
      <c r="P75" s="160" t="e">
        <f t="shared" ca="1" si="15"/>
        <v>#N/A</v>
      </c>
      <c r="Q75" s="160" t="e">
        <f t="shared" ca="1" si="15"/>
        <v>#N/A</v>
      </c>
      <c r="R75" s="160" t="e">
        <f t="shared" ca="1" si="14"/>
        <v>#N/A</v>
      </c>
      <c r="S75" s="160" t="e">
        <f t="shared" ca="1" si="14"/>
        <v>#N/A</v>
      </c>
      <c r="T75" s="160" t="e">
        <f t="shared" ca="1" si="14"/>
        <v>#N/A</v>
      </c>
      <c r="U75" s="160" t="e">
        <f t="shared" ca="1" si="14"/>
        <v>#N/A</v>
      </c>
      <c r="V75" s="163" t="e">
        <f t="shared" ca="1" si="5"/>
        <v>#N/A</v>
      </c>
      <c r="W75" s="163" t="e">
        <f t="shared" ca="1" si="6"/>
        <v>#N/A</v>
      </c>
      <c r="X75" s="163" t="e">
        <f t="shared" ca="1" si="7"/>
        <v>#N/A</v>
      </c>
      <c r="Y75" s="163" t="e">
        <f t="shared" ca="1" si="8"/>
        <v>#N/A</v>
      </c>
    </row>
    <row r="76" spans="12:25" ht="14.4">
      <c r="L76" s="464"/>
      <c r="M76" s="129" t="e">
        <f t="shared" si="9"/>
        <v>#N/A</v>
      </c>
      <c r="N76" s="161">
        <f t="shared" si="11"/>
        <v>13</v>
      </c>
      <c r="O76" s="160" t="e">
        <f t="shared" ca="1" si="12"/>
        <v>#N/A</v>
      </c>
      <c r="P76" s="160" t="e">
        <f t="shared" ca="1" si="15"/>
        <v>#N/A</v>
      </c>
      <c r="Q76" s="160" t="e">
        <f t="shared" ca="1" si="15"/>
        <v>#N/A</v>
      </c>
      <c r="R76" s="160" t="e">
        <f t="shared" ca="1" si="14"/>
        <v>#N/A</v>
      </c>
      <c r="S76" s="160" t="e">
        <f t="shared" ca="1" si="14"/>
        <v>#N/A</v>
      </c>
      <c r="T76" s="160" t="e">
        <f t="shared" ca="1" si="14"/>
        <v>#N/A</v>
      </c>
      <c r="U76" s="160" t="e">
        <f t="shared" ca="1" si="14"/>
        <v>#N/A</v>
      </c>
      <c r="V76" s="163" t="e">
        <f t="shared" ca="1" si="5"/>
        <v>#N/A</v>
      </c>
      <c r="W76" s="163" t="e">
        <f t="shared" ca="1" si="6"/>
        <v>#N/A</v>
      </c>
      <c r="X76" s="163" t="e">
        <f t="shared" ca="1" si="7"/>
        <v>#N/A</v>
      </c>
      <c r="Y76" s="163" t="e">
        <f t="shared" ca="1" si="8"/>
        <v>#N/A</v>
      </c>
    </row>
    <row r="77" spans="12:25" ht="14.4">
      <c r="L77" s="464"/>
      <c r="M77" s="129" t="e">
        <f t="shared" si="9"/>
        <v>#N/A</v>
      </c>
      <c r="N77" s="161">
        <f t="shared" si="11"/>
        <v>13</v>
      </c>
      <c r="O77" s="160" t="e">
        <f t="shared" ca="1" si="12"/>
        <v>#N/A</v>
      </c>
      <c r="P77" s="160" t="e">
        <f t="shared" ca="1" si="15"/>
        <v>#N/A</v>
      </c>
      <c r="Q77" s="160" t="e">
        <f t="shared" ca="1" si="15"/>
        <v>#N/A</v>
      </c>
      <c r="R77" s="160" t="e">
        <f t="shared" ca="1" si="14"/>
        <v>#N/A</v>
      </c>
      <c r="S77" s="160" t="e">
        <f t="shared" ca="1" si="14"/>
        <v>#N/A</v>
      </c>
      <c r="T77" s="160" t="e">
        <f t="shared" ca="1" si="14"/>
        <v>#N/A</v>
      </c>
      <c r="U77" s="160" t="e">
        <f t="shared" ca="1" si="14"/>
        <v>#N/A</v>
      </c>
      <c r="V77" s="163" t="e">
        <f t="shared" ca="1" si="5"/>
        <v>#N/A</v>
      </c>
      <c r="W77" s="163" t="e">
        <f t="shared" ca="1" si="6"/>
        <v>#N/A</v>
      </c>
      <c r="X77" s="163" t="e">
        <f t="shared" ca="1" si="7"/>
        <v>#N/A</v>
      </c>
      <c r="Y77" s="163" t="e">
        <f t="shared" ca="1" si="8"/>
        <v>#N/A</v>
      </c>
    </row>
    <row r="78" spans="12:25" ht="14.4">
      <c r="L78" s="464"/>
      <c r="M78" s="129" t="e">
        <f t="shared" si="9"/>
        <v>#N/A</v>
      </c>
      <c r="N78" s="161">
        <f t="shared" si="11"/>
        <v>13</v>
      </c>
      <c r="O78" s="160" t="e">
        <f t="shared" ca="1" si="12"/>
        <v>#N/A</v>
      </c>
      <c r="P78" s="160" t="e">
        <f t="shared" ca="1" si="15"/>
        <v>#N/A</v>
      </c>
      <c r="Q78" s="160" t="e">
        <f t="shared" ca="1" si="15"/>
        <v>#N/A</v>
      </c>
      <c r="R78" s="160" t="e">
        <f t="shared" ca="1" si="14"/>
        <v>#N/A</v>
      </c>
      <c r="S78" s="160" t="e">
        <f t="shared" ca="1" si="14"/>
        <v>#N/A</v>
      </c>
      <c r="T78" s="160" t="e">
        <f t="shared" ca="1" si="14"/>
        <v>#N/A</v>
      </c>
      <c r="U78" s="160" t="e">
        <f t="shared" ca="1" si="14"/>
        <v>#N/A</v>
      </c>
      <c r="V78" s="163" t="e">
        <f t="shared" ca="1" si="5"/>
        <v>#N/A</v>
      </c>
      <c r="W78" s="163" t="e">
        <f t="shared" ca="1" si="6"/>
        <v>#N/A</v>
      </c>
      <c r="X78" s="163" t="e">
        <f t="shared" ca="1" si="7"/>
        <v>#N/A</v>
      </c>
      <c r="Y78" s="163" t="e">
        <f t="shared" ca="1" si="8"/>
        <v>#N/A</v>
      </c>
    </row>
    <row r="79" spans="12:25" ht="14.4">
      <c r="L79" s="464"/>
      <c r="M79" s="129" t="e">
        <f t="shared" si="9"/>
        <v>#N/A</v>
      </c>
      <c r="N79" s="161">
        <f t="shared" si="11"/>
        <v>13</v>
      </c>
      <c r="O79" s="160" t="e">
        <f t="shared" ca="1" si="12"/>
        <v>#N/A</v>
      </c>
      <c r="P79" s="160" t="e">
        <f t="shared" ca="1" si="15"/>
        <v>#N/A</v>
      </c>
      <c r="Q79" s="160" t="e">
        <f t="shared" ca="1" si="15"/>
        <v>#N/A</v>
      </c>
      <c r="R79" s="160" t="e">
        <f t="shared" ca="1" si="14"/>
        <v>#N/A</v>
      </c>
      <c r="S79" s="160" t="e">
        <f t="shared" ca="1" si="14"/>
        <v>#N/A</v>
      </c>
      <c r="T79" s="160" t="e">
        <f t="shared" ca="1" si="14"/>
        <v>#N/A</v>
      </c>
      <c r="U79" s="160" t="e">
        <f t="shared" ca="1" si="14"/>
        <v>#N/A</v>
      </c>
      <c r="V79" s="163" t="e">
        <f t="shared" ca="1" si="5"/>
        <v>#N/A</v>
      </c>
      <c r="W79" s="163" t="e">
        <f t="shared" ca="1" si="6"/>
        <v>#N/A</v>
      </c>
      <c r="X79" s="163" t="e">
        <f t="shared" ca="1" si="7"/>
        <v>#N/A</v>
      </c>
      <c r="Y79" s="163" t="e">
        <f t="shared" ca="1" si="8"/>
        <v>#N/A</v>
      </c>
    </row>
    <row r="80" spans="12:25" ht="14.4">
      <c r="L80" s="464"/>
      <c r="M80" s="129" t="e">
        <f t="shared" si="9"/>
        <v>#N/A</v>
      </c>
      <c r="N80" s="161">
        <f t="shared" si="11"/>
        <v>13</v>
      </c>
      <c r="O80" s="160" t="e">
        <f t="shared" ca="1" si="12"/>
        <v>#N/A</v>
      </c>
      <c r="P80" s="160" t="e">
        <f t="shared" ca="1" si="15"/>
        <v>#N/A</v>
      </c>
      <c r="Q80" s="160" t="e">
        <f t="shared" ca="1" si="15"/>
        <v>#N/A</v>
      </c>
      <c r="R80" s="160" t="e">
        <f t="shared" ca="1" si="14"/>
        <v>#N/A</v>
      </c>
      <c r="S80" s="160" t="e">
        <f t="shared" ca="1" si="14"/>
        <v>#N/A</v>
      </c>
      <c r="T80" s="160" t="e">
        <f t="shared" ca="1" si="14"/>
        <v>#N/A</v>
      </c>
      <c r="U80" s="160" t="e">
        <f t="shared" ca="1" si="14"/>
        <v>#N/A</v>
      </c>
      <c r="V80" s="163" t="e">
        <f t="shared" ca="1" si="5"/>
        <v>#N/A</v>
      </c>
      <c r="W80" s="163" t="e">
        <f t="shared" ca="1" si="6"/>
        <v>#N/A</v>
      </c>
      <c r="X80" s="163" t="e">
        <f t="shared" ca="1" si="7"/>
        <v>#N/A</v>
      </c>
      <c r="Y80" s="163" t="e">
        <f t="shared" ca="1" si="8"/>
        <v>#N/A</v>
      </c>
    </row>
    <row r="81" spans="12:25" ht="14.4">
      <c r="L81" s="464"/>
      <c r="M81" s="129" t="e">
        <f t="shared" si="9"/>
        <v>#N/A</v>
      </c>
      <c r="N81" s="161">
        <f t="shared" si="11"/>
        <v>13</v>
      </c>
      <c r="O81" s="160" t="e">
        <f t="shared" ca="1" si="12"/>
        <v>#N/A</v>
      </c>
      <c r="P81" s="160" t="e">
        <f t="shared" ca="1" si="15"/>
        <v>#N/A</v>
      </c>
      <c r="Q81" s="160" t="e">
        <f t="shared" ca="1" si="15"/>
        <v>#N/A</v>
      </c>
      <c r="R81" s="160" t="e">
        <f t="shared" ca="1" si="14"/>
        <v>#N/A</v>
      </c>
      <c r="S81" s="160" t="e">
        <f t="shared" ca="1" si="14"/>
        <v>#N/A</v>
      </c>
      <c r="T81" s="160" t="e">
        <f t="shared" ca="1" si="14"/>
        <v>#N/A</v>
      </c>
      <c r="U81" s="160" t="e">
        <f t="shared" ca="1" si="14"/>
        <v>#N/A</v>
      </c>
      <c r="V81" s="163" t="e">
        <f t="shared" ca="1" si="5"/>
        <v>#N/A</v>
      </c>
      <c r="W81" s="163" t="e">
        <f t="shared" ca="1" si="6"/>
        <v>#N/A</v>
      </c>
      <c r="X81" s="163" t="e">
        <f t="shared" ca="1" si="7"/>
        <v>#N/A</v>
      </c>
      <c r="Y81" s="163" t="e">
        <f t="shared" ca="1" si="8"/>
        <v>#N/A</v>
      </c>
    </row>
    <row r="82" spans="12:25" ht="14.4">
      <c r="L82" s="464"/>
      <c r="M82" s="129" t="e">
        <f t="shared" si="9"/>
        <v>#N/A</v>
      </c>
      <c r="N82" s="161">
        <f t="shared" ref="N82:N145" si="16">N81</f>
        <v>13</v>
      </c>
      <c r="O82" s="160" t="e">
        <f t="shared" ca="1" si="12"/>
        <v>#N/A</v>
      </c>
      <c r="P82" s="160" t="e">
        <f t="shared" ca="1" si="15"/>
        <v>#N/A</v>
      </c>
      <c r="Q82" s="160" t="e">
        <f t="shared" ca="1" si="15"/>
        <v>#N/A</v>
      </c>
      <c r="R82" s="160" t="e">
        <f t="shared" ca="1" si="14"/>
        <v>#N/A</v>
      </c>
      <c r="S82" s="160" t="e">
        <f t="shared" ca="1" si="14"/>
        <v>#N/A</v>
      </c>
      <c r="T82" s="160" t="e">
        <f t="shared" ca="1" si="14"/>
        <v>#N/A</v>
      </c>
      <c r="U82" s="160" t="e">
        <f t="shared" ca="1" si="14"/>
        <v>#N/A</v>
      </c>
      <c r="V82" s="163" t="e">
        <f t="shared" ca="1" si="5"/>
        <v>#N/A</v>
      </c>
      <c r="W82" s="163" t="e">
        <f t="shared" ca="1" si="6"/>
        <v>#N/A</v>
      </c>
      <c r="X82" s="163" t="e">
        <f t="shared" ca="1" si="7"/>
        <v>#N/A</v>
      </c>
      <c r="Y82" s="163" t="e">
        <f t="shared" ca="1" si="8"/>
        <v>#N/A</v>
      </c>
    </row>
    <row r="83" spans="12:25" ht="14.4">
      <c r="L83" s="464"/>
      <c r="M83" s="129" t="e">
        <f t="shared" si="9"/>
        <v>#N/A</v>
      </c>
      <c r="N83" s="161">
        <f t="shared" si="16"/>
        <v>13</v>
      </c>
      <c r="O83" s="160" t="e">
        <f t="shared" ca="1" si="12"/>
        <v>#N/A</v>
      </c>
      <c r="P83" s="160" t="e">
        <f t="shared" ca="1" si="15"/>
        <v>#N/A</v>
      </c>
      <c r="Q83" s="160" t="e">
        <f t="shared" ca="1" si="15"/>
        <v>#N/A</v>
      </c>
      <c r="R83" s="160" t="e">
        <f t="shared" ca="1" si="14"/>
        <v>#N/A</v>
      </c>
      <c r="S83" s="160" t="e">
        <f t="shared" ca="1" si="14"/>
        <v>#N/A</v>
      </c>
      <c r="T83" s="160" t="e">
        <f t="shared" ca="1" si="14"/>
        <v>#N/A</v>
      </c>
      <c r="U83" s="160" t="e">
        <f t="shared" ca="1" si="14"/>
        <v>#N/A</v>
      </c>
      <c r="V83" s="163" t="e">
        <f t="shared" ca="1" si="5"/>
        <v>#N/A</v>
      </c>
      <c r="W83" s="163" t="e">
        <f t="shared" ca="1" si="6"/>
        <v>#N/A</v>
      </c>
      <c r="X83" s="163" t="e">
        <f t="shared" ca="1" si="7"/>
        <v>#N/A</v>
      </c>
      <c r="Y83" s="163" t="e">
        <f t="shared" ca="1" si="8"/>
        <v>#N/A</v>
      </c>
    </row>
    <row r="84" spans="12:25" ht="14.4">
      <c r="L84" s="464"/>
      <c r="M84" s="129" t="e">
        <f t="shared" si="9"/>
        <v>#N/A</v>
      </c>
      <c r="N84" s="161">
        <f t="shared" si="16"/>
        <v>13</v>
      </c>
      <c r="O84" s="160" t="e">
        <f t="shared" ca="1" si="12"/>
        <v>#N/A</v>
      </c>
      <c r="P84" s="160" t="e">
        <f t="shared" ca="1" si="15"/>
        <v>#N/A</v>
      </c>
      <c r="Q84" s="160" t="e">
        <f t="shared" ca="1" si="15"/>
        <v>#N/A</v>
      </c>
      <c r="R84" s="160" t="e">
        <f t="shared" ca="1" si="14"/>
        <v>#N/A</v>
      </c>
      <c r="S84" s="160" t="e">
        <f t="shared" ca="1" si="14"/>
        <v>#N/A</v>
      </c>
      <c r="T84" s="160" t="e">
        <f t="shared" ca="1" si="14"/>
        <v>#N/A</v>
      </c>
      <c r="U84" s="160" t="e">
        <f t="shared" ca="1" si="14"/>
        <v>#N/A</v>
      </c>
      <c r="V84" s="163" t="e">
        <f t="shared" ca="1" si="5"/>
        <v>#N/A</v>
      </c>
      <c r="W84" s="163" t="e">
        <f t="shared" ca="1" si="6"/>
        <v>#N/A</v>
      </c>
      <c r="X84" s="163" t="e">
        <f t="shared" ca="1" si="7"/>
        <v>#N/A</v>
      </c>
      <c r="Y84" s="163" t="e">
        <f t="shared" ca="1" si="8"/>
        <v>#N/A</v>
      </c>
    </row>
    <row r="85" spans="12:25" ht="14.4">
      <c r="L85" s="464"/>
      <c r="M85" s="129" t="e">
        <f t="shared" si="9"/>
        <v>#N/A</v>
      </c>
      <c r="N85" s="161">
        <f t="shared" si="16"/>
        <v>13</v>
      </c>
      <c r="O85" s="160" t="e">
        <f t="shared" ca="1" si="12"/>
        <v>#N/A</v>
      </c>
      <c r="P85" s="160" t="e">
        <f t="shared" ca="1" si="15"/>
        <v>#N/A</v>
      </c>
      <c r="Q85" s="160" t="e">
        <f t="shared" ca="1" si="15"/>
        <v>#N/A</v>
      </c>
      <c r="R85" s="160" t="e">
        <f t="shared" ca="1" si="14"/>
        <v>#N/A</v>
      </c>
      <c r="S85" s="160" t="e">
        <f t="shared" ca="1" si="14"/>
        <v>#N/A</v>
      </c>
      <c r="T85" s="160" t="e">
        <f t="shared" ca="1" si="14"/>
        <v>#N/A</v>
      </c>
      <c r="U85" s="160" t="e">
        <f t="shared" ca="1" si="14"/>
        <v>#N/A</v>
      </c>
      <c r="V85" s="163" t="e">
        <f t="shared" ca="1" si="5"/>
        <v>#N/A</v>
      </c>
      <c r="W85" s="163" t="e">
        <f t="shared" ca="1" si="6"/>
        <v>#N/A</v>
      </c>
      <c r="X85" s="163" t="e">
        <f t="shared" ca="1" si="7"/>
        <v>#N/A</v>
      </c>
      <c r="Y85" s="163" t="e">
        <f t="shared" ca="1" si="8"/>
        <v>#N/A</v>
      </c>
    </row>
    <row r="86" spans="12:25" ht="14.4">
      <c r="L86" s="464"/>
      <c r="M86" s="129" t="e">
        <f t="shared" si="9"/>
        <v>#N/A</v>
      </c>
      <c r="N86" s="161">
        <f t="shared" si="16"/>
        <v>13</v>
      </c>
      <c r="O86" s="160" t="e">
        <f t="shared" ca="1" si="12"/>
        <v>#N/A</v>
      </c>
      <c r="P86" s="160" t="e">
        <f t="shared" ref="P86:Q105" ca="1" si="17">IF($M86="end",0,OFFSET($A$1,$M86-1,P$29,1,1))</f>
        <v>#N/A</v>
      </c>
      <c r="Q86" s="160" t="e">
        <f t="shared" ca="1" si="17"/>
        <v>#N/A</v>
      </c>
      <c r="R86" s="160" t="e">
        <f t="shared" ca="1" si="14"/>
        <v>#N/A</v>
      </c>
      <c r="S86" s="160" t="e">
        <f t="shared" ca="1" si="14"/>
        <v>#N/A</v>
      </c>
      <c r="T86" s="160" t="e">
        <f t="shared" ca="1" si="14"/>
        <v>#N/A</v>
      </c>
      <c r="U86" s="160" t="e">
        <f t="shared" ca="1" si="14"/>
        <v>#N/A</v>
      </c>
      <c r="V86" s="163" t="e">
        <f t="shared" ca="1" si="5"/>
        <v>#N/A</v>
      </c>
      <c r="W86" s="163" t="e">
        <f t="shared" ca="1" si="6"/>
        <v>#N/A</v>
      </c>
      <c r="X86" s="163" t="e">
        <f t="shared" ca="1" si="7"/>
        <v>#N/A</v>
      </c>
      <c r="Y86" s="163" t="e">
        <f t="shared" ca="1" si="8"/>
        <v>#N/A</v>
      </c>
    </row>
    <row r="87" spans="12:25" ht="14.4">
      <c r="L87" s="464"/>
      <c r="M87" s="129" t="e">
        <f t="shared" si="9"/>
        <v>#N/A</v>
      </c>
      <c r="N87" s="161">
        <f t="shared" si="16"/>
        <v>13</v>
      </c>
      <c r="O87" s="160" t="e">
        <f t="shared" ca="1" si="12"/>
        <v>#N/A</v>
      </c>
      <c r="P87" s="160" t="e">
        <f t="shared" ca="1" si="17"/>
        <v>#N/A</v>
      </c>
      <c r="Q87" s="160" t="e">
        <f t="shared" ca="1" si="17"/>
        <v>#N/A</v>
      </c>
      <c r="R87" s="160" t="e">
        <f t="shared" ca="1" si="14"/>
        <v>#N/A</v>
      </c>
      <c r="S87" s="160" t="e">
        <f t="shared" ca="1" si="14"/>
        <v>#N/A</v>
      </c>
      <c r="T87" s="160" t="e">
        <f t="shared" ca="1" si="14"/>
        <v>#N/A</v>
      </c>
      <c r="U87" s="160" t="e">
        <f t="shared" ca="1" si="14"/>
        <v>#N/A</v>
      </c>
      <c r="V87" s="163" t="e">
        <f t="shared" ca="1" si="5"/>
        <v>#N/A</v>
      </c>
      <c r="W87" s="163" t="e">
        <f t="shared" ca="1" si="6"/>
        <v>#N/A</v>
      </c>
      <c r="X87" s="163" t="e">
        <f t="shared" ca="1" si="7"/>
        <v>#N/A</v>
      </c>
      <c r="Y87" s="163" t="e">
        <f t="shared" ca="1" si="8"/>
        <v>#N/A</v>
      </c>
    </row>
    <row r="88" spans="12:25" ht="14.4">
      <c r="L88" s="464"/>
      <c r="M88" s="129" t="e">
        <f t="shared" si="9"/>
        <v>#N/A</v>
      </c>
      <c r="N88" s="161">
        <f t="shared" si="16"/>
        <v>13</v>
      </c>
      <c r="O88" s="160" t="e">
        <f t="shared" ca="1" si="12"/>
        <v>#N/A</v>
      </c>
      <c r="P88" s="160" t="e">
        <f t="shared" ca="1" si="17"/>
        <v>#N/A</v>
      </c>
      <c r="Q88" s="160" t="e">
        <f t="shared" ca="1" si="17"/>
        <v>#N/A</v>
      </c>
      <c r="R88" s="160" t="e">
        <f t="shared" ca="1" si="14"/>
        <v>#N/A</v>
      </c>
      <c r="S88" s="160" t="e">
        <f t="shared" ca="1" si="14"/>
        <v>#N/A</v>
      </c>
      <c r="T88" s="160" t="e">
        <f t="shared" ca="1" si="14"/>
        <v>#N/A</v>
      </c>
      <c r="U88" s="160" t="e">
        <f t="shared" ca="1" si="14"/>
        <v>#N/A</v>
      </c>
      <c r="V88" s="163" t="e">
        <f t="shared" ca="1" si="5"/>
        <v>#N/A</v>
      </c>
      <c r="W88" s="163" t="e">
        <f t="shared" ca="1" si="6"/>
        <v>#N/A</v>
      </c>
      <c r="X88" s="163" t="e">
        <f t="shared" ca="1" si="7"/>
        <v>#N/A</v>
      </c>
      <c r="Y88" s="163" t="e">
        <f t="shared" ca="1" si="8"/>
        <v>#N/A</v>
      </c>
    </row>
    <row r="89" spans="12:25" ht="14.4">
      <c r="L89" s="464"/>
      <c r="M89" s="129" t="e">
        <f t="shared" si="9"/>
        <v>#N/A</v>
      </c>
      <c r="N89" s="161">
        <f t="shared" si="16"/>
        <v>13</v>
      </c>
      <c r="O89" s="160" t="e">
        <f t="shared" ca="1" si="12"/>
        <v>#N/A</v>
      </c>
      <c r="P89" s="160" t="e">
        <f t="shared" ca="1" si="17"/>
        <v>#N/A</v>
      </c>
      <c r="Q89" s="160" t="e">
        <f t="shared" ca="1" si="17"/>
        <v>#N/A</v>
      </c>
      <c r="R89" s="160" t="e">
        <f t="shared" ca="1" si="14"/>
        <v>#N/A</v>
      </c>
      <c r="S89" s="160" t="e">
        <f t="shared" ca="1" si="14"/>
        <v>#N/A</v>
      </c>
      <c r="T89" s="160" t="e">
        <f t="shared" ca="1" si="14"/>
        <v>#N/A</v>
      </c>
      <c r="U89" s="160" t="e">
        <f t="shared" ca="1" si="14"/>
        <v>#N/A</v>
      </c>
      <c r="V89" s="163" t="e">
        <f t="shared" ca="1" si="5"/>
        <v>#N/A</v>
      </c>
      <c r="W89" s="163" t="e">
        <f t="shared" ca="1" si="6"/>
        <v>#N/A</v>
      </c>
      <c r="X89" s="163" t="e">
        <f t="shared" ca="1" si="7"/>
        <v>#N/A</v>
      </c>
      <c r="Y89" s="163" t="e">
        <f t="shared" ca="1" si="8"/>
        <v>#N/A</v>
      </c>
    </row>
    <row r="90" spans="12:25" ht="14.4">
      <c r="L90" s="464"/>
      <c r="M90" s="129" t="e">
        <f t="shared" si="9"/>
        <v>#N/A</v>
      </c>
      <c r="N90" s="161">
        <f t="shared" si="16"/>
        <v>13</v>
      </c>
      <c r="O90" s="160" t="e">
        <f t="shared" ca="1" si="12"/>
        <v>#N/A</v>
      </c>
      <c r="P90" s="160" t="e">
        <f t="shared" ca="1" si="17"/>
        <v>#N/A</v>
      </c>
      <c r="Q90" s="160" t="e">
        <f t="shared" ca="1" si="17"/>
        <v>#N/A</v>
      </c>
      <c r="R90" s="160" t="e">
        <f t="shared" ca="1" si="14"/>
        <v>#N/A</v>
      </c>
      <c r="S90" s="160" t="e">
        <f t="shared" ca="1" si="14"/>
        <v>#N/A</v>
      </c>
      <c r="T90" s="160" t="e">
        <f t="shared" ca="1" si="14"/>
        <v>#N/A</v>
      </c>
      <c r="U90" s="160" t="e">
        <f t="shared" ca="1" si="14"/>
        <v>#N/A</v>
      </c>
      <c r="V90" s="163" t="e">
        <f t="shared" ca="1" si="5"/>
        <v>#N/A</v>
      </c>
      <c r="W90" s="163" t="e">
        <f t="shared" ca="1" si="6"/>
        <v>#N/A</v>
      </c>
      <c r="X90" s="163" t="e">
        <f t="shared" ca="1" si="7"/>
        <v>#N/A</v>
      </c>
      <c r="Y90" s="163" t="e">
        <f t="shared" ca="1" si="8"/>
        <v>#N/A</v>
      </c>
    </row>
    <row r="91" spans="12:25" ht="14.4">
      <c r="L91" s="464"/>
      <c r="M91" s="129" t="e">
        <f t="shared" si="9"/>
        <v>#N/A</v>
      </c>
      <c r="N91" s="161">
        <f t="shared" si="16"/>
        <v>13</v>
      </c>
      <c r="O91" s="160" t="e">
        <f t="shared" ca="1" si="12"/>
        <v>#N/A</v>
      </c>
      <c r="P91" s="160" t="e">
        <f t="shared" ca="1" si="17"/>
        <v>#N/A</v>
      </c>
      <c r="Q91" s="160" t="e">
        <f t="shared" ca="1" si="17"/>
        <v>#N/A</v>
      </c>
      <c r="R91" s="160" t="e">
        <f t="shared" ca="1" si="14"/>
        <v>#N/A</v>
      </c>
      <c r="S91" s="160" t="e">
        <f t="shared" ca="1" si="14"/>
        <v>#N/A</v>
      </c>
      <c r="T91" s="160" t="e">
        <f t="shared" ca="1" si="14"/>
        <v>#N/A</v>
      </c>
      <c r="U91" s="160" t="e">
        <f t="shared" ca="1" si="14"/>
        <v>#N/A</v>
      </c>
      <c r="V91" s="163" t="e">
        <f t="shared" ca="1" si="5"/>
        <v>#N/A</v>
      </c>
      <c r="W91" s="163" t="e">
        <f t="shared" ca="1" si="6"/>
        <v>#N/A</v>
      </c>
      <c r="X91" s="163" t="e">
        <f t="shared" ca="1" si="7"/>
        <v>#N/A</v>
      </c>
      <c r="Y91" s="163" t="e">
        <f t="shared" ca="1" si="8"/>
        <v>#N/A</v>
      </c>
    </row>
    <row r="92" spans="12:25" ht="14.4">
      <c r="L92" s="464"/>
      <c r="M92" s="129" t="e">
        <f t="shared" si="9"/>
        <v>#N/A</v>
      </c>
      <c r="N92" s="161">
        <f t="shared" si="16"/>
        <v>13</v>
      </c>
      <c r="O92" s="160" t="e">
        <f t="shared" ca="1" si="12"/>
        <v>#N/A</v>
      </c>
      <c r="P92" s="160" t="e">
        <f t="shared" ca="1" si="17"/>
        <v>#N/A</v>
      </c>
      <c r="Q92" s="160" t="e">
        <f t="shared" ca="1" si="17"/>
        <v>#N/A</v>
      </c>
      <c r="R92" s="160" t="e">
        <f t="shared" ca="1" si="14"/>
        <v>#N/A</v>
      </c>
      <c r="S92" s="160" t="e">
        <f t="shared" ca="1" si="14"/>
        <v>#N/A</v>
      </c>
      <c r="T92" s="160" t="e">
        <f t="shared" ca="1" si="14"/>
        <v>#N/A</v>
      </c>
      <c r="U92" s="160" t="e">
        <f t="shared" ca="1" si="14"/>
        <v>#N/A</v>
      </c>
      <c r="V92" s="163" t="e">
        <f t="shared" ca="1" si="5"/>
        <v>#N/A</v>
      </c>
      <c r="W92" s="163" t="e">
        <f t="shared" ca="1" si="6"/>
        <v>#N/A</v>
      </c>
      <c r="X92" s="163" t="e">
        <f t="shared" ca="1" si="7"/>
        <v>#N/A</v>
      </c>
      <c r="Y92" s="163" t="e">
        <f t="shared" ca="1" si="8"/>
        <v>#N/A</v>
      </c>
    </row>
    <row r="93" spans="12:25" ht="14.4">
      <c r="L93" s="464"/>
      <c r="M93" s="129" t="e">
        <f t="shared" si="9"/>
        <v>#N/A</v>
      </c>
      <c r="N93" s="161">
        <f t="shared" si="16"/>
        <v>13</v>
      </c>
      <c r="O93" s="160" t="e">
        <f t="shared" ca="1" si="12"/>
        <v>#N/A</v>
      </c>
      <c r="P93" s="160" t="e">
        <f t="shared" ca="1" si="17"/>
        <v>#N/A</v>
      </c>
      <c r="Q93" s="160" t="e">
        <f t="shared" ca="1" si="17"/>
        <v>#N/A</v>
      </c>
      <c r="R93" s="160" t="e">
        <f t="shared" ca="1" si="14"/>
        <v>#N/A</v>
      </c>
      <c r="S93" s="160" t="e">
        <f t="shared" ca="1" si="14"/>
        <v>#N/A</v>
      </c>
      <c r="T93" s="160" t="e">
        <f t="shared" ca="1" si="14"/>
        <v>#N/A</v>
      </c>
      <c r="U93" s="160" t="e">
        <f t="shared" ca="1" si="14"/>
        <v>#N/A</v>
      </c>
      <c r="V93" s="163" t="e">
        <f t="shared" ca="1" si="5"/>
        <v>#N/A</v>
      </c>
      <c r="W93" s="163" t="e">
        <f t="shared" ca="1" si="6"/>
        <v>#N/A</v>
      </c>
      <c r="X93" s="163" t="e">
        <f t="shared" ca="1" si="7"/>
        <v>#N/A</v>
      </c>
      <c r="Y93" s="163" t="e">
        <f t="shared" ca="1" si="8"/>
        <v>#N/A</v>
      </c>
    </row>
    <row r="94" spans="12:25" ht="14.4">
      <c r="L94" s="464"/>
      <c r="M94" s="129" t="e">
        <f t="shared" si="9"/>
        <v>#N/A</v>
      </c>
      <c r="N94" s="161">
        <f t="shared" si="16"/>
        <v>13</v>
      </c>
      <c r="O94" s="160" t="e">
        <f t="shared" ca="1" si="12"/>
        <v>#N/A</v>
      </c>
      <c r="P94" s="160" t="e">
        <f t="shared" ca="1" si="17"/>
        <v>#N/A</v>
      </c>
      <c r="Q94" s="160" t="e">
        <f t="shared" ca="1" si="17"/>
        <v>#N/A</v>
      </c>
      <c r="R94" s="160" t="e">
        <f t="shared" ca="1" si="14"/>
        <v>#N/A</v>
      </c>
      <c r="S94" s="160" t="e">
        <f t="shared" ca="1" si="14"/>
        <v>#N/A</v>
      </c>
      <c r="T94" s="160" t="e">
        <f t="shared" ca="1" si="14"/>
        <v>#N/A</v>
      </c>
      <c r="U94" s="160" t="e">
        <f t="shared" ca="1" si="14"/>
        <v>#N/A</v>
      </c>
      <c r="V94" s="163" t="e">
        <f t="shared" ca="1" si="5"/>
        <v>#N/A</v>
      </c>
      <c r="W94" s="163" t="e">
        <f t="shared" ca="1" si="6"/>
        <v>#N/A</v>
      </c>
      <c r="X94" s="163" t="e">
        <f t="shared" ca="1" si="7"/>
        <v>#N/A</v>
      </c>
      <c r="Y94" s="163" t="e">
        <f t="shared" ca="1" si="8"/>
        <v>#N/A</v>
      </c>
    </row>
    <row r="95" spans="12:25" ht="14.4">
      <c r="L95" s="464"/>
      <c r="M95" s="129" t="e">
        <f t="shared" si="9"/>
        <v>#N/A</v>
      </c>
      <c r="N95" s="161">
        <f t="shared" si="16"/>
        <v>13</v>
      </c>
      <c r="O95" s="160" t="e">
        <f t="shared" ca="1" si="12"/>
        <v>#N/A</v>
      </c>
      <c r="P95" s="160" t="e">
        <f t="shared" ca="1" si="17"/>
        <v>#N/A</v>
      </c>
      <c r="Q95" s="160" t="e">
        <f t="shared" ca="1" si="17"/>
        <v>#N/A</v>
      </c>
      <c r="R95" s="160" t="e">
        <f t="shared" ca="1" si="14"/>
        <v>#N/A</v>
      </c>
      <c r="S95" s="160" t="e">
        <f t="shared" ca="1" si="14"/>
        <v>#N/A</v>
      </c>
      <c r="T95" s="160" t="e">
        <f t="shared" ca="1" si="14"/>
        <v>#N/A</v>
      </c>
      <c r="U95" s="160" t="e">
        <f t="shared" ca="1" si="14"/>
        <v>#N/A</v>
      </c>
      <c r="V95" s="163" t="e">
        <f t="shared" ref="V95:V158" ca="1" si="18">IF(Q95=0,0,IF(S95=180,IF(R95=0,"Slab on Grade",IF(R95=1,"Exposed Floor",IF(R95=3,"Internal Floor",U95))),IF(S95&lt;45,IF(R95=3,"Internal Ceiling",IF(R95=1,"Roof",U95)))))</f>
        <v>#N/A</v>
      </c>
      <c r="W95" s="163" t="e">
        <f t="shared" ref="W95:W158" ca="1" si="19">IF(ISNUMBER(SEARCH($W$29,U95))=TRUE,IF(ISNUMBER(SEARCH($W$27,U95))=TRUE,IF(R95=1,"eFrame",IF(R95=3,"iFrame")),IF(R95=1,"eWindow",IF(R95=3,"iWindow"))),U95)</f>
        <v>#N/A</v>
      </c>
      <c r="X95" s="163" t="e">
        <f t="shared" ref="X95:X158" ca="1" si="20">IF(ISNUMBER(SEARCH($X$29,U95))=TRUE,IF(ISNUMBER(SEARCH($X$27,U95))=TRUE,IF(R95=1,"eFrameDoor",IF(R95=3,"iFrameDoor")),IF(R95=1,"eDoor",IF(R95=3,"iDoor"))),U95)</f>
        <v>#N/A</v>
      </c>
      <c r="Y95" s="163" t="e">
        <f t="shared" ref="Y95:Y158" ca="1" si="21">IF(ISNUMBER(SEARCH($W$29,U95))=TRUE,"Substract",IF(ISNUMBER(SEARCH($X$29,U95))=TRUE, "Sunstract",IF(S95=90,IF(R95=1,"External Wall",IF(R95=3,"Internal Wall",IF(R95=0,"Below Grade Wall",U95))),V95)))</f>
        <v>#N/A</v>
      </c>
    </row>
    <row r="96" spans="12:25" ht="14.4">
      <c r="L96" s="464"/>
      <c r="M96" s="129" t="e">
        <f t="shared" ref="M96:M159" si="22">IF(M95="end","end",IF(M95=$K$1,"end",M95+1))</f>
        <v>#N/A</v>
      </c>
      <c r="N96" s="161">
        <f t="shared" si="16"/>
        <v>13</v>
      </c>
      <c r="O96" s="160" t="e">
        <f t="shared" ca="1" si="12"/>
        <v>#N/A</v>
      </c>
      <c r="P96" s="160" t="e">
        <f t="shared" ca="1" si="17"/>
        <v>#N/A</v>
      </c>
      <c r="Q96" s="160" t="e">
        <f t="shared" ca="1" si="17"/>
        <v>#N/A</v>
      </c>
      <c r="R96" s="160" t="e">
        <f t="shared" ca="1" si="14"/>
        <v>#N/A</v>
      </c>
      <c r="S96" s="160" t="e">
        <f t="shared" ca="1" si="14"/>
        <v>#N/A</v>
      </c>
      <c r="T96" s="160" t="e">
        <f t="shared" ca="1" si="14"/>
        <v>#N/A</v>
      </c>
      <c r="U96" s="160" t="e">
        <f t="shared" ca="1" si="14"/>
        <v>#N/A</v>
      </c>
      <c r="V96" s="163" t="e">
        <f t="shared" ca="1" si="18"/>
        <v>#N/A</v>
      </c>
      <c r="W96" s="163" t="e">
        <f t="shared" ca="1" si="19"/>
        <v>#N/A</v>
      </c>
      <c r="X96" s="163" t="e">
        <f t="shared" ca="1" si="20"/>
        <v>#N/A</v>
      </c>
      <c r="Y96" s="163" t="e">
        <f t="shared" ca="1" si="21"/>
        <v>#N/A</v>
      </c>
    </row>
    <row r="97" spans="12:25" ht="14.4">
      <c r="L97" s="464"/>
      <c r="M97" s="129" t="e">
        <f t="shared" si="22"/>
        <v>#N/A</v>
      </c>
      <c r="N97" s="161">
        <f t="shared" si="16"/>
        <v>13</v>
      </c>
      <c r="O97" s="160" t="e">
        <f t="shared" ca="1" si="12"/>
        <v>#N/A</v>
      </c>
      <c r="P97" s="160" t="e">
        <f t="shared" ca="1" si="17"/>
        <v>#N/A</v>
      </c>
      <c r="Q97" s="160" t="e">
        <f t="shared" ca="1" si="17"/>
        <v>#N/A</v>
      </c>
      <c r="R97" s="160" t="e">
        <f t="shared" ca="1" si="14"/>
        <v>#N/A</v>
      </c>
      <c r="S97" s="160" t="e">
        <f t="shared" ca="1" si="14"/>
        <v>#N/A</v>
      </c>
      <c r="T97" s="160" t="e">
        <f t="shared" ca="1" si="14"/>
        <v>#N/A</v>
      </c>
      <c r="U97" s="160" t="e">
        <f t="shared" ca="1" si="14"/>
        <v>#N/A</v>
      </c>
      <c r="V97" s="163" t="e">
        <f t="shared" ca="1" si="18"/>
        <v>#N/A</v>
      </c>
      <c r="W97" s="163" t="e">
        <f t="shared" ca="1" si="19"/>
        <v>#N/A</v>
      </c>
      <c r="X97" s="163" t="e">
        <f t="shared" ca="1" si="20"/>
        <v>#N/A</v>
      </c>
      <c r="Y97" s="163" t="e">
        <f t="shared" ca="1" si="21"/>
        <v>#N/A</v>
      </c>
    </row>
    <row r="98" spans="12:25" ht="14.4">
      <c r="L98" s="464"/>
      <c r="M98" s="129" t="e">
        <f t="shared" si="22"/>
        <v>#N/A</v>
      </c>
      <c r="N98" s="161">
        <f t="shared" si="16"/>
        <v>13</v>
      </c>
      <c r="O98" s="160" t="e">
        <f t="shared" ca="1" si="12"/>
        <v>#N/A</v>
      </c>
      <c r="P98" s="160" t="e">
        <f t="shared" ca="1" si="17"/>
        <v>#N/A</v>
      </c>
      <c r="Q98" s="160" t="e">
        <f t="shared" ca="1" si="17"/>
        <v>#N/A</v>
      </c>
      <c r="R98" s="160" t="e">
        <f t="shared" ca="1" si="14"/>
        <v>#N/A</v>
      </c>
      <c r="S98" s="160" t="e">
        <f t="shared" ca="1" si="14"/>
        <v>#N/A</v>
      </c>
      <c r="T98" s="160" t="e">
        <f t="shared" ca="1" si="14"/>
        <v>#N/A</v>
      </c>
      <c r="U98" s="160" t="e">
        <f t="shared" ca="1" si="14"/>
        <v>#N/A</v>
      </c>
      <c r="V98" s="163" t="e">
        <f t="shared" ca="1" si="18"/>
        <v>#N/A</v>
      </c>
      <c r="W98" s="163" t="e">
        <f t="shared" ca="1" si="19"/>
        <v>#N/A</v>
      </c>
      <c r="X98" s="163" t="e">
        <f t="shared" ca="1" si="20"/>
        <v>#N/A</v>
      </c>
      <c r="Y98" s="163" t="e">
        <f t="shared" ca="1" si="21"/>
        <v>#N/A</v>
      </c>
    </row>
    <row r="99" spans="12:25" ht="14.4">
      <c r="L99" s="464"/>
      <c r="M99" s="129" t="e">
        <f t="shared" si="22"/>
        <v>#N/A</v>
      </c>
      <c r="N99" s="161">
        <f t="shared" si="16"/>
        <v>13</v>
      </c>
      <c r="O99" s="160" t="e">
        <f t="shared" ca="1" si="12"/>
        <v>#N/A</v>
      </c>
      <c r="P99" s="160" t="e">
        <f t="shared" ca="1" si="17"/>
        <v>#N/A</v>
      </c>
      <c r="Q99" s="160" t="e">
        <f t="shared" ca="1" si="17"/>
        <v>#N/A</v>
      </c>
      <c r="R99" s="160" t="e">
        <f t="shared" ca="1" si="14"/>
        <v>#N/A</v>
      </c>
      <c r="S99" s="160" t="e">
        <f t="shared" ca="1" si="14"/>
        <v>#N/A</v>
      </c>
      <c r="T99" s="160" t="e">
        <f t="shared" ca="1" si="14"/>
        <v>#N/A</v>
      </c>
      <c r="U99" s="160" t="e">
        <f t="shared" ca="1" si="14"/>
        <v>#N/A</v>
      </c>
      <c r="V99" s="163" t="e">
        <f t="shared" ca="1" si="18"/>
        <v>#N/A</v>
      </c>
      <c r="W99" s="163" t="e">
        <f t="shared" ca="1" si="19"/>
        <v>#N/A</v>
      </c>
      <c r="X99" s="163" t="e">
        <f t="shared" ca="1" si="20"/>
        <v>#N/A</v>
      </c>
      <c r="Y99" s="163" t="e">
        <f t="shared" ca="1" si="21"/>
        <v>#N/A</v>
      </c>
    </row>
    <row r="100" spans="12:25" ht="14.4">
      <c r="L100" s="464"/>
      <c r="M100" s="129" t="e">
        <f t="shared" si="22"/>
        <v>#N/A</v>
      </c>
      <c r="N100" s="161">
        <f t="shared" si="16"/>
        <v>13</v>
      </c>
      <c r="O100" s="160" t="e">
        <f t="shared" ca="1" si="12"/>
        <v>#N/A</v>
      </c>
      <c r="P100" s="160" t="e">
        <f t="shared" ca="1" si="17"/>
        <v>#N/A</v>
      </c>
      <c r="Q100" s="160" t="e">
        <f t="shared" ca="1" si="17"/>
        <v>#N/A</v>
      </c>
      <c r="R100" s="160" t="e">
        <f t="shared" ca="1" si="14"/>
        <v>#N/A</v>
      </c>
      <c r="S100" s="160" t="e">
        <f t="shared" ca="1" si="14"/>
        <v>#N/A</v>
      </c>
      <c r="T100" s="160" t="e">
        <f t="shared" ca="1" si="14"/>
        <v>#N/A</v>
      </c>
      <c r="U100" s="160" t="e">
        <f t="shared" ca="1" si="14"/>
        <v>#N/A</v>
      </c>
      <c r="V100" s="163" t="e">
        <f t="shared" ca="1" si="18"/>
        <v>#N/A</v>
      </c>
      <c r="W100" s="163" t="e">
        <f t="shared" ca="1" si="19"/>
        <v>#N/A</v>
      </c>
      <c r="X100" s="163" t="e">
        <f t="shared" ca="1" si="20"/>
        <v>#N/A</v>
      </c>
      <c r="Y100" s="163" t="e">
        <f t="shared" ca="1" si="21"/>
        <v>#N/A</v>
      </c>
    </row>
    <row r="101" spans="12:25" ht="14.4">
      <c r="L101" s="464"/>
      <c r="M101" s="129" t="e">
        <f t="shared" si="22"/>
        <v>#N/A</v>
      </c>
      <c r="N101" s="161">
        <f t="shared" si="16"/>
        <v>13</v>
      </c>
      <c r="O101" s="160" t="e">
        <f t="shared" ca="1" si="12"/>
        <v>#N/A</v>
      </c>
      <c r="P101" s="160" t="e">
        <f t="shared" ca="1" si="17"/>
        <v>#N/A</v>
      </c>
      <c r="Q101" s="160" t="e">
        <f t="shared" ca="1" si="17"/>
        <v>#N/A</v>
      </c>
      <c r="R101" s="160" t="e">
        <f t="shared" ca="1" si="14"/>
        <v>#N/A</v>
      </c>
      <c r="S101" s="160" t="e">
        <f t="shared" ca="1" si="14"/>
        <v>#N/A</v>
      </c>
      <c r="T101" s="160" t="e">
        <f t="shared" ca="1" si="14"/>
        <v>#N/A</v>
      </c>
      <c r="U101" s="160" t="e">
        <f t="shared" ca="1" si="14"/>
        <v>#N/A</v>
      </c>
      <c r="V101" s="163" t="e">
        <f t="shared" ca="1" si="18"/>
        <v>#N/A</v>
      </c>
      <c r="W101" s="163" t="e">
        <f t="shared" ca="1" si="19"/>
        <v>#N/A</v>
      </c>
      <c r="X101" s="163" t="e">
        <f t="shared" ca="1" si="20"/>
        <v>#N/A</v>
      </c>
      <c r="Y101" s="163" t="e">
        <f t="shared" ca="1" si="21"/>
        <v>#N/A</v>
      </c>
    </row>
    <row r="102" spans="12:25" ht="14.4">
      <c r="L102" s="464"/>
      <c r="M102" s="129" t="e">
        <f t="shared" si="22"/>
        <v>#N/A</v>
      </c>
      <c r="N102" s="161">
        <f t="shared" si="16"/>
        <v>13</v>
      </c>
      <c r="O102" s="160" t="e">
        <f t="shared" ca="1" si="12"/>
        <v>#N/A</v>
      </c>
      <c r="P102" s="160" t="e">
        <f t="shared" ca="1" si="17"/>
        <v>#N/A</v>
      </c>
      <c r="Q102" s="160" t="e">
        <f t="shared" ca="1" si="17"/>
        <v>#N/A</v>
      </c>
      <c r="R102" s="160" t="e">
        <f t="shared" ca="1" si="14"/>
        <v>#N/A</v>
      </c>
      <c r="S102" s="160" t="e">
        <f t="shared" ca="1" si="14"/>
        <v>#N/A</v>
      </c>
      <c r="T102" s="160" t="e">
        <f t="shared" ca="1" si="14"/>
        <v>#N/A</v>
      </c>
      <c r="U102" s="160" t="e">
        <f t="shared" ca="1" si="14"/>
        <v>#N/A</v>
      </c>
      <c r="V102" s="163" t="e">
        <f t="shared" ca="1" si="18"/>
        <v>#N/A</v>
      </c>
      <c r="W102" s="163" t="e">
        <f t="shared" ca="1" si="19"/>
        <v>#N/A</v>
      </c>
      <c r="X102" s="163" t="e">
        <f t="shared" ca="1" si="20"/>
        <v>#N/A</v>
      </c>
      <c r="Y102" s="163" t="e">
        <f t="shared" ca="1" si="21"/>
        <v>#N/A</v>
      </c>
    </row>
    <row r="103" spans="12:25" ht="14.4">
      <c r="L103" s="464"/>
      <c r="M103" s="129" t="e">
        <f t="shared" si="22"/>
        <v>#N/A</v>
      </c>
      <c r="N103" s="161">
        <f t="shared" si="16"/>
        <v>13</v>
      </c>
      <c r="O103" s="160" t="e">
        <f t="shared" ca="1" si="12"/>
        <v>#N/A</v>
      </c>
      <c r="P103" s="160" t="e">
        <f t="shared" ca="1" si="17"/>
        <v>#N/A</v>
      </c>
      <c r="Q103" s="160" t="e">
        <f t="shared" ca="1" si="17"/>
        <v>#N/A</v>
      </c>
      <c r="R103" s="160" t="e">
        <f t="shared" ca="1" si="14"/>
        <v>#N/A</v>
      </c>
      <c r="S103" s="160" t="e">
        <f t="shared" ca="1" si="14"/>
        <v>#N/A</v>
      </c>
      <c r="T103" s="160" t="e">
        <f t="shared" ca="1" si="14"/>
        <v>#N/A</v>
      </c>
      <c r="U103" s="160" t="e">
        <f t="shared" ca="1" si="14"/>
        <v>#N/A</v>
      </c>
      <c r="V103" s="163" t="e">
        <f t="shared" ca="1" si="18"/>
        <v>#N/A</v>
      </c>
      <c r="W103" s="163" t="e">
        <f t="shared" ca="1" si="19"/>
        <v>#N/A</v>
      </c>
      <c r="X103" s="163" t="e">
        <f t="shared" ca="1" si="20"/>
        <v>#N/A</v>
      </c>
      <c r="Y103" s="163" t="e">
        <f t="shared" ca="1" si="21"/>
        <v>#N/A</v>
      </c>
    </row>
    <row r="104" spans="12:25" ht="14.4">
      <c r="L104" s="464"/>
      <c r="M104" s="129" t="e">
        <f t="shared" si="22"/>
        <v>#N/A</v>
      </c>
      <c r="N104" s="161">
        <f t="shared" si="16"/>
        <v>13</v>
      </c>
      <c r="O104" s="160" t="e">
        <f t="shared" ca="1" si="12"/>
        <v>#N/A</v>
      </c>
      <c r="P104" s="160" t="e">
        <f t="shared" ca="1" si="17"/>
        <v>#N/A</v>
      </c>
      <c r="Q104" s="160" t="e">
        <f t="shared" ca="1" si="17"/>
        <v>#N/A</v>
      </c>
      <c r="R104" s="160" t="e">
        <f t="shared" ca="1" si="14"/>
        <v>#N/A</v>
      </c>
      <c r="S104" s="160" t="e">
        <f t="shared" ca="1" si="14"/>
        <v>#N/A</v>
      </c>
      <c r="T104" s="160" t="e">
        <f t="shared" ca="1" si="14"/>
        <v>#N/A</v>
      </c>
      <c r="U104" s="160" t="e">
        <f t="shared" ca="1" si="14"/>
        <v>#N/A</v>
      </c>
      <c r="V104" s="163" t="e">
        <f t="shared" ca="1" si="18"/>
        <v>#N/A</v>
      </c>
      <c r="W104" s="163" t="e">
        <f t="shared" ca="1" si="19"/>
        <v>#N/A</v>
      </c>
      <c r="X104" s="163" t="e">
        <f t="shared" ca="1" si="20"/>
        <v>#N/A</v>
      </c>
      <c r="Y104" s="163" t="e">
        <f t="shared" ca="1" si="21"/>
        <v>#N/A</v>
      </c>
    </row>
    <row r="105" spans="12:25" ht="14.4">
      <c r="L105" s="464"/>
      <c r="M105" s="129" t="e">
        <f t="shared" si="22"/>
        <v>#N/A</v>
      </c>
      <c r="N105" s="161">
        <f t="shared" si="16"/>
        <v>13</v>
      </c>
      <c r="O105" s="160" t="e">
        <f t="shared" ref="O105:O168" ca="1" si="23">IF($M105="end",0,OFFSET($A$1,$M105-1,O$29,1,1))</f>
        <v>#N/A</v>
      </c>
      <c r="P105" s="160" t="e">
        <f t="shared" ca="1" si="17"/>
        <v>#N/A</v>
      </c>
      <c r="Q105" s="160" t="e">
        <f t="shared" ca="1" si="17"/>
        <v>#N/A</v>
      </c>
      <c r="R105" s="160" t="e">
        <f t="shared" ca="1" si="14"/>
        <v>#N/A</v>
      </c>
      <c r="S105" s="160" t="e">
        <f t="shared" ca="1" si="14"/>
        <v>#N/A</v>
      </c>
      <c r="T105" s="160" t="e">
        <f t="shared" ca="1" si="14"/>
        <v>#N/A</v>
      </c>
      <c r="U105" s="160" t="e">
        <f t="shared" ca="1" si="14"/>
        <v>#N/A</v>
      </c>
      <c r="V105" s="163" t="e">
        <f t="shared" ca="1" si="18"/>
        <v>#N/A</v>
      </c>
      <c r="W105" s="163" t="e">
        <f t="shared" ca="1" si="19"/>
        <v>#N/A</v>
      </c>
      <c r="X105" s="163" t="e">
        <f t="shared" ca="1" si="20"/>
        <v>#N/A</v>
      </c>
      <c r="Y105" s="163" t="e">
        <f t="shared" ca="1" si="21"/>
        <v>#N/A</v>
      </c>
    </row>
    <row r="106" spans="12:25" ht="14.4">
      <c r="L106" s="464"/>
      <c r="M106" s="129" t="e">
        <f t="shared" si="22"/>
        <v>#N/A</v>
      </c>
      <c r="N106" s="161">
        <f t="shared" si="16"/>
        <v>13</v>
      </c>
      <c r="O106" s="160" t="e">
        <f t="shared" ca="1" si="23"/>
        <v>#N/A</v>
      </c>
      <c r="P106" s="160" t="e">
        <f t="shared" ref="P106:Q113" ca="1" si="24">IF($M106="end",0,OFFSET($A$1,$M106-1,P$29,1,1))</f>
        <v>#N/A</v>
      </c>
      <c r="Q106" s="160" t="e">
        <f t="shared" ca="1" si="24"/>
        <v>#N/A</v>
      </c>
      <c r="R106" s="160" t="e">
        <f t="shared" ca="1" si="14"/>
        <v>#N/A</v>
      </c>
      <c r="S106" s="160" t="e">
        <f t="shared" ca="1" si="14"/>
        <v>#N/A</v>
      </c>
      <c r="T106" s="160" t="e">
        <f t="shared" ca="1" si="14"/>
        <v>#N/A</v>
      </c>
      <c r="U106" s="160" t="e">
        <f t="shared" ca="1" si="14"/>
        <v>#N/A</v>
      </c>
      <c r="V106" s="163" t="e">
        <f t="shared" ca="1" si="18"/>
        <v>#N/A</v>
      </c>
      <c r="W106" s="163" t="e">
        <f t="shared" ca="1" si="19"/>
        <v>#N/A</v>
      </c>
      <c r="X106" s="163" t="e">
        <f t="shared" ca="1" si="20"/>
        <v>#N/A</v>
      </c>
      <c r="Y106" s="163" t="e">
        <f t="shared" ca="1" si="21"/>
        <v>#N/A</v>
      </c>
    </row>
    <row r="107" spans="12:25" ht="14.4">
      <c r="L107" s="464"/>
      <c r="M107" s="129" t="e">
        <f t="shared" si="22"/>
        <v>#N/A</v>
      </c>
      <c r="N107" s="161">
        <f t="shared" si="16"/>
        <v>13</v>
      </c>
      <c r="O107" s="160" t="e">
        <f t="shared" ca="1" si="23"/>
        <v>#N/A</v>
      </c>
      <c r="P107" s="160" t="e">
        <f t="shared" ca="1" si="24"/>
        <v>#N/A</v>
      </c>
      <c r="Q107" s="160" t="e">
        <f t="shared" ca="1" si="24"/>
        <v>#N/A</v>
      </c>
      <c r="R107" s="160" t="e">
        <f t="shared" ca="1" si="14"/>
        <v>#N/A</v>
      </c>
      <c r="S107" s="160" t="e">
        <f t="shared" ca="1" si="14"/>
        <v>#N/A</v>
      </c>
      <c r="T107" s="160" t="e">
        <f t="shared" ca="1" si="14"/>
        <v>#N/A</v>
      </c>
      <c r="U107" s="160" t="e">
        <f t="shared" ca="1" si="14"/>
        <v>#N/A</v>
      </c>
      <c r="V107" s="163" t="e">
        <f t="shared" ca="1" si="18"/>
        <v>#N/A</v>
      </c>
      <c r="W107" s="163" t="e">
        <f t="shared" ca="1" si="19"/>
        <v>#N/A</v>
      </c>
      <c r="X107" s="163" t="e">
        <f t="shared" ca="1" si="20"/>
        <v>#N/A</v>
      </c>
      <c r="Y107" s="163" t="e">
        <f t="shared" ca="1" si="21"/>
        <v>#N/A</v>
      </c>
    </row>
    <row r="108" spans="12:25" ht="14.4">
      <c r="L108" s="464"/>
      <c r="M108" s="129" t="e">
        <f t="shared" si="22"/>
        <v>#N/A</v>
      </c>
      <c r="N108" s="161">
        <f t="shared" si="16"/>
        <v>13</v>
      </c>
      <c r="O108" s="160" t="e">
        <f t="shared" ca="1" si="23"/>
        <v>#N/A</v>
      </c>
      <c r="P108" s="160" t="e">
        <f t="shared" ca="1" si="24"/>
        <v>#N/A</v>
      </c>
      <c r="Q108" s="160" t="e">
        <f t="shared" ca="1" si="24"/>
        <v>#N/A</v>
      </c>
      <c r="R108" s="160" t="e">
        <f t="shared" ca="1" si="14"/>
        <v>#N/A</v>
      </c>
      <c r="S108" s="160" t="e">
        <f t="shared" ca="1" si="14"/>
        <v>#N/A</v>
      </c>
      <c r="T108" s="160" t="e">
        <f t="shared" ca="1" si="14"/>
        <v>#N/A</v>
      </c>
      <c r="U108" s="160" t="e">
        <f t="shared" ca="1" si="14"/>
        <v>#N/A</v>
      </c>
      <c r="V108" s="163" t="e">
        <f t="shared" ca="1" si="18"/>
        <v>#N/A</v>
      </c>
      <c r="W108" s="163" t="e">
        <f t="shared" ca="1" si="19"/>
        <v>#N/A</v>
      </c>
      <c r="X108" s="163" t="e">
        <f t="shared" ca="1" si="20"/>
        <v>#N/A</v>
      </c>
      <c r="Y108" s="163" t="e">
        <f t="shared" ca="1" si="21"/>
        <v>#N/A</v>
      </c>
    </row>
    <row r="109" spans="12:25" ht="14.4">
      <c r="L109" s="464"/>
      <c r="M109" s="129" t="e">
        <f t="shared" si="22"/>
        <v>#N/A</v>
      </c>
      <c r="N109" s="161">
        <f t="shared" si="16"/>
        <v>13</v>
      </c>
      <c r="O109" s="160" t="e">
        <f t="shared" ca="1" si="23"/>
        <v>#N/A</v>
      </c>
      <c r="P109" s="160" t="e">
        <f t="shared" ca="1" si="24"/>
        <v>#N/A</v>
      </c>
      <c r="Q109" s="160" t="e">
        <f t="shared" ca="1" si="24"/>
        <v>#N/A</v>
      </c>
      <c r="R109" s="160" t="e">
        <f t="shared" ca="1" si="14"/>
        <v>#N/A</v>
      </c>
      <c r="S109" s="160" t="e">
        <f t="shared" ca="1" si="14"/>
        <v>#N/A</v>
      </c>
      <c r="T109" s="160" t="e">
        <f t="shared" ca="1" si="14"/>
        <v>#N/A</v>
      </c>
      <c r="U109" s="160" t="e">
        <f t="shared" ref="U109:U172" ca="1" si="25">IF($M109="end",0,OFFSET($A$1,$M109-1,U$29,1,1))</f>
        <v>#N/A</v>
      </c>
      <c r="V109" s="163" t="e">
        <f t="shared" ca="1" si="18"/>
        <v>#N/A</v>
      </c>
      <c r="W109" s="163" t="e">
        <f t="shared" ca="1" si="19"/>
        <v>#N/A</v>
      </c>
      <c r="X109" s="163" t="e">
        <f t="shared" ca="1" si="20"/>
        <v>#N/A</v>
      </c>
      <c r="Y109" s="163" t="e">
        <f t="shared" ca="1" si="21"/>
        <v>#N/A</v>
      </c>
    </row>
    <row r="110" spans="12:25" ht="14.4">
      <c r="L110" s="464"/>
      <c r="M110" s="129" t="e">
        <f t="shared" si="22"/>
        <v>#N/A</v>
      </c>
      <c r="N110" s="161">
        <f t="shared" si="16"/>
        <v>13</v>
      </c>
      <c r="O110" s="160" t="e">
        <f t="shared" ca="1" si="23"/>
        <v>#N/A</v>
      </c>
      <c r="P110" s="160" t="e">
        <f t="shared" ca="1" si="24"/>
        <v>#N/A</v>
      </c>
      <c r="Q110" s="160" t="e">
        <f t="shared" ca="1" si="24"/>
        <v>#N/A</v>
      </c>
      <c r="R110" s="160" t="e">
        <f t="shared" ref="R110:T113" ca="1" si="26">IF($M110="end",0,OFFSET($A$1,$M110-1,R$29,1,1))</f>
        <v>#N/A</v>
      </c>
      <c r="S110" s="160" t="e">
        <f t="shared" ca="1" si="26"/>
        <v>#N/A</v>
      </c>
      <c r="T110" s="160" t="e">
        <f t="shared" ca="1" si="26"/>
        <v>#N/A</v>
      </c>
      <c r="U110" s="160" t="e">
        <f t="shared" ca="1" si="25"/>
        <v>#N/A</v>
      </c>
      <c r="V110" s="163" t="e">
        <f t="shared" ca="1" si="18"/>
        <v>#N/A</v>
      </c>
      <c r="W110" s="163" t="e">
        <f t="shared" ca="1" si="19"/>
        <v>#N/A</v>
      </c>
      <c r="X110" s="163" t="e">
        <f t="shared" ca="1" si="20"/>
        <v>#N/A</v>
      </c>
      <c r="Y110" s="163" t="e">
        <f t="shared" ca="1" si="21"/>
        <v>#N/A</v>
      </c>
    </row>
    <row r="111" spans="12:25" ht="14.4">
      <c r="L111" s="464"/>
      <c r="M111" s="129" t="e">
        <f t="shared" si="22"/>
        <v>#N/A</v>
      </c>
      <c r="N111" s="161">
        <f t="shared" si="16"/>
        <v>13</v>
      </c>
      <c r="O111" s="160" t="e">
        <f t="shared" ca="1" si="23"/>
        <v>#N/A</v>
      </c>
      <c r="P111" s="160" t="e">
        <f t="shared" ca="1" si="24"/>
        <v>#N/A</v>
      </c>
      <c r="Q111" s="160" t="e">
        <f t="shared" ca="1" si="24"/>
        <v>#N/A</v>
      </c>
      <c r="R111" s="160" t="e">
        <f t="shared" ca="1" si="26"/>
        <v>#N/A</v>
      </c>
      <c r="S111" s="160" t="e">
        <f t="shared" ca="1" si="26"/>
        <v>#N/A</v>
      </c>
      <c r="T111" s="160" t="e">
        <f t="shared" ca="1" si="26"/>
        <v>#N/A</v>
      </c>
      <c r="U111" s="160" t="e">
        <f t="shared" ca="1" si="25"/>
        <v>#N/A</v>
      </c>
      <c r="V111" s="163" t="e">
        <f t="shared" ca="1" si="18"/>
        <v>#N/A</v>
      </c>
      <c r="W111" s="163" t="e">
        <f t="shared" ca="1" si="19"/>
        <v>#N/A</v>
      </c>
      <c r="X111" s="163" t="e">
        <f t="shared" ca="1" si="20"/>
        <v>#N/A</v>
      </c>
      <c r="Y111" s="163" t="e">
        <f t="shared" ca="1" si="21"/>
        <v>#N/A</v>
      </c>
    </row>
    <row r="112" spans="12:25" ht="14.4">
      <c r="L112" s="464"/>
      <c r="M112" s="129" t="e">
        <f t="shared" si="22"/>
        <v>#N/A</v>
      </c>
      <c r="N112" s="161">
        <f t="shared" si="16"/>
        <v>13</v>
      </c>
      <c r="O112" s="160" t="e">
        <f t="shared" ca="1" si="23"/>
        <v>#N/A</v>
      </c>
      <c r="P112" s="160" t="e">
        <f t="shared" ca="1" si="24"/>
        <v>#N/A</v>
      </c>
      <c r="Q112" s="160" t="e">
        <f t="shared" ca="1" si="24"/>
        <v>#N/A</v>
      </c>
      <c r="R112" s="160" t="e">
        <f t="shared" ca="1" si="26"/>
        <v>#N/A</v>
      </c>
      <c r="S112" s="160" t="e">
        <f t="shared" ca="1" si="26"/>
        <v>#N/A</v>
      </c>
      <c r="T112" s="160" t="e">
        <f t="shared" ca="1" si="26"/>
        <v>#N/A</v>
      </c>
      <c r="U112" s="160" t="e">
        <f t="shared" ca="1" si="25"/>
        <v>#N/A</v>
      </c>
      <c r="V112" s="163" t="e">
        <f t="shared" ca="1" si="18"/>
        <v>#N/A</v>
      </c>
      <c r="W112" s="163" t="e">
        <f t="shared" ca="1" si="19"/>
        <v>#N/A</v>
      </c>
      <c r="X112" s="163" t="e">
        <f t="shared" ca="1" si="20"/>
        <v>#N/A</v>
      </c>
      <c r="Y112" s="163" t="e">
        <f t="shared" ca="1" si="21"/>
        <v>#N/A</v>
      </c>
    </row>
    <row r="113" spans="12:25" ht="14.4">
      <c r="L113" s="464"/>
      <c r="M113" s="129" t="e">
        <f t="shared" si="22"/>
        <v>#N/A</v>
      </c>
      <c r="N113" s="161">
        <f t="shared" si="16"/>
        <v>13</v>
      </c>
      <c r="O113" s="160" t="e">
        <f t="shared" ca="1" si="23"/>
        <v>#N/A</v>
      </c>
      <c r="P113" s="160" t="e">
        <f t="shared" ca="1" si="24"/>
        <v>#N/A</v>
      </c>
      <c r="Q113" s="160" t="e">
        <f t="shared" ca="1" si="24"/>
        <v>#N/A</v>
      </c>
      <c r="R113" s="160" t="e">
        <f t="shared" ca="1" si="26"/>
        <v>#N/A</v>
      </c>
      <c r="S113" s="160" t="e">
        <f t="shared" ca="1" si="26"/>
        <v>#N/A</v>
      </c>
      <c r="T113" s="160" t="e">
        <f t="shared" ca="1" si="26"/>
        <v>#N/A</v>
      </c>
      <c r="U113" s="160" t="e">
        <f t="shared" ca="1" si="25"/>
        <v>#N/A</v>
      </c>
      <c r="V113" s="163" t="e">
        <f t="shared" ca="1" si="18"/>
        <v>#N/A</v>
      </c>
      <c r="W113" s="163" t="e">
        <f t="shared" ca="1" si="19"/>
        <v>#N/A</v>
      </c>
      <c r="X113" s="163" t="e">
        <f t="shared" ca="1" si="20"/>
        <v>#N/A</v>
      </c>
      <c r="Y113" s="163" t="e">
        <f t="shared" ca="1" si="21"/>
        <v>#N/A</v>
      </c>
    </row>
    <row r="114" spans="12:25" ht="14.4">
      <c r="L114" s="464"/>
      <c r="M114" s="129" t="e">
        <f t="shared" si="22"/>
        <v>#N/A</v>
      </c>
      <c r="N114" s="161">
        <f t="shared" si="16"/>
        <v>13</v>
      </c>
      <c r="O114" s="160" t="e">
        <f t="shared" ca="1" si="23"/>
        <v>#N/A</v>
      </c>
      <c r="P114" s="160" t="e">
        <f t="shared" ref="P114:P177" ca="1" si="27">IF($M114="end",0,OFFSET($A$1,$M114-1,P$29,1,1))</f>
        <v>#N/A</v>
      </c>
      <c r="Q114" s="160" t="e">
        <f t="shared" ref="Q114:T177" ca="1" si="28">IF($M114="end",0,OFFSET($A$1,$M114-1,Q$29,1,1))</f>
        <v>#N/A</v>
      </c>
      <c r="R114" s="160" t="e">
        <f t="shared" ca="1" si="28"/>
        <v>#N/A</v>
      </c>
      <c r="S114" s="160" t="e">
        <f t="shared" ca="1" si="28"/>
        <v>#N/A</v>
      </c>
      <c r="T114" s="160" t="e">
        <f t="shared" ca="1" si="28"/>
        <v>#N/A</v>
      </c>
      <c r="U114" s="160" t="e">
        <f t="shared" ca="1" si="25"/>
        <v>#N/A</v>
      </c>
      <c r="V114" s="163" t="e">
        <f t="shared" ca="1" si="18"/>
        <v>#N/A</v>
      </c>
      <c r="W114" s="163" t="e">
        <f t="shared" ca="1" si="19"/>
        <v>#N/A</v>
      </c>
      <c r="X114" s="163" t="e">
        <f t="shared" ca="1" si="20"/>
        <v>#N/A</v>
      </c>
      <c r="Y114" s="163" t="e">
        <f t="shared" ca="1" si="21"/>
        <v>#N/A</v>
      </c>
    </row>
    <row r="115" spans="12:25" ht="14.4">
      <c r="L115" s="464"/>
      <c r="M115" s="129" t="e">
        <f t="shared" si="22"/>
        <v>#N/A</v>
      </c>
      <c r="N115" s="161">
        <f t="shared" si="16"/>
        <v>13</v>
      </c>
      <c r="O115" s="160" t="e">
        <f t="shared" ca="1" si="23"/>
        <v>#N/A</v>
      </c>
      <c r="P115" s="160" t="e">
        <f t="shared" ca="1" si="27"/>
        <v>#N/A</v>
      </c>
      <c r="Q115" s="160" t="e">
        <f t="shared" ca="1" si="28"/>
        <v>#N/A</v>
      </c>
      <c r="R115" s="160" t="e">
        <f t="shared" ca="1" si="28"/>
        <v>#N/A</v>
      </c>
      <c r="S115" s="160" t="e">
        <f t="shared" ca="1" si="28"/>
        <v>#N/A</v>
      </c>
      <c r="T115" s="160" t="e">
        <f t="shared" ca="1" si="28"/>
        <v>#N/A</v>
      </c>
      <c r="U115" s="160" t="e">
        <f t="shared" ca="1" si="25"/>
        <v>#N/A</v>
      </c>
      <c r="V115" s="163" t="e">
        <f t="shared" ca="1" si="18"/>
        <v>#N/A</v>
      </c>
      <c r="W115" s="163" t="e">
        <f t="shared" ca="1" si="19"/>
        <v>#N/A</v>
      </c>
      <c r="X115" s="163" t="e">
        <f t="shared" ca="1" si="20"/>
        <v>#N/A</v>
      </c>
      <c r="Y115" s="163" t="e">
        <f t="shared" ca="1" si="21"/>
        <v>#N/A</v>
      </c>
    </row>
    <row r="116" spans="12:25" ht="14.4">
      <c r="L116" s="464"/>
      <c r="M116" s="129" t="e">
        <f t="shared" si="22"/>
        <v>#N/A</v>
      </c>
      <c r="N116" s="161">
        <f t="shared" si="16"/>
        <v>13</v>
      </c>
      <c r="O116" s="160" t="e">
        <f t="shared" ca="1" si="23"/>
        <v>#N/A</v>
      </c>
      <c r="P116" s="160" t="e">
        <f t="shared" ca="1" si="27"/>
        <v>#N/A</v>
      </c>
      <c r="Q116" s="160" t="e">
        <f t="shared" ca="1" si="28"/>
        <v>#N/A</v>
      </c>
      <c r="R116" s="160" t="e">
        <f t="shared" ca="1" si="28"/>
        <v>#N/A</v>
      </c>
      <c r="S116" s="160" t="e">
        <f t="shared" ca="1" si="28"/>
        <v>#N/A</v>
      </c>
      <c r="T116" s="160" t="e">
        <f t="shared" ca="1" si="28"/>
        <v>#N/A</v>
      </c>
      <c r="U116" s="160" t="e">
        <f t="shared" ca="1" si="25"/>
        <v>#N/A</v>
      </c>
      <c r="V116" s="163" t="e">
        <f t="shared" ca="1" si="18"/>
        <v>#N/A</v>
      </c>
      <c r="W116" s="163" t="e">
        <f t="shared" ca="1" si="19"/>
        <v>#N/A</v>
      </c>
      <c r="X116" s="163" t="e">
        <f t="shared" ca="1" si="20"/>
        <v>#N/A</v>
      </c>
      <c r="Y116" s="163" t="e">
        <f t="shared" ca="1" si="21"/>
        <v>#N/A</v>
      </c>
    </row>
    <row r="117" spans="12:25" ht="14.4">
      <c r="L117" s="464"/>
      <c r="M117" s="129" t="e">
        <f t="shared" si="22"/>
        <v>#N/A</v>
      </c>
      <c r="N117" s="161">
        <f t="shared" si="16"/>
        <v>13</v>
      </c>
      <c r="O117" s="160" t="e">
        <f t="shared" ca="1" si="23"/>
        <v>#N/A</v>
      </c>
      <c r="P117" s="160" t="e">
        <f t="shared" ca="1" si="27"/>
        <v>#N/A</v>
      </c>
      <c r="Q117" s="160" t="e">
        <f t="shared" ca="1" si="28"/>
        <v>#N/A</v>
      </c>
      <c r="R117" s="160" t="e">
        <f t="shared" ca="1" si="28"/>
        <v>#N/A</v>
      </c>
      <c r="S117" s="160" t="e">
        <f t="shared" ca="1" si="28"/>
        <v>#N/A</v>
      </c>
      <c r="T117" s="160" t="e">
        <f t="shared" ca="1" si="28"/>
        <v>#N/A</v>
      </c>
      <c r="U117" s="160" t="e">
        <f t="shared" ca="1" si="25"/>
        <v>#N/A</v>
      </c>
      <c r="V117" s="163" t="e">
        <f t="shared" ca="1" si="18"/>
        <v>#N/A</v>
      </c>
      <c r="W117" s="163" t="e">
        <f t="shared" ca="1" si="19"/>
        <v>#N/A</v>
      </c>
      <c r="X117" s="163" t="e">
        <f t="shared" ca="1" si="20"/>
        <v>#N/A</v>
      </c>
      <c r="Y117" s="163" t="e">
        <f t="shared" ca="1" si="21"/>
        <v>#N/A</v>
      </c>
    </row>
    <row r="118" spans="12:25" ht="14.4">
      <c r="L118" s="464"/>
      <c r="M118" s="129" t="e">
        <f t="shared" si="22"/>
        <v>#N/A</v>
      </c>
      <c r="N118" s="161">
        <f t="shared" si="16"/>
        <v>13</v>
      </c>
      <c r="O118" s="160" t="e">
        <f t="shared" ca="1" si="23"/>
        <v>#N/A</v>
      </c>
      <c r="P118" s="160" t="e">
        <f t="shared" ca="1" si="27"/>
        <v>#N/A</v>
      </c>
      <c r="Q118" s="160" t="e">
        <f t="shared" ca="1" si="28"/>
        <v>#N/A</v>
      </c>
      <c r="R118" s="160" t="e">
        <f t="shared" ca="1" si="28"/>
        <v>#N/A</v>
      </c>
      <c r="S118" s="160" t="e">
        <f t="shared" ca="1" si="28"/>
        <v>#N/A</v>
      </c>
      <c r="T118" s="160" t="e">
        <f t="shared" ca="1" si="28"/>
        <v>#N/A</v>
      </c>
      <c r="U118" s="160" t="e">
        <f t="shared" ca="1" si="25"/>
        <v>#N/A</v>
      </c>
      <c r="V118" s="163" t="e">
        <f t="shared" ca="1" si="18"/>
        <v>#N/A</v>
      </c>
      <c r="W118" s="163" t="e">
        <f t="shared" ca="1" si="19"/>
        <v>#N/A</v>
      </c>
      <c r="X118" s="163" t="e">
        <f t="shared" ca="1" si="20"/>
        <v>#N/A</v>
      </c>
      <c r="Y118" s="163" t="e">
        <f t="shared" ca="1" si="21"/>
        <v>#N/A</v>
      </c>
    </row>
    <row r="119" spans="12:25" ht="14.4">
      <c r="L119" s="464"/>
      <c r="M119" s="129" t="e">
        <f t="shared" si="22"/>
        <v>#N/A</v>
      </c>
      <c r="N119" s="161">
        <f t="shared" si="16"/>
        <v>13</v>
      </c>
      <c r="O119" s="160" t="e">
        <f t="shared" ca="1" si="23"/>
        <v>#N/A</v>
      </c>
      <c r="P119" s="160" t="e">
        <f t="shared" ca="1" si="27"/>
        <v>#N/A</v>
      </c>
      <c r="Q119" s="160" t="e">
        <f t="shared" ca="1" si="28"/>
        <v>#N/A</v>
      </c>
      <c r="R119" s="160" t="e">
        <f t="shared" ca="1" si="28"/>
        <v>#N/A</v>
      </c>
      <c r="S119" s="160" t="e">
        <f t="shared" ca="1" si="28"/>
        <v>#N/A</v>
      </c>
      <c r="T119" s="160" t="e">
        <f t="shared" ca="1" si="28"/>
        <v>#N/A</v>
      </c>
      <c r="U119" s="160" t="e">
        <f t="shared" ca="1" si="25"/>
        <v>#N/A</v>
      </c>
      <c r="V119" s="163" t="e">
        <f t="shared" ca="1" si="18"/>
        <v>#N/A</v>
      </c>
      <c r="W119" s="163" t="e">
        <f t="shared" ca="1" si="19"/>
        <v>#N/A</v>
      </c>
      <c r="X119" s="163" t="e">
        <f t="shared" ca="1" si="20"/>
        <v>#N/A</v>
      </c>
      <c r="Y119" s="163" t="e">
        <f t="shared" ca="1" si="21"/>
        <v>#N/A</v>
      </c>
    </row>
    <row r="120" spans="12:25" ht="14.4">
      <c r="L120" s="464"/>
      <c r="M120" s="129" t="e">
        <f t="shared" si="22"/>
        <v>#N/A</v>
      </c>
      <c r="N120" s="161">
        <f t="shared" si="16"/>
        <v>13</v>
      </c>
      <c r="O120" s="160" t="e">
        <f t="shared" ca="1" si="23"/>
        <v>#N/A</v>
      </c>
      <c r="P120" s="160" t="e">
        <f t="shared" ca="1" si="27"/>
        <v>#N/A</v>
      </c>
      <c r="Q120" s="160" t="e">
        <f t="shared" ca="1" si="28"/>
        <v>#N/A</v>
      </c>
      <c r="R120" s="160" t="e">
        <f t="shared" ca="1" si="28"/>
        <v>#N/A</v>
      </c>
      <c r="S120" s="160" t="e">
        <f t="shared" ca="1" si="28"/>
        <v>#N/A</v>
      </c>
      <c r="T120" s="160" t="e">
        <f t="shared" ca="1" si="28"/>
        <v>#N/A</v>
      </c>
      <c r="U120" s="160" t="e">
        <f t="shared" ca="1" si="25"/>
        <v>#N/A</v>
      </c>
      <c r="V120" s="163" t="e">
        <f t="shared" ca="1" si="18"/>
        <v>#N/A</v>
      </c>
      <c r="W120" s="163" t="e">
        <f t="shared" ca="1" si="19"/>
        <v>#N/A</v>
      </c>
      <c r="X120" s="163" t="e">
        <f t="shared" ca="1" si="20"/>
        <v>#N/A</v>
      </c>
      <c r="Y120" s="163" t="e">
        <f t="shared" ca="1" si="21"/>
        <v>#N/A</v>
      </c>
    </row>
    <row r="121" spans="12:25" ht="14.4">
      <c r="L121" s="464"/>
      <c r="M121" s="129" t="e">
        <f t="shared" si="22"/>
        <v>#N/A</v>
      </c>
      <c r="N121" s="161">
        <f t="shared" si="16"/>
        <v>13</v>
      </c>
      <c r="O121" s="160" t="e">
        <f t="shared" ca="1" si="23"/>
        <v>#N/A</v>
      </c>
      <c r="P121" s="160" t="e">
        <f t="shared" ca="1" si="27"/>
        <v>#N/A</v>
      </c>
      <c r="Q121" s="160" t="e">
        <f t="shared" ca="1" si="28"/>
        <v>#N/A</v>
      </c>
      <c r="R121" s="160" t="e">
        <f t="shared" ca="1" si="28"/>
        <v>#N/A</v>
      </c>
      <c r="S121" s="160" t="e">
        <f t="shared" ca="1" si="28"/>
        <v>#N/A</v>
      </c>
      <c r="T121" s="160" t="e">
        <f t="shared" ca="1" si="28"/>
        <v>#N/A</v>
      </c>
      <c r="U121" s="160" t="e">
        <f t="shared" ca="1" si="25"/>
        <v>#N/A</v>
      </c>
      <c r="V121" s="163" t="e">
        <f t="shared" ca="1" si="18"/>
        <v>#N/A</v>
      </c>
      <c r="W121" s="163" t="e">
        <f t="shared" ca="1" si="19"/>
        <v>#N/A</v>
      </c>
      <c r="X121" s="163" t="e">
        <f t="shared" ca="1" si="20"/>
        <v>#N/A</v>
      </c>
      <c r="Y121" s="163" t="e">
        <f t="shared" ca="1" si="21"/>
        <v>#N/A</v>
      </c>
    </row>
    <row r="122" spans="12:25" ht="14.4">
      <c r="L122" s="464"/>
      <c r="M122" s="129" t="e">
        <f t="shared" si="22"/>
        <v>#N/A</v>
      </c>
      <c r="N122" s="161">
        <f t="shared" si="16"/>
        <v>13</v>
      </c>
      <c r="O122" s="160" t="e">
        <f t="shared" ca="1" si="23"/>
        <v>#N/A</v>
      </c>
      <c r="P122" s="160" t="e">
        <f t="shared" ca="1" si="27"/>
        <v>#N/A</v>
      </c>
      <c r="Q122" s="160" t="e">
        <f t="shared" ca="1" si="28"/>
        <v>#N/A</v>
      </c>
      <c r="R122" s="160" t="e">
        <f t="shared" ca="1" si="28"/>
        <v>#N/A</v>
      </c>
      <c r="S122" s="160" t="e">
        <f t="shared" ca="1" si="28"/>
        <v>#N/A</v>
      </c>
      <c r="T122" s="160" t="e">
        <f t="shared" ca="1" si="28"/>
        <v>#N/A</v>
      </c>
      <c r="U122" s="160" t="e">
        <f t="shared" ca="1" si="25"/>
        <v>#N/A</v>
      </c>
      <c r="V122" s="163" t="e">
        <f t="shared" ca="1" si="18"/>
        <v>#N/A</v>
      </c>
      <c r="W122" s="163" t="e">
        <f t="shared" ca="1" si="19"/>
        <v>#N/A</v>
      </c>
      <c r="X122" s="163" t="e">
        <f t="shared" ca="1" si="20"/>
        <v>#N/A</v>
      </c>
      <c r="Y122" s="163" t="e">
        <f t="shared" ca="1" si="21"/>
        <v>#N/A</v>
      </c>
    </row>
    <row r="123" spans="12:25" ht="14.4">
      <c r="L123" s="464"/>
      <c r="M123" s="129" t="e">
        <f t="shared" si="22"/>
        <v>#N/A</v>
      </c>
      <c r="N123" s="161">
        <f t="shared" si="16"/>
        <v>13</v>
      </c>
      <c r="O123" s="160" t="e">
        <f t="shared" ca="1" si="23"/>
        <v>#N/A</v>
      </c>
      <c r="P123" s="160" t="e">
        <f t="shared" ca="1" si="27"/>
        <v>#N/A</v>
      </c>
      <c r="Q123" s="160" t="e">
        <f t="shared" ca="1" si="28"/>
        <v>#N/A</v>
      </c>
      <c r="R123" s="160" t="e">
        <f t="shared" ca="1" si="28"/>
        <v>#N/A</v>
      </c>
      <c r="S123" s="160" t="e">
        <f t="shared" ca="1" si="28"/>
        <v>#N/A</v>
      </c>
      <c r="T123" s="160" t="e">
        <f t="shared" ca="1" si="28"/>
        <v>#N/A</v>
      </c>
      <c r="U123" s="160" t="e">
        <f t="shared" ca="1" si="25"/>
        <v>#N/A</v>
      </c>
      <c r="V123" s="163" t="e">
        <f t="shared" ca="1" si="18"/>
        <v>#N/A</v>
      </c>
      <c r="W123" s="163" t="e">
        <f t="shared" ca="1" si="19"/>
        <v>#N/A</v>
      </c>
      <c r="X123" s="163" t="e">
        <f t="shared" ca="1" si="20"/>
        <v>#N/A</v>
      </c>
      <c r="Y123" s="163" t="e">
        <f t="shared" ca="1" si="21"/>
        <v>#N/A</v>
      </c>
    </row>
    <row r="124" spans="12:25" ht="14.4">
      <c r="L124" s="464"/>
      <c r="M124" s="129" t="e">
        <f t="shared" si="22"/>
        <v>#N/A</v>
      </c>
      <c r="N124" s="161">
        <f t="shared" si="16"/>
        <v>13</v>
      </c>
      <c r="O124" s="160" t="e">
        <f t="shared" ca="1" si="23"/>
        <v>#N/A</v>
      </c>
      <c r="P124" s="160" t="e">
        <f t="shared" ca="1" si="27"/>
        <v>#N/A</v>
      </c>
      <c r="Q124" s="160" t="e">
        <f t="shared" ca="1" si="28"/>
        <v>#N/A</v>
      </c>
      <c r="R124" s="160" t="e">
        <f t="shared" ca="1" si="28"/>
        <v>#N/A</v>
      </c>
      <c r="S124" s="160" t="e">
        <f t="shared" ca="1" si="28"/>
        <v>#N/A</v>
      </c>
      <c r="T124" s="160" t="e">
        <f t="shared" ca="1" si="28"/>
        <v>#N/A</v>
      </c>
      <c r="U124" s="160" t="e">
        <f t="shared" ca="1" si="25"/>
        <v>#N/A</v>
      </c>
      <c r="V124" s="163" t="e">
        <f t="shared" ca="1" si="18"/>
        <v>#N/A</v>
      </c>
      <c r="W124" s="163" t="e">
        <f t="shared" ca="1" si="19"/>
        <v>#N/A</v>
      </c>
      <c r="X124" s="163" t="e">
        <f t="shared" ca="1" si="20"/>
        <v>#N/A</v>
      </c>
      <c r="Y124" s="163" t="e">
        <f t="shared" ca="1" si="21"/>
        <v>#N/A</v>
      </c>
    </row>
    <row r="125" spans="12:25" ht="14.4">
      <c r="L125" s="464"/>
      <c r="M125" s="129" t="e">
        <f t="shared" si="22"/>
        <v>#N/A</v>
      </c>
      <c r="N125" s="161">
        <f t="shared" si="16"/>
        <v>13</v>
      </c>
      <c r="O125" s="160" t="e">
        <f t="shared" ca="1" si="23"/>
        <v>#N/A</v>
      </c>
      <c r="P125" s="160" t="e">
        <f t="shared" ca="1" si="27"/>
        <v>#N/A</v>
      </c>
      <c r="Q125" s="160" t="e">
        <f t="shared" ca="1" si="28"/>
        <v>#N/A</v>
      </c>
      <c r="R125" s="160" t="e">
        <f t="shared" ca="1" si="28"/>
        <v>#N/A</v>
      </c>
      <c r="S125" s="160" t="e">
        <f t="shared" ca="1" si="28"/>
        <v>#N/A</v>
      </c>
      <c r="T125" s="160" t="e">
        <f t="shared" ca="1" si="28"/>
        <v>#N/A</v>
      </c>
      <c r="U125" s="160" t="e">
        <f t="shared" ca="1" si="25"/>
        <v>#N/A</v>
      </c>
      <c r="V125" s="163" t="e">
        <f t="shared" ca="1" si="18"/>
        <v>#N/A</v>
      </c>
      <c r="W125" s="163" t="e">
        <f t="shared" ca="1" si="19"/>
        <v>#N/A</v>
      </c>
      <c r="X125" s="163" t="e">
        <f t="shared" ca="1" si="20"/>
        <v>#N/A</v>
      </c>
      <c r="Y125" s="163" t="e">
        <f t="shared" ca="1" si="21"/>
        <v>#N/A</v>
      </c>
    </row>
    <row r="126" spans="12:25" ht="14.4">
      <c r="L126" s="464"/>
      <c r="M126" s="129" t="e">
        <f t="shared" si="22"/>
        <v>#N/A</v>
      </c>
      <c r="N126" s="161">
        <f t="shared" si="16"/>
        <v>13</v>
      </c>
      <c r="O126" s="160" t="e">
        <f t="shared" ca="1" si="23"/>
        <v>#N/A</v>
      </c>
      <c r="P126" s="160" t="e">
        <f t="shared" ca="1" si="27"/>
        <v>#N/A</v>
      </c>
      <c r="Q126" s="160" t="e">
        <f t="shared" ca="1" si="28"/>
        <v>#N/A</v>
      </c>
      <c r="R126" s="160" t="e">
        <f t="shared" ca="1" si="28"/>
        <v>#N/A</v>
      </c>
      <c r="S126" s="160" t="e">
        <f t="shared" ca="1" si="28"/>
        <v>#N/A</v>
      </c>
      <c r="T126" s="160" t="e">
        <f t="shared" ca="1" si="28"/>
        <v>#N/A</v>
      </c>
      <c r="U126" s="160" t="e">
        <f t="shared" ca="1" si="25"/>
        <v>#N/A</v>
      </c>
      <c r="V126" s="163" t="e">
        <f t="shared" ca="1" si="18"/>
        <v>#N/A</v>
      </c>
      <c r="W126" s="163" t="e">
        <f t="shared" ca="1" si="19"/>
        <v>#N/A</v>
      </c>
      <c r="X126" s="163" t="e">
        <f t="shared" ca="1" si="20"/>
        <v>#N/A</v>
      </c>
      <c r="Y126" s="163" t="e">
        <f t="shared" ca="1" si="21"/>
        <v>#N/A</v>
      </c>
    </row>
    <row r="127" spans="12:25" ht="14.4">
      <c r="L127" s="464"/>
      <c r="M127" s="129" t="e">
        <f t="shared" si="22"/>
        <v>#N/A</v>
      </c>
      <c r="N127" s="161">
        <f t="shared" si="16"/>
        <v>13</v>
      </c>
      <c r="O127" s="160" t="e">
        <f t="shared" ca="1" si="23"/>
        <v>#N/A</v>
      </c>
      <c r="P127" s="160" t="e">
        <f t="shared" ca="1" si="27"/>
        <v>#N/A</v>
      </c>
      <c r="Q127" s="160" t="e">
        <f t="shared" ca="1" si="28"/>
        <v>#N/A</v>
      </c>
      <c r="R127" s="160" t="e">
        <f t="shared" ca="1" si="28"/>
        <v>#N/A</v>
      </c>
      <c r="S127" s="160" t="e">
        <f t="shared" ca="1" si="28"/>
        <v>#N/A</v>
      </c>
      <c r="T127" s="160" t="e">
        <f t="shared" ca="1" si="28"/>
        <v>#N/A</v>
      </c>
      <c r="U127" s="160" t="e">
        <f t="shared" ca="1" si="25"/>
        <v>#N/A</v>
      </c>
      <c r="V127" s="163" t="e">
        <f t="shared" ca="1" si="18"/>
        <v>#N/A</v>
      </c>
      <c r="W127" s="163" t="e">
        <f t="shared" ca="1" si="19"/>
        <v>#N/A</v>
      </c>
      <c r="X127" s="163" t="e">
        <f t="shared" ca="1" si="20"/>
        <v>#N/A</v>
      </c>
      <c r="Y127" s="163" t="e">
        <f t="shared" ca="1" si="21"/>
        <v>#N/A</v>
      </c>
    </row>
    <row r="128" spans="12:25" ht="14.4">
      <c r="L128" s="464"/>
      <c r="M128" s="129" t="e">
        <f t="shared" si="22"/>
        <v>#N/A</v>
      </c>
      <c r="N128" s="161">
        <f t="shared" si="16"/>
        <v>13</v>
      </c>
      <c r="O128" s="160" t="e">
        <f t="shared" ca="1" si="23"/>
        <v>#N/A</v>
      </c>
      <c r="P128" s="160" t="e">
        <f t="shared" ca="1" si="27"/>
        <v>#N/A</v>
      </c>
      <c r="Q128" s="160" t="e">
        <f t="shared" ca="1" si="28"/>
        <v>#N/A</v>
      </c>
      <c r="R128" s="160" t="e">
        <f t="shared" ca="1" si="28"/>
        <v>#N/A</v>
      </c>
      <c r="S128" s="160" t="e">
        <f t="shared" ca="1" si="28"/>
        <v>#N/A</v>
      </c>
      <c r="T128" s="160" t="e">
        <f t="shared" ca="1" si="28"/>
        <v>#N/A</v>
      </c>
      <c r="U128" s="160" t="e">
        <f t="shared" ca="1" si="25"/>
        <v>#N/A</v>
      </c>
      <c r="V128" s="163" t="e">
        <f t="shared" ca="1" si="18"/>
        <v>#N/A</v>
      </c>
      <c r="W128" s="163" t="e">
        <f t="shared" ca="1" si="19"/>
        <v>#N/A</v>
      </c>
      <c r="X128" s="163" t="e">
        <f t="shared" ca="1" si="20"/>
        <v>#N/A</v>
      </c>
      <c r="Y128" s="163" t="e">
        <f t="shared" ca="1" si="21"/>
        <v>#N/A</v>
      </c>
    </row>
    <row r="129" spans="12:25" ht="14.4">
      <c r="L129" s="464"/>
      <c r="M129" s="129" t="e">
        <f t="shared" si="22"/>
        <v>#N/A</v>
      </c>
      <c r="N129" s="161">
        <f t="shared" si="16"/>
        <v>13</v>
      </c>
      <c r="O129" s="160" t="e">
        <f t="shared" ca="1" si="23"/>
        <v>#N/A</v>
      </c>
      <c r="P129" s="160" t="e">
        <f t="shared" ca="1" si="27"/>
        <v>#N/A</v>
      </c>
      <c r="Q129" s="160" t="e">
        <f t="shared" ca="1" si="28"/>
        <v>#N/A</v>
      </c>
      <c r="R129" s="160" t="e">
        <f t="shared" ca="1" si="28"/>
        <v>#N/A</v>
      </c>
      <c r="S129" s="160" t="e">
        <f t="shared" ca="1" si="28"/>
        <v>#N/A</v>
      </c>
      <c r="T129" s="160" t="e">
        <f t="shared" ca="1" si="28"/>
        <v>#N/A</v>
      </c>
      <c r="U129" s="160" t="e">
        <f t="shared" ca="1" si="25"/>
        <v>#N/A</v>
      </c>
      <c r="V129" s="163" t="e">
        <f t="shared" ca="1" si="18"/>
        <v>#N/A</v>
      </c>
      <c r="W129" s="163" t="e">
        <f t="shared" ca="1" si="19"/>
        <v>#N/A</v>
      </c>
      <c r="X129" s="163" t="e">
        <f t="shared" ca="1" si="20"/>
        <v>#N/A</v>
      </c>
      <c r="Y129" s="163" t="e">
        <f t="shared" ca="1" si="21"/>
        <v>#N/A</v>
      </c>
    </row>
    <row r="130" spans="12:25" ht="14.4">
      <c r="L130" s="464"/>
      <c r="M130" s="129" t="e">
        <f t="shared" si="22"/>
        <v>#N/A</v>
      </c>
      <c r="N130" s="161">
        <f t="shared" si="16"/>
        <v>13</v>
      </c>
      <c r="O130" s="160" t="e">
        <f t="shared" ca="1" si="23"/>
        <v>#N/A</v>
      </c>
      <c r="P130" s="160" t="e">
        <f t="shared" ca="1" si="27"/>
        <v>#N/A</v>
      </c>
      <c r="Q130" s="160" t="e">
        <f t="shared" ca="1" si="28"/>
        <v>#N/A</v>
      </c>
      <c r="R130" s="160" t="e">
        <f t="shared" ca="1" si="28"/>
        <v>#N/A</v>
      </c>
      <c r="S130" s="160" t="e">
        <f t="shared" ca="1" si="28"/>
        <v>#N/A</v>
      </c>
      <c r="T130" s="160" t="e">
        <f t="shared" ca="1" si="28"/>
        <v>#N/A</v>
      </c>
      <c r="U130" s="160" t="e">
        <f t="shared" ca="1" si="25"/>
        <v>#N/A</v>
      </c>
      <c r="V130" s="163" t="e">
        <f t="shared" ca="1" si="18"/>
        <v>#N/A</v>
      </c>
      <c r="W130" s="163" t="e">
        <f t="shared" ca="1" si="19"/>
        <v>#N/A</v>
      </c>
      <c r="X130" s="163" t="e">
        <f t="shared" ca="1" si="20"/>
        <v>#N/A</v>
      </c>
      <c r="Y130" s="163" t="e">
        <f t="shared" ca="1" si="21"/>
        <v>#N/A</v>
      </c>
    </row>
    <row r="131" spans="12:25" ht="14.4">
      <c r="L131" s="464"/>
      <c r="M131" s="129" t="e">
        <f t="shared" si="22"/>
        <v>#N/A</v>
      </c>
      <c r="N131" s="161">
        <f t="shared" si="16"/>
        <v>13</v>
      </c>
      <c r="O131" s="160" t="e">
        <f t="shared" ca="1" si="23"/>
        <v>#N/A</v>
      </c>
      <c r="P131" s="160" t="e">
        <f t="shared" ca="1" si="27"/>
        <v>#N/A</v>
      </c>
      <c r="Q131" s="160" t="e">
        <f t="shared" ca="1" si="28"/>
        <v>#N/A</v>
      </c>
      <c r="R131" s="160" t="e">
        <f t="shared" ca="1" si="28"/>
        <v>#N/A</v>
      </c>
      <c r="S131" s="160" t="e">
        <f t="shared" ca="1" si="28"/>
        <v>#N/A</v>
      </c>
      <c r="T131" s="160" t="e">
        <f t="shared" ca="1" si="28"/>
        <v>#N/A</v>
      </c>
      <c r="U131" s="160" t="e">
        <f t="shared" ca="1" si="25"/>
        <v>#N/A</v>
      </c>
      <c r="V131" s="163" t="e">
        <f t="shared" ca="1" si="18"/>
        <v>#N/A</v>
      </c>
      <c r="W131" s="163" t="e">
        <f t="shared" ca="1" si="19"/>
        <v>#N/A</v>
      </c>
      <c r="X131" s="163" t="e">
        <f t="shared" ca="1" si="20"/>
        <v>#N/A</v>
      </c>
      <c r="Y131" s="163" t="e">
        <f t="shared" ca="1" si="21"/>
        <v>#N/A</v>
      </c>
    </row>
    <row r="132" spans="12:25" ht="14.4">
      <c r="L132" s="464"/>
      <c r="M132" s="129" t="e">
        <f t="shared" si="22"/>
        <v>#N/A</v>
      </c>
      <c r="N132" s="161">
        <f t="shared" si="16"/>
        <v>13</v>
      </c>
      <c r="O132" s="160" t="e">
        <f t="shared" ca="1" si="23"/>
        <v>#N/A</v>
      </c>
      <c r="P132" s="160" t="e">
        <f t="shared" ca="1" si="27"/>
        <v>#N/A</v>
      </c>
      <c r="Q132" s="160" t="e">
        <f t="shared" ca="1" si="28"/>
        <v>#N/A</v>
      </c>
      <c r="R132" s="160" t="e">
        <f t="shared" ca="1" si="28"/>
        <v>#N/A</v>
      </c>
      <c r="S132" s="160" t="e">
        <f t="shared" ca="1" si="28"/>
        <v>#N/A</v>
      </c>
      <c r="T132" s="160" t="e">
        <f t="shared" ca="1" si="28"/>
        <v>#N/A</v>
      </c>
      <c r="U132" s="160" t="e">
        <f t="shared" ca="1" si="25"/>
        <v>#N/A</v>
      </c>
      <c r="V132" s="163" t="e">
        <f t="shared" ca="1" si="18"/>
        <v>#N/A</v>
      </c>
      <c r="W132" s="163" t="e">
        <f t="shared" ca="1" si="19"/>
        <v>#N/A</v>
      </c>
      <c r="X132" s="163" t="e">
        <f t="shared" ca="1" si="20"/>
        <v>#N/A</v>
      </c>
      <c r="Y132" s="163" t="e">
        <f t="shared" ca="1" si="21"/>
        <v>#N/A</v>
      </c>
    </row>
    <row r="133" spans="12:25" ht="14.4">
      <c r="L133" s="464"/>
      <c r="M133" s="129" t="e">
        <f t="shared" si="22"/>
        <v>#N/A</v>
      </c>
      <c r="N133" s="161">
        <f t="shared" si="16"/>
        <v>13</v>
      </c>
      <c r="O133" s="160" t="e">
        <f t="shared" ca="1" si="23"/>
        <v>#N/A</v>
      </c>
      <c r="P133" s="160" t="e">
        <f t="shared" ca="1" si="27"/>
        <v>#N/A</v>
      </c>
      <c r="Q133" s="160" t="e">
        <f t="shared" ca="1" si="28"/>
        <v>#N/A</v>
      </c>
      <c r="R133" s="160" t="e">
        <f t="shared" ca="1" si="28"/>
        <v>#N/A</v>
      </c>
      <c r="S133" s="160" t="e">
        <f t="shared" ca="1" si="28"/>
        <v>#N/A</v>
      </c>
      <c r="T133" s="160" t="e">
        <f t="shared" ca="1" si="28"/>
        <v>#N/A</v>
      </c>
      <c r="U133" s="160" t="e">
        <f t="shared" ca="1" si="25"/>
        <v>#N/A</v>
      </c>
      <c r="V133" s="163" t="e">
        <f t="shared" ca="1" si="18"/>
        <v>#N/A</v>
      </c>
      <c r="W133" s="163" t="e">
        <f t="shared" ca="1" si="19"/>
        <v>#N/A</v>
      </c>
      <c r="X133" s="163" t="e">
        <f t="shared" ca="1" si="20"/>
        <v>#N/A</v>
      </c>
      <c r="Y133" s="163" t="e">
        <f t="shared" ca="1" si="21"/>
        <v>#N/A</v>
      </c>
    </row>
    <row r="134" spans="12:25" ht="14.4">
      <c r="L134" s="464"/>
      <c r="M134" s="129" t="e">
        <f t="shared" si="22"/>
        <v>#N/A</v>
      </c>
      <c r="N134" s="161">
        <f t="shared" si="16"/>
        <v>13</v>
      </c>
      <c r="O134" s="160" t="e">
        <f t="shared" ca="1" si="23"/>
        <v>#N/A</v>
      </c>
      <c r="P134" s="160" t="e">
        <f t="shared" ca="1" si="27"/>
        <v>#N/A</v>
      </c>
      <c r="Q134" s="160" t="e">
        <f t="shared" ca="1" si="28"/>
        <v>#N/A</v>
      </c>
      <c r="R134" s="160" t="e">
        <f t="shared" ca="1" si="28"/>
        <v>#N/A</v>
      </c>
      <c r="S134" s="160" t="e">
        <f t="shared" ca="1" si="28"/>
        <v>#N/A</v>
      </c>
      <c r="T134" s="160" t="e">
        <f t="shared" ca="1" si="28"/>
        <v>#N/A</v>
      </c>
      <c r="U134" s="160" t="e">
        <f t="shared" ca="1" si="25"/>
        <v>#N/A</v>
      </c>
      <c r="V134" s="163" t="e">
        <f t="shared" ca="1" si="18"/>
        <v>#N/A</v>
      </c>
      <c r="W134" s="163" t="e">
        <f t="shared" ca="1" si="19"/>
        <v>#N/A</v>
      </c>
      <c r="X134" s="163" t="e">
        <f t="shared" ca="1" si="20"/>
        <v>#N/A</v>
      </c>
      <c r="Y134" s="163" t="e">
        <f t="shared" ca="1" si="21"/>
        <v>#N/A</v>
      </c>
    </row>
    <row r="135" spans="12:25" ht="14.4">
      <c r="L135" s="464"/>
      <c r="M135" s="129" t="e">
        <f t="shared" si="22"/>
        <v>#N/A</v>
      </c>
      <c r="N135" s="161">
        <f t="shared" si="16"/>
        <v>13</v>
      </c>
      <c r="O135" s="160" t="e">
        <f t="shared" ca="1" si="23"/>
        <v>#N/A</v>
      </c>
      <c r="P135" s="160" t="e">
        <f t="shared" ca="1" si="27"/>
        <v>#N/A</v>
      </c>
      <c r="Q135" s="160" t="e">
        <f t="shared" ca="1" si="28"/>
        <v>#N/A</v>
      </c>
      <c r="R135" s="160" t="e">
        <f t="shared" ca="1" si="28"/>
        <v>#N/A</v>
      </c>
      <c r="S135" s="160" t="e">
        <f t="shared" ca="1" si="28"/>
        <v>#N/A</v>
      </c>
      <c r="T135" s="160" t="e">
        <f t="shared" ca="1" si="28"/>
        <v>#N/A</v>
      </c>
      <c r="U135" s="160" t="e">
        <f t="shared" ca="1" si="25"/>
        <v>#N/A</v>
      </c>
      <c r="V135" s="163" t="e">
        <f t="shared" ca="1" si="18"/>
        <v>#N/A</v>
      </c>
      <c r="W135" s="163" t="e">
        <f t="shared" ca="1" si="19"/>
        <v>#N/A</v>
      </c>
      <c r="X135" s="163" t="e">
        <f t="shared" ca="1" si="20"/>
        <v>#N/A</v>
      </c>
      <c r="Y135" s="163" t="e">
        <f t="shared" ca="1" si="21"/>
        <v>#N/A</v>
      </c>
    </row>
    <row r="136" spans="12:25" ht="14.4">
      <c r="L136" s="464"/>
      <c r="M136" s="129" t="e">
        <f t="shared" si="22"/>
        <v>#N/A</v>
      </c>
      <c r="N136" s="161">
        <f t="shared" si="16"/>
        <v>13</v>
      </c>
      <c r="O136" s="160" t="e">
        <f t="shared" ca="1" si="23"/>
        <v>#N/A</v>
      </c>
      <c r="P136" s="160" t="e">
        <f t="shared" ca="1" si="27"/>
        <v>#N/A</v>
      </c>
      <c r="Q136" s="160" t="e">
        <f t="shared" ca="1" si="28"/>
        <v>#N/A</v>
      </c>
      <c r="R136" s="160" t="e">
        <f t="shared" ca="1" si="28"/>
        <v>#N/A</v>
      </c>
      <c r="S136" s="160" t="e">
        <f t="shared" ca="1" si="28"/>
        <v>#N/A</v>
      </c>
      <c r="T136" s="160" t="e">
        <f t="shared" ca="1" si="28"/>
        <v>#N/A</v>
      </c>
      <c r="U136" s="160" t="e">
        <f t="shared" ca="1" si="25"/>
        <v>#N/A</v>
      </c>
      <c r="V136" s="163" t="e">
        <f t="shared" ca="1" si="18"/>
        <v>#N/A</v>
      </c>
      <c r="W136" s="163" t="e">
        <f t="shared" ca="1" si="19"/>
        <v>#N/A</v>
      </c>
      <c r="X136" s="163" t="e">
        <f t="shared" ca="1" si="20"/>
        <v>#N/A</v>
      </c>
      <c r="Y136" s="163" t="e">
        <f t="shared" ca="1" si="21"/>
        <v>#N/A</v>
      </c>
    </row>
    <row r="137" spans="12:25" ht="14.4">
      <c r="L137" s="464"/>
      <c r="M137" s="129" t="e">
        <f t="shared" si="22"/>
        <v>#N/A</v>
      </c>
      <c r="N137" s="161">
        <f t="shared" si="16"/>
        <v>13</v>
      </c>
      <c r="O137" s="160" t="e">
        <f t="shared" ca="1" si="23"/>
        <v>#N/A</v>
      </c>
      <c r="P137" s="160" t="e">
        <f t="shared" ca="1" si="27"/>
        <v>#N/A</v>
      </c>
      <c r="Q137" s="160" t="e">
        <f t="shared" ca="1" si="28"/>
        <v>#N/A</v>
      </c>
      <c r="R137" s="160" t="e">
        <f t="shared" ca="1" si="28"/>
        <v>#N/A</v>
      </c>
      <c r="S137" s="160" t="e">
        <f t="shared" ca="1" si="28"/>
        <v>#N/A</v>
      </c>
      <c r="T137" s="160" t="e">
        <f t="shared" ca="1" si="28"/>
        <v>#N/A</v>
      </c>
      <c r="U137" s="160" t="e">
        <f t="shared" ca="1" si="25"/>
        <v>#N/A</v>
      </c>
      <c r="V137" s="163" t="e">
        <f t="shared" ca="1" si="18"/>
        <v>#N/A</v>
      </c>
      <c r="W137" s="163" t="e">
        <f t="shared" ca="1" si="19"/>
        <v>#N/A</v>
      </c>
      <c r="X137" s="163" t="e">
        <f t="shared" ca="1" si="20"/>
        <v>#N/A</v>
      </c>
      <c r="Y137" s="163" t="e">
        <f t="shared" ca="1" si="21"/>
        <v>#N/A</v>
      </c>
    </row>
    <row r="138" spans="12:25" ht="14.4">
      <c r="L138" s="464"/>
      <c r="M138" s="129" t="e">
        <f t="shared" si="22"/>
        <v>#N/A</v>
      </c>
      <c r="N138" s="161">
        <f t="shared" si="16"/>
        <v>13</v>
      </c>
      <c r="O138" s="160" t="e">
        <f t="shared" ca="1" si="23"/>
        <v>#N/A</v>
      </c>
      <c r="P138" s="160" t="e">
        <f t="shared" ca="1" si="27"/>
        <v>#N/A</v>
      </c>
      <c r="Q138" s="160" t="e">
        <f t="shared" ca="1" si="28"/>
        <v>#N/A</v>
      </c>
      <c r="R138" s="160" t="e">
        <f t="shared" ca="1" si="28"/>
        <v>#N/A</v>
      </c>
      <c r="S138" s="160" t="e">
        <f t="shared" ca="1" si="28"/>
        <v>#N/A</v>
      </c>
      <c r="T138" s="160" t="e">
        <f t="shared" ca="1" si="28"/>
        <v>#N/A</v>
      </c>
      <c r="U138" s="160" t="e">
        <f t="shared" ca="1" si="25"/>
        <v>#N/A</v>
      </c>
      <c r="V138" s="163" t="e">
        <f t="shared" ca="1" si="18"/>
        <v>#N/A</v>
      </c>
      <c r="W138" s="163" t="e">
        <f t="shared" ca="1" si="19"/>
        <v>#N/A</v>
      </c>
      <c r="X138" s="163" t="e">
        <f t="shared" ca="1" si="20"/>
        <v>#N/A</v>
      </c>
      <c r="Y138" s="163" t="e">
        <f t="shared" ca="1" si="21"/>
        <v>#N/A</v>
      </c>
    </row>
    <row r="139" spans="12:25" ht="14.4">
      <c r="L139" s="464"/>
      <c r="M139" s="129" t="e">
        <f t="shared" si="22"/>
        <v>#N/A</v>
      </c>
      <c r="N139" s="161">
        <f t="shared" si="16"/>
        <v>13</v>
      </c>
      <c r="O139" s="160" t="e">
        <f t="shared" ca="1" si="23"/>
        <v>#N/A</v>
      </c>
      <c r="P139" s="160" t="e">
        <f t="shared" ca="1" si="27"/>
        <v>#N/A</v>
      </c>
      <c r="Q139" s="160" t="e">
        <f t="shared" ca="1" si="28"/>
        <v>#N/A</v>
      </c>
      <c r="R139" s="160" t="e">
        <f t="shared" ca="1" si="28"/>
        <v>#N/A</v>
      </c>
      <c r="S139" s="160" t="e">
        <f t="shared" ca="1" si="28"/>
        <v>#N/A</v>
      </c>
      <c r="T139" s="160" t="e">
        <f t="shared" ca="1" si="28"/>
        <v>#N/A</v>
      </c>
      <c r="U139" s="160" t="e">
        <f t="shared" ca="1" si="25"/>
        <v>#N/A</v>
      </c>
      <c r="V139" s="163" t="e">
        <f t="shared" ca="1" si="18"/>
        <v>#N/A</v>
      </c>
      <c r="W139" s="163" t="e">
        <f t="shared" ca="1" si="19"/>
        <v>#N/A</v>
      </c>
      <c r="X139" s="163" t="e">
        <f t="shared" ca="1" si="20"/>
        <v>#N/A</v>
      </c>
      <c r="Y139" s="163" t="e">
        <f t="shared" ca="1" si="21"/>
        <v>#N/A</v>
      </c>
    </row>
    <row r="140" spans="12:25" ht="14.4">
      <c r="L140" s="464"/>
      <c r="M140" s="129" t="e">
        <f t="shared" si="22"/>
        <v>#N/A</v>
      </c>
      <c r="N140" s="161">
        <f t="shared" si="16"/>
        <v>13</v>
      </c>
      <c r="O140" s="160" t="e">
        <f t="shared" ca="1" si="23"/>
        <v>#N/A</v>
      </c>
      <c r="P140" s="160" t="e">
        <f t="shared" ca="1" si="27"/>
        <v>#N/A</v>
      </c>
      <c r="Q140" s="160" t="e">
        <f t="shared" ca="1" si="28"/>
        <v>#N/A</v>
      </c>
      <c r="R140" s="160" t="e">
        <f t="shared" ca="1" si="28"/>
        <v>#N/A</v>
      </c>
      <c r="S140" s="160" t="e">
        <f t="shared" ca="1" si="28"/>
        <v>#N/A</v>
      </c>
      <c r="T140" s="160" t="e">
        <f t="shared" ca="1" si="28"/>
        <v>#N/A</v>
      </c>
      <c r="U140" s="160" t="e">
        <f t="shared" ca="1" si="25"/>
        <v>#N/A</v>
      </c>
      <c r="V140" s="163" t="e">
        <f t="shared" ca="1" si="18"/>
        <v>#N/A</v>
      </c>
      <c r="W140" s="163" t="e">
        <f t="shared" ca="1" si="19"/>
        <v>#N/A</v>
      </c>
      <c r="X140" s="163" t="e">
        <f t="shared" ca="1" si="20"/>
        <v>#N/A</v>
      </c>
      <c r="Y140" s="163" t="e">
        <f t="shared" ca="1" si="21"/>
        <v>#N/A</v>
      </c>
    </row>
    <row r="141" spans="12:25" ht="14.4">
      <c r="L141" s="464"/>
      <c r="M141" s="129" t="e">
        <f t="shared" si="22"/>
        <v>#N/A</v>
      </c>
      <c r="N141" s="161">
        <f t="shared" si="16"/>
        <v>13</v>
      </c>
      <c r="O141" s="160" t="e">
        <f t="shared" ca="1" si="23"/>
        <v>#N/A</v>
      </c>
      <c r="P141" s="160" t="e">
        <f t="shared" ca="1" si="27"/>
        <v>#N/A</v>
      </c>
      <c r="Q141" s="160" t="e">
        <f t="shared" ca="1" si="28"/>
        <v>#N/A</v>
      </c>
      <c r="R141" s="160" t="e">
        <f t="shared" ca="1" si="28"/>
        <v>#N/A</v>
      </c>
      <c r="S141" s="160" t="e">
        <f t="shared" ca="1" si="28"/>
        <v>#N/A</v>
      </c>
      <c r="T141" s="160" t="e">
        <f t="shared" ca="1" si="28"/>
        <v>#N/A</v>
      </c>
      <c r="U141" s="160" t="e">
        <f t="shared" ca="1" si="25"/>
        <v>#N/A</v>
      </c>
      <c r="V141" s="163" t="e">
        <f t="shared" ca="1" si="18"/>
        <v>#N/A</v>
      </c>
      <c r="W141" s="163" t="e">
        <f t="shared" ca="1" si="19"/>
        <v>#N/A</v>
      </c>
      <c r="X141" s="163" t="e">
        <f t="shared" ca="1" si="20"/>
        <v>#N/A</v>
      </c>
      <c r="Y141" s="163" t="e">
        <f t="shared" ca="1" si="21"/>
        <v>#N/A</v>
      </c>
    </row>
    <row r="142" spans="12:25" ht="14.4">
      <c r="L142" s="464"/>
      <c r="M142" s="129" t="e">
        <f t="shared" si="22"/>
        <v>#N/A</v>
      </c>
      <c r="N142" s="161">
        <f t="shared" si="16"/>
        <v>13</v>
      </c>
      <c r="O142" s="160" t="e">
        <f t="shared" ca="1" si="23"/>
        <v>#N/A</v>
      </c>
      <c r="P142" s="160" t="e">
        <f t="shared" ca="1" si="27"/>
        <v>#N/A</v>
      </c>
      <c r="Q142" s="160" t="e">
        <f t="shared" ca="1" si="28"/>
        <v>#N/A</v>
      </c>
      <c r="R142" s="160" t="e">
        <f t="shared" ca="1" si="28"/>
        <v>#N/A</v>
      </c>
      <c r="S142" s="160" t="e">
        <f t="shared" ca="1" si="28"/>
        <v>#N/A</v>
      </c>
      <c r="T142" s="160" t="e">
        <f t="shared" ca="1" si="28"/>
        <v>#N/A</v>
      </c>
      <c r="U142" s="160" t="e">
        <f t="shared" ca="1" si="25"/>
        <v>#N/A</v>
      </c>
      <c r="V142" s="163" t="e">
        <f t="shared" ca="1" si="18"/>
        <v>#N/A</v>
      </c>
      <c r="W142" s="163" t="e">
        <f t="shared" ca="1" si="19"/>
        <v>#N/A</v>
      </c>
      <c r="X142" s="163" t="e">
        <f t="shared" ca="1" si="20"/>
        <v>#N/A</v>
      </c>
      <c r="Y142" s="163" t="e">
        <f t="shared" ca="1" si="21"/>
        <v>#N/A</v>
      </c>
    </row>
    <row r="143" spans="12:25" ht="14.4">
      <c r="L143" s="464"/>
      <c r="M143" s="129" t="e">
        <f t="shared" si="22"/>
        <v>#N/A</v>
      </c>
      <c r="N143" s="161">
        <f t="shared" si="16"/>
        <v>13</v>
      </c>
      <c r="O143" s="160" t="e">
        <f t="shared" ca="1" si="23"/>
        <v>#N/A</v>
      </c>
      <c r="P143" s="160" t="e">
        <f t="shared" ca="1" si="27"/>
        <v>#N/A</v>
      </c>
      <c r="Q143" s="160" t="e">
        <f t="shared" ca="1" si="28"/>
        <v>#N/A</v>
      </c>
      <c r="R143" s="160" t="e">
        <f t="shared" ca="1" si="28"/>
        <v>#N/A</v>
      </c>
      <c r="S143" s="160" t="e">
        <f t="shared" ca="1" si="28"/>
        <v>#N/A</v>
      </c>
      <c r="T143" s="160" t="e">
        <f t="shared" ca="1" si="28"/>
        <v>#N/A</v>
      </c>
      <c r="U143" s="160" t="e">
        <f t="shared" ca="1" si="25"/>
        <v>#N/A</v>
      </c>
      <c r="V143" s="163" t="e">
        <f t="shared" ca="1" si="18"/>
        <v>#N/A</v>
      </c>
      <c r="W143" s="163" t="e">
        <f t="shared" ca="1" si="19"/>
        <v>#N/A</v>
      </c>
      <c r="X143" s="163" t="e">
        <f t="shared" ca="1" si="20"/>
        <v>#N/A</v>
      </c>
      <c r="Y143" s="163" t="e">
        <f t="shared" ca="1" si="21"/>
        <v>#N/A</v>
      </c>
    </row>
    <row r="144" spans="12:25" ht="14.4">
      <c r="L144" s="464"/>
      <c r="M144" s="129" t="e">
        <f t="shared" si="22"/>
        <v>#N/A</v>
      </c>
      <c r="N144" s="161">
        <f t="shared" si="16"/>
        <v>13</v>
      </c>
      <c r="O144" s="160" t="e">
        <f t="shared" ca="1" si="23"/>
        <v>#N/A</v>
      </c>
      <c r="P144" s="160" t="e">
        <f t="shared" ca="1" si="27"/>
        <v>#N/A</v>
      </c>
      <c r="Q144" s="160" t="e">
        <f t="shared" ca="1" si="28"/>
        <v>#N/A</v>
      </c>
      <c r="R144" s="160" t="e">
        <f t="shared" ca="1" si="28"/>
        <v>#N/A</v>
      </c>
      <c r="S144" s="160" t="e">
        <f t="shared" ca="1" si="28"/>
        <v>#N/A</v>
      </c>
      <c r="T144" s="160" t="e">
        <f t="shared" ca="1" si="28"/>
        <v>#N/A</v>
      </c>
      <c r="U144" s="160" t="e">
        <f t="shared" ca="1" si="25"/>
        <v>#N/A</v>
      </c>
      <c r="V144" s="163" t="e">
        <f t="shared" ca="1" si="18"/>
        <v>#N/A</v>
      </c>
      <c r="W144" s="163" t="e">
        <f t="shared" ca="1" si="19"/>
        <v>#N/A</v>
      </c>
      <c r="X144" s="163" t="e">
        <f t="shared" ca="1" si="20"/>
        <v>#N/A</v>
      </c>
      <c r="Y144" s="163" t="e">
        <f t="shared" ca="1" si="21"/>
        <v>#N/A</v>
      </c>
    </row>
    <row r="145" spans="12:25" ht="14.4">
      <c r="L145" s="464"/>
      <c r="M145" s="129" t="e">
        <f t="shared" si="22"/>
        <v>#N/A</v>
      </c>
      <c r="N145" s="161">
        <f t="shared" si="16"/>
        <v>13</v>
      </c>
      <c r="O145" s="160" t="e">
        <f t="shared" ca="1" si="23"/>
        <v>#N/A</v>
      </c>
      <c r="P145" s="160" t="e">
        <f t="shared" ca="1" si="27"/>
        <v>#N/A</v>
      </c>
      <c r="Q145" s="160" t="e">
        <f t="shared" ca="1" si="28"/>
        <v>#N/A</v>
      </c>
      <c r="R145" s="160" t="e">
        <f t="shared" ca="1" si="28"/>
        <v>#N/A</v>
      </c>
      <c r="S145" s="160" t="e">
        <f t="shared" ca="1" si="28"/>
        <v>#N/A</v>
      </c>
      <c r="T145" s="160" t="e">
        <f t="shared" ca="1" si="28"/>
        <v>#N/A</v>
      </c>
      <c r="U145" s="160" t="e">
        <f t="shared" ca="1" si="25"/>
        <v>#N/A</v>
      </c>
      <c r="V145" s="163" t="e">
        <f t="shared" ca="1" si="18"/>
        <v>#N/A</v>
      </c>
      <c r="W145" s="163" t="e">
        <f t="shared" ca="1" si="19"/>
        <v>#N/A</v>
      </c>
      <c r="X145" s="163" t="e">
        <f t="shared" ca="1" si="20"/>
        <v>#N/A</v>
      </c>
      <c r="Y145" s="163" t="e">
        <f t="shared" ca="1" si="21"/>
        <v>#N/A</v>
      </c>
    </row>
    <row r="146" spans="12:25" ht="14.4">
      <c r="L146" s="464"/>
      <c r="M146" s="129" t="e">
        <f t="shared" si="22"/>
        <v>#N/A</v>
      </c>
      <c r="N146" s="161">
        <f t="shared" ref="N146:N209" si="29">N145</f>
        <v>13</v>
      </c>
      <c r="O146" s="160" t="e">
        <f t="shared" ca="1" si="23"/>
        <v>#N/A</v>
      </c>
      <c r="P146" s="160" t="e">
        <f t="shared" ca="1" si="27"/>
        <v>#N/A</v>
      </c>
      <c r="Q146" s="160" t="e">
        <f t="shared" ca="1" si="28"/>
        <v>#N/A</v>
      </c>
      <c r="R146" s="160" t="e">
        <f t="shared" ca="1" si="28"/>
        <v>#N/A</v>
      </c>
      <c r="S146" s="160" t="e">
        <f t="shared" ca="1" si="28"/>
        <v>#N/A</v>
      </c>
      <c r="T146" s="160" t="e">
        <f t="shared" ca="1" si="28"/>
        <v>#N/A</v>
      </c>
      <c r="U146" s="160" t="e">
        <f t="shared" ca="1" si="25"/>
        <v>#N/A</v>
      </c>
      <c r="V146" s="163" t="e">
        <f t="shared" ca="1" si="18"/>
        <v>#N/A</v>
      </c>
      <c r="W146" s="163" t="e">
        <f t="shared" ca="1" si="19"/>
        <v>#N/A</v>
      </c>
      <c r="X146" s="163" t="e">
        <f t="shared" ca="1" si="20"/>
        <v>#N/A</v>
      </c>
      <c r="Y146" s="163" t="e">
        <f t="shared" ca="1" si="21"/>
        <v>#N/A</v>
      </c>
    </row>
    <row r="147" spans="12:25" ht="14.4">
      <c r="L147" s="464"/>
      <c r="M147" s="129" t="e">
        <f t="shared" si="22"/>
        <v>#N/A</v>
      </c>
      <c r="N147" s="161">
        <f t="shared" si="29"/>
        <v>13</v>
      </c>
      <c r="O147" s="160" t="e">
        <f t="shared" ca="1" si="23"/>
        <v>#N/A</v>
      </c>
      <c r="P147" s="160" t="e">
        <f t="shared" ca="1" si="27"/>
        <v>#N/A</v>
      </c>
      <c r="Q147" s="160" t="e">
        <f t="shared" ca="1" si="28"/>
        <v>#N/A</v>
      </c>
      <c r="R147" s="160" t="e">
        <f t="shared" ca="1" si="28"/>
        <v>#N/A</v>
      </c>
      <c r="S147" s="160" t="e">
        <f t="shared" ca="1" si="28"/>
        <v>#N/A</v>
      </c>
      <c r="T147" s="160" t="e">
        <f t="shared" ca="1" si="28"/>
        <v>#N/A</v>
      </c>
      <c r="U147" s="160" t="e">
        <f t="shared" ca="1" si="25"/>
        <v>#N/A</v>
      </c>
      <c r="V147" s="163" t="e">
        <f t="shared" ca="1" si="18"/>
        <v>#N/A</v>
      </c>
      <c r="W147" s="163" t="e">
        <f t="shared" ca="1" si="19"/>
        <v>#N/A</v>
      </c>
      <c r="X147" s="163" t="e">
        <f t="shared" ca="1" si="20"/>
        <v>#N/A</v>
      </c>
      <c r="Y147" s="163" t="e">
        <f t="shared" ca="1" si="21"/>
        <v>#N/A</v>
      </c>
    </row>
    <row r="148" spans="12:25" ht="14.4">
      <c r="L148" s="464"/>
      <c r="M148" s="129" t="e">
        <f t="shared" si="22"/>
        <v>#N/A</v>
      </c>
      <c r="N148" s="161">
        <f t="shared" si="29"/>
        <v>13</v>
      </c>
      <c r="O148" s="160" t="e">
        <f t="shared" ca="1" si="23"/>
        <v>#N/A</v>
      </c>
      <c r="P148" s="160" t="e">
        <f t="shared" ca="1" si="27"/>
        <v>#N/A</v>
      </c>
      <c r="Q148" s="160" t="e">
        <f t="shared" ca="1" si="28"/>
        <v>#N/A</v>
      </c>
      <c r="R148" s="160" t="e">
        <f t="shared" ca="1" si="28"/>
        <v>#N/A</v>
      </c>
      <c r="S148" s="160" t="e">
        <f t="shared" ca="1" si="28"/>
        <v>#N/A</v>
      </c>
      <c r="T148" s="160" t="e">
        <f t="shared" ca="1" si="28"/>
        <v>#N/A</v>
      </c>
      <c r="U148" s="160" t="e">
        <f t="shared" ca="1" si="25"/>
        <v>#N/A</v>
      </c>
      <c r="V148" s="163" t="e">
        <f t="shared" ca="1" si="18"/>
        <v>#N/A</v>
      </c>
      <c r="W148" s="163" t="e">
        <f t="shared" ca="1" si="19"/>
        <v>#N/A</v>
      </c>
      <c r="X148" s="163" t="e">
        <f t="shared" ca="1" si="20"/>
        <v>#N/A</v>
      </c>
      <c r="Y148" s="163" t="e">
        <f t="shared" ca="1" si="21"/>
        <v>#N/A</v>
      </c>
    </row>
    <row r="149" spans="12:25" ht="14.4">
      <c r="L149" s="464"/>
      <c r="M149" s="129" t="e">
        <f t="shared" si="22"/>
        <v>#N/A</v>
      </c>
      <c r="N149" s="161">
        <f t="shared" si="29"/>
        <v>13</v>
      </c>
      <c r="O149" s="160" t="e">
        <f t="shared" ca="1" si="23"/>
        <v>#N/A</v>
      </c>
      <c r="P149" s="160" t="e">
        <f t="shared" ca="1" si="27"/>
        <v>#N/A</v>
      </c>
      <c r="Q149" s="160" t="e">
        <f t="shared" ca="1" si="28"/>
        <v>#N/A</v>
      </c>
      <c r="R149" s="160" t="e">
        <f t="shared" ca="1" si="28"/>
        <v>#N/A</v>
      </c>
      <c r="S149" s="160" t="e">
        <f t="shared" ca="1" si="28"/>
        <v>#N/A</v>
      </c>
      <c r="T149" s="160" t="e">
        <f t="shared" ca="1" si="28"/>
        <v>#N/A</v>
      </c>
      <c r="U149" s="160" t="e">
        <f t="shared" ca="1" si="25"/>
        <v>#N/A</v>
      </c>
      <c r="V149" s="163" t="e">
        <f t="shared" ca="1" si="18"/>
        <v>#N/A</v>
      </c>
      <c r="W149" s="163" t="e">
        <f t="shared" ca="1" si="19"/>
        <v>#N/A</v>
      </c>
      <c r="X149" s="163" t="e">
        <f t="shared" ca="1" si="20"/>
        <v>#N/A</v>
      </c>
      <c r="Y149" s="163" t="e">
        <f t="shared" ca="1" si="21"/>
        <v>#N/A</v>
      </c>
    </row>
    <row r="150" spans="12:25" ht="14.4">
      <c r="L150" s="464"/>
      <c r="M150" s="129" t="e">
        <f t="shared" si="22"/>
        <v>#N/A</v>
      </c>
      <c r="N150" s="161">
        <f t="shared" si="29"/>
        <v>13</v>
      </c>
      <c r="O150" s="160" t="e">
        <f t="shared" ca="1" si="23"/>
        <v>#N/A</v>
      </c>
      <c r="P150" s="160" t="e">
        <f t="shared" ca="1" si="27"/>
        <v>#N/A</v>
      </c>
      <c r="Q150" s="160" t="e">
        <f t="shared" ca="1" si="28"/>
        <v>#N/A</v>
      </c>
      <c r="R150" s="160" t="e">
        <f t="shared" ca="1" si="28"/>
        <v>#N/A</v>
      </c>
      <c r="S150" s="160" t="e">
        <f t="shared" ca="1" si="28"/>
        <v>#N/A</v>
      </c>
      <c r="T150" s="160" t="e">
        <f t="shared" ca="1" si="28"/>
        <v>#N/A</v>
      </c>
      <c r="U150" s="160" t="e">
        <f t="shared" ca="1" si="25"/>
        <v>#N/A</v>
      </c>
      <c r="V150" s="163" t="e">
        <f t="shared" ca="1" si="18"/>
        <v>#N/A</v>
      </c>
      <c r="W150" s="163" t="e">
        <f t="shared" ca="1" si="19"/>
        <v>#N/A</v>
      </c>
      <c r="X150" s="163" t="e">
        <f t="shared" ca="1" si="20"/>
        <v>#N/A</v>
      </c>
      <c r="Y150" s="163" t="e">
        <f t="shared" ca="1" si="21"/>
        <v>#N/A</v>
      </c>
    </row>
    <row r="151" spans="12:25" ht="14.4">
      <c r="L151" s="464"/>
      <c r="M151" s="129" t="e">
        <f t="shared" si="22"/>
        <v>#N/A</v>
      </c>
      <c r="N151" s="161">
        <f t="shared" si="29"/>
        <v>13</v>
      </c>
      <c r="O151" s="160" t="e">
        <f t="shared" ca="1" si="23"/>
        <v>#N/A</v>
      </c>
      <c r="P151" s="160" t="e">
        <f t="shared" ca="1" si="27"/>
        <v>#N/A</v>
      </c>
      <c r="Q151" s="160" t="e">
        <f t="shared" ca="1" si="28"/>
        <v>#N/A</v>
      </c>
      <c r="R151" s="160" t="e">
        <f t="shared" ca="1" si="28"/>
        <v>#N/A</v>
      </c>
      <c r="S151" s="160" t="e">
        <f t="shared" ca="1" si="28"/>
        <v>#N/A</v>
      </c>
      <c r="T151" s="160" t="e">
        <f t="shared" ca="1" si="28"/>
        <v>#N/A</v>
      </c>
      <c r="U151" s="160" t="e">
        <f t="shared" ca="1" si="25"/>
        <v>#N/A</v>
      </c>
      <c r="V151" s="163" t="e">
        <f t="shared" ca="1" si="18"/>
        <v>#N/A</v>
      </c>
      <c r="W151" s="163" t="e">
        <f t="shared" ca="1" si="19"/>
        <v>#N/A</v>
      </c>
      <c r="X151" s="163" t="e">
        <f t="shared" ca="1" si="20"/>
        <v>#N/A</v>
      </c>
      <c r="Y151" s="163" t="e">
        <f t="shared" ca="1" si="21"/>
        <v>#N/A</v>
      </c>
    </row>
    <row r="152" spans="12:25" ht="14.4">
      <c r="L152" s="464"/>
      <c r="M152" s="129" t="e">
        <f t="shared" si="22"/>
        <v>#N/A</v>
      </c>
      <c r="N152" s="161">
        <f t="shared" si="29"/>
        <v>13</v>
      </c>
      <c r="O152" s="160" t="e">
        <f t="shared" ca="1" si="23"/>
        <v>#N/A</v>
      </c>
      <c r="P152" s="160" t="e">
        <f t="shared" ca="1" si="27"/>
        <v>#N/A</v>
      </c>
      <c r="Q152" s="160" t="e">
        <f t="shared" ca="1" si="28"/>
        <v>#N/A</v>
      </c>
      <c r="R152" s="160" t="e">
        <f t="shared" ca="1" si="28"/>
        <v>#N/A</v>
      </c>
      <c r="S152" s="160" t="e">
        <f t="shared" ca="1" si="28"/>
        <v>#N/A</v>
      </c>
      <c r="T152" s="160" t="e">
        <f t="shared" ca="1" si="28"/>
        <v>#N/A</v>
      </c>
      <c r="U152" s="160" t="e">
        <f t="shared" ca="1" si="25"/>
        <v>#N/A</v>
      </c>
      <c r="V152" s="163" t="e">
        <f t="shared" ca="1" si="18"/>
        <v>#N/A</v>
      </c>
      <c r="W152" s="163" t="e">
        <f t="shared" ca="1" si="19"/>
        <v>#N/A</v>
      </c>
      <c r="X152" s="163" t="e">
        <f t="shared" ca="1" si="20"/>
        <v>#N/A</v>
      </c>
      <c r="Y152" s="163" t="e">
        <f t="shared" ca="1" si="21"/>
        <v>#N/A</v>
      </c>
    </row>
    <row r="153" spans="12:25" ht="14.4">
      <c r="L153" s="464"/>
      <c r="M153" s="129" t="e">
        <f t="shared" si="22"/>
        <v>#N/A</v>
      </c>
      <c r="N153" s="161">
        <f t="shared" si="29"/>
        <v>13</v>
      </c>
      <c r="O153" s="160" t="e">
        <f t="shared" ca="1" si="23"/>
        <v>#N/A</v>
      </c>
      <c r="P153" s="160" t="e">
        <f t="shared" ca="1" si="27"/>
        <v>#N/A</v>
      </c>
      <c r="Q153" s="160" t="e">
        <f t="shared" ca="1" si="28"/>
        <v>#N/A</v>
      </c>
      <c r="R153" s="160" t="e">
        <f t="shared" ca="1" si="28"/>
        <v>#N/A</v>
      </c>
      <c r="S153" s="160" t="e">
        <f t="shared" ca="1" si="28"/>
        <v>#N/A</v>
      </c>
      <c r="T153" s="160" t="e">
        <f t="shared" ca="1" si="28"/>
        <v>#N/A</v>
      </c>
      <c r="U153" s="160" t="e">
        <f t="shared" ca="1" si="25"/>
        <v>#N/A</v>
      </c>
      <c r="V153" s="163" t="e">
        <f t="shared" ca="1" si="18"/>
        <v>#N/A</v>
      </c>
      <c r="W153" s="163" t="e">
        <f t="shared" ca="1" si="19"/>
        <v>#N/A</v>
      </c>
      <c r="X153" s="163" t="e">
        <f t="shared" ca="1" si="20"/>
        <v>#N/A</v>
      </c>
      <c r="Y153" s="163" t="e">
        <f t="shared" ca="1" si="21"/>
        <v>#N/A</v>
      </c>
    </row>
    <row r="154" spans="12:25" ht="14.4">
      <c r="L154" s="464"/>
      <c r="M154" s="129" t="e">
        <f t="shared" si="22"/>
        <v>#N/A</v>
      </c>
      <c r="N154" s="161">
        <f t="shared" si="29"/>
        <v>13</v>
      </c>
      <c r="O154" s="160" t="e">
        <f t="shared" ca="1" si="23"/>
        <v>#N/A</v>
      </c>
      <c r="P154" s="160" t="e">
        <f t="shared" ca="1" si="27"/>
        <v>#N/A</v>
      </c>
      <c r="Q154" s="160" t="e">
        <f t="shared" ca="1" si="28"/>
        <v>#N/A</v>
      </c>
      <c r="R154" s="160" t="e">
        <f t="shared" ca="1" si="28"/>
        <v>#N/A</v>
      </c>
      <c r="S154" s="160" t="e">
        <f t="shared" ca="1" si="28"/>
        <v>#N/A</v>
      </c>
      <c r="T154" s="160" t="e">
        <f t="shared" ca="1" si="28"/>
        <v>#N/A</v>
      </c>
      <c r="U154" s="160" t="e">
        <f t="shared" ca="1" si="25"/>
        <v>#N/A</v>
      </c>
      <c r="V154" s="163" t="e">
        <f t="shared" ca="1" si="18"/>
        <v>#N/A</v>
      </c>
      <c r="W154" s="163" t="e">
        <f t="shared" ca="1" si="19"/>
        <v>#N/A</v>
      </c>
      <c r="X154" s="163" t="e">
        <f t="shared" ca="1" si="20"/>
        <v>#N/A</v>
      </c>
      <c r="Y154" s="163" t="e">
        <f t="shared" ca="1" si="21"/>
        <v>#N/A</v>
      </c>
    </row>
    <row r="155" spans="12:25" ht="14.4">
      <c r="L155" s="464"/>
      <c r="M155" s="129" t="e">
        <f t="shared" si="22"/>
        <v>#N/A</v>
      </c>
      <c r="N155" s="161">
        <f t="shared" si="29"/>
        <v>13</v>
      </c>
      <c r="O155" s="160" t="e">
        <f t="shared" ca="1" si="23"/>
        <v>#N/A</v>
      </c>
      <c r="P155" s="160" t="e">
        <f t="shared" ca="1" si="27"/>
        <v>#N/A</v>
      </c>
      <c r="Q155" s="160" t="e">
        <f t="shared" ca="1" si="28"/>
        <v>#N/A</v>
      </c>
      <c r="R155" s="160" t="e">
        <f t="shared" ca="1" si="28"/>
        <v>#N/A</v>
      </c>
      <c r="S155" s="160" t="e">
        <f t="shared" ca="1" si="28"/>
        <v>#N/A</v>
      </c>
      <c r="T155" s="160" t="e">
        <f t="shared" ca="1" si="28"/>
        <v>#N/A</v>
      </c>
      <c r="U155" s="160" t="e">
        <f t="shared" ca="1" si="25"/>
        <v>#N/A</v>
      </c>
      <c r="V155" s="163" t="e">
        <f t="shared" ca="1" si="18"/>
        <v>#N/A</v>
      </c>
      <c r="W155" s="163" t="e">
        <f t="shared" ca="1" si="19"/>
        <v>#N/A</v>
      </c>
      <c r="X155" s="163" t="e">
        <f t="shared" ca="1" si="20"/>
        <v>#N/A</v>
      </c>
      <c r="Y155" s="163" t="e">
        <f t="shared" ca="1" si="21"/>
        <v>#N/A</v>
      </c>
    </row>
    <row r="156" spans="12:25" ht="14.4">
      <c r="L156" s="464"/>
      <c r="M156" s="129" t="e">
        <f t="shared" si="22"/>
        <v>#N/A</v>
      </c>
      <c r="N156" s="161">
        <f t="shared" si="29"/>
        <v>13</v>
      </c>
      <c r="O156" s="160" t="e">
        <f t="shared" ca="1" si="23"/>
        <v>#N/A</v>
      </c>
      <c r="P156" s="160" t="e">
        <f t="shared" ca="1" si="27"/>
        <v>#N/A</v>
      </c>
      <c r="Q156" s="160" t="e">
        <f t="shared" ca="1" si="28"/>
        <v>#N/A</v>
      </c>
      <c r="R156" s="160" t="e">
        <f t="shared" ca="1" si="28"/>
        <v>#N/A</v>
      </c>
      <c r="S156" s="160" t="e">
        <f t="shared" ca="1" si="28"/>
        <v>#N/A</v>
      </c>
      <c r="T156" s="160" t="e">
        <f t="shared" ca="1" si="28"/>
        <v>#N/A</v>
      </c>
      <c r="U156" s="160" t="e">
        <f t="shared" ca="1" si="25"/>
        <v>#N/A</v>
      </c>
      <c r="V156" s="163" t="e">
        <f t="shared" ca="1" si="18"/>
        <v>#N/A</v>
      </c>
      <c r="W156" s="163" t="e">
        <f t="shared" ca="1" si="19"/>
        <v>#N/A</v>
      </c>
      <c r="X156" s="163" t="e">
        <f t="shared" ca="1" si="20"/>
        <v>#N/A</v>
      </c>
      <c r="Y156" s="163" t="e">
        <f t="shared" ca="1" si="21"/>
        <v>#N/A</v>
      </c>
    </row>
    <row r="157" spans="12:25" ht="14.4">
      <c r="L157" s="464"/>
      <c r="M157" s="129" t="e">
        <f t="shared" si="22"/>
        <v>#N/A</v>
      </c>
      <c r="N157" s="161">
        <f t="shared" si="29"/>
        <v>13</v>
      </c>
      <c r="O157" s="160" t="e">
        <f t="shared" ca="1" si="23"/>
        <v>#N/A</v>
      </c>
      <c r="P157" s="160" t="e">
        <f t="shared" ca="1" si="27"/>
        <v>#N/A</v>
      </c>
      <c r="Q157" s="160" t="e">
        <f t="shared" ca="1" si="28"/>
        <v>#N/A</v>
      </c>
      <c r="R157" s="160" t="e">
        <f t="shared" ca="1" si="28"/>
        <v>#N/A</v>
      </c>
      <c r="S157" s="160" t="e">
        <f t="shared" ca="1" si="28"/>
        <v>#N/A</v>
      </c>
      <c r="T157" s="160" t="e">
        <f t="shared" ca="1" si="28"/>
        <v>#N/A</v>
      </c>
      <c r="U157" s="160" t="e">
        <f t="shared" ca="1" si="25"/>
        <v>#N/A</v>
      </c>
      <c r="V157" s="163" t="e">
        <f t="shared" ca="1" si="18"/>
        <v>#N/A</v>
      </c>
      <c r="W157" s="163" t="e">
        <f t="shared" ca="1" si="19"/>
        <v>#N/A</v>
      </c>
      <c r="X157" s="163" t="e">
        <f t="shared" ca="1" si="20"/>
        <v>#N/A</v>
      </c>
      <c r="Y157" s="163" t="e">
        <f t="shared" ca="1" si="21"/>
        <v>#N/A</v>
      </c>
    </row>
    <row r="158" spans="12:25" ht="14.4">
      <c r="L158" s="464"/>
      <c r="M158" s="129" t="e">
        <f t="shared" si="22"/>
        <v>#N/A</v>
      </c>
      <c r="N158" s="161">
        <f t="shared" si="29"/>
        <v>13</v>
      </c>
      <c r="O158" s="160" t="e">
        <f t="shared" ca="1" si="23"/>
        <v>#N/A</v>
      </c>
      <c r="P158" s="160" t="e">
        <f t="shared" ca="1" si="27"/>
        <v>#N/A</v>
      </c>
      <c r="Q158" s="160" t="e">
        <f t="shared" ca="1" si="28"/>
        <v>#N/A</v>
      </c>
      <c r="R158" s="160" t="e">
        <f t="shared" ca="1" si="28"/>
        <v>#N/A</v>
      </c>
      <c r="S158" s="160" t="e">
        <f t="shared" ca="1" si="28"/>
        <v>#N/A</v>
      </c>
      <c r="T158" s="160" t="e">
        <f t="shared" ca="1" si="28"/>
        <v>#N/A</v>
      </c>
      <c r="U158" s="160" t="e">
        <f t="shared" ca="1" si="25"/>
        <v>#N/A</v>
      </c>
      <c r="V158" s="163" t="e">
        <f t="shared" ca="1" si="18"/>
        <v>#N/A</v>
      </c>
      <c r="W158" s="163" t="e">
        <f t="shared" ca="1" si="19"/>
        <v>#N/A</v>
      </c>
      <c r="X158" s="163" t="e">
        <f t="shared" ca="1" si="20"/>
        <v>#N/A</v>
      </c>
      <c r="Y158" s="163" t="e">
        <f t="shared" ca="1" si="21"/>
        <v>#N/A</v>
      </c>
    </row>
    <row r="159" spans="12:25" ht="14.4">
      <c r="L159" s="464"/>
      <c r="M159" s="129" t="e">
        <f t="shared" si="22"/>
        <v>#N/A</v>
      </c>
      <c r="N159" s="161">
        <f t="shared" si="29"/>
        <v>13</v>
      </c>
      <c r="O159" s="160" t="e">
        <f t="shared" ca="1" si="23"/>
        <v>#N/A</v>
      </c>
      <c r="P159" s="160" t="e">
        <f t="shared" ca="1" si="27"/>
        <v>#N/A</v>
      </c>
      <c r="Q159" s="160" t="e">
        <f t="shared" ca="1" si="28"/>
        <v>#N/A</v>
      </c>
      <c r="R159" s="160" t="e">
        <f t="shared" ca="1" si="28"/>
        <v>#N/A</v>
      </c>
      <c r="S159" s="160" t="e">
        <f t="shared" ca="1" si="28"/>
        <v>#N/A</v>
      </c>
      <c r="T159" s="160" t="e">
        <f t="shared" ca="1" si="28"/>
        <v>#N/A</v>
      </c>
      <c r="U159" s="160" t="e">
        <f t="shared" ca="1" si="25"/>
        <v>#N/A</v>
      </c>
      <c r="V159" s="163" t="e">
        <f t="shared" ref="V159:V222" ca="1" si="30">IF(Q159=0,0,IF(S159=180,IF(R159=0,"Slab on Grade",IF(R159=1,"Exposed Floor",IF(R159=3,"Internal Floor",U159))),IF(S159&lt;45,IF(R159=3,"Internal Ceiling",IF(R159=1,"Roof",U159)))))</f>
        <v>#N/A</v>
      </c>
      <c r="W159" s="163" t="e">
        <f t="shared" ref="W159:W222" ca="1" si="31">IF(ISNUMBER(SEARCH($W$29,U159))=TRUE,IF(ISNUMBER(SEARCH($W$27,U159))=TRUE,IF(R159=1,"eFrame",IF(R159=3,"iFrame")),IF(R159=1,"eWindow",IF(R159=3,"iWindow"))),U159)</f>
        <v>#N/A</v>
      </c>
      <c r="X159" s="163" t="e">
        <f t="shared" ref="X159:X222" ca="1" si="32">IF(ISNUMBER(SEARCH($X$29,U159))=TRUE,IF(ISNUMBER(SEARCH($X$27,U159))=TRUE,IF(R159=1,"eFrameDoor",IF(R159=3,"iFrameDoor")),IF(R159=1,"eDoor",IF(R159=3,"iDoor"))),U159)</f>
        <v>#N/A</v>
      </c>
      <c r="Y159" s="163" t="e">
        <f t="shared" ref="Y159:Y222" ca="1" si="33">IF(ISNUMBER(SEARCH($W$29,U159))=TRUE,"Substract",IF(ISNUMBER(SEARCH($X$29,U159))=TRUE, "Sunstract",IF(S159=90,IF(R159=1,"External Wall",IF(R159=3,"Internal Wall",IF(R159=0,"Below Grade Wall",U159))),V159)))</f>
        <v>#N/A</v>
      </c>
    </row>
    <row r="160" spans="12:25" ht="14.4">
      <c r="L160" s="464"/>
      <c r="M160" s="129" t="e">
        <f t="shared" ref="M160:M223" si="34">IF(M159="end","end",IF(M159=$K$1,"end",M159+1))</f>
        <v>#N/A</v>
      </c>
      <c r="N160" s="161">
        <f t="shared" si="29"/>
        <v>13</v>
      </c>
      <c r="O160" s="160" t="e">
        <f t="shared" ca="1" si="23"/>
        <v>#N/A</v>
      </c>
      <c r="P160" s="160" t="e">
        <f t="shared" ca="1" si="27"/>
        <v>#N/A</v>
      </c>
      <c r="Q160" s="160" t="e">
        <f t="shared" ca="1" si="28"/>
        <v>#N/A</v>
      </c>
      <c r="R160" s="160" t="e">
        <f t="shared" ca="1" si="28"/>
        <v>#N/A</v>
      </c>
      <c r="S160" s="160" t="e">
        <f t="shared" ca="1" si="28"/>
        <v>#N/A</v>
      </c>
      <c r="T160" s="160" t="e">
        <f t="shared" ca="1" si="28"/>
        <v>#N/A</v>
      </c>
      <c r="U160" s="160" t="e">
        <f t="shared" ca="1" si="25"/>
        <v>#N/A</v>
      </c>
      <c r="V160" s="163" t="e">
        <f t="shared" ca="1" si="30"/>
        <v>#N/A</v>
      </c>
      <c r="W160" s="163" t="e">
        <f t="shared" ca="1" si="31"/>
        <v>#N/A</v>
      </c>
      <c r="X160" s="163" t="e">
        <f t="shared" ca="1" si="32"/>
        <v>#N/A</v>
      </c>
      <c r="Y160" s="163" t="e">
        <f t="shared" ca="1" si="33"/>
        <v>#N/A</v>
      </c>
    </row>
    <row r="161" spans="12:25" ht="14.4">
      <c r="L161" s="464"/>
      <c r="M161" s="129" t="e">
        <f t="shared" si="34"/>
        <v>#N/A</v>
      </c>
      <c r="N161" s="161">
        <f t="shared" si="29"/>
        <v>13</v>
      </c>
      <c r="O161" s="160" t="e">
        <f t="shared" ca="1" si="23"/>
        <v>#N/A</v>
      </c>
      <c r="P161" s="160" t="e">
        <f t="shared" ca="1" si="27"/>
        <v>#N/A</v>
      </c>
      <c r="Q161" s="160" t="e">
        <f t="shared" ca="1" si="28"/>
        <v>#N/A</v>
      </c>
      <c r="R161" s="160" t="e">
        <f t="shared" ca="1" si="28"/>
        <v>#N/A</v>
      </c>
      <c r="S161" s="160" t="e">
        <f t="shared" ca="1" si="28"/>
        <v>#N/A</v>
      </c>
      <c r="T161" s="160" t="e">
        <f t="shared" ca="1" si="28"/>
        <v>#N/A</v>
      </c>
      <c r="U161" s="160" t="e">
        <f t="shared" ca="1" si="25"/>
        <v>#N/A</v>
      </c>
      <c r="V161" s="163" t="e">
        <f t="shared" ca="1" si="30"/>
        <v>#N/A</v>
      </c>
      <c r="W161" s="163" t="e">
        <f t="shared" ca="1" si="31"/>
        <v>#N/A</v>
      </c>
      <c r="X161" s="163" t="e">
        <f t="shared" ca="1" si="32"/>
        <v>#N/A</v>
      </c>
      <c r="Y161" s="163" t="e">
        <f t="shared" ca="1" si="33"/>
        <v>#N/A</v>
      </c>
    </row>
    <row r="162" spans="12:25" ht="14.4">
      <c r="L162" s="464"/>
      <c r="M162" s="129" t="e">
        <f t="shared" si="34"/>
        <v>#N/A</v>
      </c>
      <c r="N162" s="161">
        <f t="shared" si="29"/>
        <v>13</v>
      </c>
      <c r="O162" s="160" t="e">
        <f t="shared" ca="1" si="23"/>
        <v>#N/A</v>
      </c>
      <c r="P162" s="160" t="e">
        <f t="shared" ca="1" si="27"/>
        <v>#N/A</v>
      </c>
      <c r="Q162" s="160" t="e">
        <f t="shared" ca="1" si="28"/>
        <v>#N/A</v>
      </c>
      <c r="R162" s="160" t="e">
        <f t="shared" ca="1" si="28"/>
        <v>#N/A</v>
      </c>
      <c r="S162" s="160" t="e">
        <f t="shared" ca="1" si="28"/>
        <v>#N/A</v>
      </c>
      <c r="T162" s="160" t="e">
        <f t="shared" ca="1" si="28"/>
        <v>#N/A</v>
      </c>
      <c r="U162" s="160" t="e">
        <f t="shared" ca="1" si="25"/>
        <v>#N/A</v>
      </c>
      <c r="V162" s="163" t="e">
        <f t="shared" ca="1" si="30"/>
        <v>#N/A</v>
      </c>
      <c r="W162" s="163" t="e">
        <f t="shared" ca="1" si="31"/>
        <v>#N/A</v>
      </c>
      <c r="X162" s="163" t="e">
        <f t="shared" ca="1" si="32"/>
        <v>#N/A</v>
      </c>
      <c r="Y162" s="163" t="e">
        <f t="shared" ca="1" si="33"/>
        <v>#N/A</v>
      </c>
    </row>
    <row r="163" spans="12:25" ht="14.4">
      <c r="L163" s="464"/>
      <c r="M163" s="129" t="e">
        <f t="shared" si="34"/>
        <v>#N/A</v>
      </c>
      <c r="N163" s="161">
        <f t="shared" si="29"/>
        <v>13</v>
      </c>
      <c r="O163" s="160" t="e">
        <f t="shared" ca="1" si="23"/>
        <v>#N/A</v>
      </c>
      <c r="P163" s="160" t="e">
        <f t="shared" ca="1" si="27"/>
        <v>#N/A</v>
      </c>
      <c r="Q163" s="160" t="e">
        <f t="shared" ca="1" si="28"/>
        <v>#N/A</v>
      </c>
      <c r="R163" s="160" t="e">
        <f t="shared" ca="1" si="28"/>
        <v>#N/A</v>
      </c>
      <c r="S163" s="160" t="e">
        <f t="shared" ca="1" si="28"/>
        <v>#N/A</v>
      </c>
      <c r="T163" s="160" t="e">
        <f t="shared" ca="1" si="28"/>
        <v>#N/A</v>
      </c>
      <c r="U163" s="160" t="e">
        <f t="shared" ca="1" si="25"/>
        <v>#N/A</v>
      </c>
      <c r="V163" s="163" t="e">
        <f t="shared" ca="1" si="30"/>
        <v>#N/A</v>
      </c>
      <c r="W163" s="163" t="e">
        <f t="shared" ca="1" si="31"/>
        <v>#N/A</v>
      </c>
      <c r="X163" s="163" t="e">
        <f t="shared" ca="1" si="32"/>
        <v>#N/A</v>
      </c>
      <c r="Y163" s="163" t="e">
        <f t="shared" ca="1" si="33"/>
        <v>#N/A</v>
      </c>
    </row>
    <row r="164" spans="12:25" ht="14.4">
      <c r="L164" s="464"/>
      <c r="M164" s="129" t="e">
        <f t="shared" si="34"/>
        <v>#N/A</v>
      </c>
      <c r="N164" s="161">
        <f t="shared" si="29"/>
        <v>13</v>
      </c>
      <c r="O164" s="160" t="e">
        <f t="shared" ca="1" si="23"/>
        <v>#N/A</v>
      </c>
      <c r="P164" s="160" t="e">
        <f t="shared" ca="1" si="27"/>
        <v>#N/A</v>
      </c>
      <c r="Q164" s="160" t="e">
        <f t="shared" ca="1" si="28"/>
        <v>#N/A</v>
      </c>
      <c r="R164" s="160" t="e">
        <f t="shared" ca="1" si="28"/>
        <v>#N/A</v>
      </c>
      <c r="S164" s="160" t="e">
        <f t="shared" ca="1" si="28"/>
        <v>#N/A</v>
      </c>
      <c r="T164" s="160" t="e">
        <f t="shared" ca="1" si="28"/>
        <v>#N/A</v>
      </c>
      <c r="U164" s="160" t="e">
        <f t="shared" ca="1" si="25"/>
        <v>#N/A</v>
      </c>
      <c r="V164" s="163" t="e">
        <f t="shared" ca="1" si="30"/>
        <v>#N/A</v>
      </c>
      <c r="W164" s="163" t="e">
        <f t="shared" ca="1" si="31"/>
        <v>#N/A</v>
      </c>
      <c r="X164" s="163" t="e">
        <f t="shared" ca="1" si="32"/>
        <v>#N/A</v>
      </c>
      <c r="Y164" s="163" t="e">
        <f t="shared" ca="1" si="33"/>
        <v>#N/A</v>
      </c>
    </row>
    <row r="165" spans="12:25" ht="14.4">
      <c r="L165" s="464"/>
      <c r="M165" s="129" t="e">
        <f t="shared" si="34"/>
        <v>#N/A</v>
      </c>
      <c r="N165" s="161">
        <f t="shared" si="29"/>
        <v>13</v>
      </c>
      <c r="O165" s="160" t="e">
        <f t="shared" ca="1" si="23"/>
        <v>#N/A</v>
      </c>
      <c r="P165" s="160" t="e">
        <f t="shared" ca="1" si="27"/>
        <v>#N/A</v>
      </c>
      <c r="Q165" s="160" t="e">
        <f t="shared" ca="1" si="28"/>
        <v>#N/A</v>
      </c>
      <c r="R165" s="160" t="e">
        <f t="shared" ca="1" si="28"/>
        <v>#N/A</v>
      </c>
      <c r="S165" s="160" t="e">
        <f t="shared" ca="1" si="28"/>
        <v>#N/A</v>
      </c>
      <c r="T165" s="160" t="e">
        <f t="shared" ca="1" si="28"/>
        <v>#N/A</v>
      </c>
      <c r="U165" s="160" t="e">
        <f t="shared" ca="1" si="25"/>
        <v>#N/A</v>
      </c>
      <c r="V165" s="163" t="e">
        <f t="shared" ca="1" si="30"/>
        <v>#N/A</v>
      </c>
      <c r="W165" s="163" t="e">
        <f t="shared" ca="1" si="31"/>
        <v>#N/A</v>
      </c>
      <c r="X165" s="163" t="e">
        <f t="shared" ca="1" si="32"/>
        <v>#N/A</v>
      </c>
      <c r="Y165" s="163" t="e">
        <f t="shared" ca="1" si="33"/>
        <v>#N/A</v>
      </c>
    </row>
    <row r="166" spans="12:25" ht="14.4">
      <c r="L166" s="464"/>
      <c r="M166" s="129" t="e">
        <f t="shared" si="34"/>
        <v>#N/A</v>
      </c>
      <c r="N166" s="161">
        <f t="shared" si="29"/>
        <v>13</v>
      </c>
      <c r="O166" s="160" t="e">
        <f t="shared" ca="1" si="23"/>
        <v>#N/A</v>
      </c>
      <c r="P166" s="160" t="e">
        <f t="shared" ca="1" si="27"/>
        <v>#N/A</v>
      </c>
      <c r="Q166" s="160" t="e">
        <f t="shared" ca="1" si="28"/>
        <v>#N/A</v>
      </c>
      <c r="R166" s="160" t="e">
        <f t="shared" ca="1" si="28"/>
        <v>#N/A</v>
      </c>
      <c r="S166" s="160" t="e">
        <f t="shared" ca="1" si="28"/>
        <v>#N/A</v>
      </c>
      <c r="T166" s="160" t="e">
        <f t="shared" ca="1" si="28"/>
        <v>#N/A</v>
      </c>
      <c r="U166" s="160" t="e">
        <f t="shared" ca="1" si="25"/>
        <v>#N/A</v>
      </c>
      <c r="V166" s="163" t="e">
        <f t="shared" ca="1" si="30"/>
        <v>#N/A</v>
      </c>
      <c r="W166" s="163" t="e">
        <f t="shared" ca="1" si="31"/>
        <v>#N/A</v>
      </c>
      <c r="X166" s="163" t="e">
        <f t="shared" ca="1" si="32"/>
        <v>#N/A</v>
      </c>
      <c r="Y166" s="163" t="e">
        <f t="shared" ca="1" si="33"/>
        <v>#N/A</v>
      </c>
    </row>
    <row r="167" spans="12:25" ht="14.4">
      <c r="L167" s="464"/>
      <c r="M167" s="129" t="e">
        <f t="shared" si="34"/>
        <v>#N/A</v>
      </c>
      <c r="N167" s="161">
        <f t="shared" si="29"/>
        <v>13</v>
      </c>
      <c r="O167" s="160" t="e">
        <f t="shared" ca="1" si="23"/>
        <v>#N/A</v>
      </c>
      <c r="P167" s="160" t="e">
        <f t="shared" ca="1" si="27"/>
        <v>#N/A</v>
      </c>
      <c r="Q167" s="160" t="e">
        <f t="shared" ca="1" si="28"/>
        <v>#N/A</v>
      </c>
      <c r="R167" s="160" t="e">
        <f t="shared" ca="1" si="28"/>
        <v>#N/A</v>
      </c>
      <c r="S167" s="160" t="e">
        <f t="shared" ca="1" si="28"/>
        <v>#N/A</v>
      </c>
      <c r="T167" s="160" t="e">
        <f t="shared" ca="1" si="28"/>
        <v>#N/A</v>
      </c>
      <c r="U167" s="160" t="e">
        <f t="shared" ca="1" si="25"/>
        <v>#N/A</v>
      </c>
      <c r="V167" s="163" t="e">
        <f t="shared" ca="1" si="30"/>
        <v>#N/A</v>
      </c>
      <c r="W167" s="163" t="e">
        <f t="shared" ca="1" si="31"/>
        <v>#N/A</v>
      </c>
      <c r="X167" s="163" t="e">
        <f t="shared" ca="1" si="32"/>
        <v>#N/A</v>
      </c>
      <c r="Y167" s="163" t="e">
        <f t="shared" ca="1" si="33"/>
        <v>#N/A</v>
      </c>
    </row>
    <row r="168" spans="12:25" ht="14.4">
      <c r="L168" s="464"/>
      <c r="M168" s="129" t="e">
        <f t="shared" si="34"/>
        <v>#N/A</v>
      </c>
      <c r="N168" s="161">
        <f t="shared" si="29"/>
        <v>13</v>
      </c>
      <c r="O168" s="160" t="e">
        <f t="shared" ca="1" si="23"/>
        <v>#N/A</v>
      </c>
      <c r="P168" s="160" t="e">
        <f t="shared" ca="1" si="27"/>
        <v>#N/A</v>
      </c>
      <c r="Q168" s="160" t="e">
        <f t="shared" ca="1" si="28"/>
        <v>#N/A</v>
      </c>
      <c r="R168" s="160" t="e">
        <f t="shared" ca="1" si="28"/>
        <v>#N/A</v>
      </c>
      <c r="S168" s="160" t="e">
        <f t="shared" ca="1" si="28"/>
        <v>#N/A</v>
      </c>
      <c r="T168" s="160" t="e">
        <f t="shared" ca="1" si="28"/>
        <v>#N/A</v>
      </c>
      <c r="U168" s="160" t="e">
        <f t="shared" ca="1" si="25"/>
        <v>#N/A</v>
      </c>
      <c r="V168" s="163" t="e">
        <f t="shared" ca="1" si="30"/>
        <v>#N/A</v>
      </c>
      <c r="W168" s="163" t="e">
        <f t="shared" ca="1" si="31"/>
        <v>#N/A</v>
      </c>
      <c r="X168" s="163" t="e">
        <f t="shared" ca="1" si="32"/>
        <v>#N/A</v>
      </c>
      <c r="Y168" s="163" t="e">
        <f t="shared" ca="1" si="33"/>
        <v>#N/A</v>
      </c>
    </row>
    <row r="169" spans="12:25" ht="14.4">
      <c r="L169" s="464"/>
      <c r="M169" s="129" t="e">
        <f t="shared" si="34"/>
        <v>#N/A</v>
      </c>
      <c r="N169" s="161">
        <f t="shared" si="29"/>
        <v>13</v>
      </c>
      <c r="O169" s="160" t="e">
        <f t="shared" ref="O169:O232" ca="1" si="35">IF($M169="end",0,OFFSET($A$1,$M169-1,O$29,1,1))</f>
        <v>#N/A</v>
      </c>
      <c r="P169" s="160" t="e">
        <f t="shared" ca="1" si="27"/>
        <v>#N/A</v>
      </c>
      <c r="Q169" s="160" t="e">
        <f t="shared" ca="1" si="28"/>
        <v>#N/A</v>
      </c>
      <c r="R169" s="160" t="e">
        <f t="shared" ca="1" si="28"/>
        <v>#N/A</v>
      </c>
      <c r="S169" s="160" t="e">
        <f t="shared" ca="1" si="28"/>
        <v>#N/A</v>
      </c>
      <c r="T169" s="160" t="e">
        <f t="shared" ca="1" si="28"/>
        <v>#N/A</v>
      </c>
      <c r="U169" s="160" t="e">
        <f t="shared" ca="1" si="25"/>
        <v>#N/A</v>
      </c>
      <c r="V169" s="163" t="e">
        <f t="shared" ca="1" si="30"/>
        <v>#N/A</v>
      </c>
      <c r="W169" s="163" t="e">
        <f t="shared" ca="1" si="31"/>
        <v>#N/A</v>
      </c>
      <c r="X169" s="163" t="e">
        <f t="shared" ca="1" si="32"/>
        <v>#N/A</v>
      </c>
      <c r="Y169" s="163" t="e">
        <f t="shared" ca="1" si="33"/>
        <v>#N/A</v>
      </c>
    </row>
    <row r="170" spans="12:25" ht="14.4">
      <c r="L170" s="464"/>
      <c r="M170" s="129" t="e">
        <f t="shared" si="34"/>
        <v>#N/A</v>
      </c>
      <c r="N170" s="161">
        <f t="shared" si="29"/>
        <v>13</v>
      </c>
      <c r="O170" s="160" t="e">
        <f t="shared" ca="1" si="35"/>
        <v>#N/A</v>
      </c>
      <c r="P170" s="160" t="e">
        <f t="shared" ca="1" si="27"/>
        <v>#N/A</v>
      </c>
      <c r="Q170" s="160" t="e">
        <f t="shared" ca="1" si="28"/>
        <v>#N/A</v>
      </c>
      <c r="R170" s="160" t="e">
        <f t="shared" ca="1" si="28"/>
        <v>#N/A</v>
      </c>
      <c r="S170" s="160" t="e">
        <f t="shared" ca="1" si="28"/>
        <v>#N/A</v>
      </c>
      <c r="T170" s="160" t="e">
        <f t="shared" ca="1" si="28"/>
        <v>#N/A</v>
      </c>
      <c r="U170" s="160" t="e">
        <f t="shared" ca="1" si="25"/>
        <v>#N/A</v>
      </c>
      <c r="V170" s="163" t="e">
        <f t="shared" ca="1" si="30"/>
        <v>#N/A</v>
      </c>
      <c r="W170" s="163" t="e">
        <f t="shared" ca="1" si="31"/>
        <v>#N/A</v>
      </c>
      <c r="X170" s="163" t="e">
        <f t="shared" ca="1" si="32"/>
        <v>#N/A</v>
      </c>
      <c r="Y170" s="163" t="e">
        <f t="shared" ca="1" si="33"/>
        <v>#N/A</v>
      </c>
    </row>
    <row r="171" spans="12:25" ht="14.4">
      <c r="L171" s="464"/>
      <c r="M171" s="129" t="e">
        <f t="shared" si="34"/>
        <v>#N/A</v>
      </c>
      <c r="N171" s="161">
        <f t="shared" si="29"/>
        <v>13</v>
      </c>
      <c r="O171" s="160" t="e">
        <f t="shared" ca="1" si="35"/>
        <v>#N/A</v>
      </c>
      <c r="P171" s="160" t="e">
        <f t="shared" ca="1" si="27"/>
        <v>#N/A</v>
      </c>
      <c r="Q171" s="160" t="e">
        <f t="shared" ca="1" si="28"/>
        <v>#N/A</v>
      </c>
      <c r="R171" s="160" t="e">
        <f t="shared" ca="1" si="28"/>
        <v>#N/A</v>
      </c>
      <c r="S171" s="160" t="e">
        <f t="shared" ca="1" si="28"/>
        <v>#N/A</v>
      </c>
      <c r="T171" s="160" t="e">
        <f t="shared" ca="1" si="28"/>
        <v>#N/A</v>
      </c>
      <c r="U171" s="160" t="e">
        <f t="shared" ca="1" si="25"/>
        <v>#N/A</v>
      </c>
      <c r="V171" s="163" t="e">
        <f t="shared" ca="1" si="30"/>
        <v>#N/A</v>
      </c>
      <c r="W171" s="163" t="e">
        <f t="shared" ca="1" si="31"/>
        <v>#N/A</v>
      </c>
      <c r="X171" s="163" t="e">
        <f t="shared" ca="1" si="32"/>
        <v>#N/A</v>
      </c>
      <c r="Y171" s="163" t="e">
        <f t="shared" ca="1" si="33"/>
        <v>#N/A</v>
      </c>
    </row>
    <row r="172" spans="12:25" ht="14.4">
      <c r="L172" s="464"/>
      <c r="M172" s="129" t="e">
        <f t="shared" si="34"/>
        <v>#N/A</v>
      </c>
      <c r="N172" s="161">
        <f t="shared" si="29"/>
        <v>13</v>
      </c>
      <c r="O172" s="160" t="e">
        <f t="shared" ca="1" si="35"/>
        <v>#N/A</v>
      </c>
      <c r="P172" s="160" t="e">
        <f t="shared" ca="1" si="27"/>
        <v>#N/A</v>
      </c>
      <c r="Q172" s="160" t="e">
        <f t="shared" ca="1" si="28"/>
        <v>#N/A</v>
      </c>
      <c r="R172" s="160" t="e">
        <f t="shared" ca="1" si="28"/>
        <v>#N/A</v>
      </c>
      <c r="S172" s="160" t="e">
        <f t="shared" ca="1" si="28"/>
        <v>#N/A</v>
      </c>
      <c r="T172" s="160" t="e">
        <f t="shared" ca="1" si="28"/>
        <v>#N/A</v>
      </c>
      <c r="U172" s="160" t="e">
        <f t="shared" ca="1" si="25"/>
        <v>#N/A</v>
      </c>
      <c r="V172" s="163" t="e">
        <f t="shared" ca="1" si="30"/>
        <v>#N/A</v>
      </c>
      <c r="W172" s="163" t="e">
        <f t="shared" ca="1" si="31"/>
        <v>#N/A</v>
      </c>
      <c r="X172" s="163" t="e">
        <f t="shared" ca="1" si="32"/>
        <v>#N/A</v>
      </c>
      <c r="Y172" s="163" t="e">
        <f t="shared" ca="1" si="33"/>
        <v>#N/A</v>
      </c>
    </row>
    <row r="173" spans="12:25" ht="14.4">
      <c r="L173" s="464"/>
      <c r="M173" s="129" t="e">
        <f t="shared" si="34"/>
        <v>#N/A</v>
      </c>
      <c r="N173" s="161">
        <f t="shared" si="29"/>
        <v>13</v>
      </c>
      <c r="O173" s="160" t="e">
        <f t="shared" ca="1" si="35"/>
        <v>#N/A</v>
      </c>
      <c r="P173" s="160" t="e">
        <f t="shared" ca="1" si="27"/>
        <v>#N/A</v>
      </c>
      <c r="Q173" s="160" t="e">
        <f t="shared" ca="1" si="28"/>
        <v>#N/A</v>
      </c>
      <c r="R173" s="160" t="e">
        <f t="shared" ca="1" si="28"/>
        <v>#N/A</v>
      </c>
      <c r="S173" s="160" t="e">
        <f t="shared" ca="1" si="28"/>
        <v>#N/A</v>
      </c>
      <c r="T173" s="160" t="e">
        <f t="shared" ca="1" si="28"/>
        <v>#N/A</v>
      </c>
      <c r="U173" s="160" t="e">
        <f t="shared" ref="U173:U236" ca="1" si="36">IF($M173="end",0,OFFSET($A$1,$M173-1,U$29,1,1))</f>
        <v>#N/A</v>
      </c>
      <c r="V173" s="163" t="e">
        <f t="shared" ca="1" si="30"/>
        <v>#N/A</v>
      </c>
      <c r="W173" s="163" t="e">
        <f t="shared" ca="1" si="31"/>
        <v>#N/A</v>
      </c>
      <c r="X173" s="163" t="e">
        <f t="shared" ca="1" si="32"/>
        <v>#N/A</v>
      </c>
      <c r="Y173" s="163" t="e">
        <f t="shared" ca="1" si="33"/>
        <v>#N/A</v>
      </c>
    </row>
    <row r="174" spans="12:25" ht="14.4">
      <c r="L174" s="464"/>
      <c r="M174" s="129" t="e">
        <f t="shared" si="34"/>
        <v>#N/A</v>
      </c>
      <c r="N174" s="161">
        <f t="shared" si="29"/>
        <v>13</v>
      </c>
      <c r="O174" s="160" t="e">
        <f t="shared" ca="1" si="35"/>
        <v>#N/A</v>
      </c>
      <c r="P174" s="160" t="e">
        <f t="shared" ca="1" si="27"/>
        <v>#N/A</v>
      </c>
      <c r="Q174" s="160" t="e">
        <f t="shared" ca="1" si="28"/>
        <v>#N/A</v>
      </c>
      <c r="R174" s="160" t="e">
        <f t="shared" ca="1" si="28"/>
        <v>#N/A</v>
      </c>
      <c r="S174" s="160" t="e">
        <f t="shared" ca="1" si="28"/>
        <v>#N/A</v>
      </c>
      <c r="T174" s="160" t="e">
        <f t="shared" ca="1" si="28"/>
        <v>#N/A</v>
      </c>
      <c r="U174" s="160" t="e">
        <f t="shared" ca="1" si="36"/>
        <v>#N/A</v>
      </c>
      <c r="V174" s="163" t="e">
        <f t="shared" ca="1" si="30"/>
        <v>#N/A</v>
      </c>
      <c r="W174" s="163" t="e">
        <f t="shared" ca="1" si="31"/>
        <v>#N/A</v>
      </c>
      <c r="X174" s="163" t="e">
        <f t="shared" ca="1" si="32"/>
        <v>#N/A</v>
      </c>
      <c r="Y174" s="163" t="e">
        <f t="shared" ca="1" si="33"/>
        <v>#N/A</v>
      </c>
    </row>
    <row r="175" spans="12:25" ht="14.4">
      <c r="L175" s="464"/>
      <c r="M175" s="129" t="e">
        <f t="shared" si="34"/>
        <v>#N/A</v>
      </c>
      <c r="N175" s="161">
        <f t="shared" si="29"/>
        <v>13</v>
      </c>
      <c r="O175" s="160" t="e">
        <f t="shared" ca="1" si="35"/>
        <v>#N/A</v>
      </c>
      <c r="P175" s="160" t="e">
        <f t="shared" ca="1" si="27"/>
        <v>#N/A</v>
      </c>
      <c r="Q175" s="160" t="e">
        <f t="shared" ca="1" si="28"/>
        <v>#N/A</v>
      </c>
      <c r="R175" s="160" t="e">
        <f t="shared" ca="1" si="28"/>
        <v>#N/A</v>
      </c>
      <c r="S175" s="160" t="e">
        <f t="shared" ca="1" si="28"/>
        <v>#N/A</v>
      </c>
      <c r="T175" s="160" t="e">
        <f t="shared" ca="1" si="28"/>
        <v>#N/A</v>
      </c>
      <c r="U175" s="160" t="e">
        <f t="shared" ca="1" si="36"/>
        <v>#N/A</v>
      </c>
      <c r="V175" s="163" t="e">
        <f t="shared" ca="1" si="30"/>
        <v>#N/A</v>
      </c>
      <c r="W175" s="163" t="e">
        <f t="shared" ca="1" si="31"/>
        <v>#N/A</v>
      </c>
      <c r="X175" s="163" t="e">
        <f t="shared" ca="1" si="32"/>
        <v>#N/A</v>
      </c>
      <c r="Y175" s="163" t="e">
        <f t="shared" ca="1" si="33"/>
        <v>#N/A</v>
      </c>
    </row>
    <row r="176" spans="12:25" ht="14.4">
      <c r="L176" s="464"/>
      <c r="M176" s="129" t="e">
        <f t="shared" si="34"/>
        <v>#N/A</v>
      </c>
      <c r="N176" s="161">
        <f t="shared" si="29"/>
        <v>13</v>
      </c>
      <c r="O176" s="160" t="e">
        <f t="shared" ca="1" si="35"/>
        <v>#N/A</v>
      </c>
      <c r="P176" s="160" t="e">
        <f t="shared" ca="1" si="27"/>
        <v>#N/A</v>
      </c>
      <c r="Q176" s="160" t="e">
        <f t="shared" ca="1" si="28"/>
        <v>#N/A</v>
      </c>
      <c r="R176" s="160" t="e">
        <f t="shared" ca="1" si="28"/>
        <v>#N/A</v>
      </c>
      <c r="S176" s="160" t="e">
        <f t="shared" ca="1" si="28"/>
        <v>#N/A</v>
      </c>
      <c r="T176" s="160" t="e">
        <f t="shared" ca="1" si="28"/>
        <v>#N/A</v>
      </c>
      <c r="U176" s="160" t="e">
        <f t="shared" ca="1" si="36"/>
        <v>#N/A</v>
      </c>
      <c r="V176" s="163" t="e">
        <f t="shared" ca="1" si="30"/>
        <v>#N/A</v>
      </c>
      <c r="W176" s="163" t="e">
        <f t="shared" ca="1" si="31"/>
        <v>#N/A</v>
      </c>
      <c r="X176" s="163" t="e">
        <f t="shared" ca="1" si="32"/>
        <v>#N/A</v>
      </c>
      <c r="Y176" s="163" t="e">
        <f t="shared" ca="1" si="33"/>
        <v>#N/A</v>
      </c>
    </row>
    <row r="177" spans="12:25" ht="14.4">
      <c r="L177" s="464"/>
      <c r="M177" s="129" t="e">
        <f t="shared" si="34"/>
        <v>#N/A</v>
      </c>
      <c r="N177" s="161">
        <f t="shared" si="29"/>
        <v>13</v>
      </c>
      <c r="O177" s="160" t="e">
        <f t="shared" ca="1" si="35"/>
        <v>#N/A</v>
      </c>
      <c r="P177" s="160" t="e">
        <f t="shared" ca="1" si="27"/>
        <v>#N/A</v>
      </c>
      <c r="Q177" s="160" t="e">
        <f t="shared" ca="1" si="28"/>
        <v>#N/A</v>
      </c>
      <c r="R177" s="160" t="e">
        <f t="shared" ca="1" si="28"/>
        <v>#N/A</v>
      </c>
      <c r="S177" s="160" t="e">
        <f t="shared" ca="1" si="28"/>
        <v>#N/A</v>
      </c>
      <c r="T177" s="160" t="e">
        <f t="shared" ref="T177:U240" ca="1" si="37">IF($M177="end",0,OFFSET($A$1,$M177-1,T$29,1,1))</f>
        <v>#N/A</v>
      </c>
      <c r="U177" s="160" t="e">
        <f t="shared" ca="1" si="36"/>
        <v>#N/A</v>
      </c>
      <c r="V177" s="163" t="e">
        <f t="shared" ca="1" si="30"/>
        <v>#N/A</v>
      </c>
      <c r="W177" s="163" t="e">
        <f t="shared" ca="1" si="31"/>
        <v>#N/A</v>
      </c>
      <c r="X177" s="163" t="e">
        <f t="shared" ca="1" si="32"/>
        <v>#N/A</v>
      </c>
      <c r="Y177" s="163" t="e">
        <f t="shared" ca="1" si="33"/>
        <v>#N/A</v>
      </c>
    </row>
    <row r="178" spans="12:25" ht="14.4">
      <c r="L178" s="464"/>
      <c r="M178" s="129" t="e">
        <f t="shared" si="34"/>
        <v>#N/A</v>
      </c>
      <c r="N178" s="161">
        <f t="shared" si="29"/>
        <v>13</v>
      </c>
      <c r="O178" s="160" t="e">
        <f t="shared" ca="1" si="35"/>
        <v>#N/A</v>
      </c>
      <c r="P178" s="160" t="e">
        <f t="shared" ref="P178:P241" ca="1" si="38">IF($M178="end",0,OFFSET($A$1,$M178-1,P$29,1,1))</f>
        <v>#N/A</v>
      </c>
      <c r="Q178" s="160" t="e">
        <f t="shared" ref="Q178:U241" ca="1" si="39">IF($M178="end",0,OFFSET($A$1,$M178-1,Q$29,1,1))</f>
        <v>#N/A</v>
      </c>
      <c r="R178" s="160" t="e">
        <f t="shared" ca="1" si="39"/>
        <v>#N/A</v>
      </c>
      <c r="S178" s="160" t="e">
        <f t="shared" ca="1" si="39"/>
        <v>#N/A</v>
      </c>
      <c r="T178" s="160" t="e">
        <f t="shared" ca="1" si="37"/>
        <v>#N/A</v>
      </c>
      <c r="U178" s="160" t="e">
        <f t="shared" ca="1" si="36"/>
        <v>#N/A</v>
      </c>
      <c r="V178" s="163" t="e">
        <f t="shared" ca="1" si="30"/>
        <v>#N/A</v>
      </c>
      <c r="W178" s="163" t="e">
        <f t="shared" ca="1" si="31"/>
        <v>#N/A</v>
      </c>
      <c r="X178" s="163" t="e">
        <f t="shared" ca="1" si="32"/>
        <v>#N/A</v>
      </c>
      <c r="Y178" s="163" t="e">
        <f t="shared" ca="1" si="33"/>
        <v>#N/A</v>
      </c>
    </row>
    <row r="179" spans="12:25" ht="14.4">
      <c r="L179" s="464"/>
      <c r="M179" s="129" t="e">
        <f t="shared" si="34"/>
        <v>#N/A</v>
      </c>
      <c r="N179" s="161">
        <f t="shared" si="29"/>
        <v>13</v>
      </c>
      <c r="O179" s="160" t="e">
        <f t="shared" ca="1" si="35"/>
        <v>#N/A</v>
      </c>
      <c r="P179" s="160" t="e">
        <f t="shared" ca="1" si="38"/>
        <v>#N/A</v>
      </c>
      <c r="Q179" s="160" t="e">
        <f t="shared" ca="1" si="39"/>
        <v>#N/A</v>
      </c>
      <c r="R179" s="160" t="e">
        <f t="shared" ca="1" si="39"/>
        <v>#N/A</v>
      </c>
      <c r="S179" s="160" t="e">
        <f t="shared" ca="1" si="39"/>
        <v>#N/A</v>
      </c>
      <c r="T179" s="160" t="e">
        <f t="shared" ca="1" si="37"/>
        <v>#N/A</v>
      </c>
      <c r="U179" s="160" t="e">
        <f t="shared" ca="1" si="36"/>
        <v>#N/A</v>
      </c>
      <c r="V179" s="163" t="e">
        <f t="shared" ca="1" si="30"/>
        <v>#N/A</v>
      </c>
      <c r="W179" s="163" t="e">
        <f t="shared" ca="1" si="31"/>
        <v>#N/A</v>
      </c>
      <c r="X179" s="163" t="e">
        <f t="shared" ca="1" si="32"/>
        <v>#N/A</v>
      </c>
      <c r="Y179" s="163" t="e">
        <f t="shared" ca="1" si="33"/>
        <v>#N/A</v>
      </c>
    </row>
    <row r="180" spans="12:25" ht="14.4">
      <c r="L180" s="464"/>
      <c r="M180" s="129" t="e">
        <f t="shared" si="34"/>
        <v>#N/A</v>
      </c>
      <c r="N180" s="161">
        <f t="shared" si="29"/>
        <v>13</v>
      </c>
      <c r="O180" s="160" t="e">
        <f t="shared" ca="1" si="35"/>
        <v>#N/A</v>
      </c>
      <c r="P180" s="160" t="e">
        <f t="shared" ca="1" si="38"/>
        <v>#N/A</v>
      </c>
      <c r="Q180" s="160" t="e">
        <f t="shared" ca="1" si="39"/>
        <v>#N/A</v>
      </c>
      <c r="R180" s="160" t="e">
        <f t="shared" ca="1" si="39"/>
        <v>#N/A</v>
      </c>
      <c r="S180" s="160" t="e">
        <f t="shared" ca="1" si="39"/>
        <v>#N/A</v>
      </c>
      <c r="T180" s="160" t="e">
        <f t="shared" ca="1" si="37"/>
        <v>#N/A</v>
      </c>
      <c r="U180" s="160" t="e">
        <f t="shared" ca="1" si="36"/>
        <v>#N/A</v>
      </c>
      <c r="V180" s="163" t="e">
        <f t="shared" ca="1" si="30"/>
        <v>#N/A</v>
      </c>
      <c r="W180" s="163" t="e">
        <f t="shared" ca="1" si="31"/>
        <v>#N/A</v>
      </c>
      <c r="X180" s="163" t="e">
        <f t="shared" ca="1" si="32"/>
        <v>#N/A</v>
      </c>
      <c r="Y180" s="163" t="e">
        <f t="shared" ca="1" si="33"/>
        <v>#N/A</v>
      </c>
    </row>
    <row r="181" spans="12:25" ht="14.4">
      <c r="L181" s="464"/>
      <c r="M181" s="129" t="e">
        <f t="shared" si="34"/>
        <v>#N/A</v>
      </c>
      <c r="N181" s="161">
        <f t="shared" si="29"/>
        <v>13</v>
      </c>
      <c r="O181" s="160" t="e">
        <f t="shared" ca="1" si="35"/>
        <v>#N/A</v>
      </c>
      <c r="P181" s="160" t="e">
        <f t="shared" ca="1" si="38"/>
        <v>#N/A</v>
      </c>
      <c r="Q181" s="160" t="e">
        <f t="shared" ca="1" si="39"/>
        <v>#N/A</v>
      </c>
      <c r="R181" s="160" t="e">
        <f t="shared" ca="1" si="39"/>
        <v>#N/A</v>
      </c>
      <c r="S181" s="160" t="e">
        <f t="shared" ca="1" si="39"/>
        <v>#N/A</v>
      </c>
      <c r="T181" s="160" t="e">
        <f t="shared" ca="1" si="37"/>
        <v>#N/A</v>
      </c>
      <c r="U181" s="160" t="e">
        <f t="shared" ca="1" si="36"/>
        <v>#N/A</v>
      </c>
      <c r="V181" s="163" t="e">
        <f t="shared" ca="1" si="30"/>
        <v>#N/A</v>
      </c>
      <c r="W181" s="163" t="e">
        <f t="shared" ca="1" si="31"/>
        <v>#N/A</v>
      </c>
      <c r="X181" s="163" t="e">
        <f t="shared" ca="1" si="32"/>
        <v>#N/A</v>
      </c>
      <c r="Y181" s="163" t="e">
        <f t="shared" ca="1" si="33"/>
        <v>#N/A</v>
      </c>
    </row>
    <row r="182" spans="12:25" ht="14.4">
      <c r="L182" s="464"/>
      <c r="M182" s="129" t="e">
        <f t="shared" si="34"/>
        <v>#N/A</v>
      </c>
      <c r="N182" s="161">
        <f t="shared" si="29"/>
        <v>13</v>
      </c>
      <c r="O182" s="160" t="e">
        <f t="shared" ca="1" si="35"/>
        <v>#N/A</v>
      </c>
      <c r="P182" s="160" t="e">
        <f t="shared" ca="1" si="38"/>
        <v>#N/A</v>
      </c>
      <c r="Q182" s="160" t="e">
        <f t="shared" ca="1" si="39"/>
        <v>#N/A</v>
      </c>
      <c r="R182" s="160" t="e">
        <f t="shared" ca="1" si="39"/>
        <v>#N/A</v>
      </c>
      <c r="S182" s="160" t="e">
        <f t="shared" ca="1" si="39"/>
        <v>#N/A</v>
      </c>
      <c r="T182" s="160" t="e">
        <f t="shared" ca="1" si="37"/>
        <v>#N/A</v>
      </c>
      <c r="U182" s="160" t="e">
        <f t="shared" ca="1" si="36"/>
        <v>#N/A</v>
      </c>
      <c r="V182" s="163" t="e">
        <f t="shared" ca="1" si="30"/>
        <v>#N/A</v>
      </c>
      <c r="W182" s="163" t="e">
        <f t="shared" ca="1" si="31"/>
        <v>#N/A</v>
      </c>
      <c r="X182" s="163" t="e">
        <f t="shared" ca="1" si="32"/>
        <v>#N/A</v>
      </c>
      <c r="Y182" s="163" t="e">
        <f t="shared" ca="1" si="33"/>
        <v>#N/A</v>
      </c>
    </row>
    <row r="183" spans="12:25" ht="14.4">
      <c r="L183" s="464"/>
      <c r="M183" s="129" t="e">
        <f t="shared" si="34"/>
        <v>#N/A</v>
      </c>
      <c r="N183" s="161">
        <f t="shared" si="29"/>
        <v>13</v>
      </c>
      <c r="O183" s="160" t="e">
        <f t="shared" ca="1" si="35"/>
        <v>#N/A</v>
      </c>
      <c r="P183" s="160" t="e">
        <f t="shared" ca="1" si="38"/>
        <v>#N/A</v>
      </c>
      <c r="Q183" s="160" t="e">
        <f t="shared" ca="1" si="39"/>
        <v>#N/A</v>
      </c>
      <c r="R183" s="160" t="e">
        <f t="shared" ca="1" si="39"/>
        <v>#N/A</v>
      </c>
      <c r="S183" s="160" t="e">
        <f t="shared" ca="1" si="39"/>
        <v>#N/A</v>
      </c>
      <c r="T183" s="160" t="e">
        <f t="shared" ca="1" si="37"/>
        <v>#N/A</v>
      </c>
      <c r="U183" s="160" t="e">
        <f t="shared" ca="1" si="36"/>
        <v>#N/A</v>
      </c>
      <c r="V183" s="163" t="e">
        <f t="shared" ca="1" si="30"/>
        <v>#N/A</v>
      </c>
      <c r="W183" s="163" t="e">
        <f t="shared" ca="1" si="31"/>
        <v>#N/A</v>
      </c>
      <c r="X183" s="163" t="e">
        <f t="shared" ca="1" si="32"/>
        <v>#N/A</v>
      </c>
      <c r="Y183" s="163" t="e">
        <f t="shared" ca="1" si="33"/>
        <v>#N/A</v>
      </c>
    </row>
    <row r="184" spans="12:25" ht="14.4">
      <c r="L184" s="464"/>
      <c r="M184" s="129" t="e">
        <f t="shared" si="34"/>
        <v>#N/A</v>
      </c>
      <c r="N184" s="161">
        <f t="shared" si="29"/>
        <v>13</v>
      </c>
      <c r="O184" s="160" t="e">
        <f t="shared" ca="1" si="35"/>
        <v>#N/A</v>
      </c>
      <c r="P184" s="160" t="e">
        <f t="shared" ca="1" si="38"/>
        <v>#N/A</v>
      </c>
      <c r="Q184" s="160" t="e">
        <f t="shared" ca="1" si="39"/>
        <v>#N/A</v>
      </c>
      <c r="R184" s="160" t="e">
        <f t="shared" ca="1" si="39"/>
        <v>#N/A</v>
      </c>
      <c r="S184" s="160" t="e">
        <f t="shared" ca="1" si="39"/>
        <v>#N/A</v>
      </c>
      <c r="T184" s="160" t="e">
        <f t="shared" ca="1" si="37"/>
        <v>#N/A</v>
      </c>
      <c r="U184" s="160" t="e">
        <f t="shared" ca="1" si="36"/>
        <v>#N/A</v>
      </c>
      <c r="V184" s="163" t="e">
        <f t="shared" ca="1" si="30"/>
        <v>#N/A</v>
      </c>
      <c r="W184" s="163" t="e">
        <f t="shared" ca="1" si="31"/>
        <v>#N/A</v>
      </c>
      <c r="X184" s="163" t="e">
        <f t="shared" ca="1" si="32"/>
        <v>#N/A</v>
      </c>
      <c r="Y184" s="163" t="e">
        <f t="shared" ca="1" si="33"/>
        <v>#N/A</v>
      </c>
    </row>
    <row r="185" spans="12:25" ht="14.4">
      <c r="L185" s="464"/>
      <c r="M185" s="129" t="e">
        <f t="shared" si="34"/>
        <v>#N/A</v>
      </c>
      <c r="N185" s="161">
        <f t="shared" si="29"/>
        <v>13</v>
      </c>
      <c r="O185" s="160" t="e">
        <f t="shared" ca="1" si="35"/>
        <v>#N/A</v>
      </c>
      <c r="P185" s="160" t="e">
        <f t="shared" ca="1" si="38"/>
        <v>#N/A</v>
      </c>
      <c r="Q185" s="160" t="e">
        <f t="shared" ca="1" si="39"/>
        <v>#N/A</v>
      </c>
      <c r="R185" s="160" t="e">
        <f t="shared" ca="1" si="39"/>
        <v>#N/A</v>
      </c>
      <c r="S185" s="160" t="e">
        <f t="shared" ca="1" si="39"/>
        <v>#N/A</v>
      </c>
      <c r="T185" s="160" t="e">
        <f t="shared" ca="1" si="37"/>
        <v>#N/A</v>
      </c>
      <c r="U185" s="160" t="e">
        <f t="shared" ca="1" si="36"/>
        <v>#N/A</v>
      </c>
      <c r="V185" s="163" t="e">
        <f t="shared" ca="1" si="30"/>
        <v>#N/A</v>
      </c>
      <c r="W185" s="163" t="e">
        <f t="shared" ca="1" si="31"/>
        <v>#N/A</v>
      </c>
      <c r="X185" s="163" t="e">
        <f t="shared" ca="1" si="32"/>
        <v>#N/A</v>
      </c>
      <c r="Y185" s="163" t="e">
        <f t="shared" ca="1" si="33"/>
        <v>#N/A</v>
      </c>
    </row>
    <row r="186" spans="12:25" ht="14.4">
      <c r="L186" s="464"/>
      <c r="M186" s="129" t="e">
        <f t="shared" si="34"/>
        <v>#N/A</v>
      </c>
      <c r="N186" s="161">
        <f t="shared" si="29"/>
        <v>13</v>
      </c>
      <c r="O186" s="160" t="e">
        <f t="shared" ca="1" si="35"/>
        <v>#N/A</v>
      </c>
      <c r="P186" s="160" t="e">
        <f t="shared" ca="1" si="38"/>
        <v>#N/A</v>
      </c>
      <c r="Q186" s="160" t="e">
        <f t="shared" ca="1" si="39"/>
        <v>#N/A</v>
      </c>
      <c r="R186" s="160" t="e">
        <f t="shared" ca="1" si="39"/>
        <v>#N/A</v>
      </c>
      <c r="S186" s="160" t="e">
        <f t="shared" ca="1" si="39"/>
        <v>#N/A</v>
      </c>
      <c r="T186" s="160" t="e">
        <f t="shared" ca="1" si="37"/>
        <v>#N/A</v>
      </c>
      <c r="U186" s="160" t="e">
        <f t="shared" ca="1" si="36"/>
        <v>#N/A</v>
      </c>
      <c r="V186" s="163" t="e">
        <f t="shared" ca="1" si="30"/>
        <v>#N/A</v>
      </c>
      <c r="W186" s="163" t="e">
        <f t="shared" ca="1" si="31"/>
        <v>#N/A</v>
      </c>
      <c r="X186" s="163" t="e">
        <f t="shared" ca="1" si="32"/>
        <v>#N/A</v>
      </c>
      <c r="Y186" s="163" t="e">
        <f t="shared" ca="1" si="33"/>
        <v>#N/A</v>
      </c>
    </row>
    <row r="187" spans="12:25" ht="14.4">
      <c r="L187" s="464"/>
      <c r="M187" s="129" t="e">
        <f t="shared" si="34"/>
        <v>#N/A</v>
      </c>
      <c r="N187" s="161">
        <f t="shared" si="29"/>
        <v>13</v>
      </c>
      <c r="O187" s="160" t="e">
        <f t="shared" ca="1" si="35"/>
        <v>#N/A</v>
      </c>
      <c r="P187" s="160" t="e">
        <f t="shared" ca="1" si="38"/>
        <v>#N/A</v>
      </c>
      <c r="Q187" s="160" t="e">
        <f t="shared" ca="1" si="39"/>
        <v>#N/A</v>
      </c>
      <c r="R187" s="160" t="e">
        <f t="shared" ca="1" si="39"/>
        <v>#N/A</v>
      </c>
      <c r="S187" s="160" t="e">
        <f t="shared" ca="1" si="39"/>
        <v>#N/A</v>
      </c>
      <c r="T187" s="160" t="e">
        <f t="shared" ca="1" si="37"/>
        <v>#N/A</v>
      </c>
      <c r="U187" s="160" t="e">
        <f t="shared" ca="1" si="36"/>
        <v>#N/A</v>
      </c>
      <c r="V187" s="163" t="e">
        <f t="shared" ca="1" si="30"/>
        <v>#N/A</v>
      </c>
      <c r="W187" s="163" t="e">
        <f t="shared" ca="1" si="31"/>
        <v>#N/A</v>
      </c>
      <c r="X187" s="163" t="e">
        <f t="shared" ca="1" si="32"/>
        <v>#N/A</v>
      </c>
      <c r="Y187" s="163" t="e">
        <f t="shared" ca="1" si="33"/>
        <v>#N/A</v>
      </c>
    </row>
    <row r="188" spans="12:25" ht="14.4">
      <c r="L188" s="464"/>
      <c r="M188" s="129" t="e">
        <f t="shared" si="34"/>
        <v>#N/A</v>
      </c>
      <c r="N188" s="161">
        <f t="shared" si="29"/>
        <v>13</v>
      </c>
      <c r="O188" s="160" t="e">
        <f t="shared" ca="1" si="35"/>
        <v>#N/A</v>
      </c>
      <c r="P188" s="160" t="e">
        <f t="shared" ca="1" si="38"/>
        <v>#N/A</v>
      </c>
      <c r="Q188" s="160" t="e">
        <f t="shared" ca="1" si="39"/>
        <v>#N/A</v>
      </c>
      <c r="R188" s="160" t="e">
        <f t="shared" ca="1" si="39"/>
        <v>#N/A</v>
      </c>
      <c r="S188" s="160" t="e">
        <f t="shared" ca="1" si="39"/>
        <v>#N/A</v>
      </c>
      <c r="T188" s="160" t="e">
        <f t="shared" ca="1" si="37"/>
        <v>#N/A</v>
      </c>
      <c r="U188" s="160" t="e">
        <f t="shared" ca="1" si="36"/>
        <v>#N/A</v>
      </c>
      <c r="V188" s="163" t="e">
        <f t="shared" ca="1" si="30"/>
        <v>#N/A</v>
      </c>
      <c r="W188" s="163" t="e">
        <f t="shared" ca="1" si="31"/>
        <v>#N/A</v>
      </c>
      <c r="X188" s="163" t="e">
        <f t="shared" ca="1" si="32"/>
        <v>#N/A</v>
      </c>
      <c r="Y188" s="163" t="e">
        <f t="shared" ca="1" si="33"/>
        <v>#N/A</v>
      </c>
    </row>
    <row r="189" spans="12:25" ht="14.4">
      <c r="L189" s="464"/>
      <c r="M189" s="129" t="e">
        <f t="shared" si="34"/>
        <v>#N/A</v>
      </c>
      <c r="N189" s="161">
        <f t="shared" si="29"/>
        <v>13</v>
      </c>
      <c r="O189" s="160" t="e">
        <f t="shared" ca="1" si="35"/>
        <v>#N/A</v>
      </c>
      <c r="P189" s="160" t="e">
        <f t="shared" ca="1" si="38"/>
        <v>#N/A</v>
      </c>
      <c r="Q189" s="160" t="e">
        <f t="shared" ca="1" si="39"/>
        <v>#N/A</v>
      </c>
      <c r="R189" s="160" t="e">
        <f t="shared" ca="1" si="39"/>
        <v>#N/A</v>
      </c>
      <c r="S189" s="160" t="e">
        <f t="shared" ca="1" si="39"/>
        <v>#N/A</v>
      </c>
      <c r="T189" s="160" t="e">
        <f t="shared" ca="1" si="37"/>
        <v>#N/A</v>
      </c>
      <c r="U189" s="160" t="e">
        <f t="shared" ca="1" si="36"/>
        <v>#N/A</v>
      </c>
      <c r="V189" s="163" t="e">
        <f t="shared" ca="1" si="30"/>
        <v>#N/A</v>
      </c>
      <c r="W189" s="163" t="e">
        <f t="shared" ca="1" si="31"/>
        <v>#N/A</v>
      </c>
      <c r="X189" s="163" t="e">
        <f t="shared" ca="1" si="32"/>
        <v>#N/A</v>
      </c>
      <c r="Y189" s="163" t="e">
        <f t="shared" ca="1" si="33"/>
        <v>#N/A</v>
      </c>
    </row>
    <row r="190" spans="12:25" ht="14.4">
      <c r="L190" s="464"/>
      <c r="M190" s="129" t="e">
        <f t="shared" si="34"/>
        <v>#N/A</v>
      </c>
      <c r="N190" s="161">
        <f t="shared" si="29"/>
        <v>13</v>
      </c>
      <c r="O190" s="160" t="e">
        <f t="shared" ca="1" si="35"/>
        <v>#N/A</v>
      </c>
      <c r="P190" s="160" t="e">
        <f t="shared" ca="1" si="38"/>
        <v>#N/A</v>
      </c>
      <c r="Q190" s="160" t="e">
        <f t="shared" ca="1" si="39"/>
        <v>#N/A</v>
      </c>
      <c r="R190" s="160" t="e">
        <f t="shared" ca="1" si="39"/>
        <v>#N/A</v>
      </c>
      <c r="S190" s="160" t="e">
        <f t="shared" ca="1" si="39"/>
        <v>#N/A</v>
      </c>
      <c r="T190" s="160" t="e">
        <f t="shared" ca="1" si="37"/>
        <v>#N/A</v>
      </c>
      <c r="U190" s="160" t="e">
        <f t="shared" ca="1" si="36"/>
        <v>#N/A</v>
      </c>
      <c r="V190" s="163" t="e">
        <f t="shared" ca="1" si="30"/>
        <v>#N/A</v>
      </c>
      <c r="W190" s="163" t="e">
        <f t="shared" ca="1" si="31"/>
        <v>#N/A</v>
      </c>
      <c r="X190" s="163" t="e">
        <f t="shared" ca="1" si="32"/>
        <v>#N/A</v>
      </c>
      <c r="Y190" s="163" t="e">
        <f t="shared" ca="1" si="33"/>
        <v>#N/A</v>
      </c>
    </row>
    <row r="191" spans="12:25" ht="14.4">
      <c r="L191" s="464"/>
      <c r="M191" s="129" t="e">
        <f t="shared" si="34"/>
        <v>#N/A</v>
      </c>
      <c r="N191" s="161">
        <f t="shared" si="29"/>
        <v>13</v>
      </c>
      <c r="O191" s="160" t="e">
        <f t="shared" ca="1" si="35"/>
        <v>#N/A</v>
      </c>
      <c r="P191" s="160" t="e">
        <f t="shared" ca="1" si="38"/>
        <v>#N/A</v>
      </c>
      <c r="Q191" s="160" t="e">
        <f t="shared" ca="1" si="39"/>
        <v>#N/A</v>
      </c>
      <c r="R191" s="160" t="e">
        <f t="shared" ca="1" si="39"/>
        <v>#N/A</v>
      </c>
      <c r="S191" s="160" t="e">
        <f t="shared" ca="1" si="39"/>
        <v>#N/A</v>
      </c>
      <c r="T191" s="160" t="e">
        <f t="shared" ca="1" si="37"/>
        <v>#N/A</v>
      </c>
      <c r="U191" s="160" t="e">
        <f t="shared" ca="1" si="36"/>
        <v>#N/A</v>
      </c>
      <c r="V191" s="163" t="e">
        <f t="shared" ca="1" si="30"/>
        <v>#N/A</v>
      </c>
      <c r="W191" s="163" t="e">
        <f t="shared" ca="1" si="31"/>
        <v>#N/A</v>
      </c>
      <c r="X191" s="163" t="e">
        <f t="shared" ca="1" si="32"/>
        <v>#N/A</v>
      </c>
      <c r="Y191" s="163" t="e">
        <f t="shared" ca="1" si="33"/>
        <v>#N/A</v>
      </c>
    </row>
    <row r="192" spans="12:25" ht="14.4">
      <c r="L192" s="464"/>
      <c r="M192" s="129" t="e">
        <f t="shared" si="34"/>
        <v>#N/A</v>
      </c>
      <c r="N192" s="161">
        <f t="shared" si="29"/>
        <v>13</v>
      </c>
      <c r="O192" s="160" t="e">
        <f t="shared" ca="1" si="35"/>
        <v>#N/A</v>
      </c>
      <c r="P192" s="160" t="e">
        <f t="shared" ca="1" si="38"/>
        <v>#N/A</v>
      </c>
      <c r="Q192" s="160" t="e">
        <f t="shared" ca="1" si="39"/>
        <v>#N/A</v>
      </c>
      <c r="R192" s="160" t="e">
        <f t="shared" ca="1" si="39"/>
        <v>#N/A</v>
      </c>
      <c r="S192" s="160" t="e">
        <f t="shared" ca="1" si="39"/>
        <v>#N/A</v>
      </c>
      <c r="T192" s="160" t="e">
        <f t="shared" ca="1" si="37"/>
        <v>#N/A</v>
      </c>
      <c r="U192" s="160" t="e">
        <f t="shared" ca="1" si="36"/>
        <v>#N/A</v>
      </c>
      <c r="V192" s="163" t="e">
        <f t="shared" ca="1" si="30"/>
        <v>#N/A</v>
      </c>
      <c r="W192" s="163" t="e">
        <f t="shared" ca="1" si="31"/>
        <v>#N/A</v>
      </c>
      <c r="X192" s="163" t="e">
        <f t="shared" ca="1" si="32"/>
        <v>#N/A</v>
      </c>
      <c r="Y192" s="163" t="e">
        <f t="shared" ca="1" si="33"/>
        <v>#N/A</v>
      </c>
    </row>
    <row r="193" spans="12:25" ht="14.4">
      <c r="L193" s="464"/>
      <c r="M193" s="129" t="e">
        <f t="shared" si="34"/>
        <v>#N/A</v>
      </c>
      <c r="N193" s="161">
        <f t="shared" si="29"/>
        <v>13</v>
      </c>
      <c r="O193" s="160" t="e">
        <f t="shared" ca="1" si="35"/>
        <v>#N/A</v>
      </c>
      <c r="P193" s="160" t="e">
        <f t="shared" ca="1" si="38"/>
        <v>#N/A</v>
      </c>
      <c r="Q193" s="160" t="e">
        <f t="shared" ca="1" si="39"/>
        <v>#N/A</v>
      </c>
      <c r="R193" s="160" t="e">
        <f t="shared" ca="1" si="39"/>
        <v>#N/A</v>
      </c>
      <c r="S193" s="160" t="e">
        <f t="shared" ca="1" si="39"/>
        <v>#N/A</v>
      </c>
      <c r="T193" s="160" t="e">
        <f t="shared" ca="1" si="37"/>
        <v>#N/A</v>
      </c>
      <c r="U193" s="160" t="e">
        <f t="shared" ca="1" si="36"/>
        <v>#N/A</v>
      </c>
      <c r="V193" s="163" t="e">
        <f t="shared" ca="1" si="30"/>
        <v>#N/A</v>
      </c>
      <c r="W193" s="163" t="e">
        <f t="shared" ca="1" si="31"/>
        <v>#N/A</v>
      </c>
      <c r="X193" s="163" t="e">
        <f t="shared" ca="1" si="32"/>
        <v>#N/A</v>
      </c>
      <c r="Y193" s="163" t="e">
        <f t="shared" ca="1" si="33"/>
        <v>#N/A</v>
      </c>
    </row>
    <row r="194" spans="12:25" ht="14.4">
      <c r="L194" s="464"/>
      <c r="M194" s="129" t="e">
        <f t="shared" si="34"/>
        <v>#N/A</v>
      </c>
      <c r="N194" s="161">
        <f t="shared" si="29"/>
        <v>13</v>
      </c>
      <c r="O194" s="160" t="e">
        <f t="shared" ca="1" si="35"/>
        <v>#N/A</v>
      </c>
      <c r="P194" s="160" t="e">
        <f t="shared" ca="1" si="38"/>
        <v>#N/A</v>
      </c>
      <c r="Q194" s="160" t="e">
        <f t="shared" ca="1" si="39"/>
        <v>#N/A</v>
      </c>
      <c r="R194" s="160" t="e">
        <f t="shared" ca="1" si="39"/>
        <v>#N/A</v>
      </c>
      <c r="S194" s="160" t="e">
        <f t="shared" ca="1" si="39"/>
        <v>#N/A</v>
      </c>
      <c r="T194" s="160" t="e">
        <f t="shared" ca="1" si="37"/>
        <v>#N/A</v>
      </c>
      <c r="U194" s="160" t="e">
        <f t="shared" ca="1" si="36"/>
        <v>#N/A</v>
      </c>
      <c r="V194" s="163" t="e">
        <f t="shared" ca="1" si="30"/>
        <v>#N/A</v>
      </c>
      <c r="W194" s="163" t="e">
        <f t="shared" ca="1" si="31"/>
        <v>#N/A</v>
      </c>
      <c r="X194" s="163" t="e">
        <f t="shared" ca="1" si="32"/>
        <v>#N/A</v>
      </c>
      <c r="Y194" s="163" t="e">
        <f t="shared" ca="1" si="33"/>
        <v>#N/A</v>
      </c>
    </row>
    <row r="195" spans="12:25" ht="14.4">
      <c r="L195" s="464"/>
      <c r="M195" s="129" t="e">
        <f t="shared" si="34"/>
        <v>#N/A</v>
      </c>
      <c r="N195" s="161">
        <f t="shared" si="29"/>
        <v>13</v>
      </c>
      <c r="O195" s="160" t="e">
        <f t="shared" ca="1" si="35"/>
        <v>#N/A</v>
      </c>
      <c r="P195" s="160" t="e">
        <f t="shared" ca="1" si="38"/>
        <v>#N/A</v>
      </c>
      <c r="Q195" s="160" t="e">
        <f t="shared" ca="1" si="39"/>
        <v>#N/A</v>
      </c>
      <c r="R195" s="160" t="e">
        <f t="shared" ca="1" si="39"/>
        <v>#N/A</v>
      </c>
      <c r="S195" s="160" t="e">
        <f t="shared" ca="1" si="39"/>
        <v>#N/A</v>
      </c>
      <c r="T195" s="160" t="e">
        <f t="shared" ca="1" si="37"/>
        <v>#N/A</v>
      </c>
      <c r="U195" s="160" t="e">
        <f t="shared" ca="1" si="36"/>
        <v>#N/A</v>
      </c>
      <c r="V195" s="163" t="e">
        <f t="shared" ca="1" si="30"/>
        <v>#N/A</v>
      </c>
      <c r="W195" s="163" t="e">
        <f t="shared" ca="1" si="31"/>
        <v>#N/A</v>
      </c>
      <c r="X195" s="163" t="e">
        <f t="shared" ca="1" si="32"/>
        <v>#N/A</v>
      </c>
      <c r="Y195" s="163" t="e">
        <f t="shared" ca="1" si="33"/>
        <v>#N/A</v>
      </c>
    </row>
    <row r="196" spans="12:25" ht="14.4">
      <c r="L196" s="464"/>
      <c r="M196" s="129" t="e">
        <f t="shared" si="34"/>
        <v>#N/A</v>
      </c>
      <c r="N196" s="161">
        <f t="shared" si="29"/>
        <v>13</v>
      </c>
      <c r="O196" s="160" t="e">
        <f t="shared" ca="1" si="35"/>
        <v>#N/A</v>
      </c>
      <c r="P196" s="160" t="e">
        <f t="shared" ca="1" si="38"/>
        <v>#N/A</v>
      </c>
      <c r="Q196" s="160" t="e">
        <f t="shared" ca="1" si="39"/>
        <v>#N/A</v>
      </c>
      <c r="R196" s="160" t="e">
        <f t="shared" ca="1" si="39"/>
        <v>#N/A</v>
      </c>
      <c r="S196" s="160" t="e">
        <f t="shared" ca="1" si="39"/>
        <v>#N/A</v>
      </c>
      <c r="T196" s="160" t="e">
        <f t="shared" ca="1" si="37"/>
        <v>#N/A</v>
      </c>
      <c r="U196" s="160" t="e">
        <f t="shared" ca="1" si="36"/>
        <v>#N/A</v>
      </c>
      <c r="V196" s="163" t="e">
        <f t="shared" ca="1" si="30"/>
        <v>#N/A</v>
      </c>
      <c r="W196" s="163" t="e">
        <f t="shared" ca="1" si="31"/>
        <v>#N/A</v>
      </c>
      <c r="X196" s="163" t="e">
        <f t="shared" ca="1" si="32"/>
        <v>#N/A</v>
      </c>
      <c r="Y196" s="163" t="e">
        <f t="shared" ca="1" si="33"/>
        <v>#N/A</v>
      </c>
    </row>
    <row r="197" spans="12:25" ht="14.4">
      <c r="L197" s="464"/>
      <c r="M197" s="129" t="e">
        <f t="shared" si="34"/>
        <v>#N/A</v>
      </c>
      <c r="N197" s="161">
        <f t="shared" si="29"/>
        <v>13</v>
      </c>
      <c r="O197" s="160" t="e">
        <f t="shared" ca="1" si="35"/>
        <v>#N/A</v>
      </c>
      <c r="P197" s="160" t="e">
        <f t="shared" ca="1" si="38"/>
        <v>#N/A</v>
      </c>
      <c r="Q197" s="160" t="e">
        <f t="shared" ca="1" si="39"/>
        <v>#N/A</v>
      </c>
      <c r="R197" s="160" t="e">
        <f t="shared" ca="1" si="39"/>
        <v>#N/A</v>
      </c>
      <c r="S197" s="160" t="e">
        <f t="shared" ca="1" si="39"/>
        <v>#N/A</v>
      </c>
      <c r="T197" s="160" t="e">
        <f t="shared" ca="1" si="37"/>
        <v>#N/A</v>
      </c>
      <c r="U197" s="160" t="e">
        <f t="shared" ca="1" si="36"/>
        <v>#N/A</v>
      </c>
      <c r="V197" s="163" t="e">
        <f t="shared" ca="1" si="30"/>
        <v>#N/A</v>
      </c>
      <c r="W197" s="163" t="e">
        <f t="shared" ca="1" si="31"/>
        <v>#N/A</v>
      </c>
      <c r="X197" s="163" t="e">
        <f t="shared" ca="1" si="32"/>
        <v>#N/A</v>
      </c>
      <c r="Y197" s="163" t="e">
        <f t="shared" ca="1" si="33"/>
        <v>#N/A</v>
      </c>
    </row>
    <row r="198" spans="12:25" ht="14.4">
      <c r="L198" s="464"/>
      <c r="M198" s="129" t="e">
        <f t="shared" si="34"/>
        <v>#N/A</v>
      </c>
      <c r="N198" s="161">
        <f t="shared" si="29"/>
        <v>13</v>
      </c>
      <c r="O198" s="160" t="e">
        <f t="shared" ca="1" si="35"/>
        <v>#N/A</v>
      </c>
      <c r="P198" s="160" t="e">
        <f t="shared" ca="1" si="38"/>
        <v>#N/A</v>
      </c>
      <c r="Q198" s="160" t="e">
        <f t="shared" ca="1" si="39"/>
        <v>#N/A</v>
      </c>
      <c r="R198" s="160" t="e">
        <f t="shared" ca="1" si="39"/>
        <v>#N/A</v>
      </c>
      <c r="S198" s="160" t="e">
        <f t="shared" ca="1" si="39"/>
        <v>#N/A</v>
      </c>
      <c r="T198" s="160" t="e">
        <f t="shared" ca="1" si="37"/>
        <v>#N/A</v>
      </c>
      <c r="U198" s="160" t="e">
        <f t="shared" ca="1" si="36"/>
        <v>#N/A</v>
      </c>
      <c r="V198" s="163" t="e">
        <f t="shared" ca="1" si="30"/>
        <v>#N/A</v>
      </c>
      <c r="W198" s="163" t="e">
        <f t="shared" ca="1" si="31"/>
        <v>#N/A</v>
      </c>
      <c r="X198" s="163" t="e">
        <f t="shared" ca="1" si="32"/>
        <v>#N/A</v>
      </c>
      <c r="Y198" s="163" t="e">
        <f t="shared" ca="1" si="33"/>
        <v>#N/A</v>
      </c>
    </row>
    <row r="199" spans="12:25" ht="14.4">
      <c r="L199" s="464"/>
      <c r="M199" s="129" t="e">
        <f t="shared" si="34"/>
        <v>#N/A</v>
      </c>
      <c r="N199" s="161">
        <f t="shared" si="29"/>
        <v>13</v>
      </c>
      <c r="O199" s="160" t="e">
        <f t="shared" ca="1" si="35"/>
        <v>#N/A</v>
      </c>
      <c r="P199" s="160" t="e">
        <f t="shared" ca="1" si="38"/>
        <v>#N/A</v>
      </c>
      <c r="Q199" s="160" t="e">
        <f t="shared" ca="1" si="39"/>
        <v>#N/A</v>
      </c>
      <c r="R199" s="160" t="e">
        <f t="shared" ca="1" si="39"/>
        <v>#N/A</v>
      </c>
      <c r="S199" s="160" t="e">
        <f t="shared" ca="1" si="39"/>
        <v>#N/A</v>
      </c>
      <c r="T199" s="160" t="e">
        <f t="shared" ca="1" si="37"/>
        <v>#N/A</v>
      </c>
      <c r="U199" s="160" t="e">
        <f t="shared" ca="1" si="36"/>
        <v>#N/A</v>
      </c>
      <c r="V199" s="163" t="e">
        <f t="shared" ca="1" si="30"/>
        <v>#N/A</v>
      </c>
      <c r="W199" s="163" t="e">
        <f t="shared" ca="1" si="31"/>
        <v>#N/A</v>
      </c>
      <c r="X199" s="163" t="e">
        <f t="shared" ca="1" si="32"/>
        <v>#N/A</v>
      </c>
      <c r="Y199" s="163" t="e">
        <f t="shared" ca="1" si="33"/>
        <v>#N/A</v>
      </c>
    </row>
    <row r="200" spans="12:25" ht="14.4">
      <c r="L200" s="464"/>
      <c r="M200" s="129" t="e">
        <f t="shared" si="34"/>
        <v>#N/A</v>
      </c>
      <c r="N200" s="161">
        <f t="shared" si="29"/>
        <v>13</v>
      </c>
      <c r="O200" s="160" t="e">
        <f t="shared" ca="1" si="35"/>
        <v>#N/A</v>
      </c>
      <c r="P200" s="160" t="e">
        <f t="shared" ca="1" si="38"/>
        <v>#N/A</v>
      </c>
      <c r="Q200" s="160" t="e">
        <f t="shared" ca="1" si="39"/>
        <v>#N/A</v>
      </c>
      <c r="R200" s="160" t="e">
        <f t="shared" ca="1" si="39"/>
        <v>#N/A</v>
      </c>
      <c r="S200" s="160" t="e">
        <f t="shared" ca="1" si="39"/>
        <v>#N/A</v>
      </c>
      <c r="T200" s="160" t="e">
        <f t="shared" ca="1" si="37"/>
        <v>#N/A</v>
      </c>
      <c r="U200" s="160" t="e">
        <f t="shared" ca="1" si="36"/>
        <v>#N/A</v>
      </c>
      <c r="V200" s="163" t="e">
        <f t="shared" ca="1" si="30"/>
        <v>#N/A</v>
      </c>
      <c r="W200" s="163" t="e">
        <f t="shared" ca="1" si="31"/>
        <v>#N/A</v>
      </c>
      <c r="X200" s="163" t="e">
        <f t="shared" ca="1" si="32"/>
        <v>#N/A</v>
      </c>
      <c r="Y200" s="163" t="e">
        <f t="shared" ca="1" si="33"/>
        <v>#N/A</v>
      </c>
    </row>
    <row r="201" spans="12:25" ht="14.4">
      <c r="L201" s="464"/>
      <c r="M201" s="129" t="e">
        <f t="shared" si="34"/>
        <v>#N/A</v>
      </c>
      <c r="N201" s="161">
        <f t="shared" si="29"/>
        <v>13</v>
      </c>
      <c r="O201" s="160" t="e">
        <f t="shared" ca="1" si="35"/>
        <v>#N/A</v>
      </c>
      <c r="P201" s="160" t="e">
        <f t="shared" ca="1" si="38"/>
        <v>#N/A</v>
      </c>
      <c r="Q201" s="160" t="e">
        <f t="shared" ca="1" si="39"/>
        <v>#N/A</v>
      </c>
      <c r="R201" s="160" t="e">
        <f t="shared" ca="1" si="39"/>
        <v>#N/A</v>
      </c>
      <c r="S201" s="160" t="e">
        <f t="shared" ca="1" si="39"/>
        <v>#N/A</v>
      </c>
      <c r="T201" s="160" t="e">
        <f t="shared" ca="1" si="37"/>
        <v>#N/A</v>
      </c>
      <c r="U201" s="160" t="e">
        <f t="shared" ca="1" si="36"/>
        <v>#N/A</v>
      </c>
      <c r="V201" s="163" t="e">
        <f t="shared" ca="1" si="30"/>
        <v>#N/A</v>
      </c>
      <c r="W201" s="163" t="e">
        <f t="shared" ca="1" si="31"/>
        <v>#N/A</v>
      </c>
      <c r="X201" s="163" t="e">
        <f t="shared" ca="1" si="32"/>
        <v>#N/A</v>
      </c>
      <c r="Y201" s="163" t="e">
        <f t="shared" ca="1" si="33"/>
        <v>#N/A</v>
      </c>
    </row>
    <row r="202" spans="12:25" ht="14.4">
      <c r="L202" s="464"/>
      <c r="M202" s="129" t="e">
        <f t="shared" si="34"/>
        <v>#N/A</v>
      </c>
      <c r="N202" s="161">
        <f t="shared" si="29"/>
        <v>13</v>
      </c>
      <c r="O202" s="160" t="e">
        <f t="shared" ca="1" si="35"/>
        <v>#N/A</v>
      </c>
      <c r="P202" s="160" t="e">
        <f t="shared" ca="1" si="38"/>
        <v>#N/A</v>
      </c>
      <c r="Q202" s="160" t="e">
        <f t="shared" ca="1" si="39"/>
        <v>#N/A</v>
      </c>
      <c r="R202" s="160" t="e">
        <f t="shared" ca="1" si="39"/>
        <v>#N/A</v>
      </c>
      <c r="S202" s="160" t="e">
        <f t="shared" ca="1" si="39"/>
        <v>#N/A</v>
      </c>
      <c r="T202" s="160" t="e">
        <f t="shared" ca="1" si="37"/>
        <v>#N/A</v>
      </c>
      <c r="U202" s="160" t="e">
        <f t="shared" ca="1" si="36"/>
        <v>#N/A</v>
      </c>
      <c r="V202" s="163" t="e">
        <f t="shared" ca="1" si="30"/>
        <v>#N/A</v>
      </c>
      <c r="W202" s="163" t="e">
        <f t="shared" ca="1" si="31"/>
        <v>#N/A</v>
      </c>
      <c r="X202" s="163" t="e">
        <f t="shared" ca="1" si="32"/>
        <v>#N/A</v>
      </c>
      <c r="Y202" s="163" t="e">
        <f t="shared" ca="1" si="33"/>
        <v>#N/A</v>
      </c>
    </row>
    <row r="203" spans="12:25" ht="14.4">
      <c r="L203" s="464"/>
      <c r="M203" s="129" t="e">
        <f t="shared" si="34"/>
        <v>#N/A</v>
      </c>
      <c r="N203" s="161">
        <f t="shared" si="29"/>
        <v>13</v>
      </c>
      <c r="O203" s="160" t="e">
        <f t="shared" ca="1" si="35"/>
        <v>#N/A</v>
      </c>
      <c r="P203" s="160" t="e">
        <f t="shared" ca="1" si="38"/>
        <v>#N/A</v>
      </c>
      <c r="Q203" s="160" t="e">
        <f t="shared" ca="1" si="39"/>
        <v>#N/A</v>
      </c>
      <c r="R203" s="160" t="e">
        <f t="shared" ca="1" si="39"/>
        <v>#N/A</v>
      </c>
      <c r="S203" s="160" t="e">
        <f t="shared" ca="1" si="39"/>
        <v>#N/A</v>
      </c>
      <c r="T203" s="160" t="e">
        <f t="shared" ca="1" si="37"/>
        <v>#N/A</v>
      </c>
      <c r="U203" s="160" t="e">
        <f t="shared" ca="1" si="36"/>
        <v>#N/A</v>
      </c>
      <c r="V203" s="163" t="e">
        <f t="shared" ca="1" si="30"/>
        <v>#N/A</v>
      </c>
      <c r="W203" s="163" t="e">
        <f t="shared" ca="1" si="31"/>
        <v>#N/A</v>
      </c>
      <c r="X203" s="163" t="e">
        <f t="shared" ca="1" si="32"/>
        <v>#N/A</v>
      </c>
      <c r="Y203" s="163" t="e">
        <f t="shared" ca="1" si="33"/>
        <v>#N/A</v>
      </c>
    </row>
    <row r="204" spans="12:25" ht="14.4">
      <c r="L204" s="464"/>
      <c r="M204" s="129" t="e">
        <f t="shared" si="34"/>
        <v>#N/A</v>
      </c>
      <c r="N204" s="161">
        <f t="shared" si="29"/>
        <v>13</v>
      </c>
      <c r="O204" s="160" t="e">
        <f t="shared" ca="1" si="35"/>
        <v>#N/A</v>
      </c>
      <c r="P204" s="160" t="e">
        <f t="shared" ca="1" si="38"/>
        <v>#N/A</v>
      </c>
      <c r="Q204" s="160" t="e">
        <f t="shared" ca="1" si="39"/>
        <v>#N/A</v>
      </c>
      <c r="R204" s="160" t="e">
        <f t="shared" ca="1" si="39"/>
        <v>#N/A</v>
      </c>
      <c r="S204" s="160" t="e">
        <f t="shared" ca="1" si="39"/>
        <v>#N/A</v>
      </c>
      <c r="T204" s="160" t="e">
        <f t="shared" ca="1" si="37"/>
        <v>#N/A</v>
      </c>
      <c r="U204" s="160" t="e">
        <f t="shared" ca="1" si="36"/>
        <v>#N/A</v>
      </c>
      <c r="V204" s="163" t="e">
        <f t="shared" ca="1" si="30"/>
        <v>#N/A</v>
      </c>
      <c r="W204" s="163" t="e">
        <f t="shared" ca="1" si="31"/>
        <v>#N/A</v>
      </c>
      <c r="X204" s="163" t="e">
        <f t="shared" ca="1" si="32"/>
        <v>#N/A</v>
      </c>
      <c r="Y204" s="163" t="e">
        <f t="shared" ca="1" si="33"/>
        <v>#N/A</v>
      </c>
    </row>
    <row r="205" spans="12:25" ht="14.4">
      <c r="L205" s="464"/>
      <c r="M205" s="129" t="e">
        <f t="shared" si="34"/>
        <v>#N/A</v>
      </c>
      <c r="N205" s="161">
        <f t="shared" si="29"/>
        <v>13</v>
      </c>
      <c r="O205" s="160" t="e">
        <f t="shared" ca="1" si="35"/>
        <v>#N/A</v>
      </c>
      <c r="P205" s="160" t="e">
        <f t="shared" ca="1" si="38"/>
        <v>#N/A</v>
      </c>
      <c r="Q205" s="160" t="e">
        <f t="shared" ca="1" si="39"/>
        <v>#N/A</v>
      </c>
      <c r="R205" s="160" t="e">
        <f t="shared" ca="1" si="39"/>
        <v>#N/A</v>
      </c>
      <c r="S205" s="160" t="e">
        <f t="shared" ca="1" si="39"/>
        <v>#N/A</v>
      </c>
      <c r="T205" s="160" t="e">
        <f t="shared" ca="1" si="37"/>
        <v>#N/A</v>
      </c>
      <c r="U205" s="160" t="e">
        <f t="shared" ca="1" si="36"/>
        <v>#N/A</v>
      </c>
      <c r="V205" s="163" t="e">
        <f t="shared" ca="1" si="30"/>
        <v>#N/A</v>
      </c>
      <c r="W205" s="163" t="e">
        <f t="shared" ca="1" si="31"/>
        <v>#N/A</v>
      </c>
      <c r="X205" s="163" t="e">
        <f t="shared" ca="1" si="32"/>
        <v>#N/A</v>
      </c>
      <c r="Y205" s="163" t="e">
        <f t="shared" ca="1" si="33"/>
        <v>#N/A</v>
      </c>
    </row>
    <row r="206" spans="12:25" ht="14.4">
      <c r="L206" s="464"/>
      <c r="M206" s="129" t="e">
        <f t="shared" si="34"/>
        <v>#N/A</v>
      </c>
      <c r="N206" s="161">
        <f t="shared" si="29"/>
        <v>13</v>
      </c>
      <c r="O206" s="160" t="e">
        <f t="shared" ca="1" si="35"/>
        <v>#N/A</v>
      </c>
      <c r="P206" s="160" t="e">
        <f t="shared" ca="1" si="38"/>
        <v>#N/A</v>
      </c>
      <c r="Q206" s="160" t="e">
        <f t="shared" ca="1" si="39"/>
        <v>#N/A</v>
      </c>
      <c r="R206" s="160" t="e">
        <f t="shared" ca="1" si="39"/>
        <v>#N/A</v>
      </c>
      <c r="S206" s="160" t="e">
        <f t="shared" ca="1" si="39"/>
        <v>#N/A</v>
      </c>
      <c r="T206" s="160" t="e">
        <f t="shared" ca="1" si="37"/>
        <v>#N/A</v>
      </c>
      <c r="U206" s="160" t="e">
        <f t="shared" ca="1" si="36"/>
        <v>#N/A</v>
      </c>
      <c r="V206" s="163" t="e">
        <f t="shared" ca="1" si="30"/>
        <v>#N/A</v>
      </c>
      <c r="W206" s="163" t="e">
        <f t="shared" ca="1" si="31"/>
        <v>#N/A</v>
      </c>
      <c r="X206" s="163" t="e">
        <f t="shared" ca="1" si="32"/>
        <v>#N/A</v>
      </c>
      <c r="Y206" s="163" t="e">
        <f t="shared" ca="1" si="33"/>
        <v>#N/A</v>
      </c>
    </row>
    <row r="207" spans="12:25" ht="14.4">
      <c r="L207" s="464"/>
      <c r="M207" s="129" t="e">
        <f t="shared" si="34"/>
        <v>#N/A</v>
      </c>
      <c r="N207" s="161">
        <f t="shared" si="29"/>
        <v>13</v>
      </c>
      <c r="O207" s="160" t="e">
        <f t="shared" ca="1" si="35"/>
        <v>#N/A</v>
      </c>
      <c r="P207" s="160" t="e">
        <f t="shared" ca="1" si="38"/>
        <v>#N/A</v>
      </c>
      <c r="Q207" s="160" t="e">
        <f t="shared" ca="1" si="39"/>
        <v>#N/A</v>
      </c>
      <c r="R207" s="160" t="e">
        <f t="shared" ca="1" si="39"/>
        <v>#N/A</v>
      </c>
      <c r="S207" s="160" t="e">
        <f t="shared" ca="1" si="39"/>
        <v>#N/A</v>
      </c>
      <c r="T207" s="160" t="e">
        <f t="shared" ca="1" si="37"/>
        <v>#N/A</v>
      </c>
      <c r="U207" s="160" t="e">
        <f t="shared" ca="1" si="36"/>
        <v>#N/A</v>
      </c>
      <c r="V207" s="163" t="e">
        <f t="shared" ca="1" si="30"/>
        <v>#N/A</v>
      </c>
      <c r="W207" s="163" t="e">
        <f t="shared" ca="1" si="31"/>
        <v>#N/A</v>
      </c>
      <c r="X207" s="163" t="e">
        <f t="shared" ca="1" si="32"/>
        <v>#N/A</v>
      </c>
      <c r="Y207" s="163" t="e">
        <f t="shared" ca="1" si="33"/>
        <v>#N/A</v>
      </c>
    </row>
    <row r="208" spans="12:25" ht="14.4">
      <c r="L208" s="464"/>
      <c r="M208" s="129" t="e">
        <f t="shared" si="34"/>
        <v>#N/A</v>
      </c>
      <c r="N208" s="161">
        <f t="shared" si="29"/>
        <v>13</v>
      </c>
      <c r="O208" s="160" t="e">
        <f t="shared" ca="1" si="35"/>
        <v>#N/A</v>
      </c>
      <c r="P208" s="160" t="e">
        <f t="shared" ca="1" si="38"/>
        <v>#N/A</v>
      </c>
      <c r="Q208" s="160" t="e">
        <f t="shared" ca="1" si="39"/>
        <v>#N/A</v>
      </c>
      <c r="R208" s="160" t="e">
        <f t="shared" ca="1" si="39"/>
        <v>#N/A</v>
      </c>
      <c r="S208" s="160" t="e">
        <f t="shared" ca="1" si="39"/>
        <v>#N/A</v>
      </c>
      <c r="T208" s="160" t="e">
        <f t="shared" ca="1" si="37"/>
        <v>#N/A</v>
      </c>
      <c r="U208" s="160" t="e">
        <f t="shared" ca="1" si="36"/>
        <v>#N/A</v>
      </c>
      <c r="V208" s="163" t="e">
        <f t="shared" ca="1" si="30"/>
        <v>#N/A</v>
      </c>
      <c r="W208" s="163" t="e">
        <f t="shared" ca="1" si="31"/>
        <v>#N/A</v>
      </c>
      <c r="X208" s="163" t="e">
        <f t="shared" ca="1" si="32"/>
        <v>#N/A</v>
      </c>
      <c r="Y208" s="163" t="e">
        <f t="shared" ca="1" si="33"/>
        <v>#N/A</v>
      </c>
    </row>
    <row r="209" spans="12:25" ht="14.4">
      <c r="L209" s="464"/>
      <c r="M209" s="129" t="e">
        <f t="shared" si="34"/>
        <v>#N/A</v>
      </c>
      <c r="N209" s="161">
        <f t="shared" si="29"/>
        <v>13</v>
      </c>
      <c r="O209" s="160" t="e">
        <f t="shared" ca="1" si="35"/>
        <v>#N/A</v>
      </c>
      <c r="P209" s="160" t="e">
        <f t="shared" ca="1" si="38"/>
        <v>#N/A</v>
      </c>
      <c r="Q209" s="160" t="e">
        <f t="shared" ca="1" si="39"/>
        <v>#N/A</v>
      </c>
      <c r="R209" s="160" t="e">
        <f t="shared" ca="1" si="39"/>
        <v>#N/A</v>
      </c>
      <c r="S209" s="160" t="e">
        <f t="shared" ca="1" si="39"/>
        <v>#N/A</v>
      </c>
      <c r="T209" s="160" t="e">
        <f t="shared" ca="1" si="37"/>
        <v>#N/A</v>
      </c>
      <c r="U209" s="160" t="e">
        <f t="shared" ca="1" si="36"/>
        <v>#N/A</v>
      </c>
      <c r="V209" s="163" t="e">
        <f t="shared" ca="1" si="30"/>
        <v>#N/A</v>
      </c>
      <c r="W209" s="163" t="e">
        <f t="shared" ca="1" si="31"/>
        <v>#N/A</v>
      </c>
      <c r="X209" s="163" t="e">
        <f t="shared" ca="1" si="32"/>
        <v>#N/A</v>
      </c>
      <c r="Y209" s="163" t="e">
        <f t="shared" ca="1" si="33"/>
        <v>#N/A</v>
      </c>
    </row>
    <row r="210" spans="12:25" ht="14.4">
      <c r="L210" s="464"/>
      <c r="M210" s="129" t="e">
        <f t="shared" si="34"/>
        <v>#N/A</v>
      </c>
      <c r="N210" s="161">
        <f t="shared" ref="N210:N273" si="40">N209</f>
        <v>13</v>
      </c>
      <c r="O210" s="160" t="e">
        <f t="shared" ca="1" si="35"/>
        <v>#N/A</v>
      </c>
      <c r="P210" s="160" t="e">
        <f t="shared" ca="1" si="38"/>
        <v>#N/A</v>
      </c>
      <c r="Q210" s="160" t="e">
        <f t="shared" ca="1" si="39"/>
        <v>#N/A</v>
      </c>
      <c r="R210" s="160" t="e">
        <f t="shared" ca="1" si="39"/>
        <v>#N/A</v>
      </c>
      <c r="S210" s="160" t="e">
        <f t="shared" ca="1" si="39"/>
        <v>#N/A</v>
      </c>
      <c r="T210" s="160" t="e">
        <f t="shared" ca="1" si="37"/>
        <v>#N/A</v>
      </c>
      <c r="U210" s="160" t="e">
        <f t="shared" ca="1" si="36"/>
        <v>#N/A</v>
      </c>
      <c r="V210" s="163" t="e">
        <f t="shared" ca="1" si="30"/>
        <v>#N/A</v>
      </c>
      <c r="W210" s="163" t="e">
        <f t="shared" ca="1" si="31"/>
        <v>#N/A</v>
      </c>
      <c r="X210" s="163" t="e">
        <f t="shared" ca="1" si="32"/>
        <v>#N/A</v>
      </c>
      <c r="Y210" s="163" t="e">
        <f t="shared" ca="1" si="33"/>
        <v>#N/A</v>
      </c>
    </row>
    <row r="211" spans="12:25" ht="14.4">
      <c r="L211" s="464"/>
      <c r="M211" s="129" t="e">
        <f t="shared" si="34"/>
        <v>#N/A</v>
      </c>
      <c r="N211" s="161">
        <f t="shared" si="40"/>
        <v>13</v>
      </c>
      <c r="O211" s="160" t="e">
        <f t="shared" ca="1" si="35"/>
        <v>#N/A</v>
      </c>
      <c r="P211" s="160" t="e">
        <f t="shared" ca="1" si="38"/>
        <v>#N/A</v>
      </c>
      <c r="Q211" s="160" t="e">
        <f t="shared" ca="1" si="39"/>
        <v>#N/A</v>
      </c>
      <c r="R211" s="160" t="e">
        <f t="shared" ca="1" si="39"/>
        <v>#N/A</v>
      </c>
      <c r="S211" s="160" t="e">
        <f t="shared" ca="1" si="39"/>
        <v>#N/A</v>
      </c>
      <c r="T211" s="160" t="e">
        <f t="shared" ca="1" si="37"/>
        <v>#N/A</v>
      </c>
      <c r="U211" s="160" t="e">
        <f t="shared" ca="1" si="36"/>
        <v>#N/A</v>
      </c>
      <c r="V211" s="163" t="e">
        <f t="shared" ca="1" si="30"/>
        <v>#N/A</v>
      </c>
      <c r="W211" s="163" t="e">
        <f t="shared" ca="1" si="31"/>
        <v>#N/A</v>
      </c>
      <c r="X211" s="163" t="e">
        <f t="shared" ca="1" si="32"/>
        <v>#N/A</v>
      </c>
      <c r="Y211" s="163" t="e">
        <f t="shared" ca="1" si="33"/>
        <v>#N/A</v>
      </c>
    </row>
    <row r="212" spans="12:25" ht="14.4">
      <c r="L212" s="464"/>
      <c r="M212" s="129" t="e">
        <f t="shared" si="34"/>
        <v>#N/A</v>
      </c>
      <c r="N212" s="161">
        <f t="shared" si="40"/>
        <v>13</v>
      </c>
      <c r="O212" s="160" t="e">
        <f t="shared" ca="1" si="35"/>
        <v>#N/A</v>
      </c>
      <c r="P212" s="160" t="e">
        <f t="shared" ca="1" si="38"/>
        <v>#N/A</v>
      </c>
      <c r="Q212" s="160" t="e">
        <f t="shared" ca="1" si="39"/>
        <v>#N/A</v>
      </c>
      <c r="R212" s="160" t="e">
        <f t="shared" ca="1" si="39"/>
        <v>#N/A</v>
      </c>
      <c r="S212" s="160" t="e">
        <f t="shared" ca="1" si="39"/>
        <v>#N/A</v>
      </c>
      <c r="T212" s="160" t="e">
        <f t="shared" ca="1" si="37"/>
        <v>#N/A</v>
      </c>
      <c r="U212" s="160" t="e">
        <f t="shared" ca="1" si="36"/>
        <v>#N/A</v>
      </c>
      <c r="V212" s="163" t="e">
        <f t="shared" ca="1" si="30"/>
        <v>#N/A</v>
      </c>
      <c r="W212" s="163" t="e">
        <f t="shared" ca="1" si="31"/>
        <v>#N/A</v>
      </c>
      <c r="X212" s="163" t="e">
        <f t="shared" ca="1" si="32"/>
        <v>#N/A</v>
      </c>
      <c r="Y212" s="163" t="e">
        <f t="shared" ca="1" si="33"/>
        <v>#N/A</v>
      </c>
    </row>
    <row r="213" spans="12:25" ht="14.4">
      <c r="L213" s="464"/>
      <c r="M213" s="129" t="e">
        <f t="shared" si="34"/>
        <v>#N/A</v>
      </c>
      <c r="N213" s="161">
        <f t="shared" si="40"/>
        <v>13</v>
      </c>
      <c r="O213" s="160" t="e">
        <f t="shared" ca="1" si="35"/>
        <v>#N/A</v>
      </c>
      <c r="P213" s="160" t="e">
        <f t="shared" ca="1" si="38"/>
        <v>#N/A</v>
      </c>
      <c r="Q213" s="160" t="e">
        <f t="shared" ca="1" si="39"/>
        <v>#N/A</v>
      </c>
      <c r="R213" s="160" t="e">
        <f t="shared" ca="1" si="39"/>
        <v>#N/A</v>
      </c>
      <c r="S213" s="160" t="e">
        <f t="shared" ca="1" si="39"/>
        <v>#N/A</v>
      </c>
      <c r="T213" s="160" t="e">
        <f t="shared" ca="1" si="37"/>
        <v>#N/A</v>
      </c>
      <c r="U213" s="160" t="e">
        <f t="shared" ca="1" si="36"/>
        <v>#N/A</v>
      </c>
      <c r="V213" s="163" t="e">
        <f t="shared" ca="1" si="30"/>
        <v>#N/A</v>
      </c>
      <c r="W213" s="163" t="e">
        <f t="shared" ca="1" si="31"/>
        <v>#N/A</v>
      </c>
      <c r="X213" s="163" t="e">
        <f t="shared" ca="1" si="32"/>
        <v>#N/A</v>
      </c>
      <c r="Y213" s="163" t="e">
        <f t="shared" ca="1" si="33"/>
        <v>#N/A</v>
      </c>
    </row>
    <row r="214" spans="12:25" ht="14.4">
      <c r="L214" s="464"/>
      <c r="M214" s="129" t="e">
        <f t="shared" si="34"/>
        <v>#N/A</v>
      </c>
      <c r="N214" s="161">
        <f t="shared" si="40"/>
        <v>13</v>
      </c>
      <c r="O214" s="160" t="e">
        <f t="shared" ca="1" si="35"/>
        <v>#N/A</v>
      </c>
      <c r="P214" s="160" t="e">
        <f t="shared" ca="1" si="38"/>
        <v>#N/A</v>
      </c>
      <c r="Q214" s="160" t="e">
        <f t="shared" ca="1" si="39"/>
        <v>#N/A</v>
      </c>
      <c r="R214" s="160" t="e">
        <f t="shared" ca="1" si="39"/>
        <v>#N/A</v>
      </c>
      <c r="S214" s="160" t="e">
        <f t="shared" ca="1" si="39"/>
        <v>#N/A</v>
      </c>
      <c r="T214" s="160" t="e">
        <f t="shared" ca="1" si="37"/>
        <v>#N/A</v>
      </c>
      <c r="U214" s="160" t="e">
        <f t="shared" ca="1" si="36"/>
        <v>#N/A</v>
      </c>
      <c r="V214" s="163" t="e">
        <f t="shared" ca="1" si="30"/>
        <v>#N/A</v>
      </c>
      <c r="W214" s="163" t="e">
        <f t="shared" ca="1" si="31"/>
        <v>#N/A</v>
      </c>
      <c r="X214" s="163" t="e">
        <f t="shared" ca="1" si="32"/>
        <v>#N/A</v>
      </c>
      <c r="Y214" s="163" t="e">
        <f t="shared" ca="1" si="33"/>
        <v>#N/A</v>
      </c>
    </row>
    <row r="215" spans="12:25" ht="14.4">
      <c r="L215" s="464"/>
      <c r="M215" s="129" t="e">
        <f t="shared" si="34"/>
        <v>#N/A</v>
      </c>
      <c r="N215" s="161">
        <f t="shared" si="40"/>
        <v>13</v>
      </c>
      <c r="O215" s="160" t="e">
        <f t="shared" ca="1" si="35"/>
        <v>#N/A</v>
      </c>
      <c r="P215" s="160" t="e">
        <f t="shared" ca="1" si="38"/>
        <v>#N/A</v>
      </c>
      <c r="Q215" s="160" t="e">
        <f t="shared" ca="1" si="39"/>
        <v>#N/A</v>
      </c>
      <c r="R215" s="160" t="e">
        <f t="shared" ca="1" si="39"/>
        <v>#N/A</v>
      </c>
      <c r="S215" s="160" t="e">
        <f t="shared" ca="1" si="39"/>
        <v>#N/A</v>
      </c>
      <c r="T215" s="160" t="e">
        <f t="shared" ca="1" si="37"/>
        <v>#N/A</v>
      </c>
      <c r="U215" s="160" t="e">
        <f t="shared" ca="1" si="36"/>
        <v>#N/A</v>
      </c>
      <c r="V215" s="163" t="e">
        <f t="shared" ca="1" si="30"/>
        <v>#N/A</v>
      </c>
      <c r="W215" s="163" t="e">
        <f t="shared" ca="1" si="31"/>
        <v>#N/A</v>
      </c>
      <c r="X215" s="163" t="e">
        <f t="shared" ca="1" si="32"/>
        <v>#N/A</v>
      </c>
      <c r="Y215" s="163" t="e">
        <f t="shared" ca="1" si="33"/>
        <v>#N/A</v>
      </c>
    </row>
    <row r="216" spans="12:25" ht="14.4">
      <c r="L216" s="464"/>
      <c r="M216" s="129" t="e">
        <f t="shared" si="34"/>
        <v>#N/A</v>
      </c>
      <c r="N216" s="161">
        <f t="shared" si="40"/>
        <v>13</v>
      </c>
      <c r="O216" s="160" t="e">
        <f t="shared" ca="1" si="35"/>
        <v>#N/A</v>
      </c>
      <c r="P216" s="160" t="e">
        <f t="shared" ca="1" si="38"/>
        <v>#N/A</v>
      </c>
      <c r="Q216" s="160" t="e">
        <f t="shared" ca="1" si="39"/>
        <v>#N/A</v>
      </c>
      <c r="R216" s="160" t="e">
        <f t="shared" ca="1" si="39"/>
        <v>#N/A</v>
      </c>
      <c r="S216" s="160" t="e">
        <f t="shared" ca="1" si="39"/>
        <v>#N/A</v>
      </c>
      <c r="T216" s="160" t="e">
        <f t="shared" ca="1" si="37"/>
        <v>#N/A</v>
      </c>
      <c r="U216" s="160" t="e">
        <f t="shared" ca="1" si="36"/>
        <v>#N/A</v>
      </c>
      <c r="V216" s="163" t="e">
        <f t="shared" ca="1" si="30"/>
        <v>#N/A</v>
      </c>
      <c r="W216" s="163" t="e">
        <f t="shared" ca="1" si="31"/>
        <v>#N/A</v>
      </c>
      <c r="X216" s="163" t="e">
        <f t="shared" ca="1" si="32"/>
        <v>#N/A</v>
      </c>
      <c r="Y216" s="163" t="e">
        <f t="shared" ca="1" si="33"/>
        <v>#N/A</v>
      </c>
    </row>
    <row r="217" spans="12:25" ht="14.4">
      <c r="L217" s="464"/>
      <c r="M217" s="129" t="e">
        <f t="shared" si="34"/>
        <v>#N/A</v>
      </c>
      <c r="N217" s="161">
        <f t="shared" si="40"/>
        <v>13</v>
      </c>
      <c r="O217" s="160" t="e">
        <f t="shared" ca="1" si="35"/>
        <v>#N/A</v>
      </c>
      <c r="P217" s="160" t="e">
        <f t="shared" ca="1" si="38"/>
        <v>#N/A</v>
      </c>
      <c r="Q217" s="160" t="e">
        <f t="shared" ca="1" si="39"/>
        <v>#N/A</v>
      </c>
      <c r="R217" s="160" t="e">
        <f t="shared" ca="1" si="39"/>
        <v>#N/A</v>
      </c>
      <c r="S217" s="160" t="e">
        <f t="shared" ca="1" si="39"/>
        <v>#N/A</v>
      </c>
      <c r="T217" s="160" t="e">
        <f t="shared" ca="1" si="37"/>
        <v>#N/A</v>
      </c>
      <c r="U217" s="160" t="e">
        <f t="shared" ca="1" si="36"/>
        <v>#N/A</v>
      </c>
      <c r="V217" s="163" t="e">
        <f t="shared" ca="1" si="30"/>
        <v>#N/A</v>
      </c>
      <c r="W217" s="163" t="e">
        <f t="shared" ca="1" si="31"/>
        <v>#N/A</v>
      </c>
      <c r="X217" s="163" t="e">
        <f t="shared" ca="1" si="32"/>
        <v>#N/A</v>
      </c>
      <c r="Y217" s="163" t="e">
        <f t="shared" ca="1" si="33"/>
        <v>#N/A</v>
      </c>
    </row>
    <row r="218" spans="12:25" ht="14.4">
      <c r="L218" s="464"/>
      <c r="M218" s="129" t="e">
        <f t="shared" si="34"/>
        <v>#N/A</v>
      </c>
      <c r="N218" s="161">
        <f t="shared" si="40"/>
        <v>13</v>
      </c>
      <c r="O218" s="160" t="e">
        <f t="shared" ca="1" si="35"/>
        <v>#N/A</v>
      </c>
      <c r="P218" s="160" t="e">
        <f t="shared" ca="1" si="38"/>
        <v>#N/A</v>
      </c>
      <c r="Q218" s="160" t="e">
        <f t="shared" ca="1" si="39"/>
        <v>#N/A</v>
      </c>
      <c r="R218" s="160" t="e">
        <f t="shared" ca="1" si="39"/>
        <v>#N/A</v>
      </c>
      <c r="S218" s="160" t="e">
        <f t="shared" ca="1" si="39"/>
        <v>#N/A</v>
      </c>
      <c r="T218" s="160" t="e">
        <f t="shared" ca="1" si="37"/>
        <v>#N/A</v>
      </c>
      <c r="U218" s="160" t="e">
        <f t="shared" ca="1" si="36"/>
        <v>#N/A</v>
      </c>
      <c r="V218" s="163" t="e">
        <f t="shared" ca="1" si="30"/>
        <v>#N/A</v>
      </c>
      <c r="W218" s="163" t="e">
        <f t="shared" ca="1" si="31"/>
        <v>#N/A</v>
      </c>
      <c r="X218" s="163" t="e">
        <f t="shared" ca="1" si="32"/>
        <v>#N/A</v>
      </c>
      <c r="Y218" s="163" t="e">
        <f t="shared" ca="1" si="33"/>
        <v>#N/A</v>
      </c>
    </row>
    <row r="219" spans="12:25" ht="14.4">
      <c r="L219" s="464"/>
      <c r="M219" s="129" t="e">
        <f t="shared" si="34"/>
        <v>#N/A</v>
      </c>
      <c r="N219" s="161">
        <f t="shared" si="40"/>
        <v>13</v>
      </c>
      <c r="O219" s="160" t="e">
        <f t="shared" ca="1" si="35"/>
        <v>#N/A</v>
      </c>
      <c r="P219" s="160" t="e">
        <f t="shared" ca="1" si="38"/>
        <v>#N/A</v>
      </c>
      <c r="Q219" s="160" t="e">
        <f t="shared" ca="1" si="39"/>
        <v>#N/A</v>
      </c>
      <c r="R219" s="160" t="e">
        <f t="shared" ca="1" si="39"/>
        <v>#N/A</v>
      </c>
      <c r="S219" s="160" t="e">
        <f t="shared" ca="1" si="39"/>
        <v>#N/A</v>
      </c>
      <c r="T219" s="160" t="e">
        <f t="shared" ca="1" si="37"/>
        <v>#N/A</v>
      </c>
      <c r="U219" s="160" t="e">
        <f t="shared" ca="1" si="36"/>
        <v>#N/A</v>
      </c>
      <c r="V219" s="163" t="e">
        <f t="shared" ca="1" si="30"/>
        <v>#N/A</v>
      </c>
      <c r="W219" s="163" t="e">
        <f t="shared" ca="1" si="31"/>
        <v>#N/A</v>
      </c>
      <c r="X219" s="163" t="e">
        <f t="shared" ca="1" si="32"/>
        <v>#N/A</v>
      </c>
      <c r="Y219" s="163" t="e">
        <f t="shared" ca="1" si="33"/>
        <v>#N/A</v>
      </c>
    </row>
    <row r="220" spans="12:25" ht="14.4">
      <c r="L220" s="464"/>
      <c r="M220" s="129" t="e">
        <f t="shared" si="34"/>
        <v>#N/A</v>
      </c>
      <c r="N220" s="161">
        <f t="shared" si="40"/>
        <v>13</v>
      </c>
      <c r="O220" s="160" t="e">
        <f t="shared" ca="1" si="35"/>
        <v>#N/A</v>
      </c>
      <c r="P220" s="160" t="e">
        <f t="shared" ca="1" si="38"/>
        <v>#N/A</v>
      </c>
      <c r="Q220" s="160" t="e">
        <f t="shared" ca="1" si="39"/>
        <v>#N/A</v>
      </c>
      <c r="R220" s="160" t="e">
        <f t="shared" ca="1" si="39"/>
        <v>#N/A</v>
      </c>
      <c r="S220" s="160" t="e">
        <f t="shared" ca="1" si="39"/>
        <v>#N/A</v>
      </c>
      <c r="T220" s="160" t="e">
        <f t="shared" ca="1" si="37"/>
        <v>#N/A</v>
      </c>
      <c r="U220" s="160" t="e">
        <f t="shared" ca="1" si="36"/>
        <v>#N/A</v>
      </c>
      <c r="V220" s="163" t="e">
        <f t="shared" ca="1" si="30"/>
        <v>#N/A</v>
      </c>
      <c r="W220" s="163" t="e">
        <f t="shared" ca="1" si="31"/>
        <v>#N/A</v>
      </c>
      <c r="X220" s="163" t="e">
        <f t="shared" ca="1" si="32"/>
        <v>#N/A</v>
      </c>
      <c r="Y220" s="163" t="e">
        <f t="shared" ca="1" si="33"/>
        <v>#N/A</v>
      </c>
    </row>
    <row r="221" spans="12:25" ht="14.4">
      <c r="L221" s="464"/>
      <c r="M221" s="129" t="e">
        <f t="shared" si="34"/>
        <v>#N/A</v>
      </c>
      <c r="N221" s="161">
        <f t="shared" si="40"/>
        <v>13</v>
      </c>
      <c r="O221" s="160" t="e">
        <f t="shared" ca="1" si="35"/>
        <v>#N/A</v>
      </c>
      <c r="P221" s="160" t="e">
        <f t="shared" ca="1" si="38"/>
        <v>#N/A</v>
      </c>
      <c r="Q221" s="160" t="e">
        <f t="shared" ca="1" si="39"/>
        <v>#N/A</v>
      </c>
      <c r="R221" s="160" t="e">
        <f t="shared" ca="1" si="39"/>
        <v>#N/A</v>
      </c>
      <c r="S221" s="160" t="e">
        <f t="shared" ca="1" si="39"/>
        <v>#N/A</v>
      </c>
      <c r="T221" s="160" t="e">
        <f t="shared" ca="1" si="37"/>
        <v>#N/A</v>
      </c>
      <c r="U221" s="160" t="e">
        <f t="shared" ca="1" si="36"/>
        <v>#N/A</v>
      </c>
      <c r="V221" s="163" t="e">
        <f t="shared" ca="1" si="30"/>
        <v>#N/A</v>
      </c>
      <c r="W221" s="163" t="e">
        <f t="shared" ca="1" si="31"/>
        <v>#N/A</v>
      </c>
      <c r="X221" s="163" t="e">
        <f t="shared" ca="1" si="32"/>
        <v>#N/A</v>
      </c>
      <c r="Y221" s="163" t="e">
        <f t="shared" ca="1" si="33"/>
        <v>#N/A</v>
      </c>
    </row>
    <row r="222" spans="12:25" ht="14.4">
      <c r="L222" s="464"/>
      <c r="M222" s="129" t="e">
        <f t="shared" si="34"/>
        <v>#N/A</v>
      </c>
      <c r="N222" s="161">
        <f t="shared" si="40"/>
        <v>13</v>
      </c>
      <c r="O222" s="160" t="e">
        <f t="shared" ca="1" si="35"/>
        <v>#N/A</v>
      </c>
      <c r="P222" s="160" t="e">
        <f t="shared" ca="1" si="38"/>
        <v>#N/A</v>
      </c>
      <c r="Q222" s="160" t="e">
        <f t="shared" ca="1" si="39"/>
        <v>#N/A</v>
      </c>
      <c r="R222" s="160" t="e">
        <f t="shared" ca="1" si="39"/>
        <v>#N/A</v>
      </c>
      <c r="S222" s="160" t="e">
        <f t="shared" ca="1" si="39"/>
        <v>#N/A</v>
      </c>
      <c r="T222" s="160" t="e">
        <f t="shared" ca="1" si="37"/>
        <v>#N/A</v>
      </c>
      <c r="U222" s="160" t="e">
        <f t="shared" ca="1" si="36"/>
        <v>#N/A</v>
      </c>
      <c r="V222" s="163" t="e">
        <f t="shared" ca="1" si="30"/>
        <v>#N/A</v>
      </c>
      <c r="W222" s="163" t="e">
        <f t="shared" ca="1" si="31"/>
        <v>#N/A</v>
      </c>
      <c r="X222" s="163" t="e">
        <f t="shared" ca="1" si="32"/>
        <v>#N/A</v>
      </c>
      <c r="Y222" s="163" t="e">
        <f t="shared" ca="1" si="33"/>
        <v>#N/A</v>
      </c>
    </row>
    <row r="223" spans="12:25" ht="14.4">
      <c r="L223" s="464"/>
      <c r="M223" s="129" t="e">
        <f t="shared" si="34"/>
        <v>#N/A</v>
      </c>
      <c r="N223" s="161">
        <f t="shared" si="40"/>
        <v>13</v>
      </c>
      <c r="O223" s="160" t="e">
        <f t="shared" ca="1" si="35"/>
        <v>#N/A</v>
      </c>
      <c r="P223" s="160" t="e">
        <f t="shared" ca="1" si="38"/>
        <v>#N/A</v>
      </c>
      <c r="Q223" s="160" t="e">
        <f t="shared" ca="1" si="39"/>
        <v>#N/A</v>
      </c>
      <c r="R223" s="160" t="e">
        <f t="shared" ca="1" si="39"/>
        <v>#N/A</v>
      </c>
      <c r="S223" s="160" t="e">
        <f t="shared" ca="1" si="39"/>
        <v>#N/A</v>
      </c>
      <c r="T223" s="160" t="e">
        <f t="shared" ca="1" si="37"/>
        <v>#N/A</v>
      </c>
      <c r="U223" s="160" t="e">
        <f t="shared" ca="1" si="36"/>
        <v>#N/A</v>
      </c>
      <c r="V223" s="163" t="e">
        <f t="shared" ref="V223:V286" ca="1" si="41">IF(Q223=0,0,IF(S223=180,IF(R223=0,"Slab on Grade",IF(R223=1,"Exposed Floor",IF(R223=3,"Internal Floor",U223))),IF(S223&lt;45,IF(R223=3,"Internal Ceiling",IF(R223=1,"Roof",U223)))))</f>
        <v>#N/A</v>
      </c>
      <c r="W223" s="163" t="e">
        <f t="shared" ref="W223:W286" ca="1" si="42">IF(ISNUMBER(SEARCH($W$29,U223))=TRUE,IF(ISNUMBER(SEARCH($W$27,U223))=TRUE,IF(R223=1,"eFrame",IF(R223=3,"iFrame")),IF(R223=1,"eWindow",IF(R223=3,"iWindow"))),U223)</f>
        <v>#N/A</v>
      </c>
      <c r="X223" s="163" t="e">
        <f t="shared" ref="X223:X286" ca="1" si="43">IF(ISNUMBER(SEARCH($X$29,U223))=TRUE,IF(ISNUMBER(SEARCH($X$27,U223))=TRUE,IF(R223=1,"eFrameDoor",IF(R223=3,"iFrameDoor")),IF(R223=1,"eDoor",IF(R223=3,"iDoor"))),U223)</f>
        <v>#N/A</v>
      </c>
      <c r="Y223" s="163" t="e">
        <f t="shared" ref="Y223:Y286" ca="1" si="44">IF(ISNUMBER(SEARCH($W$29,U223))=TRUE,"Substract",IF(ISNUMBER(SEARCH($X$29,U223))=TRUE, "Sunstract",IF(S223=90,IF(R223=1,"External Wall",IF(R223=3,"Internal Wall",IF(R223=0,"Below Grade Wall",U223))),V223)))</f>
        <v>#N/A</v>
      </c>
    </row>
    <row r="224" spans="12:25" ht="14.4">
      <c r="L224" s="464"/>
      <c r="M224" s="129" t="e">
        <f t="shared" ref="M224:M287" si="45">IF(M223="end","end",IF(M223=$K$1,"end",M223+1))</f>
        <v>#N/A</v>
      </c>
      <c r="N224" s="161">
        <f t="shared" si="40"/>
        <v>13</v>
      </c>
      <c r="O224" s="160" t="e">
        <f t="shared" ca="1" si="35"/>
        <v>#N/A</v>
      </c>
      <c r="P224" s="160" t="e">
        <f t="shared" ca="1" si="38"/>
        <v>#N/A</v>
      </c>
      <c r="Q224" s="160" t="e">
        <f t="shared" ca="1" si="39"/>
        <v>#N/A</v>
      </c>
      <c r="R224" s="160" t="e">
        <f t="shared" ca="1" si="39"/>
        <v>#N/A</v>
      </c>
      <c r="S224" s="160" t="e">
        <f t="shared" ca="1" si="39"/>
        <v>#N/A</v>
      </c>
      <c r="T224" s="160" t="e">
        <f t="shared" ca="1" si="37"/>
        <v>#N/A</v>
      </c>
      <c r="U224" s="160" t="e">
        <f t="shared" ca="1" si="36"/>
        <v>#N/A</v>
      </c>
      <c r="V224" s="163" t="e">
        <f t="shared" ca="1" si="41"/>
        <v>#N/A</v>
      </c>
      <c r="W224" s="163" t="e">
        <f t="shared" ca="1" si="42"/>
        <v>#N/A</v>
      </c>
      <c r="X224" s="163" t="e">
        <f t="shared" ca="1" si="43"/>
        <v>#N/A</v>
      </c>
      <c r="Y224" s="163" t="e">
        <f t="shared" ca="1" si="44"/>
        <v>#N/A</v>
      </c>
    </row>
    <row r="225" spans="12:25" ht="14.4">
      <c r="L225" s="464"/>
      <c r="M225" s="129" t="e">
        <f t="shared" si="45"/>
        <v>#N/A</v>
      </c>
      <c r="N225" s="161">
        <f t="shared" si="40"/>
        <v>13</v>
      </c>
      <c r="O225" s="160" t="e">
        <f t="shared" ca="1" si="35"/>
        <v>#N/A</v>
      </c>
      <c r="P225" s="160" t="e">
        <f t="shared" ca="1" si="38"/>
        <v>#N/A</v>
      </c>
      <c r="Q225" s="160" t="e">
        <f t="shared" ca="1" si="39"/>
        <v>#N/A</v>
      </c>
      <c r="R225" s="160" t="e">
        <f t="shared" ca="1" si="39"/>
        <v>#N/A</v>
      </c>
      <c r="S225" s="160" t="e">
        <f t="shared" ca="1" si="39"/>
        <v>#N/A</v>
      </c>
      <c r="T225" s="160" t="e">
        <f t="shared" ca="1" si="37"/>
        <v>#N/A</v>
      </c>
      <c r="U225" s="160" t="e">
        <f t="shared" ca="1" si="36"/>
        <v>#N/A</v>
      </c>
      <c r="V225" s="163" t="e">
        <f t="shared" ca="1" si="41"/>
        <v>#N/A</v>
      </c>
      <c r="W225" s="163" t="e">
        <f t="shared" ca="1" si="42"/>
        <v>#N/A</v>
      </c>
      <c r="X225" s="163" t="e">
        <f t="shared" ca="1" si="43"/>
        <v>#N/A</v>
      </c>
      <c r="Y225" s="163" t="e">
        <f t="shared" ca="1" si="44"/>
        <v>#N/A</v>
      </c>
    </row>
    <row r="226" spans="12:25" ht="14.4">
      <c r="L226" s="464"/>
      <c r="M226" s="129" t="e">
        <f t="shared" si="45"/>
        <v>#N/A</v>
      </c>
      <c r="N226" s="161">
        <f t="shared" si="40"/>
        <v>13</v>
      </c>
      <c r="O226" s="160" t="e">
        <f t="shared" ca="1" si="35"/>
        <v>#N/A</v>
      </c>
      <c r="P226" s="160" t="e">
        <f t="shared" ca="1" si="38"/>
        <v>#N/A</v>
      </c>
      <c r="Q226" s="160" t="e">
        <f t="shared" ca="1" si="39"/>
        <v>#N/A</v>
      </c>
      <c r="R226" s="160" t="e">
        <f t="shared" ca="1" si="39"/>
        <v>#N/A</v>
      </c>
      <c r="S226" s="160" t="e">
        <f t="shared" ca="1" si="39"/>
        <v>#N/A</v>
      </c>
      <c r="T226" s="160" t="e">
        <f t="shared" ca="1" si="37"/>
        <v>#N/A</v>
      </c>
      <c r="U226" s="160" t="e">
        <f t="shared" ca="1" si="36"/>
        <v>#N/A</v>
      </c>
      <c r="V226" s="163" t="e">
        <f t="shared" ca="1" si="41"/>
        <v>#N/A</v>
      </c>
      <c r="W226" s="163" t="e">
        <f t="shared" ca="1" si="42"/>
        <v>#N/A</v>
      </c>
      <c r="X226" s="163" t="e">
        <f t="shared" ca="1" si="43"/>
        <v>#N/A</v>
      </c>
      <c r="Y226" s="163" t="e">
        <f t="shared" ca="1" si="44"/>
        <v>#N/A</v>
      </c>
    </row>
    <row r="227" spans="12:25" ht="14.4">
      <c r="L227" s="464"/>
      <c r="M227" s="129" t="e">
        <f t="shared" si="45"/>
        <v>#N/A</v>
      </c>
      <c r="N227" s="161">
        <f t="shared" si="40"/>
        <v>13</v>
      </c>
      <c r="O227" s="160" t="e">
        <f t="shared" ca="1" si="35"/>
        <v>#N/A</v>
      </c>
      <c r="P227" s="160" t="e">
        <f t="shared" ca="1" si="38"/>
        <v>#N/A</v>
      </c>
      <c r="Q227" s="160" t="e">
        <f t="shared" ca="1" si="39"/>
        <v>#N/A</v>
      </c>
      <c r="R227" s="160" t="e">
        <f t="shared" ca="1" si="39"/>
        <v>#N/A</v>
      </c>
      <c r="S227" s="160" t="e">
        <f t="shared" ca="1" si="39"/>
        <v>#N/A</v>
      </c>
      <c r="T227" s="160" t="e">
        <f t="shared" ca="1" si="37"/>
        <v>#N/A</v>
      </c>
      <c r="U227" s="160" t="e">
        <f t="shared" ca="1" si="36"/>
        <v>#N/A</v>
      </c>
      <c r="V227" s="163" t="e">
        <f t="shared" ca="1" si="41"/>
        <v>#N/A</v>
      </c>
      <c r="W227" s="163" t="e">
        <f t="shared" ca="1" si="42"/>
        <v>#N/A</v>
      </c>
      <c r="X227" s="163" t="e">
        <f t="shared" ca="1" si="43"/>
        <v>#N/A</v>
      </c>
      <c r="Y227" s="163" t="e">
        <f t="shared" ca="1" si="44"/>
        <v>#N/A</v>
      </c>
    </row>
    <row r="228" spans="12:25" ht="14.4">
      <c r="L228" s="464"/>
      <c r="M228" s="129" t="e">
        <f t="shared" si="45"/>
        <v>#N/A</v>
      </c>
      <c r="N228" s="161">
        <f t="shared" si="40"/>
        <v>13</v>
      </c>
      <c r="O228" s="160" t="e">
        <f t="shared" ca="1" si="35"/>
        <v>#N/A</v>
      </c>
      <c r="P228" s="160" t="e">
        <f t="shared" ca="1" si="38"/>
        <v>#N/A</v>
      </c>
      <c r="Q228" s="160" t="e">
        <f t="shared" ca="1" si="39"/>
        <v>#N/A</v>
      </c>
      <c r="R228" s="160" t="e">
        <f t="shared" ca="1" si="39"/>
        <v>#N/A</v>
      </c>
      <c r="S228" s="160" t="e">
        <f t="shared" ca="1" si="39"/>
        <v>#N/A</v>
      </c>
      <c r="T228" s="160" t="e">
        <f t="shared" ca="1" si="37"/>
        <v>#N/A</v>
      </c>
      <c r="U228" s="160" t="e">
        <f t="shared" ca="1" si="36"/>
        <v>#N/A</v>
      </c>
      <c r="V228" s="163" t="e">
        <f t="shared" ca="1" si="41"/>
        <v>#N/A</v>
      </c>
      <c r="W228" s="163" t="e">
        <f t="shared" ca="1" si="42"/>
        <v>#N/A</v>
      </c>
      <c r="X228" s="163" t="e">
        <f t="shared" ca="1" si="43"/>
        <v>#N/A</v>
      </c>
      <c r="Y228" s="163" t="e">
        <f t="shared" ca="1" si="44"/>
        <v>#N/A</v>
      </c>
    </row>
    <row r="229" spans="12:25" ht="14.4">
      <c r="L229" s="464"/>
      <c r="M229" s="129" t="e">
        <f t="shared" si="45"/>
        <v>#N/A</v>
      </c>
      <c r="N229" s="161">
        <f t="shared" si="40"/>
        <v>13</v>
      </c>
      <c r="O229" s="160" t="e">
        <f t="shared" ca="1" si="35"/>
        <v>#N/A</v>
      </c>
      <c r="P229" s="160" t="e">
        <f t="shared" ca="1" si="38"/>
        <v>#N/A</v>
      </c>
      <c r="Q229" s="160" t="e">
        <f t="shared" ca="1" si="39"/>
        <v>#N/A</v>
      </c>
      <c r="R229" s="160" t="e">
        <f t="shared" ca="1" si="39"/>
        <v>#N/A</v>
      </c>
      <c r="S229" s="160" t="e">
        <f t="shared" ca="1" si="39"/>
        <v>#N/A</v>
      </c>
      <c r="T229" s="160" t="e">
        <f t="shared" ca="1" si="37"/>
        <v>#N/A</v>
      </c>
      <c r="U229" s="160" t="e">
        <f t="shared" ca="1" si="36"/>
        <v>#N/A</v>
      </c>
      <c r="V229" s="163" t="e">
        <f t="shared" ca="1" si="41"/>
        <v>#N/A</v>
      </c>
      <c r="W229" s="163" t="e">
        <f t="shared" ca="1" si="42"/>
        <v>#N/A</v>
      </c>
      <c r="X229" s="163" t="e">
        <f t="shared" ca="1" si="43"/>
        <v>#N/A</v>
      </c>
      <c r="Y229" s="163" t="e">
        <f t="shared" ca="1" si="44"/>
        <v>#N/A</v>
      </c>
    </row>
    <row r="230" spans="12:25" ht="14.4">
      <c r="L230" s="464"/>
      <c r="M230" s="129" t="e">
        <f t="shared" si="45"/>
        <v>#N/A</v>
      </c>
      <c r="N230" s="161">
        <f t="shared" si="40"/>
        <v>13</v>
      </c>
      <c r="O230" s="160" t="e">
        <f t="shared" ca="1" si="35"/>
        <v>#N/A</v>
      </c>
      <c r="P230" s="160" t="e">
        <f t="shared" ca="1" si="38"/>
        <v>#N/A</v>
      </c>
      <c r="Q230" s="160" t="e">
        <f t="shared" ca="1" si="39"/>
        <v>#N/A</v>
      </c>
      <c r="R230" s="160" t="e">
        <f t="shared" ca="1" si="39"/>
        <v>#N/A</v>
      </c>
      <c r="S230" s="160" t="e">
        <f t="shared" ca="1" si="39"/>
        <v>#N/A</v>
      </c>
      <c r="T230" s="160" t="e">
        <f t="shared" ca="1" si="37"/>
        <v>#N/A</v>
      </c>
      <c r="U230" s="160" t="e">
        <f t="shared" ca="1" si="36"/>
        <v>#N/A</v>
      </c>
      <c r="V230" s="163" t="e">
        <f t="shared" ca="1" si="41"/>
        <v>#N/A</v>
      </c>
      <c r="W230" s="163" t="e">
        <f t="shared" ca="1" si="42"/>
        <v>#N/A</v>
      </c>
      <c r="X230" s="163" t="e">
        <f t="shared" ca="1" si="43"/>
        <v>#N/A</v>
      </c>
      <c r="Y230" s="163" t="e">
        <f t="shared" ca="1" si="44"/>
        <v>#N/A</v>
      </c>
    </row>
    <row r="231" spans="12:25" ht="14.4">
      <c r="L231" s="464"/>
      <c r="M231" s="129" t="e">
        <f t="shared" si="45"/>
        <v>#N/A</v>
      </c>
      <c r="N231" s="161">
        <f t="shared" si="40"/>
        <v>13</v>
      </c>
      <c r="O231" s="160" t="e">
        <f t="shared" ca="1" si="35"/>
        <v>#N/A</v>
      </c>
      <c r="P231" s="160" t="e">
        <f t="shared" ca="1" si="38"/>
        <v>#N/A</v>
      </c>
      <c r="Q231" s="160" t="e">
        <f t="shared" ca="1" si="39"/>
        <v>#N/A</v>
      </c>
      <c r="R231" s="160" t="e">
        <f t="shared" ca="1" si="39"/>
        <v>#N/A</v>
      </c>
      <c r="S231" s="160" t="e">
        <f t="shared" ca="1" si="39"/>
        <v>#N/A</v>
      </c>
      <c r="T231" s="160" t="e">
        <f t="shared" ca="1" si="37"/>
        <v>#N/A</v>
      </c>
      <c r="U231" s="160" t="e">
        <f t="shared" ca="1" si="36"/>
        <v>#N/A</v>
      </c>
      <c r="V231" s="163" t="e">
        <f t="shared" ca="1" si="41"/>
        <v>#N/A</v>
      </c>
      <c r="W231" s="163" t="e">
        <f t="shared" ca="1" si="42"/>
        <v>#N/A</v>
      </c>
      <c r="X231" s="163" t="e">
        <f t="shared" ca="1" si="43"/>
        <v>#N/A</v>
      </c>
      <c r="Y231" s="163" t="e">
        <f t="shared" ca="1" si="44"/>
        <v>#N/A</v>
      </c>
    </row>
    <row r="232" spans="12:25" ht="14.4">
      <c r="L232" s="464"/>
      <c r="M232" s="129" t="e">
        <f t="shared" si="45"/>
        <v>#N/A</v>
      </c>
      <c r="N232" s="161">
        <f t="shared" si="40"/>
        <v>13</v>
      </c>
      <c r="O232" s="160" t="e">
        <f t="shared" ca="1" si="35"/>
        <v>#N/A</v>
      </c>
      <c r="P232" s="160" t="e">
        <f t="shared" ca="1" si="38"/>
        <v>#N/A</v>
      </c>
      <c r="Q232" s="160" t="e">
        <f t="shared" ca="1" si="39"/>
        <v>#N/A</v>
      </c>
      <c r="R232" s="160" t="e">
        <f t="shared" ca="1" si="39"/>
        <v>#N/A</v>
      </c>
      <c r="S232" s="160" t="e">
        <f t="shared" ca="1" si="39"/>
        <v>#N/A</v>
      </c>
      <c r="T232" s="160" t="e">
        <f t="shared" ca="1" si="37"/>
        <v>#N/A</v>
      </c>
      <c r="U232" s="160" t="e">
        <f t="shared" ca="1" si="36"/>
        <v>#N/A</v>
      </c>
      <c r="V232" s="163" t="e">
        <f t="shared" ca="1" si="41"/>
        <v>#N/A</v>
      </c>
      <c r="W232" s="163" t="e">
        <f t="shared" ca="1" si="42"/>
        <v>#N/A</v>
      </c>
      <c r="X232" s="163" t="e">
        <f t="shared" ca="1" si="43"/>
        <v>#N/A</v>
      </c>
      <c r="Y232" s="163" t="e">
        <f t="shared" ca="1" si="44"/>
        <v>#N/A</v>
      </c>
    </row>
    <row r="233" spans="12:25" ht="14.4">
      <c r="L233" s="464"/>
      <c r="M233" s="129" t="e">
        <f t="shared" si="45"/>
        <v>#N/A</v>
      </c>
      <c r="N233" s="161">
        <f t="shared" si="40"/>
        <v>13</v>
      </c>
      <c r="O233" s="160" t="e">
        <f t="shared" ref="O233:O296" ca="1" si="46">IF($M233="end",0,OFFSET($A$1,$M233-1,O$29,1,1))</f>
        <v>#N/A</v>
      </c>
      <c r="P233" s="160" t="e">
        <f t="shared" ca="1" si="38"/>
        <v>#N/A</v>
      </c>
      <c r="Q233" s="160" t="e">
        <f t="shared" ca="1" si="39"/>
        <v>#N/A</v>
      </c>
      <c r="R233" s="160" t="e">
        <f t="shared" ca="1" si="39"/>
        <v>#N/A</v>
      </c>
      <c r="S233" s="160" t="e">
        <f t="shared" ca="1" si="39"/>
        <v>#N/A</v>
      </c>
      <c r="T233" s="160" t="e">
        <f t="shared" ca="1" si="37"/>
        <v>#N/A</v>
      </c>
      <c r="U233" s="160" t="e">
        <f t="shared" ca="1" si="36"/>
        <v>#N/A</v>
      </c>
      <c r="V233" s="163" t="e">
        <f t="shared" ca="1" si="41"/>
        <v>#N/A</v>
      </c>
      <c r="W233" s="163" t="e">
        <f t="shared" ca="1" si="42"/>
        <v>#N/A</v>
      </c>
      <c r="X233" s="163" t="e">
        <f t="shared" ca="1" si="43"/>
        <v>#N/A</v>
      </c>
      <c r="Y233" s="163" t="e">
        <f t="shared" ca="1" si="44"/>
        <v>#N/A</v>
      </c>
    </row>
    <row r="234" spans="12:25" ht="14.4">
      <c r="L234" s="464"/>
      <c r="M234" s="129" t="e">
        <f t="shared" si="45"/>
        <v>#N/A</v>
      </c>
      <c r="N234" s="161">
        <f t="shared" si="40"/>
        <v>13</v>
      </c>
      <c r="O234" s="160" t="e">
        <f t="shared" ca="1" si="46"/>
        <v>#N/A</v>
      </c>
      <c r="P234" s="160" t="e">
        <f t="shared" ca="1" si="38"/>
        <v>#N/A</v>
      </c>
      <c r="Q234" s="160" t="e">
        <f t="shared" ca="1" si="39"/>
        <v>#N/A</v>
      </c>
      <c r="R234" s="160" t="e">
        <f t="shared" ca="1" si="39"/>
        <v>#N/A</v>
      </c>
      <c r="S234" s="160" t="e">
        <f t="shared" ca="1" si="39"/>
        <v>#N/A</v>
      </c>
      <c r="T234" s="160" t="e">
        <f t="shared" ca="1" si="37"/>
        <v>#N/A</v>
      </c>
      <c r="U234" s="160" t="e">
        <f t="shared" ca="1" si="36"/>
        <v>#N/A</v>
      </c>
      <c r="V234" s="163" t="e">
        <f t="shared" ca="1" si="41"/>
        <v>#N/A</v>
      </c>
      <c r="W234" s="163" t="e">
        <f t="shared" ca="1" si="42"/>
        <v>#N/A</v>
      </c>
      <c r="X234" s="163" t="e">
        <f t="shared" ca="1" si="43"/>
        <v>#N/A</v>
      </c>
      <c r="Y234" s="163" t="e">
        <f t="shared" ca="1" si="44"/>
        <v>#N/A</v>
      </c>
    </row>
    <row r="235" spans="12:25" ht="14.4">
      <c r="L235" s="464"/>
      <c r="M235" s="129" t="e">
        <f t="shared" si="45"/>
        <v>#N/A</v>
      </c>
      <c r="N235" s="161">
        <f t="shared" si="40"/>
        <v>13</v>
      </c>
      <c r="O235" s="160" t="e">
        <f t="shared" ca="1" si="46"/>
        <v>#N/A</v>
      </c>
      <c r="P235" s="160" t="e">
        <f t="shared" ca="1" si="38"/>
        <v>#N/A</v>
      </c>
      <c r="Q235" s="160" t="e">
        <f t="shared" ca="1" si="39"/>
        <v>#N/A</v>
      </c>
      <c r="R235" s="160" t="e">
        <f t="shared" ca="1" si="39"/>
        <v>#N/A</v>
      </c>
      <c r="S235" s="160" t="e">
        <f t="shared" ca="1" si="39"/>
        <v>#N/A</v>
      </c>
      <c r="T235" s="160" t="e">
        <f t="shared" ca="1" si="37"/>
        <v>#N/A</v>
      </c>
      <c r="U235" s="160" t="e">
        <f t="shared" ca="1" si="36"/>
        <v>#N/A</v>
      </c>
      <c r="V235" s="163" t="e">
        <f t="shared" ca="1" si="41"/>
        <v>#N/A</v>
      </c>
      <c r="W235" s="163" t="e">
        <f t="shared" ca="1" si="42"/>
        <v>#N/A</v>
      </c>
      <c r="X235" s="163" t="e">
        <f t="shared" ca="1" si="43"/>
        <v>#N/A</v>
      </c>
      <c r="Y235" s="163" t="e">
        <f t="shared" ca="1" si="44"/>
        <v>#N/A</v>
      </c>
    </row>
    <row r="236" spans="12:25" ht="14.4">
      <c r="L236" s="464"/>
      <c r="M236" s="129" t="e">
        <f t="shared" si="45"/>
        <v>#N/A</v>
      </c>
      <c r="N236" s="161">
        <f t="shared" si="40"/>
        <v>13</v>
      </c>
      <c r="O236" s="160" t="e">
        <f t="shared" ca="1" si="46"/>
        <v>#N/A</v>
      </c>
      <c r="P236" s="160" t="e">
        <f t="shared" ca="1" si="38"/>
        <v>#N/A</v>
      </c>
      <c r="Q236" s="160" t="e">
        <f t="shared" ca="1" si="39"/>
        <v>#N/A</v>
      </c>
      <c r="R236" s="160" t="e">
        <f t="shared" ca="1" si="39"/>
        <v>#N/A</v>
      </c>
      <c r="S236" s="160" t="e">
        <f t="shared" ca="1" si="39"/>
        <v>#N/A</v>
      </c>
      <c r="T236" s="160" t="e">
        <f t="shared" ca="1" si="37"/>
        <v>#N/A</v>
      </c>
      <c r="U236" s="160" t="e">
        <f t="shared" ca="1" si="36"/>
        <v>#N/A</v>
      </c>
      <c r="V236" s="163" t="e">
        <f t="shared" ca="1" si="41"/>
        <v>#N/A</v>
      </c>
      <c r="W236" s="163" t="e">
        <f t="shared" ca="1" si="42"/>
        <v>#N/A</v>
      </c>
      <c r="X236" s="163" t="e">
        <f t="shared" ca="1" si="43"/>
        <v>#N/A</v>
      </c>
      <c r="Y236" s="163" t="e">
        <f t="shared" ca="1" si="44"/>
        <v>#N/A</v>
      </c>
    </row>
    <row r="237" spans="12:25" ht="14.4">
      <c r="L237" s="464"/>
      <c r="M237" s="129" t="e">
        <f t="shared" si="45"/>
        <v>#N/A</v>
      </c>
      <c r="N237" s="161">
        <f t="shared" si="40"/>
        <v>13</v>
      </c>
      <c r="O237" s="160" t="e">
        <f t="shared" ca="1" si="46"/>
        <v>#N/A</v>
      </c>
      <c r="P237" s="160" t="e">
        <f t="shared" ca="1" si="38"/>
        <v>#N/A</v>
      </c>
      <c r="Q237" s="160" t="e">
        <f t="shared" ca="1" si="39"/>
        <v>#N/A</v>
      </c>
      <c r="R237" s="160" t="e">
        <f t="shared" ca="1" si="39"/>
        <v>#N/A</v>
      </c>
      <c r="S237" s="160" t="e">
        <f t="shared" ca="1" si="39"/>
        <v>#N/A</v>
      </c>
      <c r="T237" s="160" t="e">
        <f t="shared" ca="1" si="37"/>
        <v>#N/A</v>
      </c>
      <c r="U237" s="160" t="e">
        <f t="shared" ca="1" si="37"/>
        <v>#N/A</v>
      </c>
      <c r="V237" s="163" t="e">
        <f t="shared" ca="1" si="41"/>
        <v>#N/A</v>
      </c>
      <c r="W237" s="163" t="e">
        <f t="shared" ca="1" si="42"/>
        <v>#N/A</v>
      </c>
      <c r="X237" s="163" t="e">
        <f t="shared" ca="1" si="43"/>
        <v>#N/A</v>
      </c>
      <c r="Y237" s="163" t="e">
        <f t="shared" ca="1" si="44"/>
        <v>#N/A</v>
      </c>
    </row>
    <row r="238" spans="12:25" ht="14.4">
      <c r="L238" s="464"/>
      <c r="M238" s="129" t="e">
        <f t="shared" si="45"/>
        <v>#N/A</v>
      </c>
      <c r="N238" s="161">
        <f t="shared" si="40"/>
        <v>13</v>
      </c>
      <c r="O238" s="160" t="e">
        <f t="shared" ca="1" si="46"/>
        <v>#N/A</v>
      </c>
      <c r="P238" s="160" t="e">
        <f t="shared" ca="1" si="38"/>
        <v>#N/A</v>
      </c>
      <c r="Q238" s="160" t="e">
        <f t="shared" ca="1" si="39"/>
        <v>#N/A</v>
      </c>
      <c r="R238" s="160" t="e">
        <f t="shared" ca="1" si="39"/>
        <v>#N/A</v>
      </c>
      <c r="S238" s="160" t="e">
        <f t="shared" ca="1" si="39"/>
        <v>#N/A</v>
      </c>
      <c r="T238" s="160" t="e">
        <f t="shared" ca="1" si="37"/>
        <v>#N/A</v>
      </c>
      <c r="U238" s="160" t="e">
        <f t="shared" ca="1" si="37"/>
        <v>#N/A</v>
      </c>
      <c r="V238" s="163" t="e">
        <f t="shared" ca="1" si="41"/>
        <v>#N/A</v>
      </c>
      <c r="W238" s="163" t="e">
        <f t="shared" ca="1" si="42"/>
        <v>#N/A</v>
      </c>
      <c r="X238" s="163" t="e">
        <f t="shared" ca="1" si="43"/>
        <v>#N/A</v>
      </c>
      <c r="Y238" s="163" t="e">
        <f t="shared" ca="1" si="44"/>
        <v>#N/A</v>
      </c>
    </row>
    <row r="239" spans="12:25" ht="14.4">
      <c r="L239" s="464"/>
      <c r="M239" s="129" t="e">
        <f t="shared" si="45"/>
        <v>#N/A</v>
      </c>
      <c r="N239" s="161">
        <f t="shared" si="40"/>
        <v>13</v>
      </c>
      <c r="O239" s="160" t="e">
        <f t="shared" ca="1" si="46"/>
        <v>#N/A</v>
      </c>
      <c r="P239" s="160" t="e">
        <f t="shared" ca="1" si="38"/>
        <v>#N/A</v>
      </c>
      <c r="Q239" s="160" t="e">
        <f t="shared" ca="1" si="39"/>
        <v>#N/A</v>
      </c>
      <c r="R239" s="160" t="e">
        <f t="shared" ca="1" si="39"/>
        <v>#N/A</v>
      </c>
      <c r="S239" s="160" t="e">
        <f t="shared" ca="1" si="39"/>
        <v>#N/A</v>
      </c>
      <c r="T239" s="160" t="e">
        <f t="shared" ca="1" si="37"/>
        <v>#N/A</v>
      </c>
      <c r="U239" s="160" t="e">
        <f t="shared" ca="1" si="37"/>
        <v>#N/A</v>
      </c>
      <c r="V239" s="163" t="e">
        <f t="shared" ca="1" si="41"/>
        <v>#N/A</v>
      </c>
      <c r="W239" s="163" t="e">
        <f t="shared" ca="1" si="42"/>
        <v>#N/A</v>
      </c>
      <c r="X239" s="163" t="e">
        <f t="shared" ca="1" si="43"/>
        <v>#N/A</v>
      </c>
      <c r="Y239" s="163" t="e">
        <f t="shared" ca="1" si="44"/>
        <v>#N/A</v>
      </c>
    </row>
    <row r="240" spans="12:25" ht="14.4">
      <c r="L240" s="464"/>
      <c r="M240" s="129" t="e">
        <f t="shared" si="45"/>
        <v>#N/A</v>
      </c>
      <c r="N240" s="161">
        <f t="shared" si="40"/>
        <v>13</v>
      </c>
      <c r="O240" s="160" t="e">
        <f t="shared" ca="1" si="46"/>
        <v>#N/A</v>
      </c>
      <c r="P240" s="160" t="e">
        <f t="shared" ca="1" si="38"/>
        <v>#N/A</v>
      </c>
      <c r="Q240" s="160" t="e">
        <f t="shared" ca="1" si="39"/>
        <v>#N/A</v>
      </c>
      <c r="R240" s="160" t="e">
        <f t="shared" ca="1" si="39"/>
        <v>#N/A</v>
      </c>
      <c r="S240" s="160" t="e">
        <f t="shared" ca="1" si="39"/>
        <v>#N/A</v>
      </c>
      <c r="T240" s="160" t="e">
        <f t="shared" ca="1" si="37"/>
        <v>#N/A</v>
      </c>
      <c r="U240" s="160" t="e">
        <f t="shared" ca="1" si="37"/>
        <v>#N/A</v>
      </c>
      <c r="V240" s="163" t="e">
        <f t="shared" ca="1" si="41"/>
        <v>#N/A</v>
      </c>
      <c r="W240" s="163" t="e">
        <f t="shared" ca="1" si="42"/>
        <v>#N/A</v>
      </c>
      <c r="X240" s="163" t="e">
        <f t="shared" ca="1" si="43"/>
        <v>#N/A</v>
      </c>
      <c r="Y240" s="163" t="e">
        <f t="shared" ca="1" si="44"/>
        <v>#N/A</v>
      </c>
    </row>
    <row r="241" spans="12:25" ht="14.4">
      <c r="L241" s="464"/>
      <c r="M241" s="129" t="e">
        <f t="shared" si="45"/>
        <v>#N/A</v>
      </c>
      <c r="N241" s="161">
        <f t="shared" si="40"/>
        <v>13</v>
      </c>
      <c r="O241" s="160" t="e">
        <f t="shared" ca="1" si="46"/>
        <v>#N/A</v>
      </c>
      <c r="P241" s="160" t="e">
        <f t="shared" ca="1" si="38"/>
        <v>#N/A</v>
      </c>
      <c r="Q241" s="160" t="e">
        <f t="shared" ca="1" si="39"/>
        <v>#N/A</v>
      </c>
      <c r="R241" s="160" t="e">
        <f t="shared" ca="1" si="39"/>
        <v>#N/A</v>
      </c>
      <c r="S241" s="160" t="e">
        <f t="shared" ca="1" si="39"/>
        <v>#N/A</v>
      </c>
      <c r="T241" s="160" t="e">
        <f t="shared" ca="1" si="39"/>
        <v>#N/A</v>
      </c>
      <c r="U241" s="160" t="e">
        <f t="shared" ca="1" si="39"/>
        <v>#N/A</v>
      </c>
      <c r="V241" s="163" t="e">
        <f t="shared" ca="1" si="41"/>
        <v>#N/A</v>
      </c>
      <c r="W241" s="163" t="e">
        <f t="shared" ca="1" si="42"/>
        <v>#N/A</v>
      </c>
      <c r="X241" s="163" t="e">
        <f t="shared" ca="1" si="43"/>
        <v>#N/A</v>
      </c>
      <c r="Y241" s="163" t="e">
        <f t="shared" ca="1" si="44"/>
        <v>#N/A</v>
      </c>
    </row>
    <row r="242" spans="12:25" ht="14.4">
      <c r="L242" s="464"/>
      <c r="M242" s="129" t="e">
        <f t="shared" si="45"/>
        <v>#N/A</v>
      </c>
      <c r="N242" s="161">
        <f t="shared" si="40"/>
        <v>13</v>
      </c>
      <c r="O242" s="160" t="e">
        <f t="shared" ca="1" si="46"/>
        <v>#N/A</v>
      </c>
      <c r="P242" s="160" t="e">
        <f t="shared" ref="P242:P305" ca="1" si="47">IF($M242="end",0,OFFSET($A$1,$M242-1,P$29,1,1))</f>
        <v>#N/A</v>
      </c>
      <c r="Q242" s="160" t="e">
        <f t="shared" ref="Q242:T305" ca="1" si="48">IF($M242="end",0,OFFSET($A$1,$M242-1,Q$29,1,1))</f>
        <v>#N/A</v>
      </c>
      <c r="R242" s="160" t="e">
        <f t="shared" ca="1" si="48"/>
        <v>#N/A</v>
      </c>
      <c r="S242" s="160" t="e">
        <f t="shared" ca="1" si="48"/>
        <v>#N/A</v>
      </c>
      <c r="T242" s="160" t="e">
        <f t="shared" ca="1" si="48"/>
        <v>#N/A</v>
      </c>
      <c r="U242" s="160" t="e">
        <f t="shared" ref="U242:U305" ca="1" si="49">IF($M242="end",0,OFFSET($A$1,$M242-1,U$29,1,1))</f>
        <v>#N/A</v>
      </c>
      <c r="V242" s="163" t="e">
        <f t="shared" ca="1" si="41"/>
        <v>#N/A</v>
      </c>
      <c r="W242" s="163" t="e">
        <f t="shared" ca="1" si="42"/>
        <v>#N/A</v>
      </c>
      <c r="X242" s="163" t="e">
        <f t="shared" ca="1" si="43"/>
        <v>#N/A</v>
      </c>
      <c r="Y242" s="163" t="e">
        <f t="shared" ca="1" si="44"/>
        <v>#N/A</v>
      </c>
    </row>
    <row r="243" spans="12:25" ht="14.4">
      <c r="L243" s="464"/>
      <c r="M243" s="129" t="e">
        <f t="shared" si="45"/>
        <v>#N/A</v>
      </c>
      <c r="N243" s="161">
        <f t="shared" si="40"/>
        <v>13</v>
      </c>
      <c r="O243" s="160" t="e">
        <f t="shared" ca="1" si="46"/>
        <v>#N/A</v>
      </c>
      <c r="P243" s="160" t="e">
        <f t="shared" ca="1" si="47"/>
        <v>#N/A</v>
      </c>
      <c r="Q243" s="160" t="e">
        <f t="shared" ca="1" si="48"/>
        <v>#N/A</v>
      </c>
      <c r="R243" s="160" t="e">
        <f t="shared" ca="1" si="48"/>
        <v>#N/A</v>
      </c>
      <c r="S243" s="160" t="e">
        <f t="shared" ca="1" si="48"/>
        <v>#N/A</v>
      </c>
      <c r="T243" s="160" t="e">
        <f t="shared" ca="1" si="48"/>
        <v>#N/A</v>
      </c>
      <c r="U243" s="160" t="e">
        <f t="shared" ca="1" si="49"/>
        <v>#N/A</v>
      </c>
      <c r="V243" s="163" t="e">
        <f t="shared" ca="1" si="41"/>
        <v>#N/A</v>
      </c>
      <c r="W243" s="163" t="e">
        <f t="shared" ca="1" si="42"/>
        <v>#N/A</v>
      </c>
      <c r="X243" s="163" t="e">
        <f t="shared" ca="1" si="43"/>
        <v>#N/A</v>
      </c>
      <c r="Y243" s="163" t="e">
        <f t="shared" ca="1" si="44"/>
        <v>#N/A</v>
      </c>
    </row>
    <row r="244" spans="12:25" ht="14.4">
      <c r="L244" s="464"/>
      <c r="M244" s="129" t="e">
        <f t="shared" si="45"/>
        <v>#N/A</v>
      </c>
      <c r="N244" s="161">
        <f t="shared" si="40"/>
        <v>13</v>
      </c>
      <c r="O244" s="160" t="e">
        <f t="shared" ca="1" si="46"/>
        <v>#N/A</v>
      </c>
      <c r="P244" s="160" t="e">
        <f t="shared" ca="1" si="47"/>
        <v>#N/A</v>
      </c>
      <c r="Q244" s="160" t="e">
        <f t="shared" ca="1" si="48"/>
        <v>#N/A</v>
      </c>
      <c r="R244" s="160" t="e">
        <f t="shared" ca="1" si="48"/>
        <v>#N/A</v>
      </c>
      <c r="S244" s="160" t="e">
        <f t="shared" ca="1" si="48"/>
        <v>#N/A</v>
      </c>
      <c r="T244" s="160" t="e">
        <f t="shared" ca="1" si="48"/>
        <v>#N/A</v>
      </c>
      <c r="U244" s="160" t="e">
        <f t="shared" ca="1" si="49"/>
        <v>#N/A</v>
      </c>
      <c r="V244" s="163" t="e">
        <f t="shared" ca="1" si="41"/>
        <v>#N/A</v>
      </c>
      <c r="W244" s="163" t="e">
        <f t="shared" ca="1" si="42"/>
        <v>#N/A</v>
      </c>
      <c r="X244" s="163" t="e">
        <f t="shared" ca="1" si="43"/>
        <v>#N/A</v>
      </c>
      <c r="Y244" s="163" t="e">
        <f t="shared" ca="1" si="44"/>
        <v>#N/A</v>
      </c>
    </row>
    <row r="245" spans="12:25" ht="14.4">
      <c r="L245" s="464"/>
      <c r="M245" s="129" t="e">
        <f t="shared" si="45"/>
        <v>#N/A</v>
      </c>
      <c r="N245" s="161">
        <f t="shared" si="40"/>
        <v>13</v>
      </c>
      <c r="O245" s="160" t="e">
        <f t="shared" ca="1" si="46"/>
        <v>#N/A</v>
      </c>
      <c r="P245" s="160" t="e">
        <f t="shared" ca="1" si="47"/>
        <v>#N/A</v>
      </c>
      <c r="Q245" s="160" t="e">
        <f t="shared" ca="1" si="48"/>
        <v>#N/A</v>
      </c>
      <c r="R245" s="160" t="e">
        <f t="shared" ca="1" si="48"/>
        <v>#N/A</v>
      </c>
      <c r="S245" s="160" t="e">
        <f t="shared" ca="1" si="48"/>
        <v>#N/A</v>
      </c>
      <c r="T245" s="160" t="e">
        <f t="shared" ca="1" si="48"/>
        <v>#N/A</v>
      </c>
      <c r="U245" s="160" t="e">
        <f t="shared" ca="1" si="49"/>
        <v>#N/A</v>
      </c>
      <c r="V245" s="163" t="e">
        <f t="shared" ca="1" si="41"/>
        <v>#N/A</v>
      </c>
      <c r="W245" s="163" t="e">
        <f t="shared" ca="1" si="42"/>
        <v>#N/A</v>
      </c>
      <c r="X245" s="163" t="e">
        <f t="shared" ca="1" si="43"/>
        <v>#N/A</v>
      </c>
      <c r="Y245" s="163" t="e">
        <f t="shared" ca="1" si="44"/>
        <v>#N/A</v>
      </c>
    </row>
    <row r="246" spans="12:25" ht="14.4">
      <c r="L246" s="464"/>
      <c r="M246" s="129" t="e">
        <f t="shared" si="45"/>
        <v>#N/A</v>
      </c>
      <c r="N246" s="161">
        <f t="shared" si="40"/>
        <v>13</v>
      </c>
      <c r="O246" s="160" t="e">
        <f t="shared" ca="1" si="46"/>
        <v>#N/A</v>
      </c>
      <c r="P246" s="160" t="e">
        <f t="shared" ca="1" si="47"/>
        <v>#N/A</v>
      </c>
      <c r="Q246" s="160" t="e">
        <f t="shared" ca="1" si="48"/>
        <v>#N/A</v>
      </c>
      <c r="R246" s="160" t="e">
        <f t="shared" ca="1" si="48"/>
        <v>#N/A</v>
      </c>
      <c r="S246" s="160" t="e">
        <f t="shared" ca="1" si="48"/>
        <v>#N/A</v>
      </c>
      <c r="T246" s="160" t="e">
        <f t="shared" ca="1" si="48"/>
        <v>#N/A</v>
      </c>
      <c r="U246" s="160" t="e">
        <f t="shared" ca="1" si="49"/>
        <v>#N/A</v>
      </c>
      <c r="V246" s="163" t="e">
        <f t="shared" ca="1" si="41"/>
        <v>#N/A</v>
      </c>
      <c r="W246" s="163" t="e">
        <f t="shared" ca="1" si="42"/>
        <v>#N/A</v>
      </c>
      <c r="X246" s="163" t="e">
        <f t="shared" ca="1" si="43"/>
        <v>#N/A</v>
      </c>
      <c r="Y246" s="163" t="e">
        <f t="shared" ca="1" si="44"/>
        <v>#N/A</v>
      </c>
    </row>
    <row r="247" spans="12:25" ht="14.4">
      <c r="L247" s="464"/>
      <c r="M247" s="129" t="e">
        <f t="shared" si="45"/>
        <v>#N/A</v>
      </c>
      <c r="N247" s="161">
        <f t="shared" si="40"/>
        <v>13</v>
      </c>
      <c r="O247" s="160" t="e">
        <f t="shared" ca="1" si="46"/>
        <v>#N/A</v>
      </c>
      <c r="P247" s="160" t="e">
        <f t="shared" ca="1" si="47"/>
        <v>#N/A</v>
      </c>
      <c r="Q247" s="160" t="e">
        <f t="shared" ca="1" si="48"/>
        <v>#N/A</v>
      </c>
      <c r="R247" s="160" t="e">
        <f t="shared" ca="1" si="48"/>
        <v>#N/A</v>
      </c>
      <c r="S247" s="160" t="e">
        <f t="shared" ca="1" si="48"/>
        <v>#N/A</v>
      </c>
      <c r="T247" s="160" t="e">
        <f t="shared" ca="1" si="48"/>
        <v>#N/A</v>
      </c>
      <c r="U247" s="160" t="e">
        <f t="shared" ca="1" si="49"/>
        <v>#N/A</v>
      </c>
      <c r="V247" s="163" t="e">
        <f t="shared" ca="1" si="41"/>
        <v>#N/A</v>
      </c>
      <c r="W247" s="163" t="e">
        <f t="shared" ca="1" si="42"/>
        <v>#N/A</v>
      </c>
      <c r="X247" s="163" t="e">
        <f t="shared" ca="1" si="43"/>
        <v>#N/A</v>
      </c>
      <c r="Y247" s="163" t="e">
        <f t="shared" ca="1" si="44"/>
        <v>#N/A</v>
      </c>
    </row>
    <row r="248" spans="12:25" ht="14.4">
      <c r="L248" s="464"/>
      <c r="M248" s="129" t="e">
        <f t="shared" si="45"/>
        <v>#N/A</v>
      </c>
      <c r="N248" s="161">
        <f t="shared" si="40"/>
        <v>13</v>
      </c>
      <c r="O248" s="160" t="e">
        <f t="shared" ca="1" si="46"/>
        <v>#N/A</v>
      </c>
      <c r="P248" s="160" t="e">
        <f t="shared" ca="1" si="47"/>
        <v>#N/A</v>
      </c>
      <c r="Q248" s="160" t="e">
        <f t="shared" ca="1" si="48"/>
        <v>#N/A</v>
      </c>
      <c r="R248" s="160" t="e">
        <f t="shared" ca="1" si="48"/>
        <v>#N/A</v>
      </c>
      <c r="S248" s="160" t="e">
        <f t="shared" ca="1" si="48"/>
        <v>#N/A</v>
      </c>
      <c r="T248" s="160" t="e">
        <f t="shared" ca="1" si="48"/>
        <v>#N/A</v>
      </c>
      <c r="U248" s="160" t="e">
        <f t="shared" ca="1" si="49"/>
        <v>#N/A</v>
      </c>
      <c r="V248" s="163" t="e">
        <f t="shared" ca="1" si="41"/>
        <v>#N/A</v>
      </c>
      <c r="W248" s="163" t="e">
        <f t="shared" ca="1" si="42"/>
        <v>#N/A</v>
      </c>
      <c r="X248" s="163" t="e">
        <f t="shared" ca="1" si="43"/>
        <v>#N/A</v>
      </c>
      <c r="Y248" s="163" t="e">
        <f t="shared" ca="1" si="44"/>
        <v>#N/A</v>
      </c>
    </row>
    <row r="249" spans="12:25" ht="14.4">
      <c r="L249" s="464"/>
      <c r="M249" s="129" t="e">
        <f t="shared" si="45"/>
        <v>#N/A</v>
      </c>
      <c r="N249" s="161">
        <f t="shared" si="40"/>
        <v>13</v>
      </c>
      <c r="O249" s="160" t="e">
        <f t="shared" ca="1" si="46"/>
        <v>#N/A</v>
      </c>
      <c r="P249" s="160" t="e">
        <f t="shared" ca="1" si="47"/>
        <v>#N/A</v>
      </c>
      <c r="Q249" s="160" t="e">
        <f t="shared" ca="1" si="48"/>
        <v>#N/A</v>
      </c>
      <c r="R249" s="160" t="e">
        <f t="shared" ca="1" si="48"/>
        <v>#N/A</v>
      </c>
      <c r="S249" s="160" t="e">
        <f t="shared" ca="1" si="48"/>
        <v>#N/A</v>
      </c>
      <c r="T249" s="160" t="e">
        <f t="shared" ca="1" si="48"/>
        <v>#N/A</v>
      </c>
      <c r="U249" s="160" t="e">
        <f t="shared" ca="1" si="49"/>
        <v>#N/A</v>
      </c>
      <c r="V249" s="163" t="e">
        <f t="shared" ca="1" si="41"/>
        <v>#N/A</v>
      </c>
      <c r="W249" s="163" t="e">
        <f t="shared" ca="1" si="42"/>
        <v>#N/A</v>
      </c>
      <c r="X249" s="163" t="e">
        <f t="shared" ca="1" si="43"/>
        <v>#N/A</v>
      </c>
      <c r="Y249" s="163" t="e">
        <f t="shared" ca="1" si="44"/>
        <v>#N/A</v>
      </c>
    </row>
    <row r="250" spans="12:25" ht="14.4">
      <c r="L250" s="464"/>
      <c r="M250" s="129" t="e">
        <f t="shared" si="45"/>
        <v>#N/A</v>
      </c>
      <c r="N250" s="161">
        <f t="shared" si="40"/>
        <v>13</v>
      </c>
      <c r="O250" s="160" t="e">
        <f t="shared" ca="1" si="46"/>
        <v>#N/A</v>
      </c>
      <c r="P250" s="160" t="e">
        <f t="shared" ca="1" si="47"/>
        <v>#N/A</v>
      </c>
      <c r="Q250" s="160" t="e">
        <f t="shared" ca="1" si="48"/>
        <v>#N/A</v>
      </c>
      <c r="R250" s="160" t="e">
        <f t="shared" ca="1" si="48"/>
        <v>#N/A</v>
      </c>
      <c r="S250" s="160" t="e">
        <f t="shared" ca="1" si="48"/>
        <v>#N/A</v>
      </c>
      <c r="T250" s="160" t="e">
        <f t="shared" ca="1" si="48"/>
        <v>#N/A</v>
      </c>
      <c r="U250" s="160" t="e">
        <f t="shared" ca="1" si="49"/>
        <v>#N/A</v>
      </c>
      <c r="V250" s="163" t="e">
        <f t="shared" ca="1" si="41"/>
        <v>#N/A</v>
      </c>
      <c r="W250" s="163" t="e">
        <f t="shared" ca="1" si="42"/>
        <v>#N/A</v>
      </c>
      <c r="X250" s="163" t="e">
        <f t="shared" ca="1" si="43"/>
        <v>#N/A</v>
      </c>
      <c r="Y250" s="163" t="e">
        <f t="shared" ca="1" si="44"/>
        <v>#N/A</v>
      </c>
    </row>
    <row r="251" spans="12:25" ht="14.4">
      <c r="L251" s="464"/>
      <c r="M251" s="129" t="e">
        <f t="shared" si="45"/>
        <v>#N/A</v>
      </c>
      <c r="N251" s="161">
        <f t="shared" si="40"/>
        <v>13</v>
      </c>
      <c r="O251" s="160" t="e">
        <f t="shared" ca="1" si="46"/>
        <v>#N/A</v>
      </c>
      <c r="P251" s="160" t="e">
        <f t="shared" ca="1" si="47"/>
        <v>#N/A</v>
      </c>
      <c r="Q251" s="160" t="e">
        <f t="shared" ca="1" si="48"/>
        <v>#N/A</v>
      </c>
      <c r="R251" s="160" t="e">
        <f t="shared" ca="1" si="48"/>
        <v>#N/A</v>
      </c>
      <c r="S251" s="160" t="e">
        <f t="shared" ca="1" si="48"/>
        <v>#N/A</v>
      </c>
      <c r="T251" s="160" t="e">
        <f t="shared" ca="1" si="48"/>
        <v>#N/A</v>
      </c>
      <c r="U251" s="160" t="e">
        <f t="shared" ca="1" si="49"/>
        <v>#N/A</v>
      </c>
      <c r="V251" s="163" t="e">
        <f t="shared" ca="1" si="41"/>
        <v>#N/A</v>
      </c>
      <c r="W251" s="163" t="e">
        <f t="shared" ca="1" si="42"/>
        <v>#N/A</v>
      </c>
      <c r="X251" s="163" t="e">
        <f t="shared" ca="1" si="43"/>
        <v>#N/A</v>
      </c>
      <c r="Y251" s="163" t="e">
        <f t="shared" ca="1" si="44"/>
        <v>#N/A</v>
      </c>
    </row>
    <row r="252" spans="12:25" ht="14.4">
      <c r="L252" s="464"/>
      <c r="M252" s="129" t="e">
        <f t="shared" si="45"/>
        <v>#N/A</v>
      </c>
      <c r="N252" s="161">
        <f t="shared" si="40"/>
        <v>13</v>
      </c>
      <c r="O252" s="160" t="e">
        <f t="shared" ca="1" si="46"/>
        <v>#N/A</v>
      </c>
      <c r="P252" s="160" t="e">
        <f t="shared" ca="1" si="47"/>
        <v>#N/A</v>
      </c>
      <c r="Q252" s="160" t="e">
        <f t="shared" ca="1" si="48"/>
        <v>#N/A</v>
      </c>
      <c r="R252" s="160" t="e">
        <f t="shared" ca="1" si="48"/>
        <v>#N/A</v>
      </c>
      <c r="S252" s="160" t="e">
        <f t="shared" ca="1" si="48"/>
        <v>#N/A</v>
      </c>
      <c r="T252" s="160" t="e">
        <f t="shared" ca="1" si="48"/>
        <v>#N/A</v>
      </c>
      <c r="U252" s="160" t="e">
        <f t="shared" ca="1" si="49"/>
        <v>#N/A</v>
      </c>
      <c r="V252" s="163" t="e">
        <f t="shared" ca="1" si="41"/>
        <v>#N/A</v>
      </c>
      <c r="W252" s="163" t="e">
        <f t="shared" ca="1" si="42"/>
        <v>#N/A</v>
      </c>
      <c r="X252" s="163" t="e">
        <f t="shared" ca="1" si="43"/>
        <v>#N/A</v>
      </c>
      <c r="Y252" s="163" t="e">
        <f t="shared" ca="1" si="44"/>
        <v>#N/A</v>
      </c>
    </row>
    <row r="253" spans="12:25" ht="14.4">
      <c r="L253" s="464"/>
      <c r="M253" s="129" t="e">
        <f t="shared" si="45"/>
        <v>#N/A</v>
      </c>
      <c r="N253" s="161">
        <f t="shared" si="40"/>
        <v>13</v>
      </c>
      <c r="O253" s="160" t="e">
        <f t="shared" ca="1" si="46"/>
        <v>#N/A</v>
      </c>
      <c r="P253" s="160" t="e">
        <f t="shared" ca="1" si="47"/>
        <v>#N/A</v>
      </c>
      <c r="Q253" s="160" t="e">
        <f t="shared" ca="1" si="48"/>
        <v>#N/A</v>
      </c>
      <c r="R253" s="160" t="e">
        <f t="shared" ca="1" si="48"/>
        <v>#N/A</v>
      </c>
      <c r="S253" s="160" t="e">
        <f t="shared" ca="1" si="48"/>
        <v>#N/A</v>
      </c>
      <c r="T253" s="160" t="e">
        <f t="shared" ca="1" si="48"/>
        <v>#N/A</v>
      </c>
      <c r="U253" s="160" t="e">
        <f t="shared" ca="1" si="49"/>
        <v>#N/A</v>
      </c>
      <c r="V253" s="163" t="e">
        <f t="shared" ca="1" si="41"/>
        <v>#N/A</v>
      </c>
      <c r="W253" s="163" t="e">
        <f t="shared" ca="1" si="42"/>
        <v>#N/A</v>
      </c>
      <c r="X253" s="163" t="e">
        <f t="shared" ca="1" si="43"/>
        <v>#N/A</v>
      </c>
      <c r="Y253" s="163" t="e">
        <f t="shared" ca="1" si="44"/>
        <v>#N/A</v>
      </c>
    </row>
    <row r="254" spans="12:25" ht="14.4">
      <c r="L254" s="464"/>
      <c r="M254" s="129" t="e">
        <f t="shared" si="45"/>
        <v>#N/A</v>
      </c>
      <c r="N254" s="161">
        <f t="shared" si="40"/>
        <v>13</v>
      </c>
      <c r="O254" s="160" t="e">
        <f t="shared" ca="1" si="46"/>
        <v>#N/A</v>
      </c>
      <c r="P254" s="160" t="e">
        <f t="shared" ca="1" si="47"/>
        <v>#N/A</v>
      </c>
      <c r="Q254" s="160" t="e">
        <f t="shared" ca="1" si="48"/>
        <v>#N/A</v>
      </c>
      <c r="R254" s="160" t="e">
        <f t="shared" ca="1" si="48"/>
        <v>#N/A</v>
      </c>
      <c r="S254" s="160" t="e">
        <f t="shared" ca="1" si="48"/>
        <v>#N/A</v>
      </c>
      <c r="T254" s="160" t="e">
        <f t="shared" ca="1" si="48"/>
        <v>#N/A</v>
      </c>
      <c r="U254" s="160" t="e">
        <f t="shared" ca="1" si="49"/>
        <v>#N/A</v>
      </c>
      <c r="V254" s="163" t="e">
        <f t="shared" ca="1" si="41"/>
        <v>#N/A</v>
      </c>
      <c r="W254" s="163" t="e">
        <f t="shared" ca="1" si="42"/>
        <v>#N/A</v>
      </c>
      <c r="X254" s="163" t="e">
        <f t="shared" ca="1" si="43"/>
        <v>#N/A</v>
      </c>
      <c r="Y254" s="163" t="e">
        <f t="shared" ca="1" si="44"/>
        <v>#N/A</v>
      </c>
    </row>
    <row r="255" spans="12:25" ht="14.4">
      <c r="L255" s="464"/>
      <c r="M255" s="129" t="e">
        <f t="shared" si="45"/>
        <v>#N/A</v>
      </c>
      <c r="N255" s="161">
        <f t="shared" si="40"/>
        <v>13</v>
      </c>
      <c r="O255" s="160" t="e">
        <f t="shared" ca="1" si="46"/>
        <v>#N/A</v>
      </c>
      <c r="P255" s="160" t="e">
        <f t="shared" ca="1" si="47"/>
        <v>#N/A</v>
      </c>
      <c r="Q255" s="160" t="e">
        <f t="shared" ca="1" si="48"/>
        <v>#N/A</v>
      </c>
      <c r="R255" s="160" t="e">
        <f t="shared" ca="1" si="48"/>
        <v>#N/A</v>
      </c>
      <c r="S255" s="160" t="e">
        <f t="shared" ca="1" si="48"/>
        <v>#N/A</v>
      </c>
      <c r="T255" s="160" t="e">
        <f t="shared" ca="1" si="48"/>
        <v>#N/A</v>
      </c>
      <c r="U255" s="160" t="e">
        <f t="shared" ca="1" si="49"/>
        <v>#N/A</v>
      </c>
      <c r="V255" s="163" t="e">
        <f t="shared" ca="1" si="41"/>
        <v>#N/A</v>
      </c>
      <c r="W255" s="163" t="e">
        <f t="shared" ca="1" si="42"/>
        <v>#N/A</v>
      </c>
      <c r="X255" s="163" t="e">
        <f t="shared" ca="1" si="43"/>
        <v>#N/A</v>
      </c>
      <c r="Y255" s="163" t="e">
        <f t="shared" ca="1" si="44"/>
        <v>#N/A</v>
      </c>
    </row>
    <row r="256" spans="12:25" ht="14.4">
      <c r="L256" s="464"/>
      <c r="M256" s="129" t="e">
        <f t="shared" si="45"/>
        <v>#N/A</v>
      </c>
      <c r="N256" s="161">
        <f t="shared" si="40"/>
        <v>13</v>
      </c>
      <c r="O256" s="160" t="e">
        <f t="shared" ca="1" si="46"/>
        <v>#N/A</v>
      </c>
      <c r="P256" s="160" t="e">
        <f t="shared" ca="1" si="47"/>
        <v>#N/A</v>
      </c>
      <c r="Q256" s="160" t="e">
        <f t="shared" ca="1" si="48"/>
        <v>#N/A</v>
      </c>
      <c r="R256" s="160" t="e">
        <f t="shared" ca="1" si="48"/>
        <v>#N/A</v>
      </c>
      <c r="S256" s="160" t="e">
        <f t="shared" ca="1" si="48"/>
        <v>#N/A</v>
      </c>
      <c r="T256" s="160" t="e">
        <f t="shared" ca="1" si="48"/>
        <v>#N/A</v>
      </c>
      <c r="U256" s="160" t="e">
        <f t="shared" ca="1" si="49"/>
        <v>#N/A</v>
      </c>
      <c r="V256" s="163" t="e">
        <f t="shared" ca="1" si="41"/>
        <v>#N/A</v>
      </c>
      <c r="W256" s="163" t="e">
        <f t="shared" ca="1" si="42"/>
        <v>#N/A</v>
      </c>
      <c r="X256" s="163" t="e">
        <f t="shared" ca="1" si="43"/>
        <v>#N/A</v>
      </c>
      <c r="Y256" s="163" t="e">
        <f t="shared" ca="1" si="44"/>
        <v>#N/A</v>
      </c>
    </row>
    <row r="257" spans="12:25" ht="14.4">
      <c r="L257" s="464"/>
      <c r="M257" s="129" t="e">
        <f t="shared" si="45"/>
        <v>#N/A</v>
      </c>
      <c r="N257" s="161">
        <f t="shared" si="40"/>
        <v>13</v>
      </c>
      <c r="O257" s="160" t="e">
        <f t="shared" ca="1" si="46"/>
        <v>#N/A</v>
      </c>
      <c r="P257" s="160" t="e">
        <f t="shared" ca="1" si="47"/>
        <v>#N/A</v>
      </c>
      <c r="Q257" s="160" t="e">
        <f t="shared" ca="1" si="48"/>
        <v>#N/A</v>
      </c>
      <c r="R257" s="160" t="e">
        <f t="shared" ca="1" si="48"/>
        <v>#N/A</v>
      </c>
      <c r="S257" s="160" t="e">
        <f t="shared" ca="1" si="48"/>
        <v>#N/A</v>
      </c>
      <c r="T257" s="160" t="e">
        <f t="shared" ca="1" si="48"/>
        <v>#N/A</v>
      </c>
      <c r="U257" s="160" t="e">
        <f t="shared" ca="1" si="49"/>
        <v>#N/A</v>
      </c>
      <c r="V257" s="163" t="e">
        <f t="shared" ca="1" si="41"/>
        <v>#N/A</v>
      </c>
      <c r="W257" s="163" t="e">
        <f t="shared" ca="1" si="42"/>
        <v>#N/A</v>
      </c>
      <c r="X257" s="163" t="e">
        <f t="shared" ca="1" si="43"/>
        <v>#N/A</v>
      </c>
      <c r="Y257" s="163" t="e">
        <f t="shared" ca="1" si="44"/>
        <v>#N/A</v>
      </c>
    </row>
    <row r="258" spans="12:25" ht="14.4">
      <c r="L258" s="464"/>
      <c r="M258" s="129" t="e">
        <f t="shared" si="45"/>
        <v>#N/A</v>
      </c>
      <c r="N258" s="161">
        <f t="shared" si="40"/>
        <v>13</v>
      </c>
      <c r="O258" s="160" t="e">
        <f t="shared" ca="1" si="46"/>
        <v>#N/A</v>
      </c>
      <c r="P258" s="160" t="e">
        <f t="shared" ca="1" si="47"/>
        <v>#N/A</v>
      </c>
      <c r="Q258" s="160" t="e">
        <f t="shared" ca="1" si="48"/>
        <v>#N/A</v>
      </c>
      <c r="R258" s="160" t="e">
        <f t="shared" ca="1" si="48"/>
        <v>#N/A</v>
      </c>
      <c r="S258" s="160" t="e">
        <f t="shared" ca="1" si="48"/>
        <v>#N/A</v>
      </c>
      <c r="T258" s="160" t="e">
        <f t="shared" ca="1" si="48"/>
        <v>#N/A</v>
      </c>
      <c r="U258" s="160" t="e">
        <f t="shared" ca="1" si="49"/>
        <v>#N/A</v>
      </c>
      <c r="V258" s="163" t="e">
        <f t="shared" ca="1" si="41"/>
        <v>#N/A</v>
      </c>
      <c r="W258" s="163" t="e">
        <f t="shared" ca="1" si="42"/>
        <v>#N/A</v>
      </c>
      <c r="X258" s="163" t="e">
        <f t="shared" ca="1" si="43"/>
        <v>#N/A</v>
      </c>
      <c r="Y258" s="163" t="e">
        <f t="shared" ca="1" si="44"/>
        <v>#N/A</v>
      </c>
    </row>
    <row r="259" spans="12:25" ht="14.4">
      <c r="L259" s="464"/>
      <c r="M259" s="129" t="e">
        <f t="shared" si="45"/>
        <v>#N/A</v>
      </c>
      <c r="N259" s="161">
        <f t="shared" si="40"/>
        <v>13</v>
      </c>
      <c r="O259" s="160" t="e">
        <f t="shared" ca="1" si="46"/>
        <v>#N/A</v>
      </c>
      <c r="P259" s="160" t="e">
        <f t="shared" ca="1" si="47"/>
        <v>#N/A</v>
      </c>
      <c r="Q259" s="160" t="e">
        <f t="shared" ca="1" si="48"/>
        <v>#N/A</v>
      </c>
      <c r="R259" s="160" t="e">
        <f t="shared" ca="1" si="48"/>
        <v>#N/A</v>
      </c>
      <c r="S259" s="160" t="e">
        <f t="shared" ca="1" si="48"/>
        <v>#N/A</v>
      </c>
      <c r="T259" s="160" t="e">
        <f t="shared" ca="1" si="48"/>
        <v>#N/A</v>
      </c>
      <c r="U259" s="160" t="e">
        <f t="shared" ca="1" si="49"/>
        <v>#N/A</v>
      </c>
      <c r="V259" s="163" t="e">
        <f t="shared" ca="1" si="41"/>
        <v>#N/A</v>
      </c>
      <c r="W259" s="163" t="e">
        <f t="shared" ca="1" si="42"/>
        <v>#N/A</v>
      </c>
      <c r="X259" s="163" t="e">
        <f t="shared" ca="1" si="43"/>
        <v>#N/A</v>
      </c>
      <c r="Y259" s="163" t="e">
        <f t="shared" ca="1" si="44"/>
        <v>#N/A</v>
      </c>
    </row>
    <row r="260" spans="12:25" ht="14.4">
      <c r="L260" s="464"/>
      <c r="M260" s="129" t="e">
        <f t="shared" si="45"/>
        <v>#N/A</v>
      </c>
      <c r="N260" s="161">
        <f t="shared" si="40"/>
        <v>13</v>
      </c>
      <c r="O260" s="160" t="e">
        <f t="shared" ca="1" si="46"/>
        <v>#N/A</v>
      </c>
      <c r="P260" s="160" t="e">
        <f t="shared" ca="1" si="47"/>
        <v>#N/A</v>
      </c>
      <c r="Q260" s="160" t="e">
        <f t="shared" ca="1" si="48"/>
        <v>#N/A</v>
      </c>
      <c r="R260" s="160" t="e">
        <f t="shared" ca="1" si="48"/>
        <v>#N/A</v>
      </c>
      <c r="S260" s="160" t="e">
        <f t="shared" ca="1" si="48"/>
        <v>#N/A</v>
      </c>
      <c r="T260" s="160" t="e">
        <f t="shared" ca="1" si="48"/>
        <v>#N/A</v>
      </c>
      <c r="U260" s="160" t="e">
        <f t="shared" ca="1" si="49"/>
        <v>#N/A</v>
      </c>
      <c r="V260" s="163" t="e">
        <f t="shared" ca="1" si="41"/>
        <v>#N/A</v>
      </c>
      <c r="W260" s="163" t="e">
        <f t="shared" ca="1" si="42"/>
        <v>#N/A</v>
      </c>
      <c r="X260" s="163" t="e">
        <f t="shared" ca="1" si="43"/>
        <v>#N/A</v>
      </c>
      <c r="Y260" s="163" t="e">
        <f t="shared" ca="1" si="44"/>
        <v>#N/A</v>
      </c>
    </row>
    <row r="261" spans="12:25" ht="14.4">
      <c r="L261" s="464"/>
      <c r="M261" s="129" t="e">
        <f t="shared" si="45"/>
        <v>#N/A</v>
      </c>
      <c r="N261" s="161">
        <f t="shared" si="40"/>
        <v>13</v>
      </c>
      <c r="O261" s="160" t="e">
        <f t="shared" ca="1" si="46"/>
        <v>#N/A</v>
      </c>
      <c r="P261" s="160" t="e">
        <f t="shared" ca="1" si="47"/>
        <v>#N/A</v>
      </c>
      <c r="Q261" s="160" t="e">
        <f t="shared" ca="1" si="48"/>
        <v>#N/A</v>
      </c>
      <c r="R261" s="160" t="e">
        <f t="shared" ca="1" si="48"/>
        <v>#N/A</v>
      </c>
      <c r="S261" s="160" t="e">
        <f t="shared" ca="1" si="48"/>
        <v>#N/A</v>
      </c>
      <c r="T261" s="160" t="e">
        <f t="shared" ca="1" si="48"/>
        <v>#N/A</v>
      </c>
      <c r="U261" s="160" t="e">
        <f t="shared" ca="1" si="49"/>
        <v>#N/A</v>
      </c>
      <c r="V261" s="163" t="e">
        <f t="shared" ca="1" si="41"/>
        <v>#N/A</v>
      </c>
      <c r="W261" s="163" t="e">
        <f t="shared" ca="1" si="42"/>
        <v>#N/A</v>
      </c>
      <c r="X261" s="163" t="e">
        <f t="shared" ca="1" si="43"/>
        <v>#N/A</v>
      </c>
      <c r="Y261" s="163" t="e">
        <f t="shared" ca="1" si="44"/>
        <v>#N/A</v>
      </c>
    </row>
    <row r="262" spans="12:25" ht="14.4">
      <c r="L262" s="464"/>
      <c r="M262" s="129" t="e">
        <f t="shared" si="45"/>
        <v>#N/A</v>
      </c>
      <c r="N262" s="161">
        <f t="shared" si="40"/>
        <v>13</v>
      </c>
      <c r="O262" s="160" t="e">
        <f t="shared" ca="1" si="46"/>
        <v>#N/A</v>
      </c>
      <c r="P262" s="160" t="e">
        <f t="shared" ca="1" si="47"/>
        <v>#N/A</v>
      </c>
      <c r="Q262" s="160" t="e">
        <f t="shared" ca="1" si="48"/>
        <v>#N/A</v>
      </c>
      <c r="R262" s="160" t="e">
        <f t="shared" ca="1" si="48"/>
        <v>#N/A</v>
      </c>
      <c r="S262" s="160" t="e">
        <f t="shared" ca="1" si="48"/>
        <v>#N/A</v>
      </c>
      <c r="T262" s="160" t="e">
        <f t="shared" ca="1" si="48"/>
        <v>#N/A</v>
      </c>
      <c r="U262" s="160" t="e">
        <f t="shared" ca="1" si="49"/>
        <v>#N/A</v>
      </c>
      <c r="V262" s="163" t="e">
        <f t="shared" ca="1" si="41"/>
        <v>#N/A</v>
      </c>
      <c r="W262" s="163" t="e">
        <f t="shared" ca="1" si="42"/>
        <v>#N/A</v>
      </c>
      <c r="X262" s="163" t="e">
        <f t="shared" ca="1" si="43"/>
        <v>#N/A</v>
      </c>
      <c r="Y262" s="163" t="e">
        <f t="shared" ca="1" si="44"/>
        <v>#N/A</v>
      </c>
    </row>
    <row r="263" spans="12:25" ht="14.4">
      <c r="L263" s="464"/>
      <c r="M263" s="129" t="e">
        <f t="shared" si="45"/>
        <v>#N/A</v>
      </c>
      <c r="N263" s="161">
        <f t="shared" si="40"/>
        <v>13</v>
      </c>
      <c r="O263" s="160" t="e">
        <f t="shared" ca="1" si="46"/>
        <v>#N/A</v>
      </c>
      <c r="P263" s="160" t="e">
        <f t="shared" ca="1" si="47"/>
        <v>#N/A</v>
      </c>
      <c r="Q263" s="160" t="e">
        <f t="shared" ca="1" si="48"/>
        <v>#N/A</v>
      </c>
      <c r="R263" s="160" t="e">
        <f t="shared" ca="1" si="48"/>
        <v>#N/A</v>
      </c>
      <c r="S263" s="160" t="e">
        <f t="shared" ca="1" si="48"/>
        <v>#N/A</v>
      </c>
      <c r="T263" s="160" t="e">
        <f t="shared" ca="1" si="48"/>
        <v>#N/A</v>
      </c>
      <c r="U263" s="160" t="e">
        <f t="shared" ca="1" si="49"/>
        <v>#N/A</v>
      </c>
      <c r="V263" s="163" t="e">
        <f t="shared" ca="1" si="41"/>
        <v>#N/A</v>
      </c>
      <c r="W263" s="163" t="e">
        <f t="shared" ca="1" si="42"/>
        <v>#N/A</v>
      </c>
      <c r="X263" s="163" t="e">
        <f t="shared" ca="1" si="43"/>
        <v>#N/A</v>
      </c>
      <c r="Y263" s="163" t="e">
        <f t="shared" ca="1" si="44"/>
        <v>#N/A</v>
      </c>
    </row>
    <row r="264" spans="12:25" ht="14.4">
      <c r="L264" s="464"/>
      <c r="M264" s="129" t="e">
        <f t="shared" si="45"/>
        <v>#N/A</v>
      </c>
      <c r="N264" s="161">
        <f t="shared" si="40"/>
        <v>13</v>
      </c>
      <c r="O264" s="160" t="e">
        <f t="shared" ca="1" si="46"/>
        <v>#N/A</v>
      </c>
      <c r="P264" s="160" t="e">
        <f t="shared" ca="1" si="47"/>
        <v>#N/A</v>
      </c>
      <c r="Q264" s="160" t="e">
        <f t="shared" ca="1" si="48"/>
        <v>#N/A</v>
      </c>
      <c r="R264" s="160" t="e">
        <f t="shared" ca="1" si="48"/>
        <v>#N/A</v>
      </c>
      <c r="S264" s="160" t="e">
        <f t="shared" ca="1" si="48"/>
        <v>#N/A</v>
      </c>
      <c r="T264" s="160" t="e">
        <f t="shared" ca="1" si="48"/>
        <v>#N/A</v>
      </c>
      <c r="U264" s="160" t="e">
        <f t="shared" ca="1" si="49"/>
        <v>#N/A</v>
      </c>
      <c r="V264" s="163" t="e">
        <f t="shared" ca="1" si="41"/>
        <v>#N/A</v>
      </c>
      <c r="W264" s="163" t="e">
        <f t="shared" ca="1" si="42"/>
        <v>#N/A</v>
      </c>
      <c r="X264" s="163" t="e">
        <f t="shared" ca="1" si="43"/>
        <v>#N/A</v>
      </c>
      <c r="Y264" s="163" t="e">
        <f t="shared" ca="1" si="44"/>
        <v>#N/A</v>
      </c>
    </row>
    <row r="265" spans="12:25" ht="14.4">
      <c r="L265" s="464"/>
      <c r="M265" s="129" t="e">
        <f t="shared" si="45"/>
        <v>#N/A</v>
      </c>
      <c r="N265" s="161">
        <f t="shared" si="40"/>
        <v>13</v>
      </c>
      <c r="O265" s="160" t="e">
        <f t="shared" ca="1" si="46"/>
        <v>#N/A</v>
      </c>
      <c r="P265" s="160" t="e">
        <f t="shared" ca="1" si="47"/>
        <v>#N/A</v>
      </c>
      <c r="Q265" s="160" t="e">
        <f t="shared" ca="1" si="48"/>
        <v>#N/A</v>
      </c>
      <c r="R265" s="160" t="e">
        <f t="shared" ca="1" si="48"/>
        <v>#N/A</v>
      </c>
      <c r="S265" s="160" t="e">
        <f t="shared" ca="1" si="48"/>
        <v>#N/A</v>
      </c>
      <c r="T265" s="160" t="e">
        <f t="shared" ca="1" si="48"/>
        <v>#N/A</v>
      </c>
      <c r="U265" s="160" t="e">
        <f t="shared" ca="1" si="49"/>
        <v>#N/A</v>
      </c>
      <c r="V265" s="163" t="e">
        <f t="shared" ca="1" si="41"/>
        <v>#N/A</v>
      </c>
      <c r="W265" s="163" t="e">
        <f t="shared" ca="1" si="42"/>
        <v>#N/A</v>
      </c>
      <c r="X265" s="163" t="e">
        <f t="shared" ca="1" si="43"/>
        <v>#N/A</v>
      </c>
      <c r="Y265" s="163" t="e">
        <f t="shared" ca="1" si="44"/>
        <v>#N/A</v>
      </c>
    </row>
    <row r="266" spans="12:25" ht="14.4">
      <c r="L266" s="464"/>
      <c r="M266" s="129" t="e">
        <f t="shared" si="45"/>
        <v>#N/A</v>
      </c>
      <c r="N266" s="161">
        <f t="shared" si="40"/>
        <v>13</v>
      </c>
      <c r="O266" s="160" t="e">
        <f t="shared" ca="1" si="46"/>
        <v>#N/A</v>
      </c>
      <c r="P266" s="160" t="e">
        <f t="shared" ca="1" si="47"/>
        <v>#N/A</v>
      </c>
      <c r="Q266" s="160" t="e">
        <f t="shared" ca="1" si="48"/>
        <v>#N/A</v>
      </c>
      <c r="R266" s="160" t="e">
        <f t="shared" ca="1" si="48"/>
        <v>#N/A</v>
      </c>
      <c r="S266" s="160" t="e">
        <f t="shared" ca="1" si="48"/>
        <v>#N/A</v>
      </c>
      <c r="T266" s="160" t="e">
        <f t="shared" ca="1" si="48"/>
        <v>#N/A</v>
      </c>
      <c r="U266" s="160" t="e">
        <f t="shared" ca="1" si="49"/>
        <v>#N/A</v>
      </c>
      <c r="V266" s="163" t="e">
        <f t="shared" ca="1" si="41"/>
        <v>#N/A</v>
      </c>
      <c r="W266" s="163" t="e">
        <f t="shared" ca="1" si="42"/>
        <v>#N/A</v>
      </c>
      <c r="X266" s="163" t="e">
        <f t="shared" ca="1" si="43"/>
        <v>#N/A</v>
      </c>
      <c r="Y266" s="163" t="e">
        <f t="shared" ca="1" si="44"/>
        <v>#N/A</v>
      </c>
    </row>
    <row r="267" spans="12:25" ht="14.4">
      <c r="L267" s="464"/>
      <c r="M267" s="129" t="e">
        <f t="shared" si="45"/>
        <v>#N/A</v>
      </c>
      <c r="N267" s="161">
        <f t="shared" si="40"/>
        <v>13</v>
      </c>
      <c r="O267" s="160" t="e">
        <f t="shared" ca="1" si="46"/>
        <v>#N/A</v>
      </c>
      <c r="P267" s="160" t="e">
        <f t="shared" ca="1" si="47"/>
        <v>#N/A</v>
      </c>
      <c r="Q267" s="160" t="e">
        <f t="shared" ca="1" si="48"/>
        <v>#N/A</v>
      </c>
      <c r="R267" s="160" t="e">
        <f t="shared" ca="1" si="48"/>
        <v>#N/A</v>
      </c>
      <c r="S267" s="160" t="e">
        <f t="shared" ca="1" si="48"/>
        <v>#N/A</v>
      </c>
      <c r="T267" s="160" t="e">
        <f t="shared" ca="1" si="48"/>
        <v>#N/A</v>
      </c>
      <c r="U267" s="160" t="e">
        <f t="shared" ca="1" si="49"/>
        <v>#N/A</v>
      </c>
      <c r="V267" s="163" t="e">
        <f t="shared" ca="1" si="41"/>
        <v>#N/A</v>
      </c>
      <c r="W267" s="163" t="e">
        <f t="shared" ca="1" si="42"/>
        <v>#N/A</v>
      </c>
      <c r="X267" s="163" t="e">
        <f t="shared" ca="1" si="43"/>
        <v>#N/A</v>
      </c>
      <c r="Y267" s="163" t="e">
        <f t="shared" ca="1" si="44"/>
        <v>#N/A</v>
      </c>
    </row>
    <row r="268" spans="12:25" ht="14.4">
      <c r="L268" s="464"/>
      <c r="M268" s="129" t="e">
        <f t="shared" si="45"/>
        <v>#N/A</v>
      </c>
      <c r="N268" s="161">
        <f t="shared" si="40"/>
        <v>13</v>
      </c>
      <c r="O268" s="160" t="e">
        <f t="shared" ca="1" si="46"/>
        <v>#N/A</v>
      </c>
      <c r="P268" s="160" t="e">
        <f t="shared" ca="1" si="47"/>
        <v>#N/A</v>
      </c>
      <c r="Q268" s="160" t="e">
        <f t="shared" ca="1" si="48"/>
        <v>#N/A</v>
      </c>
      <c r="R268" s="160" t="e">
        <f t="shared" ca="1" si="48"/>
        <v>#N/A</v>
      </c>
      <c r="S268" s="160" t="e">
        <f t="shared" ca="1" si="48"/>
        <v>#N/A</v>
      </c>
      <c r="T268" s="160" t="e">
        <f t="shared" ca="1" si="48"/>
        <v>#N/A</v>
      </c>
      <c r="U268" s="160" t="e">
        <f t="shared" ca="1" si="49"/>
        <v>#N/A</v>
      </c>
      <c r="V268" s="163" t="e">
        <f t="shared" ca="1" si="41"/>
        <v>#N/A</v>
      </c>
      <c r="W268" s="163" t="e">
        <f t="shared" ca="1" si="42"/>
        <v>#N/A</v>
      </c>
      <c r="X268" s="163" t="e">
        <f t="shared" ca="1" si="43"/>
        <v>#N/A</v>
      </c>
      <c r="Y268" s="163" t="e">
        <f t="shared" ca="1" si="44"/>
        <v>#N/A</v>
      </c>
    </row>
    <row r="269" spans="12:25" ht="14.4">
      <c r="L269" s="464"/>
      <c r="M269" s="129" t="e">
        <f t="shared" si="45"/>
        <v>#N/A</v>
      </c>
      <c r="N269" s="161">
        <f t="shared" si="40"/>
        <v>13</v>
      </c>
      <c r="O269" s="160" t="e">
        <f t="shared" ca="1" si="46"/>
        <v>#N/A</v>
      </c>
      <c r="P269" s="160" t="e">
        <f t="shared" ca="1" si="47"/>
        <v>#N/A</v>
      </c>
      <c r="Q269" s="160" t="e">
        <f t="shared" ca="1" si="48"/>
        <v>#N/A</v>
      </c>
      <c r="R269" s="160" t="e">
        <f t="shared" ca="1" si="48"/>
        <v>#N/A</v>
      </c>
      <c r="S269" s="160" t="e">
        <f t="shared" ca="1" si="48"/>
        <v>#N/A</v>
      </c>
      <c r="T269" s="160" t="e">
        <f t="shared" ca="1" si="48"/>
        <v>#N/A</v>
      </c>
      <c r="U269" s="160" t="e">
        <f t="shared" ca="1" si="49"/>
        <v>#N/A</v>
      </c>
      <c r="V269" s="163" t="e">
        <f t="shared" ca="1" si="41"/>
        <v>#N/A</v>
      </c>
      <c r="W269" s="163" t="e">
        <f t="shared" ca="1" si="42"/>
        <v>#N/A</v>
      </c>
      <c r="X269" s="163" t="e">
        <f t="shared" ca="1" si="43"/>
        <v>#N/A</v>
      </c>
      <c r="Y269" s="163" t="e">
        <f t="shared" ca="1" si="44"/>
        <v>#N/A</v>
      </c>
    </row>
    <row r="270" spans="12:25" ht="14.4">
      <c r="L270" s="464"/>
      <c r="M270" s="129" t="e">
        <f t="shared" si="45"/>
        <v>#N/A</v>
      </c>
      <c r="N270" s="161">
        <f t="shared" si="40"/>
        <v>13</v>
      </c>
      <c r="O270" s="160" t="e">
        <f t="shared" ca="1" si="46"/>
        <v>#N/A</v>
      </c>
      <c r="P270" s="160" t="e">
        <f t="shared" ca="1" si="47"/>
        <v>#N/A</v>
      </c>
      <c r="Q270" s="160" t="e">
        <f t="shared" ca="1" si="48"/>
        <v>#N/A</v>
      </c>
      <c r="R270" s="160" t="e">
        <f t="shared" ca="1" si="48"/>
        <v>#N/A</v>
      </c>
      <c r="S270" s="160" t="e">
        <f t="shared" ca="1" si="48"/>
        <v>#N/A</v>
      </c>
      <c r="T270" s="160" t="e">
        <f t="shared" ca="1" si="48"/>
        <v>#N/A</v>
      </c>
      <c r="U270" s="160" t="e">
        <f t="shared" ca="1" si="49"/>
        <v>#N/A</v>
      </c>
      <c r="V270" s="163" t="e">
        <f t="shared" ca="1" si="41"/>
        <v>#N/A</v>
      </c>
      <c r="W270" s="163" t="e">
        <f t="shared" ca="1" si="42"/>
        <v>#N/A</v>
      </c>
      <c r="X270" s="163" t="e">
        <f t="shared" ca="1" si="43"/>
        <v>#N/A</v>
      </c>
      <c r="Y270" s="163" t="e">
        <f t="shared" ca="1" si="44"/>
        <v>#N/A</v>
      </c>
    </row>
    <row r="271" spans="12:25" ht="14.4">
      <c r="L271" s="464"/>
      <c r="M271" s="129" t="e">
        <f t="shared" si="45"/>
        <v>#N/A</v>
      </c>
      <c r="N271" s="161">
        <f t="shared" si="40"/>
        <v>13</v>
      </c>
      <c r="O271" s="160" t="e">
        <f t="shared" ca="1" si="46"/>
        <v>#N/A</v>
      </c>
      <c r="P271" s="160" t="e">
        <f t="shared" ca="1" si="47"/>
        <v>#N/A</v>
      </c>
      <c r="Q271" s="160" t="e">
        <f t="shared" ca="1" si="48"/>
        <v>#N/A</v>
      </c>
      <c r="R271" s="160" t="e">
        <f t="shared" ca="1" si="48"/>
        <v>#N/A</v>
      </c>
      <c r="S271" s="160" t="e">
        <f t="shared" ca="1" si="48"/>
        <v>#N/A</v>
      </c>
      <c r="T271" s="160" t="e">
        <f t="shared" ca="1" si="48"/>
        <v>#N/A</v>
      </c>
      <c r="U271" s="160" t="e">
        <f t="shared" ca="1" si="49"/>
        <v>#N/A</v>
      </c>
      <c r="V271" s="163" t="e">
        <f t="shared" ca="1" si="41"/>
        <v>#N/A</v>
      </c>
      <c r="W271" s="163" t="e">
        <f t="shared" ca="1" si="42"/>
        <v>#N/A</v>
      </c>
      <c r="X271" s="163" t="e">
        <f t="shared" ca="1" si="43"/>
        <v>#N/A</v>
      </c>
      <c r="Y271" s="163" t="e">
        <f t="shared" ca="1" si="44"/>
        <v>#N/A</v>
      </c>
    </row>
    <row r="272" spans="12:25" ht="14.4">
      <c r="L272" s="464"/>
      <c r="M272" s="129" t="e">
        <f t="shared" si="45"/>
        <v>#N/A</v>
      </c>
      <c r="N272" s="161">
        <f t="shared" si="40"/>
        <v>13</v>
      </c>
      <c r="O272" s="160" t="e">
        <f t="shared" ca="1" si="46"/>
        <v>#N/A</v>
      </c>
      <c r="P272" s="160" t="e">
        <f t="shared" ca="1" si="47"/>
        <v>#N/A</v>
      </c>
      <c r="Q272" s="160" t="e">
        <f t="shared" ca="1" si="48"/>
        <v>#N/A</v>
      </c>
      <c r="R272" s="160" t="e">
        <f t="shared" ca="1" si="48"/>
        <v>#N/A</v>
      </c>
      <c r="S272" s="160" t="e">
        <f t="shared" ca="1" si="48"/>
        <v>#N/A</v>
      </c>
      <c r="T272" s="160" t="e">
        <f t="shared" ca="1" si="48"/>
        <v>#N/A</v>
      </c>
      <c r="U272" s="160" t="e">
        <f t="shared" ca="1" si="49"/>
        <v>#N/A</v>
      </c>
      <c r="V272" s="163" t="e">
        <f t="shared" ca="1" si="41"/>
        <v>#N/A</v>
      </c>
      <c r="W272" s="163" t="e">
        <f t="shared" ca="1" si="42"/>
        <v>#N/A</v>
      </c>
      <c r="X272" s="163" t="e">
        <f t="shared" ca="1" si="43"/>
        <v>#N/A</v>
      </c>
      <c r="Y272" s="163" t="e">
        <f t="shared" ca="1" si="44"/>
        <v>#N/A</v>
      </c>
    </row>
    <row r="273" spans="12:25" ht="14.4">
      <c r="L273" s="464"/>
      <c r="M273" s="129" t="e">
        <f t="shared" si="45"/>
        <v>#N/A</v>
      </c>
      <c r="N273" s="161">
        <f t="shared" si="40"/>
        <v>13</v>
      </c>
      <c r="O273" s="160" t="e">
        <f t="shared" ca="1" si="46"/>
        <v>#N/A</v>
      </c>
      <c r="P273" s="160" t="e">
        <f t="shared" ca="1" si="47"/>
        <v>#N/A</v>
      </c>
      <c r="Q273" s="160" t="e">
        <f t="shared" ca="1" si="48"/>
        <v>#N/A</v>
      </c>
      <c r="R273" s="160" t="e">
        <f t="shared" ca="1" si="48"/>
        <v>#N/A</v>
      </c>
      <c r="S273" s="160" t="e">
        <f t="shared" ca="1" si="48"/>
        <v>#N/A</v>
      </c>
      <c r="T273" s="160" t="e">
        <f t="shared" ca="1" si="48"/>
        <v>#N/A</v>
      </c>
      <c r="U273" s="160" t="e">
        <f t="shared" ca="1" si="49"/>
        <v>#N/A</v>
      </c>
      <c r="V273" s="163" t="e">
        <f t="shared" ca="1" si="41"/>
        <v>#N/A</v>
      </c>
      <c r="W273" s="163" t="e">
        <f t="shared" ca="1" si="42"/>
        <v>#N/A</v>
      </c>
      <c r="X273" s="163" t="e">
        <f t="shared" ca="1" si="43"/>
        <v>#N/A</v>
      </c>
      <c r="Y273" s="163" t="e">
        <f t="shared" ca="1" si="44"/>
        <v>#N/A</v>
      </c>
    </row>
    <row r="274" spans="12:25" ht="14.4">
      <c r="L274" s="464"/>
      <c r="M274" s="129" t="e">
        <f t="shared" si="45"/>
        <v>#N/A</v>
      </c>
      <c r="N274" s="161">
        <f t="shared" ref="N274:N337" si="50">N273</f>
        <v>13</v>
      </c>
      <c r="O274" s="160" t="e">
        <f t="shared" ca="1" si="46"/>
        <v>#N/A</v>
      </c>
      <c r="P274" s="160" t="e">
        <f t="shared" ca="1" si="47"/>
        <v>#N/A</v>
      </c>
      <c r="Q274" s="160" t="e">
        <f t="shared" ca="1" si="48"/>
        <v>#N/A</v>
      </c>
      <c r="R274" s="160" t="e">
        <f t="shared" ca="1" si="48"/>
        <v>#N/A</v>
      </c>
      <c r="S274" s="160" t="e">
        <f t="shared" ca="1" si="48"/>
        <v>#N/A</v>
      </c>
      <c r="T274" s="160" t="e">
        <f t="shared" ca="1" si="48"/>
        <v>#N/A</v>
      </c>
      <c r="U274" s="160" t="e">
        <f t="shared" ca="1" si="49"/>
        <v>#N/A</v>
      </c>
      <c r="V274" s="163" t="e">
        <f t="shared" ca="1" si="41"/>
        <v>#N/A</v>
      </c>
      <c r="W274" s="163" t="e">
        <f t="shared" ca="1" si="42"/>
        <v>#N/A</v>
      </c>
      <c r="X274" s="163" t="e">
        <f t="shared" ca="1" si="43"/>
        <v>#N/A</v>
      </c>
      <c r="Y274" s="163" t="e">
        <f t="shared" ca="1" si="44"/>
        <v>#N/A</v>
      </c>
    </row>
    <row r="275" spans="12:25" ht="14.4">
      <c r="L275" s="464"/>
      <c r="M275" s="129" t="e">
        <f t="shared" si="45"/>
        <v>#N/A</v>
      </c>
      <c r="N275" s="161">
        <f t="shared" si="50"/>
        <v>13</v>
      </c>
      <c r="O275" s="160" t="e">
        <f t="shared" ca="1" si="46"/>
        <v>#N/A</v>
      </c>
      <c r="P275" s="160" t="e">
        <f t="shared" ca="1" si="47"/>
        <v>#N/A</v>
      </c>
      <c r="Q275" s="160" t="e">
        <f t="shared" ca="1" si="48"/>
        <v>#N/A</v>
      </c>
      <c r="R275" s="160" t="e">
        <f t="shared" ca="1" si="48"/>
        <v>#N/A</v>
      </c>
      <c r="S275" s="160" t="e">
        <f t="shared" ca="1" si="48"/>
        <v>#N/A</v>
      </c>
      <c r="T275" s="160" t="e">
        <f t="shared" ca="1" si="48"/>
        <v>#N/A</v>
      </c>
      <c r="U275" s="160" t="e">
        <f t="shared" ca="1" si="49"/>
        <v>#N/A</v>
      </c>
      <c r="V275" s="163" t="e">
        <f t="shared" ca="1" si="41"/>
        <v>#N/A</v>
      </c>
      <c r="W275" s="163" t="e">
        <f t="shared" ca="1" si="42"/>
        <v>#N/A</v>
      </c>
      <c r="X275" s="163" t="e">
        <f t="shared" ca="1" si="43"/>
        <v>#N/A</v>
      </c>
      <c r="Y275" s="163" t="e">
        <f t="shared" ca="1" si="44"/>
        <v>#N/A</v>
      </c>
    </row>
    <row r="276" spans="12:25" ht="14.4">
      <c r="L276" s="464"/>
      <c r="M276" s="129" t="e">
        <f t="shared" si="45"/>
        <v>#N/A</v>
      </c>
      <c r="N276" s="161">
        <f t="shared" si="50"/>
        <v>13</v>
      </c>
      <c r="O276" s="160" t="e">
        <f t="shared" ca="1" si="46"/>
        <v>#N/A</v>
      </c>
      <c r="P276" s="160" t="e">
        <f t="shared" ca="1" si="47"/>
        <v>#N/A</v>
      </c>
      <c r="Q276" s="160" t="e">
        <f t="shared" ca="1" si="48"/>
        <v>#N/A</v>
      </c>
      <c r="R276" s="160" t="e">
        <f t="shared" ca="1" si="48"/>
        <v>#N/A</v>
      </c>
      <c r="S276" s="160" t="e">
        <f t="shared" ca="1" si="48"/>
        <v>#N/A</v>
      </c>
      <c r="T276" s="160" t="e">
        <f t="shared" ca="1" si="48"/>
        <v>#N/A</v>
      </c>
      <c r="U276" s="160" t="e">
        <f t="shared" ca="1" si="49"/>
        <v>#N/A</v>
      </c>
      <c r="V276" s="163" t="e">
        <f t="shared" ca="1" si="41"/>
        <v>#N/A</v>
      </c>
      <c r="W276" s="163" t="e">
        <f t="shared" ca="1" si="42"/>
        <v>#N/A</v>
      </c>
      <c r="X276" s="163" t="e">
        <f t="shared" ca="1" si="43"/>
        <v>#N/A</v>
      </c>
      <c r="Y276" s="163" t="e">
        <f t="shared" ca="1" si="44"/>
        <v>#N/A</v>
      </c>
    </row>
    <row r="277" spans="12:25" ht="14.4">
      <c r="L277" s="464"/>
      <c r="M277" s="129" t="e">
        <f t="shared" si="45"/>
        <v>#N/A</v>
      </c>
      <c r="N277" s="161">
        <f t="shared" si="50"/>
        <v>13</v>
      </c>
      <c r="O277" s="160" t="e">
        <f t="shared" ca="1" si="46"/>
        <v>#N/A</v>
      </c>
      <c r="P277" s="160" t="e">
        <f t="shared" ca="1" si="47"/>
        <v>#N/A</v>
      </c>
      <c r="Q277" s="160" t="e">
        <f t="shared" ca="1" si="48"/>
        <v>#N/A</v>
      </c>
      <c r="R277" s="160" t="e">
        <f t="shared" ca="1" si="48"/>
        <v>#N/A</v>
      </c>
      <c r="S277" s="160" t="e">
        <f t="shared" ca="1" si="48"/>
        <v>#N/A</v>
      </c>
      <c r="T277" s="160" t="e">
        <f t="shared" ca="1" si="48"/>
        <v>#N/A</v>
      </c>
      <c r="U277" s="160" t="e">
        <f t="shared" ca="1" si="49"/>
        <v>#N/A</v>
      </c>
      <c r="V277" s="163" t="e">
        <f t="shared" ca="1" si="41"/>
        <v>#N/A</v>
      </c>
      <c r="W277" s="163" t="e">
        <f t="shared" ca="1" si="42"/>
        <v>#N/A</v>
      </c>
      <c r="X277" s="163" t="e">
        <f t="shared" ca="1" si="43"/>
        <v>#N/A</v>
      </c>
      <c r="Y277" s="163" t="e">
        <f t="shared" ca="1" si="44"/>
        <v>#N/A</v>
      </c>
    </row>
    <row r="278" spans="12:25" ht="14.4">
      <c r="L278" s="464"/>
      <c r="M278" s="129" t="e">
        <f t="shared" si="45"/>
        <v>#N/A</v>
      </c>
      <c r="N278" s="161">
        <f t="shared" si="50"/>
        <v>13</v>
      </c>
      <c r="O278" s="160" t="e">
        <f t="shared" ca="1" si="46"/>
        <v>#N/A</v>
      </c>
      <c r="P278" s="160" t="e">
        <f t="shared" ca="1" si="47"/>
        <v>#N/A</v>
      </c>
      <c r="Q278" s="160" t="e">
        <f t="shared" ca="1" si="48"/>
        <v>#N/A</v>
      </c>
      <c r="R278" s="160" t="e">
        <f t="shared" ca="1" si="48"/>
        <v>#N/A</v>
      </c>
      <c r="S278" s="160" t="e">
        <f t="shared" ca="1" si="48"/>
        <v>#N/A</v>
      </c>
      <c r="T278" s="160" t="e">
        <f t="shared" ca="1" si="48"/>
        <v>#N/A</v>
      </c>
      <c r="U278" s="160" t="e">
        <f t="shared" ca="1" si="49"/>
        <v>#N/A</v>
      </c>
      <c r="V278" s="163" t="e">
        <f t="shared" ca="1" si="41"/>
        <v>#N/A</v>
      </c>
      <c r="W278" s="163" t="e">
        <f t="shared" ca="1" si="42"/>
        <v>#N/A</v>
      </c>
      <c r="X278" s="163" t="e">
        <f t="shared" ca="1" si="43"/>
        <v>#N/A</v>
      </c>
      <c r="Y278" s="163" t="e">
        <f t="shared" ca="1" si="44"/>
        <v>#N/A</v>
      </c>
    </row>
    <row r="279" spans="12:25" ht="14.4">
      <c r="L279" s="464"/>
      <c r="M279" s="129" t="e">
        <f t="shared" si="45"/>
        <v>#N/A</v>
      </c>
      <c r="N279" s="161">
        <f t="shared" si="50"/>
        <v>13</v>
      </c>
      <c r="O279" s="160" t="e">
        <f t="shared" ca="1" si="46"/>
        <v>#N/A</v>
      </c>
      <c r="P279" s="160" t="e">
        <f t="shared" ca="1" si="47"/>
        <v>#N/A</v>
      </c>
      <c r="Q279" s="160" t="e">
        <f t="shared" ca="1" si="48"/>
        <v>#N/A</v>
      </c>
      <c r="R279" s="160" t="e">
        <f t="shared" ca="1" si="48"/>
        <v>#N/A</v>
      </c>
      <c r="S279" s="160" t="e">
        <f t="shared" ca="1" si="48"/>
        <v>#N/A</v>
      </c>
      <c r="T279" s="160" t="e">
        <f t="shared" ca="1" si="48"/>
        <v>#N/A</v>
      </c>
      <c r="U279" s="160" t="e">
        <f t="shared" ca="1" si="49"/>
        <v>#N/A</v>
      </c>
      <c r="V279" s="163" t="e">
        <f t="shared" ca="1" si="41"/>
        <v>#N/A</v>
      </c>
      <c r="W279" s="163" t="e">
        <f t="shared" ca="1" si="42"/>
        <v>#N/A</v>
      </c>
      <c r="X279" s="163" t="e">
        <f t="shared" ca="1" si="43"/>
        <v>#N/A</v>
      </c>
      <c r="Y279" s="163" t="e">
        <f t="shared" ca="1" si="44"/>
        <v>#N/A</v>
      </c>
    </row>
    <row r="280" spans="12:25" ht="14.4">
      <c r="L280" s="464"/>
      <c r="M280" s="129" t="e">
        <f t="shared" si="45"/>
        <v>#N/A</v>
      </c>
      <c r="N280" s="161">
        <f t="shared" si="50"/>
        <v>13</v>
      </c>
      <c r="O280" s="160" t="e">
        <f t="shared" ca="1" si="46"/>
        <v>#N/A</v>
      </c>
      <c r="P280" s="160" t="e">
        <f t="shared" ca="1" si="47"/>
        <v>#N/A</v>
      </c>
      <c r="Q280" s="160" t="e">
        <f t="shared" ca="1" si="48"/>
        <v>#N/A</v>
      </c>
      <c r="R280" s="160" t="e">
        <f t="shared" ca="1" si="48"/>
        <v>#N/A</v>
      </c>
      <c r="S280" s="160" t="e">
        <f t="shared" ca="1" si="48"/>
        <v>#N/A</v>
      </c>
      <c r="T280" s="160" t="e">
        <f t="shared" ca="1" si="48"/>
        <v>#N/A</v>
      </c>
      <c r="U280" s="160" t="e">
        <f t="shared" ca="1" si="49"/>
        <v>#N/A</v>
      </c>
      <c r="V280" s="163" t="e">
        <f t="shared" ca="1" si="41"/>
        <v>#N/A</v>
      </c>
      <c r="W280" s="163" t="e">
        <f t="shared" ca="1" si="42"/>
        <v>#N/A</v>
      </c>
      <c r="X280" s="163" t="e">
        <f t="shared" ca="1" si="43"/>
        <v>#N/A</v>
      </c>
      <c r="Y280" s="163" t="e">
        <f t="shared" ca="1" si="44"/>
        <v>#N/A</v>
      </c>
    </row>
    <row r="281" spans="12:25" ht="14.4">
      <c r="L281" s="464"/>
      <c r="M281" s="129" t="e">
        <f t="shared" si="45"/>
        <v>#N/A</v>
      </c>
      <c r="N281" s="161">
        <f t="shared" si="50"/>
        <v>13</v>
      </c>
      <c r="O281" s="160" t="e">
        <f t="shared" ca="1" si="46"/>
        <v>#N/A</v>
      </c>
      <c r="P281" s="160" t="e">
        <f t="shared" ca="1" si="47"/>
        <v>#N/A</v>
      </c>
      <c r="Q281" s="160" t="e">
        <f t="shared" ca="1" si="48"/>
        <v>#N/A</v>
      </c>
      <c r="R281" s="160" t="e">
        <f t="shared" ca="1" si="48"/>
        <v>#N/A</v>
      </c>
      <c r="S281" s="160" t="e">
        <f t="shared" ca="1" si="48"/>
        <v>#N/A</v>
      </c>
      <c r="T281" s="160" t="e">
        <f t="shared" ca="1" si="48"/>
        <v>#N/A</v>
      </c>
      <c r="U281" s="160" t="e">
        <f t="shared" ca="1" si="49"/>
        <v>#N/A</v>
      </c>
      <c r="V281" s="163" t="e">
        <f t="shared" ca="1" si="41"/>
        <v>#N/A</v>
      </c>
      <c r="W281" s="163" t="e">
        <f t="shared" ca="1" si="42"/>
        <v>#N/A</v>
      </c>
      <c r="X281" s="163" t="e">
        <f t="shared" ca="1" si="43"/>
        <v>#N/A</v>
      </c>
      <c r="Y281" s="163" t="e">
        <f t="shared" ca="1" si="44"/>
        <v>#N/A</v>
      </c>
    </row>
    <row r="282" spans="12:25" ht="14.4">
      <c r="L282" s="464"/>
      <c r="M282" s="129" t="e">
        <f t="shared" si="45"/>
        <v>#N/A</v>
      </c>
      <c r="N282" s="161">
        <f t="shared" si="50"/>
        <v>13</v>
      </c>
      <c r="O282" s="160" t="e">
        <f t="shared" ca="1" si="46"/>
        <v>#N/A</v>
      </c>
      <c r="P282" s="160" t="e">
        <f t="shared" ca="1" si="47"/>
        <v>#N/A</v>
      </c>
      <c r="Q282" s="160" t="e">
        <f t="shared" ca="1" si="48"/>
        <v>#N/A</v>
      </c>
      <c r="R282" s="160" t="e">
        <f t="shared" ca="1" si="48"/>
        <v>#N/A</v>
      </c>
      <c r="S282" s="160" t="e">
        <f t="shared" ca="1" si="48"/>
        <v>#N/A</v>
      </c>
      <c r="T282" s="160" t="e">
        <f t="shared" ca="1" si="48"/>
        <v>#N/A</v>
      </c>
      <c r="U282" s="160" t="e">
        <f t="shared" ca="1" si="49"/>
        <v>#N/A</v>
      </c>
      <c r="V282" s="163" t="e">
        <f t="shared" ca="1" si="41"/>
        <v>#N/A</v>
      </c>
      <c r="W282" s="163" t="e">
        <f t="shared" ca="1" si="42"/>
        <v>#N/A</v>
      </c>
      <c r="X282" s="163" t="e">
        <f t="shared" ca="1" si="43"/>
        <v>#N/A</v>
      </c>
      <c r="Y282" s="163" t="e">
        <f t="shared" ca="1" si="44"/>
        <v>#N/A</v>
      </c>
    </row>
    <row r="283" spans="12:25" ht="14.4">
      <c r="L283" s="464"/>
      <c r="M283" s="129" t="e">
        <f t="shared" si="45"/>
        <v>#N/A</v>
      </c>
      <c r="N283" s="161">
        <f t="shared" si="50"/>
        <v>13</v>
      </c>
      <c r="O283" s="160" t="e">
        <f t="shared" ca="1" si="46"/>
        <v>#N/A</v>
      </c>
      <c r="P283" s="160" t="e">
        <f t="shared" ca="1" si="47"/>
        <v>#N/A</v>
      </c>
      <c r="Q283" s="160" t="e">
        <f t="shared" ca="1" si="48"/>
        <v>#N/A</v>
      </c>
      <c r="R283" s="160" t="e">
        <f t="shared" ca="1" si="48"/>
        <v>#N/A</v>
      </c>
      <c r="S283" s="160" t="e">
        <f t="shared" ca="1" si="48"/>
        <v>#N/A</v>
      </c>
      <c r="T283" s="160" t="e">
        <f t="shared" ca="1" si="48"/>
        <v>#N/A</v>
      </c>
      <c r="U283" s="160" t="e">
        <f t="shared" ca="1" si="49"/>
        <v>#N/A</v>
      </c>
      <c r="V283" s="163" t="e">
        <f t="shared" ca="1" si="41"/>
        <v>#N/A</v>
      </c>
      <c r="W283" s="163" t="e">
        <f t="shared" ca="1" si="42"/>
        <v>#N/A</v>
      </c>
      <c r="X283" s="163" t="e">
        <f t="shared" ca="1" si="43"/>
        <v>#N/A</v>
      </c>
      <c r="Y283" s="163" t="e">
        <f t="shared" ca="1" si="44"/>
        <v>#N/A</v>
      </c>
    </row>
    <row r="284" spans="12:25" ht="14.4">
      <c r="L284" s="464"/>
      <c r="M284" s="129" t="e">
        <f t="shared" si="45"/>
        <v>#N/A</v>
      </c>
      <c r="N284" s="161">
        <f t="shared" si="50"/>
        <v>13</v>
      </c>
      <c r="O284" s="160" t="e">
        <f t="shared" ca="1" si="46"/>
        <v>#N/A</v>
      </c>
      <c r="P284" s="160" t="e">
        <f t="shared" ca="1" si="47"/>
        <v>#N/A</v>
      </c>
      <c r="Q284" s="160" t="e">
        <f t="shared" ca="1" si="48"/>
        <v>#N/A</v>
      </c>
      <c r="R284" s="160" t="e">
        <f t="shared" ca="1" si="48"/>
        <v>#N/A</v>
      </c>
      <c r="S284" s="160" t="e">
        <f t="shared" ca="1" si="48"/>
        <v>#N/A</v>
      </c>
      <c r="T284" s="160" t="e">
        <f t="shared" ca="1" si="48"/>
        <v>#N/A</v>
      </c>
      <c r="U284" s="160" t="e">
        <f t="shared" ca="1" si="49"/>
        <v>#N/A</v>
      </c>
      <c r="V284" s="163" t="e">
        <f t="shared" ca="1" si="41"/>
        <v>#N/A</v>
      </c>
      <c r="W284" s="163" t="e">
        <f t="shared" ca="1" si="42"/>
        <v>#N/A</v>
      </c>
      <c r="X284" s="163" t="e">
        <f t="shared" ca="1" si="43"/>
        <v>#N/A</v>
      </c>
      <c r="Y284" s="163" t="e">
        <f t="shared" ca="1" si="44"/>
        <v>#N/A</v>
      </c>
    </row>
    <row r="285" spans="12:25" ht="14.4">
      <c r="L285" s="464"/>
      <c r="M285" s="129" t="e">
        <f t="shared" si="45"/>
        <v>#N/A</v>
      </c>
      <c r="N285" s="161">
        <f t="shared" si="50"/>
        <v>13</v>
      </c>
      <c r="O285" s="160" t="e">
        <f t="shared" ca="1" si="46"/>
        <v>#N/A</v>
      </c>
      <c r="P285" s="160" t="e">
        <f t="shared" ca="1" si="47"/>
        <v>#N/A</v>
      </c>
      <c r="Q285" s="160" t="e">
        <f t="shared" ca="1" si="48"/>
        <v>#N/A</v>
      </c>
      <c r="R285" s="160" t="e">
        <f t="shared" ca="1" si="48"/>
        <v>#N/A</v>
      </c>
      <c r="S285" s="160" t="e">
        <f t="shared" ca="1" si="48"/>
        <v>#N/A</v>
      </c>
      <c r="T285" s="160" t="e">
        <f t="shared" ca="1" si="48"/>
        <v>#N/A</v>
      </c>
      <c r="U285" s="160" t="e">
        <f t="shared" ca="1" si="49"/>
        <v>#N/A</v>
      </c>
      <c r="V285" s="163" t="e">
        <f t="shared" ca="1" si="41"/>
        <v>#N/A</v>
      </c>
      <c r="W285" s="163" t="e">
        <f t="shared" ca="1" si="42"/>
        <v>#N/A</v>
      </c>
      <c r="X285" s="163" t="e">
        <f t="shared" ca="1" si="43"/>
        <v>#N/A</v>
      </c>
      <c r="Y285" s="163" t="e">
        <f t="shared" ca="1" si="44"/>
        <v>#N/A</v>
      </c>
    </row>
    <row r="286" spans="12:25" ht="14.4">
      <c r="L286" s="464"/>
      <c r="M286" s="129" t="e">
        <f t="shared" si="45"/>
        <v>#N/A</v>
      </c>
      <c r="N286" s="161">
        <f t="shared" si="50"/>
        <v>13</v>
      </c>
      <c r="O286" s="160" t="e">
        <f t="shared" ca="1" si="46"/>
        <v>#N/A</v>
      </c>
      <c r="P286" s="160" t="e">
        <f t="shared" ca="1" si="47"/>
        <v>#N/A</v>
      </c>
      <c r="Q286" s="160" t="e">
        <f t="shared" ca="1" si="48"/>
        <v>#N/A</v>
      </c>
      <c r="R286" s="160" t="e">
        <f t="shared" ca="1" si="48"/>
        <v>#N/A</v>
      </c>
      <c r="S286" s="160" t="e">
        <f t="shared" ca="1" si="48"/>
        <v>#N/A</v>
      </c>
      <c r="T286" s="160" t="e">
        <f t="shared" ca="1" si="48"/>
        <v>#N/A</v>
      </c>
      <c r="U286" s="160" t="e">
        <f t="shared" ca="1" si="49"/>
        <v>#N/A</v>
      </c>
      <c r="V286" s="163" t="e">
        <f t="shared" ca="1" si="41"/>
        <v>#N/A</v>
      </c>
      <c r="W286" s="163" t="e">
        <f t="shared" ca="1" si="42"/>
        <v>#N/A</v>
      </c>
      <c r="X286" s="163" t="e">
        <f t="shared" ca="1" si="43"/>
        <v>#N/A</v>
      </c>
      <c r="Y286" s="163" t="e">
        <f t="shared" ca="1" si="44"/>
        <v>#N/A</v>
      </c>
    </row>
    <row r="287" spans="12:25" ht="14.4">
      <c r="L287" s="464"/>
      <c r="M287" s="129" t="e">
        <f t="shared" si="45"/>
        <v>#N/A</v>
      </c>
      <c r="N287" s="161">
        <f t="shared" si="50"/>
        <v>13</v>
      </c>
      <c r="O287" s="160" t="e">
        <f t="shared" ca="1" si="46"/>
        <v>#N/A</v>
      </c>
      <c r="P287" s="160" t="e">
        <f t="shared" ca="1" si="47"/>
        <v>#N/A</v>
      </c>
      <c r="Q287" s="160" t="e">
        <f t="shared" ca="1" si="48"/>
        <v>#N/A</v>
      </c>
      <c r="R287" s="160" t="e">
        <f t="shared" ca="1" si="48"/>
        <v>#N/A</v>
      </c>
      <c r="S287" s="160" t="e">
        <f t="shared" ca="1" si="48"/>
        <v>#N/A</v>
      </c>
      <c r="T287" s="160" t="e">
        <f t="shared" ca="1" si="48"/>
        <v>#N/A</v>
      </c>
      <c r="U287" s="160" t="e">
        <f t="shared" ca="1" si="49"/>
        <v>#N/A</v>
      </c>
      <c r="V287" s="163" t="e">
        <f t="shared" ref="V287:V350" ca="1" si="51">IF(Q287=0,0,IF(S287=180,IF(R287=0,"Slab on Grade",IF(R287=1,"Exposed Floor",IF(R287=3,"Internal Floor",U287))),IF(S287&lt;45,IF(R287=3,"Internal Ceiling",IF(R287=1,"Roof",U287)))))</f>
        <v>#N/A</v>
      </c>
      <c r="W287" s="163" t="e">
        <f t="shared" ref="W287:W350" ca="1" si="52">IF(ISNUMBER(SEARCH($W$29,U287))=TRUE,IF(ISNUMBER(SEARCH($W$27,U287))=TRUE,IF(R287=1,"eFrame",IF(R287=3,"iFrame")),IF(R287=1,"eWindow",IF(R287=3,"iWindow"))),U287)</f>
        <v>#N/A</v>
      </c>
      <c r="X287" s="163" t="e">
        <f t="shared" ref="X287:X350" ca="1" si="53">IF(ISNUMBER(SEARCH($X$29,U287))=TRUE,IF(ISNUMBER(SEARCH($X$27,U287))=TRUE,IF(R287=1,"eFrameDoor",IF(R287=3,"iFrameDoor")),IF(R287=1,"eDoor",IF(R287=3,"iDoor"))),U287)</f>
        <v>#N/A</v>
      </c>
      <c r="Y287" s="163" t="e">
        <f t="shared" ref="Y287:Y350" ca="1" si="54">IF(ISNUMBER(SEARCH($W$29,U287))=TRUE,"Substract",IF(ISNUMBER(SEARCH($X$29,U287))=TRUE, "Sunstract",IF(S287=90,IF(R287=1,"External Wall",IF(R287=3,"Internal Wall",IF(R287=0,"Below Grade Wall",U287))),V287)))</f>
        <v>#N/A</v>
      </c>
    </row>
    <row r="288" spans="12:25" ht="14.4">
      <c r="L288" s="464"/>
      <c r="M288" s="129" t="e">
        <f t="shared" ref="M288:M351" si="55">IF(M287="end","end",IF(M287=$K$1,"end",M287+1))</f>
        <v>#N/A</v>
      </c>
      <c r="N288" s="161">
        <f t="shared" si="50"/>
        <v>13</v>
      </c>
      <c r="O288" s="160" t="e">
        <f t="shared" ca="1" si="46"/>
        <v>#N/A</v>
      </c>
      <c r="P288" s="160" t="e">
        <f t="shared" ca="1" si="47"/>
        <v>#N/A</v>
      </c>
      <c r="Q288" s="160" t="e">
        <f t="shared" ca="1" si="48"/>
        <v>#N/A</v>
      </c>
      <c r="R288" s="160" t="e">
        <f t="shared" ca="1" si="48"/>
        <v>#N/A</v>
      </c>
      <c r="S288" s="160" t="e">
        <f t="shared" ca="1" si="48"/>
        <v>#N/A</v>
      </c>
      <c r="T288" s="160" t="e">
        <f t="shared" ca="1" si="48"/>
        <v>#N/A</v>
      </c>
      <c r="U288" s="160" t="e">
        <f t="shared" ca="1" si="49"/>
        <v>#N/A</v>
      </c>
      <c r="V288" s="163" t="e">
        <f t="shared" ca="1" si="51"/>
        <v>#N/A</v>
      </c>
      <c r="W288" s="163" t="e">
        <f t="shared" ca="1" si="52"/>
        <v>#N/A</v>
      </c>
      <c r="X288" s="163" t="e">
        <f t="shared" ca="1" si="53"/>
        <v>#N/A</v>
      </c>
      <c r="Y288" s="163" t="e">
        <f t="shared" ca="1" si="54"/>
        <v>#N/A</v>
      </c>
    </row>
    <row r="289" spans="12:25" ht="14.4">
      <c r="L289" s="464"/>
      <c r="M289" s="129" t="e">
        <f t="shared" si="55"/>
        <v>#N/A</v>
      </c>
      <c r="N289" s="161">
        <f t="shared" si="50"/>
        <v>13</v>
      </c>
      <c r="O289" s="160" t="e">
        <f t="shared" ca="1" si="46"/>
        <v>#N/A</v>
      </c>
      <c r="P289" s="160" t="e">
        <f t="shared" ca="1" si="47"/>
        <v>#N/A</v>
      </c>
      <c r="Q289" s="160" t="e">
        <f t="shared" ca="1" si="48"/>
        <v>#N/A</v>
      </c>
      <c r="R289" s="160" t="e">
        <f t="shared" ca="1" si="48"/>
        <v>#N/A</v>
      </c>
      <c r="S289" s="160" t="e">
        <f t="shared" ca="1" si="48"/>
        <v>#N/A</v>
      </c>
      <c r="T289" s="160" t="e">
        <f t="shared" ca="1" si="48"/>
        <v>#N/A</v>
      </c>
      <c r="U289" s="160" t="e">
        <f t="shared" ca="1" si="49"/>
        <v>#N/A</v>
      </c>
      <c r="V289" s="163" t="e">
        <f t="shared" ca="1" si="51"/>
        <v>#N/A</v>
      </c>
      <c r="W289" s="163" t="e">
        <f t="shared" ca="1" si="52"/>
        <v>#N/A</v>
      </c>
      <c r="X289" s="163" t="e">
        <f t="shared" ca="1" si="53"/>
        <v>#N/A</v>
      </c>
      <c r="Y289" s="163" t="e">
        <f t="shared" ca="1" si="54"/>
        <v>#N/A</v>
      </c>
    </row>
    <row r="290" spans="12:25" ht="14.4">
      <c r="L290" s="464"/>
      <c r="M290" s="129" t="e">
        <f t="shared" si="55"/>
        <v>#N/A</v>
      </c>
      <c r="N290" s="161">
        <f t="shared" si="50"/>
        <v>13</v>
      </c>
      <c r="O290" s="160" t="e">
        <f t="shared" ca="1" si="46"/>
        <v>#N/A</v>
      </c>
      <c r="P290" s="160" t="e">
        <f t="shared" ca="1" si="47"/>
        <v>#N/A</v>
      </c>
      <c r="Q290" s="160" t="e">
        <f t="shared" ca="1" si="48"/>
        <v>#N/A</v>
      </c>
      <c r="R290" s="160" t="e">
        <f t="shared" ca="1" si="48"/>
        <v>#N/A</v>
      </c>
      <c r="S290" s="160" t="e">
        <f t="shared" ca="1" si="48"/>
        <v>#N/A</v>
      </c>
      <c r="T290" s="160" t="e">
        <f t="shared" ca="1" si="48"/>
        <v>#N/A</v>
      </c>
      <c r="U290" s="160" t="e">
        <f t="shared" ca="1" si="49"/>
        <v>#N/A</v>
      </c>
      <c r="V290" s="163" t="e">
        <f t="shared" ca="1" si="51"/>
        <v>#N/A</v>
      </c>
      <c r="W290" s="163" t="e">
        <f t="shared" ca="1" si="52"/>
        <v>#N/A</v>
      </c>
      <c r="X290" s="163" t="e">
        <f t="shared" ca="1" si="53"/>
        <v>#N/A</v>
      </c>
      <c r="Y290" s="163" t="e">
        <f t="shared" ca="1" si="54"/>
        <v>#N/A</v>
      </c>
    </row>
    <row r="291" spans="12:25" ht="14.4">
      <c r="L291" s="464"/>
      <c r="M291" s="129" t="e">
        <f t="shared" si="55"/>
        <v>#N/A</v>
      </c>
      <c r="N291" s="161">
        <f t="shared" si="50"/>
        <v>13</v>
      </c>
      <c r="O291" s="160" t="e">
        <f t="shared" ca="1" si="46"/>
        <v>#N/A</v>
      </c>
      <c r="P291" s="160" t="e">
        <f t="shared" ca="1" si="47"/>
        <v>#N/A</v>
      </c>
      <c r="Q291" s="160" t="e">
        <f t="shared" ca="1" si="48"/>
        <v>#N/A</v>
      </c>
      <c r="R291" s="160" t="e">
        <f t="shared" ca="1" si="48"/>
        <v>#N/A</v>
      </c>
      <c r="S291" s="160" t="e">
        <f t="shared" ca="1" si="48"/>
        <v>#N/A</v>
      </c>
      <c r="T291" s="160" t="e">
        <f t="shared" ca="1" si="48"/>
        <v>#N/A</v>
      </c>
      <c r="U291" s="160" t="e">
        <f t="shared" ca="1" si="49"/>
        <v>#N/A</v>
      </c>
      <c r="V291" s="163" t="e">
        <f t="shared" ca="1" si="51"/>
        <v>#N/A</v>
      </c>
      <c r="W291" s="163" t="e">
        <f t="shared" ca="1" si="52"/>
        <v>#N/A</v>
      </c>
      <c r="X291" s="163" t="e">
        <f t="shared" ca="1" si="53"/>
        <v>#N/A</v>
      </c>
      <c r="Y291" s="163" t="e">
        <f t="shared" ca="1" si="54"/>
        <v>#N/A</v>
      </c>
    </row>
    <row r="292" spans="12:25" ht="14.4">
      <c r="L292" s="464"/>
      <c r="M292" s="129" t="e">
        <f t="shared" si="55"/>
        <v>#N/A</v>
      </c>
      <c r="N292" s="161">
        <f t="shared" si="50"/>
        <v>13</v>
      </c>
      <c r="O292" s="160" t="e">
        <f t="shared" ca="1" si="46"/>
        <v>#N/A</v>
      </c>
      <c r="P292" s="160" t="e">
        <f t="shared" ca="1" si="47"/>
        <v>#N/A</v>
      </c>
      <c r="Q292" s="160" t="e">
        <f t="shared" ca="1" si="48"/>
        <v>#N/A</v>
      </c>
      <c r="R292" s="160" t="e">
        <f t="shared" ca="1" si="48"/>
        <v>#N/A</v>
      </c>
      <c r="S292" s="160" t="e">
        <f t="shared" ca="1" si="48"/>
        <v>#N/A</v>
      </c>
      <c r="T292" s="160" t="e">
        <f t="shared" ca="1" si="48"/>
        <v>#N/A</v>
      </c>
      <c r="U292" s="160" t="e">
        <f t="shared" ca="1" si="49"/>
        <v>#N/A</v>
      </c>
      <c r="V292" s="163" t="e">
        <f t="shared" ca="1" si="51"/>
        <v>#N/A</v>
      </c>
      <c r="W292" s="163" t="e">
        <f t="shared" ca="1" si="52"/>
        <v>#N/A</v>
      </c>
      <c r="X292" s="163" t="e">
        <f t="shared" ca="1" si="53"/>
        <v>#N/A</v>
      </c>
      <c r="Y292" s="163" t="e">
        <f t="shared" ca="1" si="54"/>
        <v>#N/A</v>
      </c>
    </row>
    <row r="293" spans="12:25" ht="14.4">
      <c r="L293" s="464"/>
      <c r="M293" s="129" t="e">
        <f t="shared" si="55"/>
        <v>#N/A</v>
      </c>
      <c r="N293" s="161">
        <f t="shared" si="50"/>
        <v>13</v>
      </c>
      <c r="O293" s="160" t="e">
        <f t="shared" ca="1" si="46"/>
        <v>#N/A</v>
      </c>
      <c r="P293" s="160" t="e">
        <f t="shared" ca="1" si="47"/>
        <v>#N/A</v>
      </c>
      <c r="Q293" s="160" t="e">
        <f t="shared" ca="1" si="48"/>
        <v>#N/A</v>
      </c>
      <c r="R293" s="160" t="e">
        <f t="shared" ca="1" si="48"/>
        <v>#N/A</v>
      </c>
      <c r="S293" s="160" t="e">
        <f t="shared" ca="1" si="48"/>
        <v>#N/A</v>
      </c>
      <c r="T293" s="160" t="e">
        <f t="shared" ca="1" si="48"/>
        <v>#N/A</v>
      </c>
      <c r="U293" s="160" t="e">
        <f t="shared" ca="1" si="49"/>
        <v>#N/A</v>
      </c>
      <c r="V293" s="163" t="e">
        <f t="shared" ca="1" si="51"/>
        <v>#N/A</v>
      </c>
      <c r="W293" s="163" t="e">
        <f t="shared" ca="1" si="52"/>
        <v>#N/A</v>
      </c>
      <c r="X293" s="163" t="e">
        <f t="shared" ca="1" si="53"/>
        <v>#N/A</v>
      </c>
      <c r="Y293" s="163" t="e">
        <f t="shared" ca="1" si="54"/>
        <v>#N/A</v>
      </c>
    </row>
    <row r="294" spans="12:25" ht="14.4">
      <c r="L294" s="464"/>
      <c r="M294" s="129" t="e">
        <f t="shared" si="55"/>
        <v>#N/A</v>
      </c>
      <c r="N294" s="161">
        <f t="shared" si="50"/>
        <v>13</v>
      </c>
      <c r="O294" s="160" t="e">
        <f t="shared" ca="1" si="46"/>
        <v>#N/A</v>
      </c>
      <c r="P294" s="160" t="e">
        <f t="shared" ca="1" si="47"/>
        <v>#N/A</v>
      </c>
      <c r="Q294" s="160" t="e">
        <f t="shared" ca="1" si="48"/>
        <v>#N/A</v>
      </c>
      <c r="R294" s="160" t="e">
        <f t="shared" ca="1" si="48"/>
        <v>#N/A</v>
      </c>
      <c r="S294" s="160" t="e">
        <f t="shared" ca="1" si="48"/>
        <v>#N/A</v>
      </c>
      <c r="T294" s="160" t="e">
        <f t="shared" ca="1" si="48"/>
        <v>#N/A</v>
      </c>
      <c r="U294" s="160" t="e">
        <f t="shared" ca="1" si="49"/>
        <v>#N/A</v>
      </c>
      <c r="V294" s="163" t="e">
        <f t="shared" ca="1" si="51"/>
        <v>#N/A</v>
      </c>
      <c r="W294" s="163" t="e">
        <f t="shared" ca="1" si="52"/>
        <v>#N/A</v>
      </c>
      <c r="X294" s="163" t="e">
        <f t="shared" ca="1" si="53"/>
        <v>#N/A</v>
      </c>
      <c r="Y294" s="163" t="e">
        <f t="shared" ca="1" si="54"/>
        <v>#N/A</v>
      </c>
    </row>
    <row r="295" spans="12:25" ht="14.4">
      <c r="L295" s="464"/>
      <c r="M295" s="129" t="e">
        <f t="shared" si="55"/>
        <v>#N/A</v>
      </c>
      <c r="N295" s="161">
        <f t="shared" si="50"/>
        <v>13</v>
      </c>
      <c r="O295" s="160" t="e">
        <f t="shared" ca="1" si="46"/>
        <v>#N/A</v>
      </c>
      <c r="P295" s="160" t="e">
        <f t="shared" ca="1" si="47"/>
        <v>#N/A</v>
      </c>
      <c r="Q295" s="160" t="e">
        <f t="shared" ca="1" si="48"/>
        <v>#N/A</v>
      </c>
      <c r="R295" s="160" t="e">
        <f t="shared" ca="1" si="48"/>
        <v>#N/A</v>
      </c>
      <c r="S295" s="160" t="e">
        <f t="shared" ca="1" si="48"/>
        <v>#N/A</v>
      </c>
      <c r="T295" s="160" t="e">
        <f t="shared" ca="1" si="48"/>
        <v>#N/A</v>
      </c>
      <c r="U295" s="160" t="e">
        <f t="shared" ca="1" si="49"/>
        <v>#N/A</v>
      </c>
      <c r="V295" s="163" t="e">
        <f t="shared" ca="1" si="51"/>
        <v>#N/A</v>
      </c>
      <c r="W295" s="163" t="e">
        <f t="shared" ca="1" si="52"/>
        <v>#N/A</v>
      </c>
      <c r="X295" s="163" t="e">
        <f t="shared" ca="1" si="53"/>
        <v>#N/A</v>
      </c>
      <c r="Y295" s="163" t="e">
        <f t="shared" ca="1" si="54"/>
        <v>#N/A</v>
      </c>
    </row>
    <row r="296" spans="12:25" ht="14.4">
      <c r="L296" s="464"/>
      <c r="M296" s="129" t="e">
        <f t="shared" si="55"/>
        <v>#N/A</v>
      </c>
      <c r="N296" s="161">
        <f t="shared" si="50"/>
        <v>13</v>
      </c>
      <c r="O296" s="160" t="e">
        <f t="shared" ca="1" si="46"/>
        <v>#N/A</v>
      </c>
      <c r="P296" s="160" t="e">
        <f t="shared" ca="1" si="47"/>
        <v>#N/A</v>
      </c>
      <c r="Q296" s="160" t="e">
        <f t="shared" ca="1" si="48"/>
        <v>#N/A</v>
      </c>
      <c r="R296" s="160" t="e">
        <f t="shared" ca="1" si="48"/>
        <v>#N/A</v>
      </c>
      <c r="S296" s="160" t="e">
        <f t="shared" ca="1" si="48"/>
        <v>#N/A</v>
      </c>
      <c r="T296" s="160" t="e">
        <f t="shared" ca="1" si="48"/>
        <v>#N/A</v>
      </c>
      <c r="U296" s="160" t="e">
        <f t="shared" ca="1" si="49"/>
        <v>#N/A</v>
      </c>
      <c r="V296" s="163" t="e">
        <f t="shared" ca="1" si="51"/>
        <v>#N/A</v>
      </c>
      <c r="W296" s="163" t="e">
        <f t="shared" ca="1" si="52"/>
        <v>#N/A</v>
      </c>
      <c r="X296" s="163" t="e">
        <f t="shared" ca="1" si="53"/>
        <v>#N/A</v>
      </c>
      <c r="Y296" s="163" t="e">
        <f t="shared" ca="1" si="54"/>
        <v>#N/A</v>
      </c>
    </row>
    <row r="297" spans="12:25" ht="14.4">
      <c r="L297" s="464"/>
      <c r="M297" s="129" t="e">
        <f t="shared" si="55"/>
        <v>#N/A</v>
      </c>
      <c r="N297" s="161">
        <f t="shared" si="50"/>
        <v>13</v>
      </c>
      <c r="O297" s="160" t="e">
        <f t="shared" ref="O297:O360" ca="1" si="56">IF($M297="end",0,OFFSET($A$1,$M297-1,O$29,1,1))</f>
        <v>#N/A</v>
      </c>
      <c r="P297" s="160" t="e">
        <f t="shared" ca="1" si="47"/>
        <v>#N/A</v>
      </c>
      <c r="Q297" s="160" t="e">
        <f t="shared" ca="1" si="48"/>
        <v>#N/A</v>
      </c>
      <c r="R297" s="160" t="e">
        <f t="shared" ca="1" si="48"/>
        <v>#N/A</v>
      </c>
      <c r="S297" s="160" t="e">
        <f t="shared" ca="1" si="48"/>
        <v>#N/A</v>
      </c>
      <c r="T297" s="160" t="e">
        <f t="shared" ca="1" si="48"/>
        <v>#N/A</v>
      </c>
      <c r="U297" s="160" t="e">
        <f t="shared" ca="1" si="49"/>
        <v>#N/A</v>
      </c>
      <c r="V297" s="163" t="e">
        <f t="shared" ca="1" si="51"/>
        <v>#N/A</v>
      </c>
      <c r="W297" s="163" t="e">
        <f t="shared" ca="1" si="52"/>
        <v>#N/A</v>
      </c>
      <c r="X297" s="163" t="e">
        <f t="shared" ca="1" si="53"/>
        <v>#N/A</v>
      </c>
      <c r="Y297" s="163" t="e">
        <f t="shared" ca="1" si="54"/>
        <v>#N/A</v>
      </c>
    </row>
    <row r="298" spans="12:25" ht="14.4">
      <c r="L298" s="464"/>
      <c r="M298" s="129" t="e">
        <f t="shared" si="55"/>
        <v>#N/A</v>
      </c>
      <c r="N298" s="161">
        <f t="shared" si="50"/>
        <v>13</v>
      </c>
      <c r="O298" s="160" t="e">
        <f t="shared" ca="1" si="56"/>
        <v>#N/A</v>
      </c>
      <c r="P298" s="160" t="e">
        <f t="shared" ca="1" si="47"/>
        <v>#N/A</v>
      </c>
      <c r="Q298" s="160" t="e">
        <f t="shared" ca="1" si="48"/>
        <v>#N/A</v>
      </c>
      <c r="R298" s="160" t="e">
        <f t="shared" ca="1" si="48"/>
        <v>#N/A</v>
      </c>
      <c r="S298" s="160" t="e">
        <f t="shared" ca="1" si="48"/>
        <v>#N/A</v>
      </c>
      <c r="T298" s="160" t="e">
        <f t="shared" ca="1" si="48"/>
        <v>#N/A</v>
      </c>
      <c r="U298" s="160" t="e">
        <f t="shared" ca="1" si="49"/>
        <v>#N/A</v>
      </c>
      <c r="V298" s="163" t="e">
        <f t="shared" ca="1" si="51"/>
        <v>#N/A</v>
      </c>
      <c r="W298" s="163" t="e">
        <f t="shared" ca="1" si="52"/>
        <v>#N/A</v>
      </c>
      <c r="X298" s="163" t="e">
        <f t="shared" ca="1" si="53"/>
        <v>#N/A</v>
      </c>
      <c r="Y298" s="163" t="e">
        <f t="shared" ca="1" si="54"/>
        <v>#N/A</v>
      </c>
    </row>
    <row r="299" spans="12:25" ht="14.4">
      <c r="L299" s="464"/>
      <c r="M299" s="129" t="e">
        <f t="shared" si="55"/>
        <v>#N/A</v>
      </c>
      <c r="N299" s="161">
        <f t="shared" si="50"/>
        <v>13</v>
      </c>
      <c r="O299" s="160" t="e">
        <f t="shared" ca="1" si="56"/>
        <v>#N/A</v>
      </c>
      <c r="P299" s="160" t="e">
        <f t="shared" ca="1" si="47"/>
        <v>#N/A</v>
      </c>
      <c r="Q299" s="160" t="e">
        <f t="shared" ca="1" si="48"/>
        <v>#N/A</v>
      </c>
      <c r="R299" s="160" t="e">
        <f t="shared" ca="1" si="48"/>
        <v>#N/A</v>
      </c>
      <c r="S299" s="160" t="e">
        <f t="shared" ca="1" si="48"/>
        <v>#N/A</v>
      </c>
      <c r="T299" s="160" t="e">
        <f t="shared" ca="1" si="48"/>
        <v>#N/A</v>
      </c>
      <c r="U299" s="160" t="e">
        <f t="shared" ca="1" si="49"/>
        <v>#N/A</v>
      </c>
      <c r="V299" s="163" t="e">
        <f t="shared" ca="1" si="51"/>
        <v>#N/A</v>
      </c>
      <c r="W299" s="163" t="e">
        <f t="shared" ca="1" si="52"/>
        <v>#N/A</v>
      </c>
      <c r="X299" s="163" t="e">
        <f t="shared" ca="1" si="53"/>
        <v>#N/A</v>
      </c>
      <c r="Y299" s="163" t="e">
        <f t="shared" ca="1" si="54"/>
        <v>#N/A</v>
      </c>
    </row>
    <row r="300" spans="12:25" ht="14.4">
      <c r="L300" s="464"/>
      <c r="M300" s="129" t="e">
        <f t="shared" si="55"/>
        <v>#N/A</v>
      </c>
      <c r="N300" s="161">
        <f t="shared" si="50"/>
        <v>13</v>
      </c>
      <c r="O300" s="160" t="e">
        <f t="shared" ca="1" si="56"/>
        <v>#N/A</v>
      </c>
      <c r="P300" s="160" t="e">
        <f t="shared" ca="1" si="47"/>
        <v>#N/A</v>
      </c>
      <c r="Q300" s="160" t="e">
        <f t="shared" ca="1" si="48"/>
        <v>#N/A</v>
      </c>
      <c r="R300" s="160" t="e">
        <f t="shared" ca="1" si="48"/>
        <v>#N/A</v>
      </c>
      <c r="S300" s="160" t="e">
        <f t="shared" ca="1" si="48"/>
        <v>#N/A</v>
      </c>
      <c r="T300" s="160" t="e">
        <f t="shared" ca="1" si="48"/>
        <v>#N/A</v>
      </c>
      <c r="U300" s="160" t="e">
        <f t="shared" ca="1" si="49"/>
        <v>#N/A</v>
      </c>
      <c r="V300" s="163" t="e">
        <f t="shared" ca="1" si="51"/>
        <v>#N/A</v>
      </c>
      <c r="W300" s="163" t="e">
        <f t="shared" ca="1" si="52"/>
        <v>#N/A</v>
      </c>
      <c r="X300" s="163" t="e">
        <f t="shared" ca="1" si="53"/>
        <v>#N/A</v>
      </c>
      <c r="Y300" s="163" t="e">
        <f t="shared" ca="1" si="54"/>
        <v>#N/A</v>
      </c>
    </row>
    <row r="301" spans="12:25" ht="14.4">
      <c r="L301" s="464"/>
      <c r="M301" s="129" t="e">
        <f t="shared" si="55"/>
        <v>#N/A</v>
      </c>
      <c r="N301" s="161">
        <f t="shared" si="50"/>
        <v>13</v>
      </c>
      <c r="O301" s="160" t="e">
        <f t="shared" ca="1" si="56"/>
        <v>#N/A</v>
      </c>
      <c r="P301" s="160" t="e">
        <f t="shared" ca="1" si="47"/>
        <v>#N/A</v>
      </c>
      <c r="Q301" s="160" t="e">
        <f t="shared" ca="1" si="48"/>
        <v>#N/A</v>
      </c>
      <c r="R301" s="160" t="e">
        <f t="shared" ca="1" si="48"/>
        <v>#N/A</v>
      </c>
      <c r="S301" s="160" t="e">
        <f t="shared" ca="1" si="48"/>
        <v>#N/A</v>
      </c>
      <c r="T301" s="160" t="e">
        <f t="shared" ca="1" si="48"/>
        <v>#N/A</v>
      </c>
      <c r="U301" s="160" t="e">
        <f t="shared" ca="1" si="49"/>
        <v>#N/A</v>
      </c>
      <c r="V301" s="163" t="e">
        <f t="shared" ca="1" si="51"/>
        <v>#N/A</v>
      </c>
      <c r="W301" s="163" t="e">
        <f t="shared" ca="1" si="52"/>
        <v>#N/A</v>
      </c>
      <c r="X301" s="163" t="e">
        <f t="shared" ca="1" si="53"/>
        <v>#N/A</v>
      </c>
      <c r="Y301" s="163" t="e">
        <f t="shared" ca="1" si="54"/>
        <v>#N/A</v>
      </c>
    </row>
    <row r="302" spans="12:25" ht="14.4">
      <c r="L302" s="464"/>
      <c r="M302" s="129" t="e">
        <f t="shared" si="55"/>
        <v>#N/A</v>
      </c>
      <c r="N302" s="161">
        <f t="shared" si="50"/>
        <v>13</v>
      </c>
      <c r="O302" s="160" t="e">
        <f t="shared" ca="1" si="56"/>
        <v>#N/A</v>
      </c>
      <c r="P302" s="160" t="e">
        <f t="shared" ca="1" si="47"/>
        <v>#N/A</v>
      </c>
      <c r="Q302" s="160" t="e">
        <f t="shared" ca="1" si="48"/>
        <v>#N/A</v>
      </c>
      <c r="R302" s="160" t="e">
        <f t="shared" ca="1" si="48"/>
        <v>#N/A</v>
      </c>
      <c r="S302" s="160" t="e">
        <f t="shared" ca="1" si="48"/>
        <v>#N/A</v>
      </c>
      <c r="T302" s="160" t="e">
        <f t="shared" ca="1" si="48"/>
        <v>#N/A</v>
      </c>
      <c r="U302" s="160" t="e">
        <f t="shared" ca="1" si="49"/>
        <v>#N/A</v>
      </c>
      <c r="V302" s="163" t="e">
        <f t="shared" ca="1" si="51"/>
        <v>#N/A</v>
      </c>
      <c r="W302" s="163" t="e">
        <f t="shared" ca="1" si="52"/>
        <v>#N/A</v>
      </c>
      <c r="X302" s="163" t="e">
        <f t="shared" ca="1" si="53"/>
        <v>#N/A</v>
      </c>
      <c r="Y302" s="163" t="e">
        <f t="shared" ca="1" si="54"/>
        <v>#N/A</v>
      </c>
    </row>
    <row r="303" spans="12:25" ht="14.4">
      <c r="L303" s="464"/>
      <c r="M303" s="129" t="e">
        <f t="shared" si="55"/>
        <v>#N/A</v>
      </c>
      <c r="N303" s="161">
        <f t="shared" si="50"/>
        <v>13</v>
      </c>
      <c r="O303" s="160" t="e">
        <f t="shared" ca="1" si="56"/>
        <v>#N/A</v>
      </c>
      <c r="P303" s="160" t="e">
        <f t="shared" ca="1" si="47"/>
        <v>#N/A</v>
      </c>
      <c r="Q303" s="160" t="e">
        <f t="shared" ca="1" si="48"/>
        <v>#N/A</v>
      </c>
      <c r="R303" s="160" t="e">
        <f t="shared" ca="1" si="48"/>
        <v>#N/A</v>
      </c>
      <c r="S303" s="160" t="e">
        <f t="shared" ca="1" si="48"/>
        <v>#N/A</v>
      </c>
      <c r="T303" s="160" t="e">
        <f t="shared" ca="1" si="48"/>
        <v>#N/A</v>
      </c>
      <c r="U303" s="160" t="e">
        <f t="shared" ca="1" si="49"/>
        <v>#N/A</v>
      </c>
      <c r="V303" s="163" t="e">
        <f t="shared" ca="1" si="51"/>
        <v>#N/A</v>
      </c>
      <c r="W303" s="163" t="e">
        <f t="shared" ca="1" si="52"/>
        <v>#N/A</v>
      </c>
      <c r="X303" s="163" t="e">
        <f t="shared" ca="1" si="53"/>
        <v>#N/A</v>
      </c>
      <c r="Y303" s="163" t="e">
        <f t="shared" ca="1" si="54"/>
        <v>#N/A</v>
      </c>
    </row>
    <row r="304" spans="12:25" ht="14.4">
      <c r="L304" s="464"/>
      <c r="M304" s="129" t="e">
        <f t="shared" si="55"/>
        <v>#N/A</v>
      </c>
      <c r="N304" s="161">
        <f t="shared" si="50"/>
        <v>13</v>
      </c>
      <c r="O304" s="160" t="e">
        <f t="shared" ca="1" si="56"/>
        <v>#N/A</v>
      </c>
      <c r="P304" s="160" t="e">
        <f t="shared" ca="1" si="47"/>
        <v>#N/A</v>
      </c>
      <c r="Q304" s="160" t="e">
        <f t="shared" ca="1" si="48"/>
        <v>#N/A</v>
      </c>
      <c r="R304" s="160" t="e">
        <f t="shared" ca="1" si="48"/>
        <v>#N/A</v>
      </c>
      <c r="S304" s="160" t="e">
        <f t="shared" ca="1" si="48"/>
        <v>#N/A</v>
      </c>
      <c r="T304" s="160" t="e">
        <f t="shared" ca="1" si="48"/>
        <v>#N/A</v>
      </c>
      <c r="U304" s="160" t="e">
        <f t="shared" ca="1" si="49"/>
        <v>#N/A</v>
      </c>
      <c r="V304" s="163" t="e">
        <f t="shared" ca="1" si="51"/>
        <v>#N/A</v>
      </c>
      <c r="W304" s="163" t="e">
        <f t="shared" ca="1" si="52"/>
        <v>#N/A</v>
      </c>
      <c r="X304" s="163" t="e">
        <f t="shared" ca="1" si="53"/>
        <v>#N/A</v>
      </c>
      <c r="Y304" s="163" t="e">
        <f t="shared" ca="1" si="54"/>
        <v>#N/A</v>
      </c>
    </row>
    <row r="305" spans="12:25" ht="14.4">
      <c r="L305" s="464"/>
      <c r="M305" s="129" t="e">
        <f t="shared" si="55"/>
        <v>#N/A</v>
      </c>
      <c r="N305" s="161">
        <f t="shared" si="50"/>
        <v>13</v>
      </c>
      <c r="O305" s="160" t="e">
        <f t="shared" ca="1" si="56"/>
        <v>#N/A</v>
      </c>
      <c r="P305" s="160" t="e">
        <f t="shared" ca="1" si="47"/>
        <v>#N/A</v>
      </c>
      <c r="Q305" s="160" t="e">
        <f t="shared" ca="1" si="48"/>
        <v>#N/A</v>
      </c>
      <c r="R305" s="160" t="e">
        <f t="shared" ca="1" si="48"/>
        <v>#N/A</v>
      </c>
      <c r="S305" s="160" t="e">
        <f t="shared" ca="1" si="48"/>
        <v>#N/A</v>
      </c>
      <c r="T305" s="160" t="e">
        <f t="shared" ref="T305:U368" ca="1" si="57">IF($M305="end",0,OFFSET($A$1,$M305-1,T$29,1,1))</f>
        <v>#N/A</v>
      </c>
      <c r="U305" s="160" t="e">
        <f t="shared" ca="1" si="49"/>
        <v>#N/A</v>
      </c>
      <c r="V305" s="163" t="e">
        <f t="shared" ca="1" si="51"/>
        <v>#N/A</v>
      </c>
      <c r="W305" s="163" t="e">
        <f t="shared" ca="1" si="52"/>
        <v>#N/A</v>
      </c>
      <c r="X305" s="163" t="e">
        <f t="shared" ca="1" si="53"/>
        <v>#N/A</v>
      </c>
      <c r="Y305" s="163" t="e">
        <f t="shared" ca="1" si="54"/>
        <v>#N/A</v>
      </c>
    </row>
    <row r="306" spans="12:25" ht="14.4">
      <c r="L306" s="464"/>
      <c r="M306" s="129" t="e">
        <f t="shared" si="55"/>
        <v>#N/A</v>
      </c>
      <c r="N306" s="161">
        <f t="shared" si="50"/>
        <v>13</v>
      </c>
      <c r="O306" s="160" t="e">
        <f t="shared" ca="1" si="56"/>
        <v>#N/A</v>
      </c>
      <c r="P306" s="160" t="e">
        <f t="shared" ref="P306:P369" ca="1" si="58">IF($M306="end",0,OFFSET($A$1,$M306-1,P$29,1,1))</f>
        <v>#N/A</v>
      </c>
      <c r="Q306" s="160" t="e">
        <f t="shared" ref="Q306:U369" ca="1" si="59">IF($M306="end",0,OFFSET($A$1,$M306-1,Q$29,1,1))</f>
        <v>#N/A</v>
      </c>
      <c r="R306" s="160" t="e">
        <f t="shared" ca="1" si="59"/>
        <v>#N/A</v>
      </c>
      <c r="S306" s="160" t="e">
        <f t="shared" ca="1" si="59"/>
        <v>#N/A</v>
      </c>
      <c r="T306" s="160" t="e">
        <f t="shared" ca="1" si="57"/>
        <v>#N/A</v>
      </c>
      <c r="U306" s="160" t="e">
        <f t="shared" ca="1" si="57"/>
        <v>#N/A</v>
      </c>
      <c r="V306" s="163" t="e">
        <f t="shared" ca="1" si="51"/>
        <v>#N/A</v>
      </c>
      <c r="W306" s="163" t="e">
        <f t="shared" ca="1" si="52"/>
        <v>#N/A</v>
      </c>
      <c r="X306" s="163" t="e">
        <f t="shared" ca="1" si="53"/>
        <v>#N/A</v>
      </c>
      <c r="Y306" s="163" t="e">
        <f t="shared" ca="1" si="54"/>
        <v>#N/A</v>
      </c>
    </row>
    <row r="307" spans="12:25" ht="14.4">
      <c r="L307" s="464"/>
      <c r="M307" s="129" t="e">
        <f t="shared" si="55"/>
        <v>#N/A</v>
      </c>
      <c r="N307" s="161">
        <f t="shared" si="50"/>
        <v>13</v>
      </c>
      <c r="O307" s="160" t="e">
        <f t="shared" ca="1" si="56"/>
        <v>#N/A</v>
      </c>
      <c r="P307" s="160" t="e">
        <f t="shared" ca="1" si="58"/>
        <v>#N/A</v>
      </c>
      <c r="Q307" s="160" t="e">
        <f t="shared" ca="1" si="59"/>
        <v>#N/A</v>
      </c>
      <c r="R307" s="160" t="e">
        <f t="shared" ca="1" si="59"/>
        <v>#N/A</v>
      </c>
      <c r="S307" s="160" t="e">
        <f t="shared" ca="1" si="59"/>
        <v>#N/A</v>
      </c>
      <c r="T307" s="160" t="e">
        <f t="shared" ca="1" si="57"/>
        <v>#N/A</v>
      </c>
      <c r="U307" s="160" t="e">
        <f t="shared" ca="1" si="57"/>
        <v>#N/A</v>
      </c>
      <c r="V307" s="163" t="e">
        <f t="shared" ca="1" si="51"/>
        <v>#N/A</v>
      </c>
      <c r="W307" s="163" t="e">
        <f t="shared" ca="1" si="52"/>
        <v>#N/A</v>
      </c>
      <c r="X307" s="163" t="e">
        <f t="shared" ca="1" si="53"/>
        <v>#N/A</v>
      </c>
      <c r="Y307" s="163" t="e">
        <f t="shared" ca="1" si="54"/>
        <v>#N/A</v>
      </c>
    </row>
    <row r="308" spans="12:25" ht="14.4">
      <c r="L308" s="464"/>
      <c r="M308" s="129" t="e">
        <f t="shared" si="55"/>
        <v>#N/A</v>
      </c>
      <c r="N308" s="161">
        <f t="shared" si="50"/>
        <v>13</v>
      </c>
      <c r="O308" s="160" t="e">
        <f t="shared" ca="1" si="56"/>
        <v>#N/A</v>
      </c>
      <c r="P308" s="160" t="e">
        <f t="shared" ca="1" si="58"/>
        <v>#N/A</v>
      </c>
      <c r="Q308" s="160" t="e">
        <f t="shared" ca="1" si="59"/>
        <v>#N/A</v>
      </c>
      <c r="R308" s="160" t="e">
        <f t="shared" ca="1" si="59"/>
        <v>#N/A</v>
      </c>
      <c r="S308" s="160" t="e">
        <f t="shared" ca="1" si="59"/>
        <v>#N/A</v>
      </c>
      <c r="T308" s="160" t="e">
        <f t="shared" ca="1" si="57"/>
        <v>#N/A</v>
      </c>
      <c r="U308" s="160" t="e">
        <f t="shared" ca="1" si="57"/>
        <v>#N/A</v>
      </c>
      <c r="V308" s="163" t="e">
        <f t="shared" ca="1" si="51"/>
        <v>#N/A</v>
      </c>
      <c r="W308" s="163" t="e">
        <f t="shared" ca="1" si="52"/>
        <v>#N/A</v>
      </c>
      <c r="X308" s="163" t="e">
        <f t="shared" ca="1" si="53"/>
        <v>#N/A</v>
      </c>
      <c r="Y308" s="163" t="e">
        <f t="shared" ca="1" si="54"/>
        <v>#N/A</v>
      </c>
    </row>
    <row r="309" spans="12:25" ht="14.4">
      <c r="L309" s="464"/>
      <c r="M309" s="129" t="e">
        <f t="shared" si="55"/>
        <v>#N/A</v>
      </c>
      <c r="N309" s="161">
        <f t="shared" si="50"/>
        <v>13</v>
      </c>
      <c r="O309" s="160" t="e">
        <f t="shared" ca="1" si="56"/>
        <v>#N/A</v>
      </c>
      <c r="P309" s="160" t="e">
        <f t="shared" ca="1" si="58"/>
        <v>#N/A</v>
      </c>
      <c r="Q309" s="160" t="e">
        <f t="shared" ca="1" si="59"/>
        <v>#N/A</v>
      </c>
      <c r="R309" s="160" t="e">
        <f t="shared" ca="1" si="59"/>
        <v>#N/A</v>
      </c>
      <c r="S309" s="160" t="e">
        <f t="shared" ca="1" si="59"/>
        <v>#N/A</v>
      </c>
      <c r="T309" s="160" t="e">
        <f t="shared" ca="1" si="57"/>
        <v>#N/A</v>
      </c>
      <c r="U309" s="160" t="e">
        <f t="shared" ca="1" si="57"/>
        <v>#N/A</v>
      </c>
      <c r="V309" s="163" t="e">
        <f t="shared" ca="1" si="51"/>
        <v>#N/A</v>
      </c>
      <c r="W309" s="163" t="e">
        <f t="shared" ca="1" si="52"/>
        <v>#N/A</v>
      </c>
      <c r="X309" s="163" t="e">
        <f t="shared" ca="1" si="53"/>
        <v>#N/A</v>
      </c>
      <c r="Y309" s="163" t="e">
        <f t="shared" ca="1" si="54"/>
        <v>#N/A</v>
      </c>
    </row>
    <row r="310" spans="12:25" ht="14.4">
      <c r="L310" s="464"/>
      <c r="M310" s="129" t="e">
        <f t="shared" si="55"/>
        <v>#N/A</v>
      </c>
      <c r="N310" s="161">
        <f t="shared" si="50"/>
        <v>13</v>
      </c>
      <c r="O310" s="160" t="e">
        <f t="shared" ca="1" si="56"/>
        <v>#N/A</v>
      </c>
      <c r="P310" s="160" t="e">
        <f t="shared" ca="1" si="58"/>
        <v>#N/A</v>
      </c>
      <c r="Q310" s="160" t="e">
        <f t="shared" ca="1" si="59"/>
        <v>#N/A</v>
      </c>
      <c r="R310" s="160" t="e">
        <f t="shared" ca="1" si="59"/>
        <v>#N/A</v>
      </c>
      <c r="S310" s="160" t="e">
        <f t="shared" ca="1" si="59"/>
        <v>#N/A</v>
      </c>
      <c r="T310" s="160" t="e">
        <f t="shared" ca="1" si="57"/>
        <v>#N/A</v>
      </c>
      <c r="U310" s="160" t="e">
        <f t="shared" ca="1" si="57"/>
        <v>#N/A</v>
      </c>
      <c r="V310" s="163" t="e">
        <f t="shared" ca="1" si="51"/>
        <v>#N/A</v>
      </c>
      <c r="W310" s="163" t="e">
        <f t="shared" ca="1" si="52"/>
        <v>#N/A</v>
      </c>
      <c r="X310" s="163" t="e">
        <f t="shared" ca="1" si="53"/>
        <v>#N/A</v>
      </c>
      <c r="Y310" s="163" t="e">
        <f t="shared" ca="1" si="54"/>
        <v>#N/A</v>
      </c>
    </row>
    <row r="311" spans="12:25" ht="14.4">
      <c r="L311" s="464"/>
      <c r="M311" s="129" t="e">
        <f t="shared" si="55"/>
        <v>#N/A</v>
      </c>
      <c r="N311" s="161">
        <f t="shared" si="50"/>
        <v>13</v>
      </c>
      <c r="O311" s="160" t="e">
        <f t="shared" ca="1" si="56"/>
        <v>#N/A</v>
      </c>
      <c r="P311" s="160" t="e">
        <f t="shared" ca="1" si="58"/>
        <v>#N/A</v>
      </c>
      <c r="Q311" s="160" t="e">
        <f t="shared" ca="1" si="59"/>
        <v>#N/A</v>
      </c>
      <c r="R311" s="160" t="e">
        <f t="shared" ca="1" si="59"/>
        <v>#N/A</v>
      </c>
      <c r="S311" s="160" t="e">
        <f t="shared" ca="1" si="59"/>
        <v>#N/A</v>
      </c>
      <c r="T311" s="160" t="e">
        <f t="shared" ca="1" si="57"/>
        <v>#N/A</v>
      </c>
      <c r="U311" s="160" t="e">
        <f t="shared" ca="1" si="57"/>
        <v>#N/A</v>
      </c>
      <c r="V311" s="163" t="e">
        <f t="shared" ca="1" si="51"/>
        <v>#N/A</v>
      </c>
      <c r="W311" s="163" t="e">
        <f t="shared" ca="1" si="52"/>
        <v>#N/A</v>
      </c>
      <c r="X311" s="163" t="e">
        <f t="shared" ca="1" si="53"/>
        <v>#N/A</v>
      </c>
      <c r="Y311" s="163" t="e">
        <f t="shared" ca="1" si="54"/>
        <v>#N/A</v>
      </c>
    </row>
    <row r="312" spans="12:25" ht="14.4">
      <c r="L312" s="464"/>
      <c r="M312" s="129" t="e">
        <f t="shared" si="55"/>
        <v>#N/A</v>
      </c>
      <c r="N312" s="161">
        <f t="shared" si="50"/>
        <v>13</v>
      </c>
      <c r="O312" s="160" t="e">
        <f t="shared" ca="1" si="56"/>
        <v>#N/A</v>
      </c>
      <c r="P312" s="160" t="e">
        <f t="shared" ca="1" si="58"/>
        <v>#N/A</v>
      </c>
      <c r="Q312" s="160" t="e">
        <f t="shared" ca="1" si="59"/>
        <v>#N/A</v>
      </c>
      <c r="R312" s="160" t="e">
        <f t="shared" ca="1" si="59"/>
        <v>#N/A</v>
      </c>
      <c r="S312" s="160" t="e">
        <f t="shared" ca="1" si="59"/>
        <v>#N/A</v>
      </c>
      <c r="T312" s="160" t="e">
        <f t="shared" ca="1" si="57"/>
        <v>#N/A</v>
      </c>
      <c r="U312" s="160" t="e">
        <f t="shared" ca="1" si="57"/>
        <v>#N/A</v>
      </c>
      <c r="V312" s="163" t="e">
        <f t="shared" ca="1" si="51"/>
        <v>#N/A</v>
      </c>
      <c r="W312" s="163" t="e">
        <f t="shared" ca="1" si="52"/>
        <v>#N/A</v>
      </c>
      <c r="X312" s="163" t="e">
        <f t="shared" ca="1" si="53"/>
        <v>#N/A</v>
      </c>
      <c r="Y312" s="163" t="e">
        <f t="shared" ca="1" si="54"/>
        <v>#N/A</v>
      </c>
    </row>
    <row r="313" spans="12:25" ht="14.4">
      <c r="L313" s="464"/>
      <c r="M313" s="129" t="e">
        <f t="shared" si="55"/>
        <v>#N/A</v>
      </c>
      <c r="N313" s="161">
        <f t="shared" si="50"/>
        <v>13</v>
      </c>
      <c r="O313" s="160" t="e">
        <f t="shared" ca="1" si="56"/>
        <v>#N/A</v>
      </c>
      <c r="P313" s="160" t="e">
        <f t="shared" ca="1" si="58"/>
        <v>#N/A</v>
      </c>
      <c r="Q313" s="160" t="e">
        <f t="shared" ca="1" si="59"/>
        <v>#N/A</v>
      </c>
      <c r="R313" s="160" t="e">
        <f t="shared" ca="1" si="59"/>
        <v>#N/A</v>
      </c>
      <c r="S313" s="160" t="e">
        <f t="shared" ca="1" si="59"/>
        <v>#N/A</v>
      </c>
      <c r="T313" s="160" t="e">
        <f t="shared" ca="1" si="57"/>
        <v>#N/A</v>
      </c>
      <c r="U313" s="160" t="e">
        <f t="shared" ca="1" si="57"/>
        <v>#N/A</v>
      </c>
      <c r="V313" s="163" t="e">
        <f t="shared" ca="1" si="51"/>
        <v>#N/A</v>
      </c>
      <c r="W313" s="163" t="e">
        <f t="shared" ca="1" si="52"/>
        <v>#N/A</v>
      </c>
      <c r="X313" s="163" t="e">
        <f t="shared" ca="1" si="53"/>
        <v>#N/A</v>
      </c>
      <c r="Y313" s="163" t="e">
        <f t="shared" ca="1" si="54"/>
        <v>#N/A</v>
      </c>
    </row>
    <row r="314" spans="12:25" ht="14.4">
      <c r="L314" s="464"/>
      <c r="M314" s="129" t="e">
        <f t="shared" si="55"/>
        <v>#N/A</v>
      </c>
      <c r="N314" s="161">
        <f t="shared" si="50"/>
        <v>13</v>
      </c>
      <c r="O314" s="160" t="e">
        <f t="shared" ca="1" si="56"/>
        <v>#N/A</v>
      </c>
      <c r="P314" s="160" t="e">
        <f t="shared" ca="1" si="58"/>
        <v>#N/A</v>
      </c>
      <c r="Q314" s="160" t="e">
        <f t="shared" ca="1" si="59"/>
        <v>#N/A</v>
      </c>
      <c r="R314" s="160" t="e">
        <f t="shared" ca="1" si="59"/>
        <v>#N/A</v>
      </c>
      <c r="S314" s="160" t="e">
        <f t="shared" ca="1" si="59"/>
        <v>#N/A</v>
      </c>
      <c r="T314" s="160" t="e">
        <f t="shared" ca="1" si="57"/>
        <v>#N/A</v>
      </c>
      <c r="U314" s="160" t="e">
        <f t="shared" ca="1" si="57"/>
        <v>#N/A</v>
      </c>
      <c r="V314" s="163" t="e">
        <f t="shared" ca="1" si="51"/>
        <v>#N/A</v>
      </c>
      <c r="W314" s="163" t="e">
        <f t="shared" ca="1" si="52"/>
        <v>#N/A</v>
      </c>
      <c r="X314" s="163" t="e">
        <f t="shared" ca="1" si="53"/>
        <v>#N/A</v>
      </c>
      <c r="Y314" s="163" t="e">
        <f t="shared" ca="1" si="54"/>
        <v>#N/A</v>
      </c>
    </row>
    <row r="315" spans="12:25" ht="14.4">
      <c r="L315" s="464"/>
      <c r="M315" s="129" t="e">
        <f t="shared" si="55"/>
        <v>#N/A</v>
      </c>
      <c r="N315" s="161">
        <f t="shared" si="50"/>
        <v>13</v>
      </c>
      <c r="O315" s="160" t="e">
        <f t="shared" ca="1" si="56"/>
        <v>#N/A</v>
      </c>
      <c r="P315" s="160" t="e">
        <f t="shared" ca="1" si="58"/>
        <v>#N/A</v>
      </c>
      <c r="Q315" s="160" t="e">
        <f t="shared" ca="1" si="59"/>
        <v>#N/A</v>
      </c>
      <c r="R315" s="160" t="e">
        <f t="shared" ca="1" si="59"/>
        <v>#N/A</v>
      </c>
      <c r="S315" s="160" t="e">
        <f t="shared" ca="1" si="59"/>
        <v>#N/A</v>
      </c>
      <c r="T315" s="160" t="e">
        <f t="shared" ca="1" si="57"/>
        <v>#N/A</v>
      </c>
      <c r="U315" s="160" t="e">
        <f t="shared" ca="1" si="57"/>
        <v>#N/A</v>
      </c>
      <c r="V315" s="163" t="e">
        <f t="shared" ca="1" si="51"/>
        <v>#N/A</v>
      </c>
      <c r="W315" s="163" t="e">
        <f t="shared" ca="1" si="52"/>
        <v>#N/A</v>
      </c>
      <c r="X315" s="163" t="e">
        <f t="shared" ca="1" si="53"/>
        <v>#N/A</v>
      </c>
      <c r="Y315" s="163" t="e">
        <f t="shared" ca="1" si="54"/>
        <v>#N/A</v>
      </c>
    </row>
    <row r="316" spans="12:25" ht="14.4">
      <c r="L316" s="464"/>
      <c r="M316" s="129" t="e">
        <f t="shared" si="55"/>
        <v>#N/A</v>
      </c>
      <c r="N316" s="161">
        <f t="shared" si="50"/>
        <v>13</v>
      </c>
      <c r="O316" s="160" t="e">
        <f t="shared" ca="1" si="56"/>
        <v>#N/A</v>
      </c>
      <c r="P316" s="160" t="e">
        <f t="shared" ca="1" si="58"/>
        <v>#N/A</v>
      </c>
      <c r="Q316" s="160" t="e">
        <f t="shared" ca="1" si="59"/>
        <v>#N/A</v>
      </c>
      <c r="R316" s="160" t="e">
        <f t="shared" ca="1" si="59"/>
        <v>#N/A</v>
      </c>
      <c r="S316" s="160" t="e">
        <f t="shared" ca="1" si="59"/>
        <v>#N/A</v>
      </c>
      <c r="T316" s="160" t="e">
        <f t="shared" ca="1" si="57"/>
        <v>#N/A</v>
      </c>
      <c r="U316" s="160" t="e">
        <f t="shared" ca="1" si="57"/>
        <v>#N/A</v>
      </c>
      <c r="V316" s="163" t="e">
        <f t="shared" ca="1" si="51"/>
        <v>#N/A</v>
      </c>
      <c r="W316" s="163" t="e">
        <f t="shared" ca="1" si="52"/>
        <v>#N/A</v>
      </c>
      <c r="X316" s="163" t="e">
        <f t="shared" ca="1" si="53"/>
        <v>#N/A</v>
      </c>
      <c r="Y316" s="163" t="e">
        <f t="shared" ca="1" si="54"/>
        <v>#N/A</v>
      </c>
    </row>
    <row r="317" spans="12:25" ht="14.4">
      <c r="L317" s="464"/>
      <c r="M317" s="129" t="e">
        <f t="shared" si="55"/>
        <v>#N/A</v>
      </c>
      <c r="N317" s="161">
        <f t="shared" si="50"/>
        <v>13</v>
      </c>
      <c r="O317" s="160" t="e">
        <f t="shared" ca="1" si="56"/>
        <v>#N/A</v>
      </c>
      <c r="P317" s="160" t="e">
        <f t="shared" ca="1" si="58"/>
        <v>#N/A</v>
      </c>
      <c r="Q317" s="160" t="e">
        <f t="shared" ca="1" si="59"/>
        <v>#N/A</v>
      </c>
      <c r="R317" s="160" t="e">
        <f t="shared" ca="1" si="59"/>
        <v>#N/A</v>
      </c>
      <c r="S317" s="160" t="e">
        <f t="shared" ca="1" si="59"/>
        <v>#N/A</v>
      </c>
      <c r="T317" s="160" t="e">
        <f t="shared" ca="1" si="57"/>
        <v>#N/A</v>
      </c>
      <c r="U317" s="160" t="e">
        <f t="shared" ca="1" si="57"/>
        <v>#N/A</v>
      </c>
      <c r="V317" s="163" t="e">
        <f t="shared" ca="1" si="51"/>
        <v>#N/A</v>
      </c>
      <c r="W317" s="163" t="e">
        <f t="shared" ca="1" si="52"/>
        <v>#N/A</v>
      </c>
      <c r="X317" s="163" t="e">
        <f t="shared" ca="1" si="53"/>
        <v>#N/A</v>
      </c>
      <c r="Y317" s="163" t="e">
        <f t="shared" ca="1" si="54"/>
        <v>#N/A</v>
      </c>
    </row>
    <row r="318" spans="12:25" ht="14.4">
      <c r="L318" s="464"/>
      <c r="M318" s="129" t="e">
        <f t="shared" si="55"/>
        <v>#N/A</v>
      </c>
      <c r="N318" s="161">
        <f t="shared" si="50"/>
        <v>13</v>
      </c>
      <c r="O318" s="160" t="e">
        <f t="shared" ca="1" si="56"/>
        <v>#N/A</v>
      </c>
      <c r="P318" s="160" t="e">
        <f t="shared" ca="1" si="58"/>
        <v>#N/A</v>
      </c>
      <c r="Q318" s="160" t="e">
        <f t="shared" ca="1" si="59"/>
        <v>#N/A</v>
      </c>
      <c r="R318" s="160" t="e">
        <f t="shared" ca="1" si="59"/>
        <v>#N/A</v>
      </c>
      <c r="S318" s="160" t="e">
        <f t="shared" ca="1" si="59"/>
        <v>#N/A</v>
      </c>
      <c r="T318" s="160" t="e">
        <f t="shared" ca="1" si="57"/>
        <v>#N/A</v>
      </c>
      <c r="U318" s="160" t="e">
        <f t="shared" ca="1" si="57"/>
        <v>#N/A</v>
      </c>
      <c r="V318" s="163" t="e">
        <f t="shared" ca="1" si="51"/>
        <v>#N/A</v>
      </c>
      <c r="W318" s="163" t="e">
        <f t="shared" ca="1" si="52"/>
        <v>#N/A</v>
      </c>
      <c r="X318" s="163" t="e">
        <f t="shared" ca="1" si="53"/>
        <v>#N/A</v>
      </c>
      <c r="Y318" s="163" t="e">
        <f t="shared" ca="1" si="54"/>
        <v>#N/A</v>
      </c>
    </row>
    <row r="319" spans="12:25" ht="14.4">
      <c r="L319" s="464"/>
      <c r="M319" s="129" t="e">
        <f t="shared" si="55"/>
        <v>#N/A</v>
      </c>
      <c r="N319" s="161">
        <f t="shared" si="50"/>
        <v>13</v>
      </c>
      <c r="O319" s="160" t="e">
        <f t="shared" ca="1" si="56"/>
        <v>#N/A</v>
      </c>
      <c r="P319" s="160" t="e">
        <f t="shared" ca="1" si="58"/>
        <v>#N/A</v>
      </c>
      <c r="Q319" s="160" t="e">
        <f t="shared" ca="1" si="59"/>
        <v>#N/A</v>
      </c>
      <c r="R319" s="160" t="e">
        <f t="shared" ca="1" si="59"/>
        <v>#N/A</v>
      </c>
      <c r="S319" s="160" t="e">
        <f t="shared" ca="1" si="59"/>
        <v>#N/A</v>
      </c>
      <c r="T319" s="160" t="e">
        <f t="shared" ca="1" si="57"/>
        <v>#N/A</v>
      </c>
      <c r="U319" s="160" t="e">
        <f t="shared" ca="1" si="57"/>
        <v>#N/A</v>
      </c>
      <c r="V319" s="163" t="e">
        <f t="shared" ca="1" si="51"/>
        <v>#N/A</v>
      </c>
      <c r="W319" s="163" t="e">
        <f t="shared" ca="1" si="52"/>
        <v>#N/A</v>
      </c>
      <c r="X319" s="163" t="e">
        <f t="shared" ca="1" si="53"/>
        <v>#N/A</v>
      </c>
      <c r="Y319" s="163" t="e">
        <f t="shared" ca="1" si="54"/>
        <v>#N/A</v>
      </c>
    </row>
    <row r="320" spans="12:25" ht="14.4">
      <c r="L320" s="464"/>
      <c r="M320" s="129" t="e">
        <f t="shared" si="55"/>
        <v>#N/A</v>
      </c>
      <c r="N320" s="161">
        <f t="shared" si="50"/>
        <v>13</v>
      </c>
      <c r="O320" s="160" t="e">
        <f t="shared" ca="1" si="56"/>
        <v>#N/A</v>
      </c>
      <c r="P320" s="160" t="e">
        <f t="shared" ca="1" si="58"/>
        <v>#N/A</v>
      </c>
      <c r="Q320" s="160" t="e">
        <f t="shared" ca="1" si="59"/>
        <v>#N/A</v>
      </c>
      <c r="R320" s="160" t="e">
        <f t="shared" ca="1" si="59"/>
        <v>#N/A</v>
      </c>
      <c r="S320" s="160" t="e">
        <f t="shared" ca="1" si="59"/>
        <v>#N/A</v>
      </c>
      <c r="T320" s="160" t="e">
        <f t="shared" ca="1" si="57"/>
        <v>#N/A</v>
      </c>
      <c r="U320" s="160" t="e">
        <f t="shared" ca="1" si="57"/>
        <v>#N/A</v>
      </c>
      <c r="V320" s="163" t="e">
        <f t="shared" ca="1" si="51"/>
        <v>#N/A</v>
      </c>
      <c r="W320" s="163" t="e">
        <f t="shared" ca="1" si="52"/>
        <v>#N/A</v>
      </c>
      <c r="X320" s="163" t="e">
        <f t="shared" ca="1" si="53"/>
        <v>#N/A</v>
      </c>
      <c r="Y320" s="163" t="e">
        <f t="shared" ca="1" si="54"/>
        <v>#N/A</v>
      </c>
    </row>
    <row r="321" spans="12:25" ht="14.4">
      <c r="L321" s="464"/>
      <c r="M321" s="129" t="e">
        <f t="shared" si="55"/>
        <v>#N/A</v>
      </c>
      <c r="N321" s="161">
        <f t="shared" si="50"/>
        <v>13</v>
      </c>
      <c r="O321" s="160" t="e">
        <f t="shared" ca="1" si="56"/>
        <v>#N/A</v>
      </c>
      <c r="P321" s="160" t="e">
        <f t="shared" ca="1" si="58"/>
        <v>#N/A</v>
      </c>
      <c r="Q321" s="160" t="e">
        <f t="shared" ca="1" si="59"/>
        <v>#N/A</v>
      </c>
      <c r="R321" s="160" t="e">
        <f t="shared" ca="1" si="59"/>
        <v>#N/A</v>
      </c>
      <c r="S321" s="160" t="e">
        <f t="shared" ca="1" si="59"/>
        <v>#N/A</v>
      </c>
      <c r="T321" s="160" t="e">
        <f t="shared" ca="1" si="57"/>
        <v>#N/A</v>
      </c>
      <c r="U321" s="160" t="e">
        <f t="shared" ca="1" si="57"/>
        <v>#N/A</v>
      </c>
      <c r="V321" s="163" t="e">
        <f t="shared" ca="1" si="51"/>
        <v>#N/A</v>
      </c>
      <c r="W321" s="163" t="e">
        <f t="shared" ca="1" si="52"/>
        <v>#N/A</v>
      </c>
      <c r="X321" s="163" t="e">
        <f t="shared" ca="1" si="53"/>
        <v>#N/A</v>
      </c>
      <c r="Y321" s="163" t="e">
        <f t="shared" ca="1" si="54"/>
        <v>#N/A</v>
      </c>
    </row>
    <row r="322" spans="12:25" ht="14.4">
      <c r="L322" s="464"/>
      <c r="M322" s="129" t="e">
        <f t="shared" si="55"/>
        <v>#N/A</v>
      </c>
      <c r="N322" s="161">
        <f t="shared" si="50"/>
        <v>13</v>
      </c>
      <c r="O322" s="160" t="e">
        <f t="shared" ca="1" si="56"/>
        <v>#N/A</v>
      </c>
      <c r="P322" s="160" t="e">
        <f t="shared" ca="1" si="58"/>
        <v>#N/A</v>
      </c>
      <c r="Q322" s="160" t="e">
        <f t="shared" ca="1" si="59"/>
        <v>#N/A</v>
      </c>
      <c r="R322" s="160" t="e">
        <f t="shared" ca="1" si="59"/>
        <v>#N/A</v>
      </c>
      <c r="S322" s="160" t="e">
        <f t="shared" ca="1" si="59"/>
        <v>#N/A</v>
      </c>
      <c r="T322" s="160" t="e">
        <f t="shared" ca="1" si="57"/>
        <v>#N/A</v>
      </c>
      <c r="U322" s="160" t="e">
        <f t="shared" ca="1" si="57"/>
        <v>#N/A</v>
      </c>
      <c r="V322" s="163" t="e">
        <f t="shared" ca="1" si="51"/>
        <v>#N/A</v>
      </c>
      <c r="W322" s="163" t="e">
        <f t="shared" ca="1" si="52"/>
        <v>#N/A</v>
      </c>
      <c r="X322" s="163" t="e">
        <f t="shared" ca="1" si="53"/>
        <v>#N/A</v>
      </c>
      <c r="Y322" s="163" t="e">
        <f t="shared" ca="1" si="54"/>
        <v>#N/A</v>
      </c>
    </row>
    <row r="323" spans="12:25" ht="14.4">
      <c r="L323" s="464"/>
      <c r="M323" s="129" t="e">
        <f t="shared" si="55"/>
        <v>#N/A</v>
      </c>
      <c r="N323" s="161">
        <f t="shared" si="50"/>
        <v>13</v>
      </c>
      <c r="O323" s="160" t="e">
        <f t="shared" ca="1" si="56"/>
        <v>#N/A</v>
      </c>
      <c r="P323" s="160" t="e">
        <f t="shared" ca="1" si="58"/>
        <v>#N/A</v>
      </c>
      <c r="Q323" s="160" t="e">
        <f t="shared" ca="1" si="59"/>
        <v>#N/A</v>
      </c>
      <c r="R323" s="160" t="e">
        <f t="shared" ca="1" si="59"/>
        <v>#N/A</v>
      </c>
      <c r="S323" s="160" t="e">
        <f t="shared" ca="1" si="59"/>
        <v>#N/A</v>
      </c>
      <c r="T323" s="160" t="e">
        <f t="shared" ca="1" si="57"/>
        <v>#N/A</v>
      </c>
      <c r="U323" s="160" t="e">
        <f t="shared" ca="1" si="57"/>
        <v>#N/A</v>
      </c>
      <c r="V323" s="163" t="e">
        <f t="shared" ca="1" si="51"/>
        <v>#N/A</v>
      </c>
      <c r="W323" s="163" t="e">
        <f t="shared" ca="1" si="52"/>
        <v>#N/A</v>
      </c>
      <c r="X323" s="163" t="e">
        <f t="shared" ca="1" si="53"/>
        <v>#N/A</v>
      </c>
      <c r="Y323" s="163" t="e">
        <f t="shared" ca="1" si="54"/>
        <v>#N/A</v>
      </c>
    </row>
    <row r="324" spans="12:25" ht="14.4">
      <c r="L324" s="464"/>
      <c r="M324" s="129" t="e">
        <f t="shared" si="55"/>
        <v>#N/A</v>
      </c>
      <c r="N324" s="161">
        <f t="shared" si="50"/>
        <v>13</v>
      </c>
      <c r="O324" s="160" t="e">
        <f t="shared" ca="1" si="56"/>
        <v>#N/A</v>
      </c>
      <c r="P324" s="160" t="e">
        <f t="shared" ca="1" si="58"/>
        <v>#N/A</v>
      </c>
      <c r="Q324" s="160" t="e">
        <f t="shared" ca="1" si="59"/>
        <v>#N/A</v>
      </c>
      <c r="R324" s="160" t="e">
        <f t="shared" ca="1" si="59"/>
        <v>#N/A</v>
      </c>
      <c r="S324" s="160" t="e">
        <f t="shared" ca="1" si="59"/>
        <v>#N/A</v>
      </c>
      <c r="T324" s="160" t="e">
        <f t="shared" ca="1" si="57"/>
        <v>#N/A</v>
      </c>
      <c r="U324" s="160" t="e">
        <f t="shared" ca="1" si="57"/>
        <v>#N/A</v>
      </c>
      <c r="V324" s="163" t="e">
        <f t="shared" ca="1" si="51"/>
        <v>#N/A</v>
      </c>
      <c r="W324" s="163" t="e">
        <f t="shared" ca="1" si="52"/>
        <v>#N/A</v>
      </c>
      <c r="X324" s="163" t="e">
        <f t="shared" ca="1" si="53"/>
        <v>#N/A</v>
      </c>
      <c r="Y324" s="163" t="e">
        <f t="shared" ca="1" si="54"/>
        <v>#N/A</v>
      </c>
    </row>
    <row r="325" spans="12:25" ht="14.4">
      <c r="L325" s="464"/>
      <c r="M325" s="129" t="e">
        <f t="shared" si="55"/>
        <v>#N/A</v>
      </c>
      <c r="N325" s="161">
        <f t="shared" si="50"/>
        <v>13</v>
      </c>
      <c r="O325" s="160" t="e">
        <f t="shared" ca="1" si="56"/>
        <v>#N/A</v>
      </c>
      <c r="P325" s="160" t="e">
        <f t="shared" ca="1" si="58"/>
        <v>#N/A</v>
      </c>
      <c r="Q325" s="160" t="e">
        <f t="shared" ca="1" si="59"/>
        <v>#N/A</v>
      </c>
      <c r="R325" s="160" t="e">
        <f t="shared" ca="1" si="59"/>
        <v>#N/A</v>
      </c>
      <c r="S325" s="160" t="e">
        <f t="shared" ca="1" si="59"/>
        <v>#N/A</v>
      </c>
      <c r="T325" s="160" t="e">
        <f t="shared" ca="1" si="57"/>
        <v>#N/A</v>
      </c>
      <c r="U325" s="160" t="e">
        <f t="shared" ca="1" si="57"/>
        <v>#N/A</v>
      </c>
      <c r="V325" s="163" t="e">
        <f t="shared" ca="1" si="51"/>
        <v>#N/A</v>
      </c>
      <c r="W325" s="163" t="e">
        <f t="shared" ca="1" si="52"/>
        <v>#N/A</v>
      </c>
      <c r="X325" s="163" t="e">
        <f t="shared" ca="1" si="53"/>
        <v>#N/A</v>
      </c>
      <c r="Y325" s="163" t="e">
        <f t="shared" ca="1" si="54"/>
        <v>#N/A</v>
      </c>
    </row>
    <row r="326" spans="12:25" ht="14.4">
      <c r="L326" s="464"/>
      <c r="M326" s="129" t="e">
        <f t="shared" si="55"/>
        <v>#N/A</v>
      </c>
      <c r="N326" s="161">
        <f t="shared" si="50"/>
        <v>13</v>
      </c>
      <c r="O326" s="160" t="e">
        <f t="shared" ca="1" si="56"/>
        <v>#N/A</v>
      </c>
      <c r="P326" s="160" t="e">
        <f t="shared" ca="1" si="58"/>
        <v>#N/A</v>
      </c>
      <c r="Q326" s="160" t="e">
        <f t="shared" ca="1" si="59"/>
        <v>#N/A</v>
      </c>
      <c r="R326" s="160" t="e">
        <f t="shared" ca="1" si="59"/>
        <v>#N/A</v>
      </c>
      <c r="S326" s="160" t="e">
        <f t="shared" ca="1" si="59"/>
        <v>#N/A</v>
      </c>
      <c r="T326" s="160" t="e">
        <f t="shared" ca="1" si="57"/>
        <v>#N/A</v>
      </c>
      <c r="U326" s="160" t="e">
        <f t="shared" ca="1" si="57"/>
        <v>#N/A</v>
      </c>
      <c r="V326" s="163" t="e">
        <f t="shared" ca="1" si="51"/>
        <v>#N/A</v>
      </c>
      <c r="W326" s="163" t="e">
        <f t="shared" ca="1" si="52"/>
        <v>#N/A</v>
      </c>
      <c r="X326" s="163" t="e">
        <f t="shared" ca="1" si="53"/>
        <v>#N/A</v>
      </c>
      <c r="Y326" s="163" t="e">
        <f t="shared" ca="1" si="54"/>
        <v>#N/A</v>
      </c>
    </row>
    <row r="327" spans="12:25" ht="14.4">
      <c r="L327" s="464"/>
      <c r="M327" s="129" t="e">
        <f t="shared" si="55"/>
        <v>#N/A</v>
      </c>
      <c r="N327" s="161">
        <f t="shared" si="50"/>
        <v>13</v>
      </c>
      <c r="O327" s="160" t="e">
        <f t="shared" ca="1" si="56"/>
        <v>#N/A</v>
      </c>
      <c r="P327" s="160" t="e">
        <f t="shared" ca="1" si="58"/>
        <v>#N/A</v>
      </c>
      <c r="Q327" s="160" t="e">
        <f t="shared" ca="1" si="59"/>
        <v>#N/A</v>
      </c>
      <c r="R327" s="160" t="e">
        <f t="shared" ca="1" si="59"/>
        <v>#N/A</v>
      </c>
      <c r="S327" s="160" t="e">
        <f t="shared" ca="1" si="59"/>
        <v>#N/A</v>
      </c>
      <c r="T327" s="160" t="e">
        <f t="shared" ca="1" si="57"/>
        <v>#N/A</v>
      </c>
      <c r="U327" s="160" t="e">
        <f t="shared" ca="1" si="57"/>
        <v>#N/A</v>
      </c>
      <c r="V327" s="163" t="e">
        <f t="shared" ca="1" si="51"/>
        <v>#N/A</v>
      </c>
      <c r="W327" s="163" t="e">
        <f t="shared" ca="1" si="52"/>
        <v>#N/A</v>
      </c>
      <c r="X327" s="163" t="e">
        <f t="shared" ca="1" si="53"/>
        <v>#N/A</v>
      </c>
      <c r="Y327" s="163" t="e">
        <f t="shared" ca="1" si="54"/>
        <v>#N/A</v>
      </c>
    </row>
    <row r="328" spans="12:25" ht="14.4">
      <c r="L328" s="464"/>
      <c r="M328" s="129" t="e">
        <f t="shared" si="55"/>
        <v>#N/A</v>
      </c>
      <c r="N328" s="161">
        <f t="shared" si="50"/>
        <v>13</v>
      </c>
      <c r="O328" s="160" t="e">
        <f t="shared" ca="1" si="56"/>
        <v>#N/A</v>
      </c>
      <c r="P328" s="160" t="e">
        <f t="shared" ca="1" si="58"/>
        <v>#N/A</v>
      </c>
      <c r="Q328" s="160" t="e">
        <f t="shared" ca="1" si="59"/>
        <v>#N/A</v>
      </c>
      <c r="R328" s="160" t="e">
        <f t="shared" ca="1" si="59"/>
        <v>#N/A</v>
      </c>
      <c r="S328" s="160" t="e">
        <f t="shared" ca="1" si="59"/>
        <v>#N/A</v>
      </c>
      <c r="T328" s="160" t="e">
        <f t="shared" ca="1" si="57"/>
        <v>#N/A</v>
      </c>
      <c r="U328" s="160" t="e">
        <f t="shared" ca="1" si="57"/>
        <v>#N/A</v>
      </c>
      <c r="V328" s="163" t="e">
        <f t="shared" ca="1" si="51"/>
        <v>#N/A</v>
      </c>
      <c r="W328" s="163" t="e">
        <f t="shared" ca="1" si="52"/>
        <v>#N/A</v>
      </c>
      <c r="X328" s="163" t="e">
        <f t="shared" ca="1" si="53"/>
        <v>#N/A</v>
      </c>
      <c r="Y328" s="163" t="e">
        <f t="shared" ca="1" si="54"/>
        <v>#N/A</v>
      </c>
    </row>
    <row r="329" spans="12:25" ht="14.4">
      <c r="L329" s="464"/>
      <c r="M329" s="129" t="e">
        <f t="shared" si="55"/>
        <v>#N/A</v>
      </c>
      <c r="N329" s="161">
        <f t="shared" si="50"/>
        <v>13</v>
      </c>
      <c r="O329" s="160" t="e">
        <f t="shared" ca="1" si="56"/>
        <v>#N/A</v>
      </c>
      <c r="P329" s="160" t="e">
        <f t="shared" ca="1" si="58"/>
        <v>#N/A</v>
      </c>
      <c r="Q329" s="160" t="e">
        <f t="shared" ca="1" si="59"/>
        <v>#N/A</v>
      </c>
      <c r="R329" s="160" t="e">
        <f t="shared" ca="1" si="59"/>
        <v>#N/A</v>
      </c>
      <c r="S329" s="160" t="e">
        <f t="shared" ca="1" si="59"/>
        <v>#N/A</v>
      </c>
      <c r="T329" s="160" t="e">
        <f t="shared" ca="1" si="57"/>
        <v>#N/A</v>
      </c>
      <c r="U329" s="160" t="e">
        <f t="shared" ca="1" si="57"/>
        <v>#N/A</v>
      </c>
      <c r="V329" s="163" t="e">
        <f t="shared" ca="1" si="51"/>
        <v>#N/A</v>
      </c>
      <c r="W329" s="163" t="e">
        <f t="shared" ca="1" si="52"/>
        <v>#N/A</v>
      </c>
      <c r="X329" s="163" t="e">
        <f t="shared" ca="1" si="53"/>
        <v>#N/A</v>
      </c>
      <c r="Y329" s="163" t="e">
        <f t="shared" ca="1" si="54"/>
        <v>#N/A</v>
      </c>
    </row>
    <row r="330" spans="12:25" ht="14.4">
      <c r="L330" s="464"/>
      <c r="M330" s="129" t="e">
        <f t="shared" si="55"/>
        <v>#N/A</v>
      </c>
      <c r="N330" s="161">
        <f t="shared" si="50"/>
        <v>13</v>
      </c>
      <c r="O330" s="160" t="e">
        <f t="shared" ca="1" si="56"/>
        <v>#N/A</v>
      </c>
      <c r="P330" s="160" t="e">
        <f t="shared" ca="1" si="58"/>
        <v>#N/A</v>
      </c>
      <c r="Q330" s="160" t="e">
        <f t="shared" ca="1" si="59"/>
        <v>#N/A</v>
      </c>
      <c r="R330" s="160" t="e">
        <f t="shared" ca="1" si="59"/>
        <v>#N/A</v>
      </c>
      <c r="S330" s="160" t="e">
        <f t="shared" ca="1" si="59"/>
        <v>#N/A</v>
      </c>
      <c r="T330" s="160" t="e">
        <f t="shared" ca="1" si="57"/>
        <v>#N/A</v>
      </c>
      <c r="U330" s="160" t="e">
        <f t="shared" ca="1" si="57"/>
        <v>#N/A</v>
      </c>
      <c r="V330" s="163" t="e">
        <f t="shared" ca="1" si="51"/>
        <v>#N/A</v>
      </c>
      <c r="W330" s="163" t="e">
        <f t="shared" ca="1" si="52"/>
        <v>#N/A</v>
      </c>
      <c r="X330" s="163" t="e">
        <f t="shared" ca="1" si="53"/>
        <v>#N/A</v>
      </c>
      <c r="Y330" s="163" t="e">
        <f t="shared" ca="1" si="54"/>
        <v>#N/A</v>
      </c>
    </row>
    <row r="331" spans="12:25" ht="14.4">
      <c r="L331" s="464"/>
      <c r="M331" s="129" t="e">
        <f t="shared" si="55"/>
        <v>#N/A</v>
      </c>
      <c r="N331" s="161">
        <f t="shared" si="50"/>
        <v>13</v>
      </c>
      <c r="O331" s="160" t="e">
        <f t="shared" ca="1" si="56"/>
        <v>#N/A</v>
      </c>
      <c r="P331" s="160" t="e">
        <f t="shared" ca="1" si="58"/>
        <v>#N/A</v>
      </c>
      <c r="Q331" s="160" t="e">
        <f t="shared" ca="1" si="59"/>
        <v>#N/A</v>
      </c>
      <c r="R331" s="160" t="e">
        <f t="shared" ca="1" si="59"/>
        <v>#N/A</v>
      </c>
      <c r="S331" s="160" t="e">
        <f t="shared" ca="1" si="59"/>
        <v>#N/A</v>
      </c>
      <c r="T331" s="160" t="e">
        <f t="shared" ca="1" si="57"/>
        <v>#N/A</v>
      </c>
      <c r="U331" s="160" t="e">
        <f t="shared" ca="1" si="57"/>
        <v>#N/A</v>
      </c>
      <c r="V331" s="163" t="e">
        <f t="shared" ca="1" si="51"/>
        <v>#N/A</v>
      </c>
      <c r="W331" s="163" t="e">
        <f t="shared" ca="1" si="52"/>
        <v>#N/A</v>
      </c>
      <c r="X331" s="163" t="e">
        <f t="shared" ca="1" si="53"/>
        <v>#N/A</v>
      </c>
      <c r="Y331" s="163" t="e">
        <f t="shared" ca="1" si="54"/>
        <v>#N/A</v>
      </c>
    </row>
    <row r="332" spans="12:25" ht="14.4">
      <c r="L332" s="464"/>
      <c r="M332" s="129" t="e">
        <f t="shared" si="55"/>
        <v>#N/A</v>
      </c>
      <c r="N332" s="161">
        <f t="shared" si="50"/>
        <v>13</v>
      </c>
      <c r="O332" s="160" t="e">
        <f t="shared" ca="1" si="56"/>
        <v>#N/A</v>
      </c>
      <c r="P332" s="160" t="e">
        <f t="shared" ca="1" si="58"/>
        <v>#N/A</v>
      </c>
      <c r="Q332" s="160" t="e">
        <f t="shared" ca="1" si="59"/>
        <v>#N/A</v>
      </c>
      <c r="R332" s="160" t="e">
        <f t="shared" ca="1" si="59"/>
        <v>#N/A</v>
      </c>
      <c r="S332" s="160" t="e">
        <f t="shared" ca="1" si="59"/>
        <v>#N/A</v>
      </c>
      <c r="T332" s="160" t="e">
        <f t="shared" ca="1" si="57"/>
        <v>#N/A</v>
      </c>
      <c r="U332" s="160" t="e">
        <f t="shared" ca="1" si="57"/>
        <v>#N/A</v>
      </c>
      <c r="V332" s="163" t="e">
        <f t="shared" ca="1" si="51"/>
        <v>#N/A</v>
      </c>
      <c r="W332" s="163" t="e">
        <f t="shared" ca="1" si="52"/>
        <v>#N/A</v>
      </c>
      <c r="X332" s="163" t="e">
        <f t="shared" ca="1" si="53"/>
        <v>#N/A</v>
      </c>
      <c r="Y332" s="163" t="e">
        <f t="shared" ca="1" si="54"/>
        <v>#N/A</v>
      </c>
    </row>
    <row r="333" spans="12:25" ht="14.4">
      <c r="L333" s="464"/>
      <c r="M333" s="129" t="e">
        <f t="shared" si="55"/>
        <v>#N/A</v>
      </c>
      <c r="N333" s="161">
        <f t="shared" si="50"/>
        <v>13</v>
      </c>
      <c r="O333" s="160" t="e">
        <f t="shared" ca="1" si="56"/>
        <v>#N/A</v>
      </c>
      <c r="P333" s="160" t="e">
        <f t="shared" ca="1" si="58"/>
        <v>#N/A</v>
      </c>
      <c r="Q333" s="160" t="e">
        <f t="shared" ca="1" si="59"/>
        <v>#N/A</v>
      </c>
      <c r="R333" s="160" t="e">
        <f t="shared" ca="1" si="59"/>
        <v>#N/A</v>
      </c>
      <c r="S333" s="160" t="e">
        <f t="shared" ca="1" si="59"/>
        <v>#N/A</v>
      </c>
      <c r="T333" s="160" t="e">
        <f t="shared" ca="1" si="57"/>
        <v>#N/A</v>
      </c>
      <c r="U333" s="160" t="e">
        <f t="shared" ca="1" si="57"/>
        <v>#N/A</v>
      </c>
      <c r="V333" s="163" t="e">
        <f t="shared" ca="1" si="51"/>
        <v>#N/A</v>
      </c>
      <c r="W333" s="163" t="e">
        <f t="shared" ca="1" si="52"/>
        <v>#N/A</v>
      </c>
      <c r="X333" s="163" t="e">
        <f t="shared" ca="1" si="53"/>
        <v>#N/A</v>
      </c>
      <c r="Y333" s="163" t="e">
        <f t="shared" ca="1" si="54"/>
        <v>#N/A</v>
      </c>
    </row>
    <row r="334" spans="12:25" ht="14.4">
      <c r="L334" s="464"/>
      <c r="M334" s="129" t="e">
        <f t="shared" si="55"/>
        <v>#N/A</v>
      </c>
      <c r="N334" s="161">
        <f t="shared" si="50"/>
        <v>13</v>
      </c>
      <c r="O334" s="160" t="e">
        <f t="shared" ca="1" si="56"/>
        <v>#N/A</v>
      </c>
      <c r="P334" s="160" t="e">
        <f t="shared" ca="1" si="58"/>
        <v>#N/A</v>
      </c>
      <c r="Q334" s="160" t="e">
        <f t="shared" ca="1" si="59"/>
        <v>#N/A</v>
      </c>
      <c r="R334" s="160" t="e">
        <f t="shared" ca="1" si="59"/>
        <v>#N/A</v>
      </c>
      <c r="S334" s="160" t="e">
        <f t="shared" ca="1" si="59"/>
        <v>#N/A</v>
      </c>
      <c r="T334" s="160" t="e">
        <f t="shared" ca="1" si="57"/>
        <v>#N/A</v>
      </c>
      <c r="U334" s="160" t="e">
        <f t="shared" ca="1" si="57"/>
        <v>#N/A</v>
      </c>
      <c r="V334" s="163" t="e">
        <f t="shared" ca="1" si="51"/>
        <v>#N/A</v>
      </c>
      <c r="W334" s="163" t="e">
        <f t="shared" ca="1" si="52"/>
        <v>#N/A</v>
      </c>
      <c r="X334" s="163" t="e">
        <f t="shared" ca="1" si="53"/>
        <v>#N/A</v>
      </c>
      <c r="Y334" s="163" t="e">
        <f t="shared" ca="1" si="54"/>
        <v>#N/A</v>
      </c>
    </row>
    <row r="335" spans="12:25" ht="14.4">
      <c r="L335" s="464"/>
      <c r="M335" s="129" t="e">
        <f t="shared" si="55"/>
        <v>#N/A</v>
      </c>
      <c r="N335" s="161">
        <f t="shared" si="50"/>
        <v>13</v>
      </c>
      <c r="O335" s="160" t="e">
        <f t="shared" ca="1" si="56"/>
        <v>#N/A</v>
      </c>
      <c r="P335" s="160" t="e">
        <f t="shared" ca="1" si="58"/>
        <v>#N/A</v>
      </c>
      <c r="Q335" s="160" t="e">
        <f t="shared" ca="1" si="59"/>
        <v>#N/A</v>
      </c>
      <c r="R335" s="160" t="e">
        <f t="shared" ca="1" si="59"/>
        <v>#N/A</v>
      </c>
      <c r="S335" s="160" t="e">
        <f t="shared" ca="1" si="59"/>
        <v>#N/A</v>
      </c>
      <c r="T335" s="160" t="e">
        <f t="shared" ca="1" si="57"/>
        <v>#N/A</v>
      </c>
      <c r="U335" s="160" t="e">
        <f t="shared" ca="1" si="57"/>
        <v>#N/A</v>
      </c>
      <c r="V335" s="163" t="e">
        <f t="shared" ca="1" si="51"/>
        <v>#N/A</v>
      </c>
      <c r="W335" s="163" t="e">
        <f t="shared" ca="1" si="52"/>
        <v>#N/A</v>
      </c>
      <c r="X335" s="163" t="e">
        <f t="shared" ca="1" si="53"/>
        <v>#N/A</v>
      </c>
      <c r="Y335" s="163" t="e">
        <f t="shared" ca="1" si="54"/>
        <v>#N/A</v>
      </c>
    </row>
    <row r="336" spans="12:25" ht="14.4">
      <c r="L336" s="464"/>
      <c r="M336" s="129" t="e">
        <f t="shared" si="55"/>
        <v>#N/A</v>
      </c>
      <c r="N336" s="161">
        <f t="shared" si="50"/>
        <v>13</v>
      </c>
      <c r="O336" s="160" t="e">
        <f t="shared" ca="1" si="56"/>
        <v>#N/A</v>
      </c>
      <c r="P336" s="160" t="e">
        <f t="shared" ca="1" si="58"/>
        <v>#N/A</v>
      </c>
      <c r="Q336" s="160" t="e">
        <f t="shared" ca="1" si="59"/>
        <v>#N/A</v>
      </c>
      <c r="R336" s="160" t="e">
        <f t="shared" ca="1" si="59"/>
        <v>#N/A</v>
      </c>
      <c r="S336" s="160" t="e">
        <f t="shared" ca="1" si="59"/>
        <v>#N/A</v>
      </c>
      <c r="T336" s="160" t="e">
        <f t="shared" ca="1" si="57"/>
        <v>#N/A</v>
      </c>
      <c r="U336" s="160" t="e">
        <f t="shared" ca="1" si="57"/>
        <v>#N/A</v>
      </c>
      <c r="V336" s="163" t="e">
        <f t="shared" ca="1" si="51"/>
        <v>#N/A</v>
      </c>
      <c r="W336" s="163" t="e">
        <f t="shared" ca="1" si="52"/>
        <v>#N/A</v>
      </c>
      <c r="X336" s="163" t="e">
        <f t="shared" ca="1" si="53"/>
        <v>#N/A</v>
      </c>
      <c r="Y336" s="163" t="e">
        <f t="shared" ca="1" si="54"/>
        <v>#N/A</v>
      </c>
    </row>
    <row r="337" spans="12:25" ht="14.4">
      <c r="L337" s="464"/>
      <c r="M337" s="129" t="e">
        <f t="shared" si="55"/>
        <v>#N/A</v>
      </c>
      <c r="N337" s="161">
        <f t="shared" si="50"/>
        <v>13</v>
      </c>
      <c r="O337" s="160" t="e">
        <f t="shared" ca="1" si="56"/>
        <v>#N/A</v>
      </c>
      <c r="P337" s="160" t="e">
        <f t="shared" ca="1" si="58"/>
        <v>#N/A</v>
      </c>
      <c r="Q337" s="160" t="e">
        <f t="shared" ca="1" si="59"/>
        <v>#N/A</v>
      </c>
      <c r="R337" s="160" t="e">
        <f t="shared" ca="1" si="59"/>
        <v>#N/A</v>
      </c>
      <c r="S337" s="160" t="e">
        <f t="shared" ca="1" si="59"/>
        <v>#N/A</v>
      </c>
      <c r="T337" s="160" t="e">
        <f t="shared" ca="1" si="57"/>
        <v>#N/A</v>
      </c>
      <c r="U337" s="160" t="e">
        <f t="shared" ca="1" si="57"/>
        <v>#N/A</v>
      </c>
      <c r="V337" s="163" t="e">
        <f t="shared" ca="1" si="51"/>
        <v>#N/A</v>
      </c>
      <c r="W337" s="163" t="e">
        <f t="shared" ca="1" si="52"/>
        <v>#N/A</v>
      </c>
      <c r="X337" s="163" t="e">
        <f t="shared" ca="1" si="53"/>
        <v>#N/A</v>
      </c>
      <c r="Y337" s="163" t="e">
        <f t="shared" ca="1" si="54"/>
        <v>#N/A</v>
      </c>
    </row>
    <row r="338" spans="12:25" ht="14.4">
      <c r="L338" s="464"/>
      <c r="M338" s="129" t="e">
        <f t="shared" si="55"/>
        <v>#N/A</v>
      </c>
      <c r="N338" s="161">
        <f t="shared" ref="N338:N401" si="60">N337</f>
        <v>13</v>
      </c>
      <c r="O338" s="160" t="e">
        <f t="shared" ca="1" si="56"/>
        <v>#N/A</v>
      </c>
      <c r="P338" s="160" t="e">
        <f t="shared" ca="1" si="58"/>
        <v>#N/A</v>
      </c>
      <c r="Q338" s="160" t="e">
        <f t="shared" ca="1" si="59"/>
        <v>#N/A</v>
      </c>
      <c r="R338" s="160" t="e">
        <f t="shared" ca="1" si="59"/>
        <v>#N/A</v>
      </c>
      <c r="S338" s="160" t="e">
        <f t="shared" ca="1" si="59"/>
        <v>#N/A</v>
      </c>
      <c r="T338" s="160" t="e">
        <f t="shared" ca="1" si="57"/>
        <v>#N/A</v>
      </c>
      <c r="U338" s="160" t="e">
        <f t="shared" ca="1" si="57"/>
        <v>#N/A</v>
      </c>
      <c r="V338" s="163" t="e">
        <f t="shared" ca="1" si="51"/>
        <v>#N/A</v>
      </c>
      <c r="W338" s="163" t="e">
        <f t="shared" ca="1" si="52"/>
        <v>#N/A</v>
      </c>
      <c r="X338" s="163" t="e">
        <f t="shared" ca="1" si="53"/>
        <v>#N/A</v>
      </c>
      <c r="Y338" s="163" t="e">
        <f t="shared" ca="1" si="54"/>
        <v>#N/A</v>
      </c>
    </row>
    <row r="339" spans="12:25" ht="14.4">
      <c r="L339" s="464"/>
      <c r="M339" s="129" t="e">
        <f t="shared" si="55"/>
        <v>#N/A</v>
      </c>
      <c r="N339" s="161">
        <f t="shared" si="60"/>
        <v>13</v>
      </c>
      <c r="O339" s="160" t="e">
        <f t="shared" ca="1" si="56"/>
        <v>#N/A</v>
      </c>
      <c r="P339" s="160" t="e">
        <f t="shared" ca="1" si="58"/>
        <v>#N/A</v>
      </c>
      <c r="Q339" s="160" t="e">
        <f t="shared" ca="1" si="59"/>
        <v>#N/A</v>
      </c>
      <c r="R339" s="160" t="e">
        <f t="shared" ca="1" si="59"/>
        <v>#N/A</v>
      </c>
      <c r="S339" s="160" t="e">
        <f t="shared" ca="1" si="59"/>
        <v>#N/A</v>
      </c>
      <c r="T339" s="160" t="e">
        <f t="shared" ca="1" si="57"/>
        <v>#N/A</v>
      </c>
      <c r="U339" s="160" t="e">
        <f t="shared" ca="1" si="57"/>
        <v>#N/A</v>
      </c>
      <c r="V339" s="163" t="e">
        <f t="shared" ca="1" si="51"/>
        <v>#N/A</v>
      </c>
      <c r="W339" s="163" t="e">
        <f t="shared" ca="1" si="52"/>
        <v>#N/A</v>
      </c>
      <c r="X339" s="163" t="e">
        <f t="shared" ca="1" si="53"/>
        <v>#N/A</v>
      </c>
      <c r="Y339" s="163" t="e">
        <f t="shared" ca="1" si="54"/>
        <v>#N/A</v>
      </c>
    </row>
    <row r="340" spans="12:25" ht="14.4">
      <c r="L340" s="464"/>
      <c r="M340" s="129" t="e">
        <f t="shared" si="55"/>
        <v>#N/A</v>
      </c>
      <c r="N340" s="161">
        <f t="shared" si="60"/>
        <v>13</v>
      </c>
      <c r="O340" s="160" t="e">
        <f t="shared" ca="1" si="56"/>
        <v>#N/A</v>
      </c>
      <c r="P340" s="160" t="e">
        <f t="shared" ca="1" si="58"/>
        <v>#N/A</v>
      </c>
      <c r="Q340" s="160" t="e">
        <f t="shared" ca="1" si="59"/>
        <v>#N/A</v>
      </c>
      <c r="R340" s="160" t="e">
        <f t="shared" ca="1" si="59"/>
        <v>#N/A</v>
      </c>
      <c r="S340" s="160" t="e">
        <f t="shared" ca="1" si="59"/>
        <v>#N/A</v>
      </c>
      <c r="T340" s="160" t="e">
        <f t="shared" ca="1" si="57"/>
        <v>#N/A</v>
      </c>
      <c r="U340" s="160" t="e">
        <f t="shared" ca="1" si="57"/>
        <v>#N/A</v>
      </c>
      <c r="V340" s="163" t="e">
        <f t="shared" ca="1" si="51"/>
        <v>#N/A</v>
      </c>
      <c r="W340" s="163" t="e">
        <f t="shared" ca="1" si="52"/>
        <v>#N/A</v>
      </c>
      <c r="X340" s="163" t="e">
        <f t="shared" ca="1" si="53"/>
        <v>#N/A</v>
      </c>
      <c r="Y340" s="163" t="e">
        <f t="shared" ca="1" si="54"/>
        <v>#N/A</v>
      </c>
    </row>
    <row r="341" spans="12:25" ht="14.4">
      <c r="L341" s="464"/>
      <c r="M341" s="129" t="e">
        <f t="shared" si="55"/>
        <v>#N/A</v>
      </c>
      <c r="N341" s="161">
        <f t="shared" si="60"/>
        <v>13</v>
      </c>
      <c r="O341" s="160" t="e">
        <f t="shared" ca="1" si="56"/>
        <v>#N/A</v>
      </c>
      <c r="P341" s="160" t="e">
        <f t="shared" ca="1" si="58"/>
        <v>#N/A</v>
      </c>
      <c r="Q341" s="160" t="e">
        <f t="shared" ca="1" si="59"/>
        <v>#N/A</v>
      </c>
      <c r="R341" s="160" t="e">
        <f t="shared" ca="1" si="59"/>
        <v>#N/A</v>
      </c>
      <c r="S341" s="160" t="e">
        <f t="shared" ca="1" si="59"/>
        <v>#N/A</v>
      </c>
      <c r="T341" s="160" t="e">
        <f t="shared" ca="1" si="57"/>
        <v>#N/A</v>
      </c>
      <c r="U341" s="160" t="e">
        <f t="shared" ca="1" si="57"/>
        <v>#N/A</v>
      </c>
      <c r="V341" s="163" t="e">
        <f t="shared" ca="1" si="51"/>
        <v>#N/A</v>
      </c>
      <c r="W341" s="163" t="e">
        <f t="shared" ca="1" si="52"/>
        <v>#N/A</v>
      </c>
      <c r="X341" s="163" t="e">
        <f t="shared" ca="1" si="53"/>
        <v>#N/A</v>
      </c>
      <c r="Y341" s="163" t="e">
        <f t="shared" ca="1" si="54"/>
        <v>#N/A</v>
      </c>
    </row>
    <row r="342" spans="12:25" ht="14.4">
      <c r="L342" s="464"/>
      <c r="M342" s="129" t="e">
        <f t="shared" si="55"/>
        <v>#N/A</v>
      </c>
      <c r="N342" s="161">
        <f t="shared" si="60"/>
        <v>13</v>
      </c>
      <c r="O342" s="160" t="e">
        <f t="shared" ca="1" si="56"/>
        <v>#N/A</v>
      </c>
      <c r="P342" s="160" t="e">
        <f t="shared" ca="1" si="58"/>
        <v>#N/A</v>
      </c>
      <c r="Q342" s="160" t="e">
        <f t="shared" ca="1" si="59"/>
        <v>#N/A</v>
      </c>
      <c r="R342" s="160" t="e">
        <f t="shared" ca="1" si="59"/>
        <v>#N/A</v>
      </c>
      <c r="S342" s="160" t="e">
        <f t="shared" ca="1" si="59"/>
        <v>#N/A</v>
      </c>
      <c r="T342" s="160" t="e">
        <f t="shared" ca="1" si="57"/>
        <v>#N/A</v>
      </c>
      <c r="U342" s="160" t="e">
        <f t="shared" ca="1" si="57"/>
        <v>#N/A</v>
      </c>
      <c r="V342" s="163" t="e">
        <f t="shared" ca="1" si="51"/>
        <v>#N/A</v>
      </c>
      <c r="W342" s="163" t="e">
        <f t="shared" ca="1" si="52"/>
        <v>#N/A</v>
      </c>
      <c r="X342" s="163" t="e">
        <f t="shared" ca="1" si="53"/>
        <v>#N/A</v>
      </c>
      <c r="Y342" s="163" t="e">
        <f t="shared" ca="1" si="54"/>
        <v>#N/A</v>
      </c>
    </row>
    <row r="343" spans="12:25" ht="14.4">
      <c r="L343" s="464"/>
      <c r="M343" s="129" t="e">
        <f t="shared" si="55"/>
        <v>#N/A</v>
      </c>
      <c r="N343" s="161">
        <f t="shared" si="60"/>
        <v>13</v>
      </c>
      <c r="O343" s="160" t="e">
        <f t="shared" ca="1" si="56"/>
        <v>#N/A</v>
      </c>
      <c r="P343" s="160" t="e">
        <f t="shared" ca="1" si="58"/>
        <v>#N/A</v>
      </c>
      <c r="Q343" s="160" t="e">
        <f t="shared" ca="1" si="59"/>
        <v>#N/A</v>
      </c>
      <c r="R343" s="160" t="e">
        <f t="shared" ca="1" si="59"/>
        <v>#N/A</v>
      </c>
      <c r="S343" s="160" t="e">
        <f t="shared" ca="1" si="59"/>
        <v>#N/A</v>
      </c>
      <c r="T343" s="160" t="e">
        <f t="shared" ca="1" si="57"/>
        <v>#N/A</v>
      </c>
      <c r="U343" s="160" t="e">
        <f t="shared" ca="1" si="57"/>
        <v>#N/A</v>
      </c>
      <c r="V343" s="163" t="e">
        <f t="shared" ca="1" si="51"/>
        <v>#N/A</v>
      </c>
      <c r="W343" s="163" t="e">
        <f t="shared" ca="1" si="52"/>
        <v>#N/A</v>
      </c>
      <c r="X343" s="163" t="e">
        <f t="shared" ca="1" si="53"/>
        <v>#N/A</v>
      </c>
      <c r="Y343" s="163" t="e">
        <f t="shared" ca="1" si="54"/>
        <v>#N/A</v>
      </c>
    </row>
    <row r="344" spans="12:25" ht="14.4">
      <c r="L344" s="464"/>
      <c r="M344" s="129" t="e">
        <f t="shared" si="55"/>
        <v>#N/A</v>
      </c>
      <c r="N344" s="161">
        <f t="shared" si="60"/>
        <v>13</v>
      </c>
      <c r="O344" s="160" t="e">
        <f t="shared" ca="1" si="56"/>
        <v>#N/A</v>
      </c>
      <c r="P344" s="160" t="e">
        <f t="shared" ca="1" si="58"/>
        <v>#N/A</v>
      </c>
      <c r="Q344" s="160" t="e">
        <f t="shared" ca="1" si="59"/>
        <v>#N/A</v>
      </c>
      <c r="R344" s="160" t="e">
        <f t="shared" ca="1" si="59"/>
        <v>#N/A</v>
      </c>
      <c r="S344" s="160" t="e">
        <f t="shared" ca="1" si="59"/>
        <v>#N/A</v>
      </c>
      <c r="T344" s="160" t="e">
        <f t="shared" ca="1" si="57"/>
        <v>#N/A</v>
      </c>
      <c r="U344" s="160" t="e">
        <f t="shared" ca="1" si="57"/>
        <v>#N/A</v>
      </c>
      <c r="V344" s="163" t="e">
        <f t="shared" ca="1" si="51"/>
        <v>#N/A</v>
      </c>
      <c r="W344" s="163" t="e">
        <f t="shared" ca="1" si="52"/>
        <v>#N/A</v>
      </c>
      <c r="X344" s="163" t="e">
        <f t="shared" ca="1" si="53"/>
        <v>#N/A</v>
      </c>
      <c r="Y344" s="163" t="e">
        <f t="shared" ca="1" si="54"/>
        <v>#N/A</v>
      </c>
    </row>
    <row r="345" spans="12:25" ht="14.4">
      <c r="L345" s="464"/>
      <c r="M345" s="129" t="e">
        <f t="shared" si="55"/>
        <v>#N/A</v>
      </c>
      <c r="N345" s="161">
        <f t="shared" si="60"/>
        <v>13</v>
      </c>
      <c r="O345" s="160" t="e">
        <f t="shared" ca="1" si="56"/>
        <v>#N/A</v>
      </c>
      <c r="P345" s="160" t="e">
        <f t="shared" ca="1" si="58"/>
        <v>#N/A</v>
      </c>
      <c r="Q345" s="160" t="e">
        <f t="shared" ca="1" si="59"/>
        <v>#N/A</v>
      </c>
      <c r="R345" s="160" t="e">
        <f t="shared" ca="1" si="59"/>
        <v>#N/A</v>
      </c>
      <c r="S345" s="160" t="e">
        <f t="shared" ca="1" si="59"/>
        <v>#N/A</v>
      </c>
      <c r="T345" s="160" t="e">
        <f t="shared" ca="1" si="57"/>
        <v>#N/A</v>
      </c>
      <c r="U345" s="160" t="e">
        <f t="shared" ca="1" si="57"/>
        <v>#N/A</v>
      </c>
      <c r="V345" s="163" t="e">
        <f t="shared" ca="1" si="51"/>
        <v>#N/A</v>
      </c>
      <c r="W345" s="163" t="e">
        <f t="shared" ca="1" si="52"/>
        <v>#N/A</v>
      </c>
      <c r="X345" s="163" t="e">
        <f t="shared" ca="1" si="53"/>
        <v>#N/A</v>
      </c>
      <c r="Y345" s="163" t="e">
        <f t="shared" ca="1" si="54"/>
        <v>#N/A</v>
      </c>
    </row>
    <row r="346" spans="12:25" ht="14.4">
      <c r="L346" s="464"/>
      <c r="M346" s="129" t="e">
        <f t="shared" si="55"/>
        <v>#N/A</v>
      </c>
      <c r="N346" s="161">
        <f t="shared" si="60"/>
        <v>13</v>
      </c>
      <c r="O346" s="160" t="e">
        <f t="shared" ca="1" si="56"/>
        <v>#N/A</v>
      </c>
      <c r="P346" s="160" t="e">
        <f t="shared" ca="1" si="58"/>
        <v>#N/A</v>
      </c>
      <c r="Q346" s="160" t="e">
        <f t="shared" ca="1" si="59"/>
        <v>#N/A</v>
      </c>
      <c r="R346" s="160" t="e">
        <f t="shared" ca="1" si="59"/>
        <v>#N/A</v>
      </c>
      <c r="S346" s="160" t="e">
        <f t="shared" ca="1" si="59"/>
        <v>#N/A</v>
      </c>
      <c r="T346" s="160" t="e">
        <f t="shared" ca="1" si="57"/>
        <v>#N/A</v>
      </c>
      <c r="U346" s="160" t="e">
        <f t="shared" ca="1" si="57"/>
        <v>#N/A</v>
      </c>
      <c r="V346" s="163" t="e">
        <f t="shared" ca="1" si="51"/>
        <v>#N/A</v>
      </c>
      <c r="W346" s="163" t="e">
        <f t="shared" ca="1" si="52"/>
        <v>#N/A</v>
      </c>
      <c r="X346" s="163" t="e">
        <f t="shared" ca="1" si="53"/>
        <v>#N/A</v>
      </c>
      <c r="Y346" s="163" t="e">
        <f t="shared" ca="1" si="54"/>
        <v>#N/A</v>
      </c>
    </row>
    <row r="347" spans="12:25" ht="14.4">
      <c r="L347" s="464"/>
      <c r="M347" s="129" t="e">
        <f t="shared" si="55"/>
        <v>#N/A</v>
      </c>
      <c r="N347" s="161">
        <f t="shared" si="60"/>
        <v>13</v>
      </c>
      <c r="O347" s="160" t="e">
        <f t="shared" ca="1" si="56"/>
        <v>#N/A</v>
      </c>
      <c r="P347" s="160" t="e">
        <f t="shared" ca="1" si="58"/>
        <v>#N/A</v>
      </c>
      <c r="Q347" s="160" t="e">
        <f t="shared" ca="1" si="59"/>
        <v>#N/A</v>
      </c>
      <c r="R347" s="160" t="e">
        <f t="shared" ca="1" si="59"/>
        <v>#N/A</v>
      </c>
      <c r="S347" s="160" t="e">
        <f t="shared" ca="1" si="59"/>
        <v>#N/A</v>
      </c>
      <c r="T347" s="160" t="e">
        <f t="shared" ca="1" si="57"/>
        <v>#N/A</v>
      </c>
      <c r="U347" s="160" t="e">
        <f t="shared" ca="1" si="57"/>
        <v>#N/A</v>
      </c>
      <c r="V347" s="163" t="e">
        <f t="shared" ca="1" si="51"/>
        <v>#N/A</v>
      </c>
      <c r="W347" s="163" t="e">
        <f t="shared" ca="1" si="52"/>
        <v>#N/A</v>
      </c>
      <c r="X347" s="163" t="e">
        <f t="shared" ca="1" si="53"/>
        <v>#N/A</v>
      </c>
      <c r="Y347" s="163" t="e">
        <f t="shared" ca="1" si="54"/>
        <v>#N/A</v>
      </c>
    </row>
    <row r="348" spans="12:25" ht="14.4">
      <c r="L348" s="464"/>
      <c r="M348" s="129" t="e">
        <f t="shared" si="55"/>
        <v>#N/A</v>
      </c>
      <c r="N348" s="161">
        <f t="shared" si="60"/>
        <v>13</v>
      </c>
      <c r="O348" s="160" t="e">
        <f t="shared" ca="1" si="56"/>
        <v>#N/A</v>
      </c>
      <c r="P348" s="160" t="e">
        <f t="shared" ca="1" si="58"/>
        <v>#N/A</v>
      </c>
      <c r="Q348" s="160" t="e">
        <f t="shared" ca="1" si="59"/>
        <v>#N/A</v>
      </c>
      <c r="R348" s="160" t="e">
        <f t="shared" ca="1" si="59"/>
        <v>#N/A</v>
      </c>
      <c r="S348" s="160" t="e">
        <f t="shared" ca="1" si="59"/>
        <v>#N/A</v>
      </c>
      <c r="T348" s="160" t="e">
        <f t="shared" ca="1" si="57"/>
        <v>#N/A</v>
      </c>
      <c r="U348" s="160" t="e">
        <f t="shared" ca="1" si="57"/>
        <v>#N/A</v>
      </c>
      <c r="V348" s="163" t="e">
        <f t="shared" ca="1" si="51"/>
        <v>#N/A</v>
      </c>
      <c r="W348" s="163" t="e">
        <f t="shared" ca="1" si="52"/>
        <v>#N/A</v>
      </c>
      <c r="X348" s="163" t="e">
        <f t="shared" ca="1" si="53"/>
        <v>#N/A</v>
      </c>
      <c r="Y348" s="163" t="e">
        <f t="shared" ca="1" si="54"/>
        <v>#N/A</v>
      </c>
    </row>
    <row r="349" spans="12:25" ht="14.4">
      <c r="L349" s="464"/>
      <c r="M349" s="129" t="e">
        <f t="shared" si="55"/>
        <v>#N/A</v>
      </c>
      <c r="N349" s="161">
        <f t="shared" si="60"/>
        <v>13</v>
      </c>
      <c r="O349" s="160" t="e">
        <f t="shared" ca="1" si="56"/>
        <v>#N/A</v>
      </c>
      <c r="P349" s="160" t="e">
        <f t="shared" ca="1" si="58"/>
        <v>#N/A</v>
      </c>
      <c r="Q349" s="160" t="e">
        <f t="shared" ca="1" si="59"/>
        <v>#N/A</v>
      </c>
      <c r="R349" s="160" t="e">
        <f t="shared" ca="1" si="59"/>
        <v>#N/A</v>
      </c>
      <c r="S349" s="160" t="e">
        <f t="shared" ca="1" si="59"/>
        <v>#N/A</v>
      </c>
      <c r="T349" s="160" t="e">
        <f t="shared" ca="1" si="57"/>
        <v>#N/A</v>
      </c>
      <c r="U349" s="160" t="e">
        <f t="shared" ca="1" si="57"/>
        <v>#N/A</v>
      </c>
      <c r="V349" s="163" t="e">
        <f t="shared" ca="1" si="51"/>
        <v>#N/A</v>
      </c>
      <c r="W349" s="163" t="e">
        <f t="shared" ca="1" si="52"/>
        <v>#N/A</v>
      </c>
      <c r="X349" s="163" t="e">
        <f t="shared" ca="1" si="53"/>
        <v>#N/A</v>
      </c>
      <c r="Y349" s="163" t="e">
        <f t="shared" ca="1" si="54"/>
        <v>#N/A</v>
      </c>
    </row>
    <row r="350" spans="12:25" ht="14.4">
      <c r="L350" s="464"/>
      <c r="M350" s="129" t="e">
        <f t="shared" si="55"/>
        <v>#N/A</v>
      </c>
      <c r="N350" s="161">
        <f t="shared" si="60"/>
        <v>13</v>
      </c>
      <c r="O350" s="160" t="e">
        <f t="shared" ca="1" si="56"/>
        <v>#N/A</v>
      </c>
      <c r="P350" s="160" t="e">
        <f t="shared" ca="1" si="58"/>
        <v>#N/A</v>
      </c>
      <c r="Q350" s="160" t="e">
        <f t="shared" ca="1" si="59"/>
        <v>#N/A</v>
      </c>
      <c r="R350" s="160" t="e">
        <f t="shared" ca="1" si="59"/>
        <v>#N/A</v>
      </c>
      <c r="S350" s="160" t="e">
        <f t="shared" ca="1" si="59"/>
        <v>#N/A</v>
      </c>
      <c r="T350" s="160" t="e">
        <f t="shared" ca="1" si="57"/>
        <v>#N/A</v>
      </c>
      <c r="U350" s="160" t="e">
        <f t="shared" ca="1" si="57"/>
        <v>#N/A</v>
      </c>
      <c r="V350" s="163" t="e">
        <f t="shared" ca="1" si="51"/>
        <v>#N/A</v>
      </c>
      <c r="W350" s="163" t="e">
        <f t="shared" ca="1" si="52"/>
        <v>#N/A</v>
      </c>
      <c r="X350" s="163" t="e">
        <f t="shared" ca="1" si="53"/>
        <v>#N/A</v>
      </c>
      <c r="Y350" s="163" t="e">
        <f t="shared" ca="1" si="54"/>
        <v>#N/A</v>
      </c>
    </row>
    <row r="351" spans="12:25" ht="14.4">
      <c r="L351" s="464"/>
      <c r="M351" s="129" t="e">
        <f t="shared" si="55"/>
        <v>#N/A</v>
      </c>
      <c r="N351" s="161">
        <f t="shared" si="60"/>
        <v>13</v>
      </c>
      <c r="O351" s="160" t="e">
        <f t="shared" ca="1" si="56"/>
        <v>#N/A</v>
      </c>
      <c r="P351" s="160" t="e">
        <f t="shared" ca="1" si="58"/>
        <v>#N/A</v>
      </c>
      <c r="Q351" s="160" t="e">
        <f t="shared" ca="1" si="59"/>
        <v>#N/A</v>
      </c>
      <c r="R351" s="160" t="e">
        <f t="shared" ca="1" si="59"/>
        <v>#N/A</v>
      </c>
      <c r="S351" s="160" t="e">
        <f t="shared" ca="1" si="59"/>
        <v>#N/A</v>
      </c>
      <c r="T351" s="160" t="e">
        <f t="shared" ca="1" si="57"/>
        <v>#N/A</v>
      </c>
      <c r="U351" s="160" t="e">
        <f t="shared" ca="1" si="57"/>
        <v>#N/A</v>
      </c>
      <c r="V351" s="163" t="e">
        <f t="shared" ref="V351:V414" ca="1" si="61">IF(Q351=0,0,IF(S351=180,IF(R351=0,"Slab on Grade",IF(R351=1,"Exposed Floor",IF(R351=3,"Internal Floor",U351))),IF(S351&lt;45,IF(R351=3,"Internal Ceiling",IF(R351=1,"Roof",U351)))))</f>
        <v>#N/A</v>
      </c>
      <c r="W351" s="163" t="e">
        <f t="shared" ref="W351:W414" ca="1" si="62">IF(ISNUMBER(SEARCH($W$29,U351))=TRUE,IF(ISNUMBER(SEARCH($W$27,U351))=TRUE,IF(R351=1,"eFrame",IF(R351=3,"iFrame")),IF(R351=1,"eWindow",IF(R351=3,"iWindow"))),U351)</f>
        <v>#N/A</v>
      </c>
      <c r="X351" s="163" t="e">
        <f t="shared" ref="X351:X414" ca="1" si="63">IF(ISNUMBER(SEARCH($X$29,U351))=TRUE,IF(ISNUMBER(SEARCH($X$27,U351))=TRUE,IF(R351=1,"eFrameDoor",IF(R351=3,"iFrameDoor")),IF(R351=1,"eDoor",IF(R351=3,"iDoor"))),U351)</f>
        <v>#N/A</v>
      </c>
      <c r="Y351" s="163" t="e">
        <f t="shared" ref="Y351:Y414" ca="1" si="64">IF(ISNUMBER(SEARCH($W$29,U351))=TRUE,"Substract",IF(ISNUMBER(SEARCH($X$29,U351))=TRUE, "Sunstract",IF(S351=90,IF(R351=1,"External Wall",IF(R351=3,"Internal Wall",IF(R351=0,"Below Grade Wall",U351))),V351)))</f>
        <v>#N/A</v>
      </c>
    </row>
    <row r="352" spans="12:25" ht="14.4">
      <c r="L352" s="464"/>
      <c r="M352" s="129" t="e">
        <f t="shared" ref="M352:M415" si="65">IF(M351="end","end",IF(M351=$K$1,"end",M351+1))</f>
        <v>#N/A</v>
      </c>
      <c r="N352" s="161">
        <f t="shared" si="60"/>
        <v>13</v>
      </c>
      <c r="O352" s="160" t="e">
        <f t="shared" ca="1" si="56"/>
        <v>#N/A</v>
      </c>
      <c r="P352" s="160" t="e">
        <f t="shared" ca="1" si="58"/>
        <v>#N/A</v>
      </c>
      <c r="Q352" s="160" t="e">
        <f t="shared" ca="1" si="59"/>
        <v>#N/A</v>
      </c>
      <c r="R352" s="160" t="e">
        <f t="shared" ca="1" si="59"/>
        <v>#N/A</v>
      </c>
      <c r="S352" s="160" t="e">
        <f t="shared" ca="1" si="59"/>
        <v>#N/A</v>
      </c>
      <c r="T352" s="160" t="e">
        <f t="shared" ca="1" si="57"/>
        <v>#N/A</v>
      </c>
      <c r="U352" s="160" t="e">
        <f t="shared" ca="1" si="57"/>
        <v>#N/A</v>
      </c>
      <c r="V352" s="163" t="e">
        <f t="shared" ca="1" si="61"/>
        <v>#N/A</v>
      </c>
      <c r="W352" s="163" t="e">
        <f t="shared" ca="1" si="62"/>
        <v>#N/A</v>
      </c>
      <c r="X352" s="163" t="e">
        <f t="shared" ca="1" si="63"/>
        <v>#N/A</v>
      </c>
      <c r="Y352" s="163" t="e">
        <f t="shared" ca="1" si="64"/>
        <v>#N/A</v>
      </c>
    </row>
    <row r="353" spans="12:25" ht="14.4">
      <c r="L353" s="464"/>
      <c r="M353" s="129" t="e">
        <f t="shared" si="65"/>
        <v>#N/A</v>
      </c>
      <c r="N353" s="161">
        <f t="shared" si="60"/>
        <v>13</v>
      </c>
      <c r="O353" s="160" t="e">
        <f t="shared" ca="1" si="56"/>
        <v>#N/A</v>
      </c>
      <c r="P353" s="160" t="e">
        <f t="shared" ca="1" si="58"/>
        <v>#N/A</v>
      </c>
      <c r="Q353" s="160" t="e">
        <f t="shared" ca="1" si="59"/>
        <v>#N/A</v>
      </c>
      <c r="R353" s="160" t="e">
        <f t="shared" ca="1" si="59"/>
        <v>#N/A</v>
      </c>
      <c r="S353" s="160" t="e">
        <f t="shared" ca="1" si="59"/>
        <v>#N/A</v>
      </c>
      <c r="T353" s="160" t="e">
        <f t="shared" ca="1" si="57"/>
        <v>#N/A</v>
      </c>
      <c r="U353" s="160" t="e">
        <f t="shared" ca="1" si="57"/>
        <v>#N/A</v>
      </c>
      <c r="V353" s="163" t="e">
        <f t="shared" ca="1" si="61"/>
        <v>#N/A</v>
      </c>
      <c r="W353" s="163" t="e">
        <f t="shared" ca="1" si="62"/>
        <v>#N/A</v>
      </c>
      <c r="X353" s="163" t="e">
        <f t="shared" ca="1" si="63"/>
        <v>#N/A</v>
      </c>
      <c r="Y353" s="163" t="e">
        <f t="shared" ca="1" si="64"/>
        <v>#N/A</v>
      </c>
    </row>
    <row r="354" spans="12:25" ht="14.4">
      <c r="L354" s="464"/>
      <c r="M354" s="129" t="e">
        <f t="shared" si="65"/>
        <v>#N/A</v>
      </c>
      <c r="N354" s="161">
        <f t="shared" si="60"/>
        <v>13</v>
      </c>
      <c r="O354" s="160" t="e">
        <f t="shared" ca="1" si="56"/>
        <v>#N/A</v>
      </c>
      <c r="P354" s="160" t="e">
        <f t="shared" ca="1" si="58"/>
        <v>#N/A</v>
      </c>
      <c r="Q354" s="160" t="e">
        <f t="shared" ca="1" si="59"/>
        <v>#N/A</v>
      </c>
      <c r="R354" s="160" t="e">
        <f t="shared" ca="1" si="59"/>
        <v>#N/A</v>
      </c>
      <c r="S354" s="160" t="e">
        <f t="shared" ca="1" si="59"/>
        <v>#N/A</v>
      </c>
      <c r="T354" s="160" t="e">
        <f t="shared" ca="1" si="57"/>
        <v>#N/A</v>
      </c>
      <c r="U354" s="160" t="e">
        <f t="shared" ca="1" si="57"/>
        <v>#N/A</v>
      </c>
      <c r="V354" s="163" t="e">
        <f t="shared" ca="1" si="61"/>
        <v>#N/A</v>
      </c>
      <c r="W354" s="163" t="e">
        <f t="shared" ca="1" si="62"/>
        <v>#N/A</v>
      </c>
      <c r="X354" s="163" t="e">
        <f t="shared" ca="1" si="63"/>
        <v>#N/A</v>
      </c>
      <c r="Y354" s="163" t="e">
        <f t="shared" ca="1" si="64"/>
        <v>#N/A</v>
      </c>
    </row>
    <row r="355" spans="12:25" ht="14.4">
      <c r="L355" s="464"/>
      <c r="M355" s="129" t="e">
        <f t="shared" si="65"/>
        <v>#N/A</v>
      </c>
      <c r="N355" s="161">
        <f t="shared" si="60"/>
        <v>13</v>
      </c>
      <c r="O355" s="160" t="e">
        <f t="shared" ca="1" si="56"/>
        <v>#N/A</v>
      </c>
      <c r="P355" s="160" t="e">
        <f t="shared" ca="1" si="58"/>
        <v>#N/A</v>
      </c>
      <c r="Q355" s="160" t="e">
        <f t="shared" ca="1" si="59"/>
        <v>#N/A</v>
      </c>
      <c r="R355" s="160" t="e">
        <f t="shared" ca="1" si="59"/>
        <v>#N/A</v>
      </c>
      <c r="S355" s="160" t="e">
        <f t="shared" ca="1" si="59"/>
        <v>#N/A</v>
      </c>
      <c r="T355" s="160" t="e">
        <f t="shared" ca="1" si="57"/>
        <v>#N/A</v>
      </c>
      <c r="U355" s="160" t="e">
        <f t="shared" ca="1" si="57"/>
        <v>#N/A</v>
      </c>
      <c r="V355" s="163" t="e">
        <f t="shared" ca="1" si="61"/>
        <v>#N/A</v>
      </c>
      <c r="W355" s="163" t="e">
        <f t="shared" ca="1" si="62"/>
        <v>#N/A</v>
      </c>
      <c r="X355" s="163" t="e">
        <f t="shared" ca="1" si="63"/>
        <v>#N/A</v>
      </c>
      <c r="Y355" s="163" t="e">
        <f t="shared" ca="1" si="64"/>
        <v>#N/A</v>
      </c>
    </row>
    <row r="356" spans="12:25" ht="14.4">
      <c r="L356" s="464"/>
      <c r="M356" s="129" t="e">
        <f t="shared" si="65"/>
        <v>#N/A</v>
      </c>
      <c r="N356" s="161">
        <f t="shared" si="60"/>
        <v>13</v>
      </c>
      <c r="O356" s="160" t="e">
        <f t="shared" ca="1" si="56"/>
        <v>#N/A</v>
      </c>
      <c r="P356" s="160" t="e">
        <f t="shared" ca="1" si="58"/>
        <v>#N/A</v>
      </c>
      <c r="Q356" s="160" t="e">
        <f t="shared" ca="1" si="59"/>
        <v>#N/A</v>
      </c>
      <c r="R356" s="160" t="e">
        <f t="shared" ca="1" si="59"/>
        <v>#N/A</v>
      </c>
      <c r="S356" s="160" t="e">
        <f t="shared" ca="1" si="59"/>
        <v>#N/A</v>
      </c>
      <c r="T356" s="160" t="e">
        <f t="shared" ca="1" si="57"/>
        <v>#N/A</v>
      </c>
      <c r="U356" s="160" t="e">
        <f t="shared" ca="1" si="57"/>
        <v>#N/A</v>
      </c>
      <c r="V356" s="163" t="e">
        <f t="shared" ca="1" si="61"/>
        <v>#N/A</v>
      </c>
      <c r="W356" s="163" t="e">
        <f t="shared" ca="1" si="62"/>
        <v>#N/A</v>
      </c>
      <c r="X356" s="163" t="e">
        <f t="shared" ca="1" si="63"/>
        <v>#N/A</v>
      </c>
      <c r="Y356" s="163" t="e">
        <f t="shared" ca="1" si="64"/>
        <v>#N/A</v>
      </c>
    </row>
    <row r="357" spans="12:25" ht="14.4">
      <c r="L357" s="464"/>
      <c r="M357" s="129" t="e">
        <f t="shared" si="65"/>
        <v>#N/A</v>
      </c>
      <c r="N357" s="161">
        <f t="shared" si="60"/>
        <v>13</v>
      </c>
      <c r="O357" s="160" t="e">
        <f t="shared" ca="1" si="56"/>
        <v>#N/A</v>
      </c>
      <c r="P357" s="160" t="e">
        <f t="shared" ca="1" si="58"/>
        <v>#N/A</v>
      </c>
      <c r="Q357" s="160" t="e">
        <f t="shared" ca="1" si="59"/>
        <v>#N/A</v>
      </c>
      <c r="R357" s="160" t="e">
        <f t="shared" ca="1" si="59"/>
        <v>#N/A</v>
      </c>
      <c r="S357" s="160" t="e">
        <f t="shared" ca="1" si="59"/>
        <v>#N/A</v>
      </c>
      <c r="T357" s="160" t="e">
        <f t="shared" ca="1" si="57"/>
        <v>#N/A</v>
      </c>
      <c r="U357" s="160" t="e">
        <f t="shared" ca="1" si="57"/>
        <v>#N/A</v>
      </c>
      <c r="V357" s="163" t="e">
        <f t="shared" ca="1" si="61"/>
        <v>#N/A</v>
      </c>
      <c r="W357" s="163" t="e">
        <f t="shared" ca="1" si="62"/>
        <v>#N/A</v>
      </c>
      <c r="X357" s="163" t="e">
        <f t="shared" ca="1" si="63"/>
        <v>#N/A</v>
      </c>
      <c r="Y357" s="163" t="e">
        <f t="shared" ca="1" si="64"/>
        <v>#N/A</v>
      </c>
    </row>
    <row r="358" spans="12:25" ht="14.4">
      <c r="L358" s="464"/>
      <c r="M358" s="129" t="e">
        <f t="shared" si="65"/>
        <v>#N/A</v>
      </c>
      <c r="N358" s="161">
        <f t="shared" si="60"/>
        <v>13</v>
      </c>
      <c r="O358" s="160" t="e">
        <f t="shared" ca="1" si="56"/>
        <v>#N/A</v>
      </c>
      <c r="P358" s="160" t="e">
        <f t="shared" ca="1" si="58"/>
        <v>#N/A</v>
      </c>
      <c r="Q358" s="160" t="e">
        <f t="shared" ca="1" si="59"/>
        <v>#N/A</v>
      </c>
      <c r="R358" s="160" t="e">
        <f t="shared" ca="1" si="59"/>
        <v>#N/A</v>
      </c>
      <c r="S358" s="160" t="e">
        <f t="shared" ca="1" si="59"/>
        <v>#N/A</v>
      </c>
      <c r="T358" s="160" t="e">
        <f t="shared" ca="1" si="57"/>
        <v>#N/A</v>
      </c>
      <c r="U358" s="160" t="e">
        <f t="shared" ca="1" si="57"/>
        <v>#N/A</v>
      </c>
      <c r="V358" s="163" t="e">
        <f t="shared" ca="1" si="61"/>
        <v>#N/A</v>
      </c>
      <c r="W358" s="163" t="e">
        <f t="shared" ca="1" si="62"/>
        <v>#N/A</v>
      </c>
      <c r="X358" s="163" t="e">
        <f t="shared" ca="1" si="63"/>
        <v>#N/A</v>
      </c>
      <c r="Y358" s="163" t="e">
        <f t="shared" ca="1" si="64"/>
        <v>#N/A</v>
      </c>
    </row>
    <row r="359" spans="12:25" ht="14.4">
      <c r="L359" s="464"/>
      <c r="M359" s="129" t="e">
        <f t="shared" si="65"/>
        <v>#N/A</v>
      </c>
      <c r="N359" s="161">
        <f t="shared" si="60"/>
        <v>13</v>
      </c>
      <c r="O359" s="160" t="e">
        <f t="shared" ca="1" si="56"/>
        <v>#N/A</v>
      </c>
      <c r="P359" s="160" t="e">
        <f t="shared" ca="1" si="58"/>
        <v>#N/A</v>
      </c>
      <c r="Q359" s="160" t="e">
        <f t="shared" ca="1" si="59"/>
        <v>#N/A</v>
      </c>
      <c r="R359" s="160" t="e">
        <f t="shared" ca="1" si="59"/>
        <v>#N/A</v>
      </c>
      <c r="S359" s="160" t="e">
        <f t="shared" ca="1" si="59"/>
        <v>#N/A</v>
      </c>
      <c r="T359" s="160" t="e">
        <f t="shared" ca="1" si="57"/>
        <v>#N/A</v>
      </c>
      <c r="U359" s="160" t="e">
        <f t="shared" ca="1" si="57"/>
        <v>#N/A</v>
      </c>
      <c r="V359" s="163" t="e">
        <f t="shared" ca="1" si="61"/>
        <v>#N/A</v>
      </c>
      <c r="W359" s="163" t="e">
        <f t="shared" ca="1" si="62"/>
        <v>#N/A</v>
      </c>
      <c r="X359" s="163" t="e">
        <f t="shared" ca="1" si="63"/>
        <v>#N/A</v>
      </c>
      <c r="Y359" s="163" t="e">
        <f t="shared" ca="1" si="64"/>
        <v>#N/A</v>
      </c>
    </row>
    <row r="360" spans="12:25" ht="14.4">
      <c r="L360" s="464"/>
      <c r="M360" s="129" t="e">
        <f t="shared" si="65"/>
        <v>#N/A</v>
      </c>
      <c r="N360" s="161">
        <f t="shared" si="60"/>
        <v>13</v>
      </c>
      <c r="O360" s="160" t="e">
        <f t="shared" ca="1" si="56"/>
        <v>#N/A</v>
      </c>
      <c r="P360" s="160" t="e">
        <f t="shared" ca="1" si="58"/>
        <v>#N/A</v>
      </c>
      <c r="Q360" s="160" t="e">
        <f t="shared" ca="1" si="59"/>
        <v>#N/A</v>
      </c>
      <c r="R360" s="160" t="e">
        <f t="shared" ca="1" si="59"/>
        <v>#N/A</v>
      </c>
      <c r="S360" s="160" t="e">
        <f t="shared" ca="1" si="59"/>
        <v>#N/A</v>
      </c>
      <c r="T360" s="160" t="e">
        <f t="shared" ca="1" si="57"/>
        <v>#N/A</v>
      </c>
      <c r="U360" s="160" t="e">
        <f t="shared" ca="1" si="57"/>
        <v>#N/A</v>
      </c>
      <c r="V360" s="163" t="e">
        <f t="shared" ca="1" si="61"/>
        <v>#N/A</v>
      </c>
      <c r="W360" s="163" t="e">
        <f t="shared" ca="1" si="62"/>
        <v>#N/A</v>
      </c>
      <c r="X360" s="163" t="e">
        <f t="shared" ca="1" si="63"/>
        <v>#N/A</v>
      </c>
      <c r="Y360" s="163" t="e">
        <f t="shared" ca="1" si="64"/>
        <v>#N/A</v>
      </c>
    </row>
    <row r="361" spans="12:25" ht="14.4">
      <c r="L361" s="464"/>
      <c r="M361" s="129" t="e">
        <f t="shared" si="65"/>
        <v>#N/A</v>
      </c>
      <c r="N361" s="161">
        <f t="shared" si="60"/>
        <v>13</v>
      </c>
      <c r="O361" s="160" t="e">
        <f t="shared" ref="O361:O424" ca="1" si="66">IF($M361="end",0,OFFSET($A$1,$M361-1,O$29,1,1))</f>
        <v>#N/A</v>
      </c>
      <c r="P361" s="160" t="e">
        <f t="shared" ca="1" si="58"/>
        <v>#N/A</v>
      </c>
      <c r="Q361" s="160" t="e">
        <f t="shared" ca="1" si="59"/>
        <v>#N/A</v>
      </c>
      <c r="R361" s="160" t="e">
        <f t="shared" ca="1" si="59"/>
        <v>#N/A</v>
      </c>
      <c r="S361" s="160" t="e">
        <f t="shared" ca="1" si="59"/>
        <v>#N/A</v>
      </c>
      <c r="T361" s="160" t="e">
        <f t="shared" ca="1" si="57"/>
        <v>#N/A</v>
      </c>
      <c r="U361" s="160" t="e">
        <f t="shared" ca="1" si="57"/>
        <v>#N/A</v>
      </c>
      <c r="V361" s="163" t="e">
        <f t="shared" ca="1" si="61"/>
        <v>#N/A</v>
      </c>
      <c r="W361" s="163" t="e">
        <f t="shared" ca="1" si="62"/>
        <v>#N/A</v>
      </c>
      <c r="X361" s="163" t="e">
        <f t="shared" ca="1" si="63"/>
        <v>#N/A</v>
      </c>
      <c r="Y361" s="163" t="e">
        <f t="shared" ca="1" si="64"/>
        <v>#N/A</v>
      </c>
    </row>
    <row r="362" spans="12:25" ht="14.4">
      <c r="L362" s="464"/>
      <c r="M362" s="129" t="e">
        <f t="shared" si="65"/>
        <v>#N/A</v>
      </c>
      <c r="N362" s="161">
        <f t="shared" si="60"/>
        <v>13</v>
      </c>
      <c r="O362" s="160" t="e">
        <f t="shared" ca="1" si="66"/>
        <v>#N/A</v>
      </c>
      <c r="P362" s="160" t="e">
        <f t="shared" ca="1" si="58"/>
        <v>#N/A</v>
      </c>
      <c r="Q362" s="160" t="e">
        <f t="shared" ca="1" si="59"/>
        <v>#N/A</v>
      </c>
      <c r="R362" s="160" t="e">
        <f t="shared" ca="1" si="59"/>
        <v>#N/A</v>
      </c>
      <c r="S362" s="160" t="e">
        <f t="shared" ca="1" si="59"/>
        <v>#N/A</v>
      </c>
      <c r="T362" s="160" t="e">
        <f t="shared" ca="1" si="57"/>
        <v>#N/A</v>
      </c>
      <c r="U362" s="160" t="e">
        <f t="shared" ca="1" si="57"/>
        <v>#N/A</v>
      </c>
      <c r="V362" s="163" t="e">
        <f t="shared" ca="1" si="61"/>
        <v>#N/A</v>
      </c>
      <c r="W362" s="163" t="e">
        <f t="shared" ca="1" si="62"/>
        <v>#N/A</v>
      </c>
      <c r="X362" s="163" t="e">
        <f t="shared" ca="1" si="63"/>
        <v>#N/A</v>
      </c>
      <c r="Y362" s="163" t="e">
        <f t="shared" ca="1" si="64"/>
        <v>#N/A</v>
      </c>
    </row>
    <row r="363" spans="12:25" ht="14.4">
      <c r="L363" s="464"/>
      <c r="M363" s="129" t="e">
        <f t="shared" si="65"/>
        <v>#N/A</v>
      </c>
      <c r="N363" s="161">
        <f t="shared" si="60"/>
        <v>13</v>
      </c>
      <c r="O363" s="160" t="e">
        <f t="shared" ca="1" si="66"/>
        <v>#N/A</v>
      </c>
      <c r="P363" s="160" t="e">
        <f t="shared" ca="1" si="58"/>
        <v>#N/A</v>
      </c>
      <c r="Q363" s="160" t="e">
        <f t="shared" ca="1" si="59"/>
        <v>#N/A</v>
      </c>
      <c r="R363" s="160" t="e">
        <f t="shared" ca="1" si="59"/>
        <v>#N/A</v>
      </c>
      <c r="S363" s="160" t="e">
        <f t="shared" ca="1" si="59"/>
        <v>#N/A</v>
      </c>
      <c r="T363" s="160" t="e">
        <f t="shared" ca="1" si="57"/>
        <v>#N/A</v>
      </c>
      <c r="U363" s="160" t="e">
        <f t="shared" ca="1" si="57"/>
        <v>#N/A</v>
      </c>
      <c r="V363" s="163" t="e">
        <f t="shared" ca="1" si="61"/>
        <v>#N/A</v>
      </c>
      <c r="W363" s="163" t="e">
        <f t="shared" ca="1" si="62"/>
        <v>#N/A</v>
      </c>
      <c r="X363" s="163" t="e">
        <f t="shared" ca="1" si="63"/>
        <v>#N/A</v>
      </c>
      <c r="Y363" s="163" t="e">
        <f t="shared" ca="1" si="64"/>
        <v>#N/A</v>
      </c>
    </row>
    <row r="364" spans="12:25" ht="14.4">
      <c r="L364" s="464"/>
      <c r="M364" s="129" t="e">
        <f t="shared" si="65"/>
        <v>#N/A</v>
      </c>
      <c r="N364" s="161">
        <f t="shared" si="60"/>
        <v>13</v>
      </c>
      <c r="O364" s="160" t="e">
        <f t="shared" ca="1" si="66"/>
        <v>#N/A</v>
      </c>
      <c r="P364" s="160" t="e">
        <f t="shared" ca="1" si="58"/>
        <v>#N/A</v>
      </c>
      <c r="Q364" s="160" t="e">
        <f t="shared" ca="1" si="59"/>
        <v>#N/A</v>
      </c>
      <c r="R364" s="160" t="e">
        <f t="shared" ca="1" si="59"/>
        <v>#N/A</v>
      </c>
      <c r="S364" s="160" t="e">
        <f t="shared" ca="1" si="59"/>
        <v>#N/A</v>
      </c>
      <c r="T364" s="160" t="e">
        <f t="shared" ca="1" si="57"/>
        <v>#N/A</v>
      </c>
      <c r="U364" s="160" t="e">
        <f t="shared" ca="1" si="57"/>
        <v>#N/A</v>
      </c>
      <c r="V364" s="163" t="e">
        <f t="shared" ca="1" si="61"/>
        <v>#N/A</v>
      </c>
      <c r="W364" s="163" t="e">
        <f t="shared" ca="1" si="62"/>
        <v>#N/A</v>
      </c>
      <c r="X364" s="163" t="e">
        <f t="shared" ca="1" si="63"/>
        <v>#N/A</v>
      </c>
      <c r="Y364" s="163" t="e">
        <f t="shared" ca="1" si="64"/>
        <v>#N/A</v>
      </c>
    </row>
    <row r="365" spans="12:25" ht="14.4">
      <c r="L365" s="464"/>
      <c r="M365" s="129" t="e">
        <f t="shared" si="65"/>
        <v>#N/A</v>
      </c>
      <c r="N365" s="161">
        <f t="shared" si="60"/>
        <v>13</v>
      </c>
      <c r="O365" s="160" t="e">
        <f t="shared" ca="1" si="66"/>
        <v>#N/A</v>
      </c>
      <c r="P365" s="160" t="e">
        <f t="shared" ca="1" si="58"/>
        <v>#N/A</v>
      </c>
      <c r="Q365" s="160" t="e">
        <f t="shared" ca="1" si="59"/>
        <v>#N/A</v>
      </c>
      <c r="R365" s="160" t="e">
        <f t="shared" ca="1" si="59"/>
        <v>#N/A</v>
      </c>
      <c r="S365" s="160" t="e">
        <f t="shared" ca="1" si="59"/>
        <v>#N/A</v>
      </c>
      <c r="T365" s="160" t="e">
        <f t="shared" ca="1" si="57"/>
        <v>#N/A</v>
      </c>
      <c r="U365" s="160" t="e">
        <f t="shared" ca="1" si="57"/>
        <v>#N/A</v>
      </c>
      <c r="V365" s="163" t="e">
        <f t="shared" ca="1" si="61"/>
        <v>#N/A</v>
      </c>
      <c r="W365" s="163" t="e">
        <f t="shared" ca="1" si="62"/>
        <v>#N/A</v>
      </c>
      <c r="X365" s="163" t="e">
        <f t="shared" ca="1" si="63"/>
        <v>#N/A</v>
      </c>
      <c r="Y365" s="163" t="e">
        <f t="shared" ca="1" si="64"/>
        <v>#N/A</v>
      </c>
    </row>
    <row r="366" spans="12:25" ht="14.4">
      <c r="L366" s="464"/>
      <c r="M366" s="129" t="e">
        <f t="shared" si="65"/>
        <v>#N/A</v>
      </c>
      <c r="N366" s="161">
        <f t="shared" si="60"/>
        <v>13</v>
      </c>
      <c r="O366" s="160" t="e">
        <f t="shared" ca="1" si="66"/>
        <v>#N/A</v>
      </c>
      <c r="P366" s="160" t="e">
        <f t="shared" ca="1" si="58"/>
        <v>#N/A</v>
      </c>
      <c r="Q366" s="160" t="e">
        <f t="shared" ca="1" si="59"/>
        <v>#N/A</v>
      </c>
      <c r="R366" s="160" t="e">
        <f t="shared" ca="1" si="59"/>
        <v>#N/A</v>
      </c>
      <c r="S366" s="160" t="e">
        <f t="shared" ca="1" si="59"/>
        <v>#N/A</v>
      </c>
      <c r="T366" s="160" t="e">
        <f t="shared" ca="1" si="57"/>
        <v>#N/A</v>
      </c>
      <c r="U366" s="160" t="e">
        <f t="shared" ca="1" si="57"/>
        <v>#N/A</v>
      </c>
      <c r="V366" s="163" t="e">
        <f t="shared" ca="1" si="61"/>
        <v>#N/A</v>
      </c>
      <c r="W366" s="163" t="e">
        <f t="shared" ca="1" si="62"/>
        <v>#N/A</v>
      </c>
      <c r="X366" s="163" t="e">
        <f t="shared" ca="1" si="63"/>
        <v>#N/A</v>
      </c>
      <c r="Y366" s="163" t="e">
        <f t="shared" ca="1" si="64"/>
        <v>#N/A</v>
      </c>
    </row>
    <row r="367" spans="12:25" ht="14.4">
      <c r="L367" s="464"/>
      <c r="M367" s="129" t="e">
        <f t="shared" si="65"/>
        <v>#N/A</v>
      </c>
      <c r="N367" s="161">
        <f t="shared" si="60"/>
        <v>13</v>
      </c>
      <c r="O367" s="160" t="e">
        <f t="shared" ca="1" si="66"/>
        <v>#N/A</v>
      </c>
      <c r="P367" s="160" t="e">
        <f t="shared" ca="1" si="58"/>
        <v>#N/A</v>
      </c>
      <c r="Q367" s="160" t="e">
        <f t="shared" ca="1" si="59"/>
        <v>#N/A</v>
      </c>
      <c r="R367" s="160" t="e">
        <f t="shared" ca="1" si="59"/>
        <v>#N/A</v>
      </c>
      <c r="S367" s="160" t="e">
        <f t="shared" ca="1" si="59"/>
        <v>#N/A</v>
      </c>
      <c r="T367" s="160" t="e">
        <f t="shared" ca="1" si="57"/>
        <v>#N/A</v>
      </c>
      <c r="U367" s="160" t="e">
        <f t="shared" ca="1" si="57"/>
        <v>#N/A</v>
      </c>
      <c r="V367" s="163" t="e">
        <f t="shared" ca="1" si="61"/>
        <v>#N/A</v>
      </c>
      <c r="W367" s="163" t="e">
        <f t="shared" ca="1" si="62"/>
        <v>#N/A</v>
      </c>
      <c r="X367" s="163" t="e">
        <f t="shared" ca="1" si="63"/>
        <v>#N/A</v>
      </c>
      <c r="Y367" s="163" t="e">
        <f t="shared" ca="1" si="64"/>
        <v>#N/A</v>
      </c>
    </row>
    <row r="368" spans="12:25" ht="14.4">
      <c r="L368" s="464"/>
      <c r="M368" s="129" t="e">
        <f t="shared" si="65"/>
        <v>#N/A</v>
      </c>
      <c r="N368" s="161">
        <f t="shared" si="60"/>
        <v>13</v>
      </c>
      <c r="O368" s="160" t="e">
        <f t="shared" ca="1" si="66"/>
        <v>#N/A</v>
      </c>
      <c r="P368" s="160" t="e">
        <f t="shared" ca="1" si="58"/>
        <v>#N/A</v>
      </c>
      <c r="Q368" s="160" t="e">
        <f t="shared" ca="1" si="59"/>
        <v>#N/A</v>
      </c>
      <c r="R368" s="160" t="e">
        <f t="shared" ca="1" si="59"/>
        <v>#N/A</v>
      </c>
      <c r="S368" s="160" t="e">
        <f t="shared" ca="1" si="59"/>
        <v>#N/A</v>
      </c>
      <c r="T368" s="160" t="e">
        <f t="shared" ca="1" si="57"/>
        <v>#N/A</v>
      </c>
      <c r="U368" s="160" t="e">
        <f t="shared" ca="1" si="57"/>
        <v>#N/A</v>
      </c>
      <c r="V368" s="163" t="e">
        <f t="shared" ca="1" si="61"/>
        <v>#N/A</v>
      </c>
      <c r="W368" s="163" t="e">
        <f t="shared" ca="1" si="62"/>
        <v>#N/A</v>
      </c>
      <c r="X368" s="163" t="e">
        <f t="shared" ca="1" si="63"/>
        <v>#N/A</v>
      </c>
      <c r="Y368" s="163" t="e">
        <f t="shared" ca="1" si="64"/>
        <v>#N/A</v>
      </c>
    </row>
    <row r="369" spans="12:25" ht="14.4">
      <c r="L369" s="464"/>
      <c r="M369" s="129" t="e">
        <f t="shared" si="65"/>
        <v>#N/A</v>
      </c>
      <c r="N369" s="161">
        <f t="shared" si="60"/>
        <v>13</v>
      </c>
      <c r="O369" s="160" t="e">
        <f t="shared" ca="1" si="66"/>
        <v>#N/A</v>
      </c>
      <c r="P369" s="160" t="e">
        <f t="shared" ca="1" si="58"/>
        <v>#N/A</v>
      </c>
      <c r="Q369" s="160" t="e">
        <f t="shared" ca="1" si="59"/>
        <v>#N/A</v>
      </c>
      <c r="R369" s="160" t="e">
        <f t="shared" ca="1" si="59"/>
        <v>#N/A</v>
      </c>
      <c r="S369" s="160" t="e">
        <f t="shared" ca="1" si="59"/>
        <v>#N/A</v>
      </c>
      <c r="T369" s="160" t="e">
        <f t="shared" ca="1" si="59"/>
        <v>#N/A</v>
      </c>
      <c r="U369" s="160" t="e">
        <f t="shared" ca="1" si="59"/>
        <v>#N/A</v>
      </c>
      <c r="V369" s="163" t="e">
        <f t="shared" ca="1" si="61"/>
        <v>#N/A</v>
      </c>
      <c r="W369" s="163" t="e">
        <f t="shared" ca="1" si="62"/>
        <v>#N/A</v>
      </c>
      <c r="X369" s="163" t="e">
        <f t="shared" ca="1" si="63"/>
        <v>#N/A</v>
      </c>
      <c r="Y369" s="163" t="e">
        <f t="shared" ca="1" si="64"/>
        <v>#N/A</v>
      </c>
    </row>
    <row r="370" spans="12:25" ht="14.4">
      <c r="L370" s="464"/>
      <c r="M370" s="129" t="e">
        <f t="shared" si="65"/>
        <v>#N/A</v>
      </c>
      <c r="N370" s="161">
        <f t="shared" si="60"/>
        <v>13</v>
      </c>
      <c r="O370" s="160" t="e">
        <f t="shared" ca="1" si="66"/>
        <v>#N/A</v>
      </c>
      <c r="P370" s="160" t="e">
        <f t="shared" ref="P370:P433" ca="1" si="67">IF($M370="end",0,OFFSET($A$1,$M370-1,P$29,1,1))</f>
        <v>#N/A</v>
      </c>
      <c r="Q370" s="160" t="e">
        <f t="shared" ref="Q370:T433" ca="1" si="68">IF($M370="end",0,OFFSET($A$1,$M370-1,Q$29,1,1))</f>
        <v>#N/A</v>
      </c>
      <c r="R370" s="160" t="e">
        <f t="shared" ca="1" si="68"/>
        <v>#N/A</v>
      </c>
      <c r="S370" s="160" t="e">
        <f t="shared" ca="1" si="68"/>
        <v>#N/A</v>
      </c>
      <c r="T370" s="160" t="e">
        <f t="shared" ca="1" si="68"/>
        <v>#N/A</v>
      </c>
      <c r="U370" s="160" t="e">
        <f t="shared" ref="U370:U433" ca="1" si="69">IF($M370="end",0,OFFSET($A$1,$M370-1,U$29,1,1))</f>
        <v>#N/A</v>
      </c>
      <c r="V370" s="163" t="e">
        <f t="shared" ca="1" si="61"/>
        <v>#N/A</v>
      </c>
      <c r="W370" s="163" t="e">
        <f t="shared" ca="1" si="62"/>
        <v>#N/A</v>
      </c>
      <c r="X370" s="163" t="e">
        <f t="shared" ca="1" si="63"/>
        <v>#N/A</v>
      </c>
      <c r="Y370" s="163" t="e">
        <f t="shared" ca="1" si="64"/>
        <v>#N/A</v>
      </c>
    </row>
    <row r="371" spans="12:25" ht="14.4">
      <c r="L371" s="464"/>
      <c r="M371" s="129" t="e">
        <f t="shared" si="65"/>
        <v>#N/A</v>
      </c>
      <c r="N371" s="161">
        <f t="shared" si="60"/>
        <v>13</v>
      </c>
      <c r="O371" s="160" t="e">
        <f t="shared" ca="1" si="66"/>
        <v>#N/A</v>
      </c>
      <c r="P371" s="160" t="e">
        <f t="shared" ca="1" si="67"/>
        <v>#N/A</v>
      </c>
      <c r="Q371" s="160" t="e">
        <f t="shared" ca="1" si="68"/>
        <v>#N/A</v>
      </c>
      <c r="R371" s="160" t="e">
        <f t="shared" ca="1" si="68"/>
        <v>#N/A</v>
      </c>
      <c r="S371" s="160" t="e">
        <f t="shared" ca="1" si="68"/>
        <v>#N/A</v>
      </c>
      <c r="T371" s="160" t="e">
        <f t="shared" ca="1" si="68"/>
        <v>#N/A</v>
      </c>
      <c r="U371" s="160" t="e">
        <f t="shared" ca="1" si="69"/>
        <v>#N/A</v>
      </c>
      <c r="V371" s="163" t="e">
        <f t="shared" ca="1" si="61"/>
        <v>#N/A</v>
      </c>
      <c r="W371" s="163" t="e">
        <f t="shared" ca="1" si="62"/>
        <v>#N/A</v>
      </c>
      <c r="X371" s="163" t="e">
        <f t="shared" ca="1" si="63"/>
        <v>#N/A</v>
      </c>
      <c r="Y371" s="163" t="e">
        <f t="shared" ca="1" si="64"/>
        <v>#N/A</v>
      </c>
    </row>
    <row r="372" spans="12:25" ht="14.4">
      <c r="L372" s="464"/>
      <c r="M372" s="129" t="e">
        <f t="shared" si="65"/>
        <v>#N/A</v>
      </c>
      <c r="N372" s="161">
        <f t="shared" si="60"/>
        <v>13</v>
      </c>
      <c r="O372" s="160" t="e">
        <f t="shared" ca="1" si="66"/>
        <v>#N/A</v>
      </c>
      <c r="P372" s="160" t="e">
        <f t="shared" ca="1" si="67"/>
        <v>#N/A</v>
      </c>
      <c r="Q372" s="160" t="e">
        <f t="shared" ca="1" si="68"/>
        <v>#N/A</v>
      </c>
      <c r="R372" s="160" t="e">
        <f t="shared" ca="1" si="68"/>
        <v>#N/A</v>
      </c>
      <c r="S372" s="160" t="e">
        <f t="shared" ca="1" si="68"/>
        <v>#N/A</v>
      </c>
      <c r="T372" s="160" t="e">
        <f t="shared" ca="1" si="68"/>
        <v>#N/A</v>
      </c>
      <c r="U372" s="160" t="e">
        <f t="shared" ca="1" si="69"/>
        <v>#N/A</v>
      </c>
      <c r="V372" s="163" t="e">
        <f t="shared" ca="1" si="61"/>
        <v>#N/A</v>
      </c>
      <c r="W372" s="163" t="e">
        <f t="shared" ca="1" si="62"/>
        <v>#N/A</v>
      </c>
      <c r="X372" s="163" t="e">
        <f t="shared" ca="1" si="63"/>
        <v>#N/A</v>
      </c>
      <c r="Y372" s="163" t="e">
        <f t="shared" ca="1" si="64"/>
        <v>#N/A</v>
      </c>
    </row>
    <row r="373" spans="12:25" ht="14.4">
      <c r="L373" s="464"/>
      <c r="M373" s="129" t="e">
        <f t="shared" si="65"/>
        <v>#N/A</v>
      </c>
      <c r="N373" s="161">
        <f t="shared" si="60"/>
        <v>13</v>
      </c>
      <c r="O373" s="160" t="e">
        <f t="shared" ca="1" si="66"/>
        <v>#N/A</v>
      </c>
      <c r="P373" s="160" t="e">
        <f t="shared" ca="1" si="67"/>
        <v>#N/A</v>
      </c>
      <c r="Q373" s="160" t="e">
        <f t="shared" ca="1" si="68"/>
        <v>#N/A</v>
      </c>
      <c r="R373" s="160" t="e">
        <f t="shared" ca="1" si="68"/>
        <v>#N/A</v>
      </c>
      <c r="S373" s="160" t="e">
        <f t="shared" ca="1" si="68"/>
        <v>#N/A</v>
      </c>
      <c r="T373" s="160" t="e">
        <f t="shared" ca="1" si="68"/>
        <v>#N/A</v>
      </c>
      <c r="U373" s="160" t="e">
        <f t="shared" ca="1" si="69"/>
        <v>#N/A</v>
      </c>
      <c r="V373" s="163" t="e">
        <f t="shared" ca="1" si="61"/>
        <v>#N/A</v>
      </c>
      <c r="W373" s="163" t="e">
        <f t="shared" ca="1" si="62"/>
        <v>#N/A</v>
      </c>
      <c r="X373" s="163" t="e">
        <f t="shared" ca="1" si="63"/>
        <v>#N/A</v>
      </c>
      <c r="Y373" s="163" t="e">
        <f t="shared" ca="1" si="64"/>
        <v>#N/A</v>
      </c>
    </row>
    <row r="374" spans="12:25" ht="14.4">
      <c r="L374" s="464"/>
      <c r="M374" s="129" t="e">
        <f t="shared" si="65"/>
        <v>#N/A</v>
      </c>
      <c r="N374" s="161">
        <f t="shared" si="60"/>
        <v>13</v>
      </c>
      <c r="O374" s="160" t="e">
        <f t="shared" ca="1" si="66"/>
        <v>#N/A</v>
      </c>
      <c r="P374" s="160" t="e">
        <f t="shared" ca="1" si="67"/>
        <v>#N/A</v>
      </c>
      <c r="Q374" s="160" t="e">
        <f t="shared" ca="1" si="68"/>
        <v>#N/A</v>
      </c>
      <c r="R374" s="160" t="e">
        <f t="shared" ca="1" si="68"/>
        <v>#N/A</v>
      </c>
      <c r="S374" s="160" t="e">
        <f t="shared" ca="1" si="68"/>
        <v>#N/A</v>
      </c>
      <c r="T374" s="160" t="e">
        <f t="shared" ca="1" si="68"/>
        <v>#N/A</v>
      </c>
      <c r="U374" s="160" t="e">
        <f t="shared" ca="1" si="69"/>
        <v>#N/A</v>
      </c>
      <c r="V374" s="163" t="e">
        <f t="shared" ca="1" si="61"/>
        <v>#N/A</v>
      </c>
      <c r="W374" s="163" t="e">
        <f t="shared" ca="1" si="62"/>
        <v>#N/A</v>
      </c>
      <c r="X374" s="163" t="e">
        <f t="shared" ca="1" si="63"/>
        <v>#N/A</v>
      </c>
      <c r="Y374" s="163" t="e">
        <f t="shared" ca="1" si="64"/>
        <v>#N/A</v>
      </c>
    </row>
    <row r="375" spans="12:25" ht="14.4">
      <c r="L375" s="464"/>
      <c r="M375" s="129" t="e">
        <f t="shared" si="65"/>
        <v>#N/A</v>
      </c>
      <c r="N375" s="161">
        <f t="shared" si="60"/>
        <v>13</v>
      </c>
      <c r="O375" s="160" t="e">
        <f t="shared" ca="1" si="66"/>
        <v>#N/A</v>
      </c>
      <c r="P375" s="160" t="e">
        <f t="shared" ca="1" si="67"/>
        <v>#N/A</v>
      </c>
      <c r="Q375" s="160" t="e">
        <f t="shared" ca="1" si="68"/>
        <v>#N/A</v>
      </c>
      <c r="R375" s="160" t="e">
        <f t="shared" ca="1" si="68"/>
        <v>#N/A</v>
      </c>
      <c r="S375" s="160" t="e">
        <f t="shared" ca="1" si="68"/>
        <v>#N/A</v>
      </c>
      <c r="T375" s="160" t="e">
        <f t="shared" ca="1" si="68"/>
        <v>#N/A</v>
      </c>
      <c r="U375" s="160" t="e">
        <f t="shared" ca="1" si="69"/>
        <v>#N/A</v>
      </c>
      <c r="V375" s="163" t="e">
        <f t="shared" ca="1" si="61"/>
        <v>#N/A</v>
      </c>
      <c r="W375" s="163" t="e">
        <f t="shared" ca="1" si="62"/>
        <v>#N/A</v>
      </c>
      <c r="X375" s="163" t="e">
        <f t="shared" ca="1" si="63"/>
        <v>#N/A</v>
      </c>
      <c r="Y375" s="163" t="e">
        <f t="shared" ca="1" si="64"/>
        <v>#N/A</v>
      </c>
    </row>
    <row r="376" spans="12:25" ht="14.4">
      <c r="L376" s="464"/>
      <c r="M376" s="129" t="e">
        <f t="shared" si="65"/>
        <v>#N/A</v>
      </c>
      <c r="N376" s="161">
        <f t="shared" si="60"/>
        <v>13</v>
      </c>
      <c r="O376" s="160" t="e">
        <f t="shared" ca="1" si="66"/>
        <v>#N/A</v>
      </c>
      <c r="P376" s="160" t="e">
        <f t="shared" ca="1" si="67"/>
        <v>#N/A</v>
      </c>
      <c r="Q376" s="160" t="e">
        <f t="shared" ca="1" si="68"/>
        <v>#N/A</v>
      </c>
      <c r="R376" s="160" t="e">
        <f t="shared" ca="1" si="68"/>
        <v>#N/A</v>
      </c>
      <c r="S376" s="160" t="e">
        <f t="shared" ca="1" si="68"/>
        <v>#N/A</v>
      </c>
      <c r="T376" s="160" t="e">
        <f t="shared" ca="1" si="68"/>
        <v>#N/A</v>
      </c>
      <c r="U376" s="160" t="e">
        <f t="shared" ca="1" si="69"/>
        <v>#N/A</v>
      </c>
      <c r="V376" s="163" t="e">
        <f t="shared" ca="1" si="61"/>
        <v>#N/A</v>
      </c>
      <c r="W376" s="163" t="e">
        <f t="shared" ca="1" si="62"/>
        <v>#N/A</v>
      </c>
      <c r="X376" s="163" t="e">
        <f t="shared" ca="1" si="63"/>
        <v>#N/A</v>
      </c>
      <c r="Y376" s="163" t="e">
        <f t="shared" ca="1" si="64"/>
        <v>#N/A</v>
      </c>
    </row>
    <row r="377" spans="12:25" ht="14.4">
      <c r="L377" s="464"/>
      <c r="M377" s="129" t="e">
        <f t="shared" si="65"/>
        <v>#N/A</v>
      </c>
      <c r="N377" s="161">
        <f t="shared" si="60"/>
        <v>13</v>
      </c>
      <c r="O377" s="160" t="e">
        <f t="shared" ca="1" si="66"/>
        <v>#N/A</v>
      </c>
      <c r="P377" s="160" t="e">
        <f t="shared" ca="1" si="67"/>
        <v>#N/A</v>
      </c>
      <c r="Q377" s="160" t="e">
        <f t="shared" ca="1" si="68"/>
        <v>#N/A</v>
      </c>
      <c r="R377" s="160" t="e">
        <f t="shared" ca="1" si="68"/>
        <v>#N/A</v>
      </c>
      <c r="S377" s="160" t="e">
        <f t="shared" ca="1" si="68"/>
        <v>#N/A</v>
      </c>
      <c r="T377" s="160" t="e">
        <f t="shared" ca="1" si="68"/>
        <v>#N/A</v>
      </c>
      <c r="U377" s="160" t="e">
        <f t="shared" ca="1" si="69"/>
        <v>#N/A</v>
      </c>
      <c r="V377" s="163" t="e">
        <f t="shared" ca="1" si="61"/>
        <v>#N/A</v>
      </c>
      <c r="W377" s="163" t="e">
        <f t="shared" ca="1" si="62"/>
        <v>#N/A</v>
      </c>
      <c r="X377" s="163" t="e">
        <f t="shared" ca="1" si="63"/>
        <v>#N/A</v>
      </c>
      <c r="Y377" s="163" t="e">
        <f t="shared" ca="1" si="64"/>
        <v>#N/A</v>
      </c>
    </row>
    <row r="378" spans="12:25" ht="14.4">
      <c r="L378" s="464"/>
      <c r="M378" s="129" t="e">
        <f t="shared" si="65"/>
        <v>#N/A</v>
      </c>
      <c r="N378" s="161">
        <f t="shared" si="60"/>
        <v>13</v>
      </c>
      <c r="O378" s="160" t="e">
        <f t="shared" ca="1" si="66"/>
        <v>#N/A</v>
      </c>
      <c r="P378" s="160" t="e">
        <f t="shared" ca="1" si="67"/>
        <v>#N/A</v>
      </c>
      <c r="Q378" s="160" t="e">
        <f t="shared" ca="1" si="68"/>
        <v>#N/A</v>
      </c>
      <c r="R378" s="160" t="e">
        <f t="shared" ca="1" si="68"/>
        <v>#N/A</v>
      </c>
      <c r="S378" s="160" t="e">
        <f t="shared" ca="1" si="68"/>
        <v>#N/A</v>
      </c>
      <c r="T378" s="160" t="e">
        <f t="shared" ca="1" si="68"/>
        <v>#N/A</v>
      </c>
      <c r="U378" s="160" t="e">
        <f t="shared" ca="1" si="69"/>
        <v>#N/A</v>
      </c>
      <c r="V378" s="163" t="e">
        <f t="shared" ca="1" si="61"/>
        <v>#N/A</v>
      </c>
      <c r="W378" s="163" t="e">
        <f t="shared" ca="1" si="62"/>
        <v>#N/A</v>
      </c>
      <c r="X378" s="163" t="e">
        <f t="shared" ca="1" si="63"/>
        <v>#N/A</v>
      </c>
      <c r="Y378" s="163" t="e">
        <f t="shared" ca="1" si="64"/>
        <v>#N/A</v>
      </c>
    </row>
    <row r="379" spans="12:25" ht="14.4">
      <c r="L379" s="464"/>
      <c r="M379" s="129" t="e">
        <f t="shared" si="65"/>
        <v>#N/A</v>
      </c>
      <c r="N379" s="161">
        <f t="shared" si="60"/>
        <v>13</v>
      </c>
      <c r="O379" s="160" t="e">
        <f t="shared" ca="1" si="66"/>
        <v>#N/A</v>
      </c>
      <c r="P379" s="160" t="e">
        <f t="shared" ca="1" si="67"/>
        <v>#N/A</v>
      </c>
      <c r="Q379" s="160" t="e">
        <f t="shared" ca="1" si="68"/>
        <v>#N/A</v>
      </c>
      <c r="R379" s="160" t="e">
        <f t="shared" ca="1" si="68"/>
        <v>#N/A</v>
      </c>
      <c r="S379" s="160" t="e">
        <f t="shared" ca="1" si="68"/>
        <v>#N/A</v>
      </c>
      <c r="T379" s="160" t="e">
        <f t="shared" ca="1" si="68"/>
        <v>#N/A</v>
      </c>
      <c r="U379" s="160" t="e">
        <f t="shared" ca="1" si="69"/>
        <v>#N/A</v>
      </c>
      <c r="V379" s="163" t="e">
        <f t="shared" ca="1" si="61"/>
        <v>#N/A</v>
      </c>
      <c r="W379" s="163" t="e">
        <f t="shared" ca="1" si="62"/>
        <v>#N/A</v>
      </c>
      <c r="X379" s="163" t="e">
        <f t="shared" ca="1" si="63"/>
        <v>#N/A</v>
      </c>
      <c r="Y379" s="163" t="e">
        <f t="shared" ca="1" si="64"/>
        <v>#N/A</v>
      </c>
    </row>
    <row r="380" spans="12:25" ht="14.4">
      <c r="L380" s="464"/>
      <c r="M380" s="129" t="e">
        <f t="shared" si="65"/>
        <v>#N/A</v>
      </c>
      <c r="N380" s="161">
        <f t="shared" si="60"/>
        <v>13</v>
      </c>
      <c r="O380" s="160" t="e">
        <f t="shared" ca="1" si="66"/>
        <v>#N/A</v>
      </c>
      <c r="P380" s="160" t="e">
        <f t="shared" ca="1" si="67"/>
        <v>#N/A</v>
      </c>
      <c r="Q380" s="160" t="e">
        <f t="shared" ca="1" si="68"/>
        <v>#N/A</v>
      </c>
      <c r="R380" s="160" t="e">
        <f t="shared" ca="1" si="68"/>
        <v>#N/A</v>
      </c>
      <c r="S380" s="160" t="e">
        <f t="shared" ca="1" si="68"/>
        <v>#N/A</v>
      </c>
      <c r="T380" s="160" t="e">
        <f t="shared" ca="1" si="68"/>
        <v>#N/A</v>
      </c>
      <c r="U380" s="160" t="e">
        <f t="shared" ca="1" si="69"/>
        <v>#N/A</v>
      </c>
      <c r="V380" s="163" t="e">
        <f t="shared" ca="1" si="61"/>
        <v>#N/A</v>
      </c>
      <c r="W380" s="163" t="e">
        <f t="shared" ca="1" si="62"/>
        <v>#N/A</v>
      </c>
      <c r="X380" s="163" t="e">
        <f t="shared" ca="1" si="63"/>
        <v>#N/A</v>
      </c>
      <c r="Y380" s="163" t="e">
        <f t="shared" ca="1" si="64"/>
        <v>#N/A</v>
      </c>
    </row>
    <row r="381" spans="12:25" ht="14.4">
      <c r="L381" s="464"/>
      <c r="M381" s="129" t="e">
        <f t="shared" si="65"/>
        <v>#N/A</v>
      </c>
      <c r="N381" s="161">
        <f t="shared" si="60"/>
        <v>13</v>
      </c>
      <c r="O381" s="160" t="e">
        <f t="shared" ca="1" si="66"/>
        <v>#N/A</v>
      </c>
      <c r="P381" s="160" t="e">
        <f t="shared" ca="1" si="67"/>
        <v>#N/A</v>
      </c>
      <c r="Q381" s="160" t="e">
        <f t="shared" ca="1" si="68"/>
        <v>#N/A</v>
      </c>
      <c r="R381" s="160" t="e">
        <f t="shared" ca="1" si="68"/>
        <v>#N/A</v>
      </c>
      <c r="S381" s="160" t="e">
        <f t="shared" ca="1" si="68"/>
        <v>#N/A</v>
      </c>
      <c r="T381" s="160" t="e">
        <f t="shared" ca="1" si="68"/>
        <v>#N/A</v>
      </c>
      <c r="U381" s="160" t="e">
        <f t="shared" ca="1" si="69"/>
        <v>#N/A</v>
      </c>
      <c r="V381" s="163" t="e">
        <f t="shared" ca="1" si="61"/>
        <v>#N/A</v>
      </c>
      <c r="W381" s="163" t="e">
        <f t="shared" ca="1" si="62"/>
        <v>#N/A</v>
      </c>
      <c r="X381" s="163" t="e">
        <f t="shared" ca="1" si="63"/>
        <v>#N/A</v>
      </c>
      <c r="Y381" s="163" t="e">
        <f t="shared" ca="1" si="64"/>
        <v>#N/A</v>
      </c>
    </row>
    <row r="382" spans="12:25" ht="14.4">
      <c r="L382" s="464"/>
      <c r="M382" s="129" t="e">
        <f t="shared" si="65"/>
        <v>#N/A</v>
      </c>
      <c r="N382" s="161">
        <f t="shared" si="60"/>
        <v>13</v>
      </c>
      <c r="O382" s="160" t="e">
        <f t="shared" ca="1" si="66"/>
        <v>#N/A</v>
      </c>
      <c r="P382" s="160" t="e">
        <f t="shared" ca="1" si="67"/>
        <v>#N/A</v>
      </c>
      <c r="Q382" s="160" t="e">
        <f t="shared" ca="1" si="68"/>
        <v>#N/A</v>
      </c>
      <c r="R382" s="160" t="e">
        <f t="shared" ca="1" si="68"/>
        <v>#N/A</v>
      </c>
      <c r="S382" s="160" t="e">
        <f t="shared" ca="1" si="68"/>
        <v>#N/A</v>
      </c>
      <c r="T382" s="160" t="e">
        <f t="shared" ca="1" si="68"/>
        <v>#N/A</v>
      </c>
      <c r="U382" s="160" t="e">
        <f t="shared" ca="1" si="69"/>
        <v>#N/A</v>
      </c>
      <c r="V382" s="163" t="e">
        <f t="shared" ca="1" si="61"/>
        <v>#N/A</v>
      </c>
      <c r="W382" s="163" t="e">
        <f t="shared" ca="1" si="62"/>
        <v>#N/A</v>
      </c>
      <c r="X382" s="163" t="e">
        <f t="shared" ca="1" si="63"/>
        <v>#N/A</v>
      </c>
      <c r="Y382" s="163" t="e">
        <f t="shared" ca="1" si="64"/>
        <v>#N/A</v>
      </c>
    </row>
    <row r="383" spans="12:25" ht="14.4">
      <c r="L383" s="464"/>
      <c r="M383" s="129" t="e">
        <f t="shared" si="65"/>
        <v>#N/A</v>
      </c>
      <c r="N383" s="161">
        <f t="shared" si="60"/>
        <v>13</v>
      </c>
      <c r="O383" s="160" t="e">
        <f t="shared" ca="1" si="66"/>
        <v>#N/A</v>
      </c>
      <c r="P383" s="160" t="e">
        <f t="shared" ca="1" si="67"/>
        <v>#N/A</v>
      </c>
      <c r="Q383" s="160" t="e">
        <f t="shared" ca="1" si="68"/>
        <v>#N/A</v>
      </c>
      <c r="R383" s="160" t="e">
        <f t="shared" ca="1" si="68"/>
        <v>#N/A</v>
      </c>
      <c r="S383" s="160" t="e">
        <f t="shared" ca="1" si="68"/>
        <v>#N/A</v>
      </c>
      <c r="T383" s="160" t="e">
        <f t="shared" ca="1" si="68"/>
        <v>#N/A</v>
      </c>
      <c r="U383" s="160" t="e">
        <f t="shared" ca="1" si="69"/>
        <v>#N/A</v>
      </c>
      <c r="V383" s="163" t="e">
        <f t="shared" ca="1" si="61"/>
        <v>#N/A</v>
      </c>
      <c r="W383" s="163" t="e">
        <f t="shared" ca="1" si="62"/>
        <v>#N/A</v>
      </c>
      <c r="X383" s="163" t="e">
        <f t="shared" ca="1" si="63"/>
        <v>#N/A</v>
      </c>
      <c r="Y383" s="163" t="e">
        <f t="shared" ca="1" si="64"/>
        <v>#N/A</v>
      </c>
    </row>
    <row r="384" spans="12:25" ht="14.4">
      <c r="L384" s="464"/>
      <c r="M384" s="129" t="e">
        <f t="shared" si="65"/>
        <v>#N/A</v>
      </c>
      <c r="N384" s="161">
        <f t="shared" si="60"/>
        <v>13</v>
      </c>
      <c r="O384" s="160" t="e">
        <f t="shared" ca="1" si="66"/>
        <v>#N/A</v>
      </c>
      <c r="P384" s="160" t="e">
        <f t="shared" ca="1" si="67"/>
        <v>#N/A</v>
      </c>
      <c r="Q384" s="160" t="e">
        <f t="shared" ca="1" si="68"/>
        <v>#N/A</v>
      </c>
      <c r="R384" s="160" t="e">
        <f t="shared" ca="1" si="68"/>
        <v>#N/A</v>
      </c>
      <c r="S384" s="160" t="e">
        <f t="shared" ca="1" si="68"/>
        <v>#N/A</v>
      </c>
      <c r="T384" s="160" t="e">
        <f t="shared" ca="1" si="68"/>
        <v>#N/A</v>
      </c>
      <c r="U384" s="160" t="e">
        <f t="shared" ca="1" si="69"/>
        <v>#N/A</v>
      </c>
      <c r="V384" s="163" t="e">
        <f t="shared" ca="1" si="61"/>
        <v>#N/A</v>
      </c>
      <c r="W384" s="163" t="e">
        <f t="shared" ca="1" si="62"/>
        <v>#N/A</v>
      </c>
      <c r="X384" s="163" t="e">
        <f t="shared" ca="1" si="63"/>
        <v>#N/A</v>
      </c>
      <c r="Y384" s="163" t="e">
        <f t="shared" ca="1" si="64"/>
        <v>#N/A</v>
      </c>
    </row>
    <row r="385" spans="12:25" ht="14.4">
      <c r="L385" s="464"/>
      <c r="M385" s="129" t="e">
        <f t="shared" si="65"/>
        <v>#N/A</v>
      </c>
      <c r="N385" s="161">
        <f t="shared" si="60"/>
        <v>13</v>
      </c>
      <c r="O385" s="160" t="e">
        <f t="shared" ca="1" si="66"/>
        <v>#N/A</v>
      </c>
      <c r="P385" s="160" t="e">
        <f t="shared" ca="1" si="67"/>
        <v>#N/A</v>
      </c>
      <c r="Q385" s="160" t="e">
        <f t="shared" ca="1" si="68"/>
        <v>#N/A</v>
      </c>
      <c r="R385" s="160" t="e">
        <f t="shared" ca="1" si="68"/>
        <v>#N/A</v>
      </c>
      <c r="S385" s="160" t="e">
        <f t="shared" ca="1" si="68"/>
        <v>#N/A</v>
      </c>
      <c r="T385" s="160" t="e">
        <f t="shared" ca="1" si="68"/>
        <v>#N/A</v>
      </c>
      <c r="U385" s="160" t="e">
        <f t="shared" ca="1" si="69"/>
        <v>#N/A</v>
      </c>
      <c r="V385" s="163" t="e">
        <f t="shared" ca="1" si="61"/>
        <v>#N/A</v>
      </c>
      <c r="W385" s="163" t="e">
        <f t="shared" ca="1" si="62"/>
        <v>#N/A</v>
      </c>
      <c r="X385" s="163" t="e">
        <f t="shared" ca="1" si="63"/>
        <v>#N/A</v>
      </c>
      <c r="Y385" s="163" t="e">
        <f t="shared" ca="1" si="64"/>
        <v>#N/A</v>
      </c>
    </row>
    <row r="386" spans="12:25" ht="14.4">
      <c r="L386" s="464"/>
      <c r="M386" s="129" t="e">
        <f t="shared" si="65"/>
        <v>#N/A</v>
      </c>
      <c r="N386" s="161">
        <f t="shared" si="60"/>
        <v>13</v>
      </c>
      <c r="O386" s="160" t="e">
        <f t="shared" ca="1" si="66"/>
        <v>#N/A</v>
      </c>
      <c r="P386" s="160" t="e">
        <f t="shared" ca="1" si="67"/>
        <v>#N/A</v>
      </c>
      <c r="Q386" s="160" t="e">
        <f t="shared" ca="1" si="68"/>
        <v>#N/A</v>
      </c>
      <c r="R386" s="160" t="e">
        <f t="shared" ca="1" si="68"/>
        <v>#N/A</v>
      </c>
      <c r="S386" s="160" t="e">
        <f t="shared" ca="1" si="68"/>
        <v>#N/A</v>
      </c>
      <c r="T386" s="160" t="e">
        <f t="shared" ca="1" si="68"/>
        <v>#N/A</v>
      </c>
      <c r="U386" s="160" t="e">
        <f t="shared" ca="1" si="69"/>
        <v>#N/A</v>
      </c>
      <c r="V386" s="163" t="e">
        <f t="shared" ca="1" si="61"/>
        <v>#N/A</v>
      </c>
      <c r="W386" s="163" t="e">
        <f t="shared" ca="1" si="62"/>
        <v>#N/A</v>
      </c>
      <c r="X386" s="163" t="e">
        <f t="shared" ca="1" si="63"/>
        <v>#N/A</v>
      </c>
      <c r="Y386" s="163" t="e">
        <f t="shared" ca="1" si="64"/>
        <v>#N/A</v>
      </c>
    </row>
    <row r="387" spans="12:25" ht="14.4">
      <c r="L387" s="464"/>
      <c r="M387" s="129" t="e">
        <f t="shared" si="65"/>
        <v>#N/A</v>
      </c>
      <c r="N387" s="161">
        <f t="shared" si="60"/>
        <v>13</v>
      </c>
      <c r="O387" s="160" t="e">
        <f t="shared" ca="1" si="66"/>
        <v>#N/A</v>
      </c>
      <c r="P387" s="160" t="e">
        <f t="shared" ca="1" si="67"/>
        <v>#N/A</v>
      </c>
      <c r="Q387" s="160" t="e">
        <f t="shared" ca="1" si="68"/>
        <v>#N/A</v>
      </c>
      <c r="R387" s="160" t="e">
        <f t="shared" ca="1" si="68"/>
        <v>#N/A</v>
      </c>
      <c r="S387" s="160" t="e">
        <f t="shared" ca="1" si="68"/>
        <v>#N/A</v>
      </c>
      <c r="T387" s="160" t="e">
        <f t="shared" ca="1" si="68"/>
        <v>#N/A</v>
      </c>
      <c r="U387" s="160" t="e">
        <f t="shared" ca="1" si="69"/>
        <v>#N/A</v>
      </c>
      <c r="V387" s="163" t="e">
        <f t="shared" ca="1" si="61"/>
        <v>#N/A</v>
      </c>
      <c r="W387" s="163" t="e">
        <f t="shared" ca="1" si="62"/>
        <v>#N/A</v>
      </c>
      <c r="X387" s="163" t="e">
        <f t="shared" ca="1" si="63"/>
        <v>#N/A</v>
      </c>
      <c r="Y387" s="163" t="e">
        <f t="shared" ca="1" si="64"/>
        <v>#N/A</v>
      </c>
    </row>
    <row r="388" spans="12:25" ht="14.4">
      <c r="L388" s="464"/>
      <c r="M388" s="129" t="e">
        <f t="shared" si="65"/>
        <v>#N/A</v>
      </c>
      <c r="N388" s="161">
        <f t="shared" si="60"/>
        <v>13</v>
      </c>
      <c r="O388" s="160" t="e">
        <f t="shared" ca="1" si="66"/>
        <v>#N/A</v>
      </c>
      <c r="P388" s="160" t="e">
        <f t="shared" ca="1" si="67"/>
        <v>#N/A</v>
      </c>
      <c r="Q388" s="160" t="e">
        <f t="shared" ca="1" si="68"/>
        <v>#N/A</v>
      </c>
      <c r="R388" s="160" t="e">
        <f t="shared" ca="1" si="68"/>
        <v>#N/A</v>
      </c>
      <c r="S388" s="160" t="e">
        <f t="shared" ca="1" si="68"/>
        <v>#N/A</v>
      </c>
      <c r="T388" s="160" t="e">
        <f t="shared" ca="1" si="68"/>
        <v>#N/A</v>
      </c>
      <c r="U388" s="160" t="e">
        <f t="shared" ca="1" si="69"/>
        <v>#N/A</v>
      </c>
      <c r="V388" s="163" t="e">
        <f t="shared" ca="1" si="61"/>
        <v>#N/A</v>
      </c>
      <c r="W388" s="163" t="e">
        <f t="shared" ca="1" si="62"/>
        <v>#N/A</v>
      </c>
      <c r="X388" s="163" t="e">
        <f t="shared" ca="1" si="63"/>
        <v>#N/A</v>
      </c>
      <c r="Y388" s="163" t="e">
        <f t="shared" ca="1" si="64"/>
        <v>#N/A</v>
      </c>
    </row>
    <row r="389" spans="12:25" ht="14.4">
      <c r="L389" s="464"/>
      <c r="M389" s="129" t="e">
        <f t="shared" si="65"/>
        <v>#N/A</v>
      </c>
      <c r="N389" s="161">
        <f t="shared" si="60"/>
        <v>13</v>
      </c>
      <c r="O389" s="160" t="e">
        <f t="shared" ca="1" si="66"/>
        <v>#N/A</v>
      </c>
      <c r="P389" s="160" t="e">
        <f t="shared" ca="1" si="67"/>
        <v>#N/A</v>
      </c>
      <c r="Q389" s="160" t="e">
        <f t="shared" ca="1" si="68"/>
        <v>#N/A</v>
      </c>
      <c r="R389" s="160" t="e">
        <f t="shared" ca="1" si="68"/>
        <v>#N/A</v>
      </c>
      <c r="S389" s="160" t="e">
        <f t="shared" ca="1" si="68"/>
        <v>#N/A</v>
      </c>
      <c r="T389" s="160" t="e">
        <f t="shared" ca="1" si="68"/>
        <v>#N/A</v>
      </c>
      <c r="U389" s="160" t="e">
        <f t="shared" ca="1" si="69"/>
        <v>#N/A</v>
      </c>
      <c r="V389" s="163" t="e">
        <f t="shared" ca="1" si="61"/>
        <v>#N/A</v>
      </c>
      <c r="W389" s="163" t="e">
        <f t="shared" ca="1" si="62"/>
        <v>#N/A</v>
      </c>
      <c r="X389" s="163" t="e">
        <f t="shared" ca="1" si="63"/>
        <v>#N/A</v>
      </c>
      <c r="Y389" s="163" t="e">
        <f t="shared" ca="1" si="64"/>
        <v>#N/A</v>
      </c>
    </row>
    <row r="390" spans="12:25" ht="14.4">
      <c r="L390" s="464"/>
      <c r="M390" s="129" t="e">
        <f t="shared" si="65"/>
        <v>#N/A</v>
      </c>
      <c r="N390" s="161">
        <f t="shared" si="60"/>
        <v>13</v>
      </c>
      <c r="O390" s="160" t="e">
        <f t="shared" ca="1" si="66"/>
        <v>#N/A</v>
      </c>
      <c r="P390" s="160" t="e">
        <f t="shared" ca="1" si="67"/>
        <v>#N/A</v>
      </c>
      <c r="Q390" s="160" t="e">
        <f t="shared" ca="1" si="68"/>
        <v>#N/A</v>
      </c>
      <c r="R390" s="160" t="e">
        <f t="shared" ca="1" si="68"/>
        <v>#N/A</v>
      </c>
      <c r="S390" s="160" t="e">
        <f t="shared" ca="1" si="68"/>
        <v>#N/A</v>
      </c>
      <c r="T390" s="160" t="e">
        <f t="shared" ca="1" si="68"/>
        <v>#N/A</v>
      </c>
      <c r="U390" s="160" t="e">
        <f t="shared" ca="1" si="69"/>
        <v>#N/A</v>
      </c>
      <c r="V390" s="163" t="e">
        <f t="shared" ca="1" si="61"/>
        <v>#N/A</v>
      </c>
      <c r="W390" s="163" t="e">
        <f t="shared" ca="1" si="62"/>
        <v>#N/A</v>
      </c>
      <c r="X390" s="163" t="e">
        <f t="shared" ca="1" si="63"/>
        <v>#N/A</v>
      </c>
      <c r="Y390" s="163" t="e">
        <f t="shared" ca="1" si="64"/>
        <v>#N/A</v>
      </c>
    </row>
    <row r="391" spans="12:25" ht="14.4">
      <c r="L391" s="464"/>
      <c r="M391" s="129" t="e">
        <f t="shared" si="65"/>
        <v>#N/A</v>
      </c>
      <c r="N391" s="161">
        <f t="shared" si="60"/>
        <v>13</v>
      </c>
      <c r="O391" s="160" t="e">
        <f t="shared" ca="1" si="66"/>
        <v>#N/A</v>
      </c>
      <c r="P391" s="160" t="e">
        <f t="shared" ca="1" si="67"/>
        <v>#N/A</v>
      </c>
      <c r="Q391" s="160" t="e">
        <f t="shared" ca="1" si="68"/>
        <v>#N/A</v>
      </c>
      <c r="R391" s="160" t="e">
        <f t="shared" ca="1" si="68"/>
        <v>#N/A</v>
      </c>
      <c r="S391" s="160" t="e">
        <f t="shared" ca="1" si="68"/>
        <v>#N/A</v>
      </c>
      <c r="T391" s="160" t="e">
        <f t="shared" ca="1" si="68"/>
        <v>#N/A</v>
      </c>
      <c r="U391" s="160" t="e">
        <f t="shared" ca="1" si="69"/>
        <v>#N/A</v>
      </c>
      <c r="V391" s="163" t="e">
        <f t="shared" ca="1" si="61"/>
        <v>#N/A</v>
      </c>
      <c r="W391" s="163" t="e">
        <f t="shared" ca="1" si="62"/>
        <v>#N/A</v>
      </c>
      <c r="X391" s="163" t="e">
        <f t="shared" ca="1" si="63"/>
        <v>#N/A</v>
      </c>
      <c r="Y391" s="163" t="e">
        <f t="shared" ca="1" si="64"/>
        <v>#N/A</v>
      </c>
    </row>
    <row r="392" spans="12:25" ht="14.4">
      <c r="L392" s="464"/>
      <c r="M392" s="129" t="e">
        <f t="shared" si="65"/>
        <v>#N/A</v>
      </c>
      <c r="N392" s="161">
        <f t="shared" si="60"/>
        <v>13</v>
      </c>
      <c r="O392" s="160" t="e">
        <f t="shared" ca="1" si="66"/>
        <v>#N/A</v>
      </c>
      <c r="P392" s="160" t="e">
        <f t="shared" ca="1" si="67"/>
        <v>#N/A</v>
      </c>
      <c r="Q392" s="160" t="e">
        <f t="shared" ca="1" si="68"/>
        <v>#N/A</v>
      </c>
      <c r="R392" s="160" t="e">
        <f t="shared" ca="1" si="68"/>
        <v>#N/A</v>
      </c>
      <c r="S392" s="160" t="e">
        <f t="shared" ca="1" si="68"/>
        <v>#N/A</v>
      </c>
      <c r="T392" s="160" t="e">
        <f t="shared" ca="1" si="68"/>
        <v>#N/A</v>
      </c>
      <c r="U392" s="160" t="e">
        <f t="shared" ca="1" si="69"/>
        <v>#N/A</v>
      </c>
      <c r="V392" s="163" t="e">
        <f t="shared" ca="1" si="61"/>
        <v>#N/A</v>
      </c>
      <c r="W392" s="163" t="e">
        <f t="shared" ca="1" si="62"/>
        <v>#N/A</v>
      </c>
      <c r="X392" s="163" t="e">
        <f t="shared" ca="1" si="63"/>
        <v>#N/A</v>
      </c>
      <c r="Y392" s="163" t="e">
        <f t="shared" ca="1" si="64"/>
        <v>#N/A</v>
      </c>
    </row>
    <row r="393" spans="12:25" ht="14.4">
      <c r="L393" s="464"/>
      <c r="M393" s="129" t="e">
        <f t="shared" si="65"/>
        <v>#N/A</v>
      </c>
      <c r="N393" s="161">
        <f t="shared" si="60"/>
        <v>13</v>
      </c>
      <c r="O393" s="160" t="e">
        <f t="shared" ca="1" si="66"/>
        <v>#N/A</v>
      </c>
      <c r="P393" s="160" t="e">
        <f t="shared" ca="1" si="67"/>
        <v>#N/A</v>
      </c>
      <c r="Q393" s="160" t="e">
        <f t="shared" ca="1" si="68"/>
        <v>#N/A</v>
      </c>
      <c r="R393" s="160" t="e">
        <f t="shared" ca="1" si="68"/>
        <v>#N/A</v>
      </c>
      <c r="S393" s="160" t="e">
        <f t="shared" ca="1" si="68"/>
        <v>#N/A</v>
      </c>
      <c r="T393" s="160" t="e">
        <f t="shared" ca="1" si="68"/>
        <v>#N/A</v>
      </c>
      <c r="U393" s="160" t="e">
        <f t="shared" ca="1" si="69"/>
        <v>#N/A</v>
      </c>
      <c r="V393" s="163" t="e">
        <f t="shared" ca="1" si="61"/>
        <v>#N/A</v>
      </c>
      <c r="W393" s="163" t="e">
        <f t="shared" ca="1" si="62"/>
        <v>#N/A</v>
      </c>
      <c r="X393" s="163" t="e">
        <f t="shared" ca="1" si="63"/>
        <v>#N/A</v>
      </c>
      <c r="Y393" s="163" t="e">
        <f t="shared" ca="1" si="64"/>
        <v>#N/A</v>
      </c>
    </row>
    <row r="394" spans="12:25" ht="14.4">
      <c r="L394" s="464"/>
      <c r="M394" s="129" t="e">
        <f t="shared" si="65"/>
        <v>#N/A</v>
      </c>
      <c r="N394" s="161">
        <f t="shared" si="60"/>
        <v>13</v>
      </c>
      <c r="O394" s="160" t="e">
        <f t="shared" ca="1" si="66"/>
        <v>#N/A</v>
      </c>
      <c r="P394" s="160" t="e">
        <f t="shared" ca="1" si="67"/>
        <v>#N/A</v>
      </c>
      <c r="Q394" s="160" t="e">
        <f t="shared" ca="1" si="68"/>
        <v>#N/A</v>
      </c>
      <c r="R394" s="160" t="e">
        <f t="shared" ca="1" si="68"/>
        <v>#N/A</v>
      </c>
      <c r="S394" s="160" t="e">
        <f t="shared" ca="1" si="68"/>
        <v>#N/A</v>
      </c>
      <c r="T394" s="160" t="e">
        <f t="shared" ca="1" si="68"/>
        <v>#N/A</v>
      </c>
      <c r="U394" s="160" t="e">
        <f t="shared" ca="1" si="69"/>
        <v>#N/A</v>
      </c>
      <c r="V394" s="163" t="e">
        <f t="shared" ca="1" si="61"/>
        <v>#N/A</v>
      </c>
      <c r="W394" s="163" t="e">
        <f t="shared" ca="1" si="62"/>
        <v>#N/A</v>
      </c>
      <c r="X394" s="163" t="e">
        <f t="shared" ca="1" si="63"/>
        <v>#N/A</v>
      </c>
      <c r="Y394" s="163" t="e">
        <f t="shared" ca="1" si="64"/>
        <v>#N/A</v>
      </c>
    </row>
    <row r="395" spans="12:25" ht="14.4">
      <c r="L395" s="464"/>
      <c r="M395" s="129" t="e">
        <f t="shared" si="65"/>
        <v>#N/A</v>
      </c>
      <c r="N395" s="161">
        <f t="shared" si="60"/>
        <v>13</v>
      </c>
      <c r="O395" s="160" t="e">
        <f t="shared" ca="1" si="66"/>
        <v>#N/A</v>
      </c>
      <c r="P395" s="160" t="e">
        <f t="shared" ca="1" si="67"/>
        <v>#N/A</v>
      </c>
      <c r="Q395" s="160" t="e">
        <f t="shared" ca="1" si="68"/>
        <v>#N/A</v>
      </c>
      <c r="R395" s="160" t="e">
        <f t="shared" ca="1" si="68"/>
        <v>#N/A</v>
      </c>
      <c r="S395" s="160" t="e">
        <f t="shared" ca="1" si="68"/>
        <v>#N/A</v>
      </c>
      <c r="T395" s="160" t="e">
        <f t="shared" ca="1" si="68"/>
        <v>#N/A</v>
      </c>
      <c r="U395" s="160" t="e">
        <f t="shared" ca="1" si="69"/>
        <v>#N/A</v>
      </c>
      <c r="V395" s="163" t="e">
        <f t="shared" ca="1" si="61"/>
        <v>#N/A</v>
      </c>
      <c r="W395" s="163" t="e">
        <f t="shared" ca="1" si="62"/>
        <v>#N/A</v>
      </c>
      <c r="X395" s="163" t="e">
        <f t="shared" ca="1" si="63"/>
        <v>#N/A</v>
      </c>
      <c r="Y395" s="163" t="e">
        <f t="shared" ca="1" si="64"/>
        <v>#N/A</v>
      </c>
    </row>
    <row r="396" spans="12:25" ht="14.4">
      <c r="L396" s="464"/>
      <c r="M396" s="129" t="e">
        <f t="shared" si="65"/>
        <v>#N/A</v>
      </c>
      <c r="N396" s="161">
        <f t="shared" si="60"/>
        <v>13</v>
      </c>
      <c r="O396" s="160" t="e">
        <f t="shared" ca="1" si="66"/>
        <v>#N/A</v>
      </c>
      <c r="P396" s="160" t="e">
        <f t="shared" ca="1" si="67"/>
        <v>#N/A</v>
      </c>
      <c r="Q396" s="160" t="e">
        <f t="shared" ca="1" si="68"/>
        <v>#N/A</v>
      </c>
      <c r="R396" s="160" t="e">
        <f t="shared" ca="1" si="68"/>
        <v>#N/A</v>
      </c>
      <c r="S396" s="160" t="e">
        <f t="shared" ca="1" si="68"/>
        <v>#N/A</v>
      </c>
      <c r="T396" s="160" t="e">
        <f t="shared" ca="1" si="68"/>
        <v>#N/A</v>
      </c>
      <c r="U396" s="160" t="e">
        <f t="shared" ca="1" si="69"/>
        <v>#N/A</v>
      </c>
      <c r="V396" s="163" t="e">
        <f t="shared" ca="1" si="61"/>
        <v>#N/A</v>
      </c>
      <c r="W396" s="163" t="e">
        <f t="shared" ca="1" si="62"/>
        <v>#N/A</v>
      </c>
      <c r="X396" s="163" t="e">
        <f t="shared" ca="1" si="63"/>
        <v>#N/A</v>
      </c>
      <c r="Y396" s="163" t="e">
        <f t="shared" ca="1" si="64"/>
        <v>#N/A</v>
      </c>
    </row>
    <row r="397" spans="12:25" ht="14.4">
      <c r="L397" s="464"/>
      <c r="M397" s="129" t="e">
        <f t="shared" si="65"/>
        <v>#N/A</v>
      </c>
      <c r="N397" s="161">
        <f t="shared" si="60"/>
        <v>13</v>
      </c>
      <c r="O397" s="160" t="e">
        <f t="shared" ca="1" si="66"/>
        <v>#N/A</v>
      </c>
      <c r="P397" s="160" t="e">
        <f t="shared" ca="1" si="67"/>
        <v>#N/A</v>
      </c>
      <c r="Q397" s="160" t="e">
        <f t="shared" ca="1" si="68"/>
        <v>#N/A</v>
      </c>
      <c r="R397" s="160" t="e">
        <f t="shared" ca="1" si="68"/>
        <v>#N/A</v>
      </c>
      <c r="S397" s="160" t="e">
        <f t="shared" ca="1" si="68"/>
        <v>#N/A</v>
      </c>
      <c r="T397" s="160" t="e">
        <f t="shared" ca="1" si="68"/>
        <v>#N/A</v>
      </c>
      <c r="U397" s="160" t="e">
        <f t="shared" ca="1" si="69"/>
        <v>#N/A</v>
      </c>
      <c r="V397" s="163" t="e">
        <f t="shared" ca="1" si="61"/>
        <v>#N/A</v>
      </c>
      <c r="W397" s="163" t="e">
        <f t="shared" ca="1" si="62"/>
        <v>#N/A</v>
      </c>
      <c r="X397" s="163" t="e">
        <f t="shared" ca="1" si="63"/>
        <v>#N/A</v>
      </c>
      <c r="Y397" s="163" t="e">
        <f t="shared" ca="1" si="64"/>
        <v>#N/A</v>
      </c>
    </row>
    <row r="398" spans="12:25" ht="14.4">
      <c r="L398" s="464"/>
      <c r="M398" s="129" t="e">
        <f t="shared" si="65"/>
        <v>#N/A</v>
      </c>
      <c r="N398" s="161">
        <f t="shared" si="60"/>
        <v>13</v>
      </c>
      <c r="O398" s="160" t="e">
        <f t="shared" ca="1" si="66"/>
        <v>#N/A</v>
      </c>
      <c r="P398" s="160" t="e">
        <f t="shared" ca="1" si="67"/>
        <v>#N/A</v>
      </c>
      <c r="Q398" s="160" t="e">
        <f t="shared" ca="1" si="68"/>
        <v>#N/A</v>
      </c>
      <c r="R398" s="160" t="e">
        <f t="shared" ca="1" si="68"/>
        <v>#N/A</v>
      </c>
      <c r="S398" s="160" t="e">
        <f t="shared" ca="1" si="68"/>
        <v>#N/A</v>
      </c>
      <c r="T398" s="160" t="e">
        <f t="shared" ca="1" si="68"/>
        <v>#N/A</v>
      </c>
      <c r="U398" s="160" t="e">
        <f t="shared" ca="1" si="69"/>
        <v>#N/A</v>
      </c>
      <c r="V398" s="163" t="e">
        <f t="shared" ca="1" si="61"/>
        <v>#N/A</v>
      </c>
      <c r="W398" s="163" t="e">
        <f t="shared" ca="1" si="62"/>
        <v>#N/A</v>
      </c>
      <c r="X398" s="163" t="e">
        <f t="shared" ca="1" si="63"/>
        <v>#N/A</v>
      </c>
      <c r="Y398" s="163" t="e">
        <f t="shared" ca="1" si="64"/>
        <v>#N/A</v>
      </c>
    </row>
    <row r="399" spans="12:25" ht="14.4">
      <c r="L399" s="464"/>
      <c r="M399" s="129" t="e">
        <f t="shared" si="65"/>
        <v>#N/A</v>
      </c>
      <c r="N399" s="161">
        <f t="shared" si="60"/>
        <v>13</v>
      </c>
      <c r="O399" s="160" t="e">
        <f t="shared" ca="1" si="66"/>
        <v>#N/A</v>
      </c>
      <c r="P399" s="160" t="e">
        <f t="shared" ca="1" si="67"/>
        <v>#N/A</v>
      </c>
      <c r="Q399" s="160" t="e">
        <f t="shared" ca="1" si="68"/>
        <v>#N/A</v>
      </c>
      <c r="R399" s="160" t="e">
        <f t="shared" ca="1" si="68"/>
        <v>#N/A</v>
      </c>
      <c r="S399" s="160" t="e">
        <f t="shared" ca="1" si="68"/>
        <v>#N/A</v>
      </c>
      <c r="T399" s="160" t="e">
        <f t="shared" ca="1" si="68"/>
        <v>#N/A</v>
      </c>
      <c r="U399" s="160" t="e">
        <f t="shared" ca="1" si="69"/>
        <v>#N/A</v>
      </c>
      <c r="V399" s="163" t="e">
        <f t="shared" ca="1" si="61"/>
        <v>#N/A</v>
      </c>
      <c r="W399" s="163" t="e">
        <f t="shared" ca="1" si="62"/>
        <v>#N/A</v>
      </c>
      <c r="X399" s="163" t="e">
        <f t="shared" ca="1" si="63"/>
        <v>#N/A</v>
      </c>
      <c r="Y399" s="163" t="e">
        <f t="shared" ca="1" si="64"/>
        <v>#N/A</v>
      </c>
    </row>
    <row r="400" spans="12:25" ht="14.4">
      <c r="L400" s="464"/>
      <c r="M400" s="129" t="e">
        <f t="shared" si="65"/>
        <v>#N/A</v>
      </c>
      <c r="N400" s="161">
        <f t="shared" si="60"/>
        <v>13</v>
      </c>
      <c r="O400" s="160" t="e">
        <f t="shared" ca="1" si="66"/>
        <v>#N/A</v>
      </c>
      <c r="P400" s="160" t="e">
        <f t="shared" ca="1" si="67"/>
        <v>#N/A</v>
      </c>
      <c r="Q400" s="160" t="e">
        <f t="shared" ca="1" si="68"/>
        <v>#N/A</v>
      </c>
      <c r="R400" s="160" t="e">
        <f t="shared" ca="1" si="68"/>
        <v>#N/A</v>
      </c>
      <c r="S400" s="160" t="e">
        <f t="shared" ca="1" si="68"/>
        <v>#N/A</v>
      </c>
      <c r="T400" s="160" t="e">
        <f t="shared" ca="1" si="68"/>
        <v>#N/A</v>
      </c>
      <c r="U400" s="160" t="e">
        <f t="shared" ca="1" si="69"/>
        <v>#N/A</v>
      </c>
      <c r="V400" s="163" t="e">
        <f t="shared" ca="1" si="61"/>
        <v>#N/A</v>
      </c>
      <c r="W400" s="163" t="e">
        <f t="shared" ca="1" si="62"/>
        <v>#N/A</v>
      </c>
      <c r="X400" s="163" t="e">
        <f t="shared" ca="1" si="63"/>
        <v>#N/A</v>
      </c>
      <c r="Y400" s="163" t="e">
        <f t="shared" ca="1" si="64"/>
        <v>#N/A</v>
      </c>
    </row>
    <row r="401" spans="12:25" ht="14.4">
      <c r="L401" s="464"/>
      <c r="M401" s="129" t="e">
        <f t="shared" si="65"/>
        <v>#N/A</v>
      </c>
      <c r="N401" s="161">
        <f t="shared" si="60"/>
        <v>13</v>
      </c>
      <c r="O401" s="160" t="e">
        <f t="shared" ca="1" si="66"/>
        <v>#N/A</v>
      </c>
      <c r="P401" s="160" t="e">
        <f t="shared" ca="1" si="67"/>
        <v>#N/A</v>
      </c>
      <c r="Q401" s="160" t="e">
        <f t="shared" ca="1" si="68"/>
        <v>#N/A</v>
      </c>
      <c r="R401" s="160" t="e">
        <f t="shared" ca="1" si="68"/>
        <v>#N/A</v>
      </c>
      <c r="S401" s="160" t="e">
        <f t="shared" ca="1" si="68"/>
        <v>#N/A</v>
      </c>
      <c r="T401" s="160" t="e">
        <f t="shared" ca="1" si="68"/>
        <v>#N/A</v>
      </c>
      <c r="U401" s="160" t="e">
        <f t="shared" ca="1" si="69"/>
        <v>#N/A</v>
      </c>
      <c r="V401" s="163" t="e">
        <f t="shared" ca="1" si="61"/>
        <v>#N/A</v>
      </c>
      <c r="W401" s="163" t="e">
        <f t="shared" ca="1" si="62"/>
        <v>#N/A</v>
      </c>
      <c r="X401" s="163" t="e">
        <f t="shared" ca="1" si="63"/>
        <v>#N/A</v>
      </c>
      <c r="Y401" s="163" t="e">
        <f t="shared" ca="1" si="64"/>
        <v>#N/A</v>
      </c>
    </row>
    <row r="402" spans="12:25" ht="14.4">
      <c r="L402" s="464"/>
      <c r="M402" s="129" t="e">
        <f t="shared" si="65"/>
        <v>#N/A</v>
      </c>
      <c r="N402" s="161">
        <f t="shared" ref="N402:N465" si="70">N401</f>
        <v>13</v>
      </c>
      <c r="O402" s="160" t="e">
        <f t="shared" ca="1" si="66"/>
        <v>#N/A</v>
      </c>
      <c r="P402" s="160" t="e">
        <f t="shared" ca="1" si="67"/>
        <v>#N/A</v>
      </c>
      <c r="Q402" s="160" t="e">
        <f t="shared" ca="1" si="68"/>
        <v>#N/A</v>
      </c>
      <c r="R402" s="160" t="e">
        <f t="shared" ca="1" si="68"/>
        <v>#N/A</v>
      </c>
      <c r="S402" s="160" t="e">
        <f t="shared" ca="1" si="68"/>
        <v>#N/A</v>
      </c>
      <c r="T402" s="160" t="e">
        <f t="shared" ca="1" si="68"/>
        <v>#N/A</v>
      </c>
      <c r="U402" s="160" t="e">
        <f t="shared" ca="1" si="69"/>
        <v>#N/A</v>
      </c>
      <c r="V402" s="163" t="e">
        <f t="shared" ca="1" si="61"/>
        <v>#N/A</v>
      </c>
      <c r="W402" s="163" t="e">
        <f t="shared" ca="1" si="62"/>
        <v>#N/A</v>
      </c>
      <c r="X402" s="163" t="e">
        <f t="shared" ca="1" si="63"/>
        <v>#N/A</v>
      </c>
      <c r="Y402" s="163" t="e">
        <f t="shared" ca="1" si="64"/>
        <v>#N/A</v>
      </c>
    </row>
    <row r="403" spans="12:25" ht="14.4">
      <c r="L403" s="464"/>
      <c r="M403" s="129" t="e">
        <f t="shared" si="65"/>
        <v>#N/A</v>
      </c>
      <c r="N403" s="161">
        <f t="shared" si="70"/>
        <v>13</v>
      </c>
      <c r="O403" s="160" t="e">
        <f t="shared" ca="1" si="66"/>
        <v>#N/A</v>
      </c>
      <c r="P403" s="160" t="e">
        <f t="shared" ca="1" si="67"/>
        <v>#N/A</v>
      </c>
      <c r="Q403" s="160" t="e">
        <f t="shared" ca="1" si="68"/>
        <v>#N/A</v>
      </c>
      <c r="R403" s="160" t="e">
        <f t="shared" ca="1" si="68"/>
        <v>#N/A</v>
      </c>
      <c r="S403" s="160" t="e">
        <f t="shared" ca="1" si="68"/>
        <v>#N/A</v>
      </c>
      <c r="T403" s="160" t="e">
        <f t="shared" ca="1" si="68"/>
        <v>#N/A</v>
      </c>
      <c r="U403" s="160" t="e">
        <f t="shared" ca="1" si="69"/>
        <v>#N/A</v>
      </c>
      <c r="V403" s="163" t="e">
        <f t="shared" ca="1" si="61"/>
        <v>#N/A</v>
      </c>
      <c r="W403" s="163" t="e">
        <f t="shared" ca="1" si="62"/>
        <v>#N/A</v>
      </c>
      <c r="X403" s="163" t="e">
        <f t="shared" ca="1" si="63"/>
        <v>#N/A</v>
      </c>
      <c r="Y403" s="163" t="e">
        <f t="shared" ca="1" si="64"/>
        <v>#N/A</v>
      </c>
    </row>
    <row r="404" spans="12:25" ht="14.4">
      <c r="L404" s="464"/>
      <c r="M404" s="129" t="e">
        <f t="shared" si="65"/>
        <v>#N/A</v>
      </c>
      <c r="N404" s="161">
        <f t="shared" si="70"/>
        <v>13</v>
      </c>
      <c r="O404" s="160" t="e">
        <f t="shared" ca="1" si="66"/>
        <v>#N/A</v>
      </c>
      <c r="P404" s="160" t="e">
        <f t="shared" ca="1" si="67"/>
        <v>#N/A</v>
      </c>
      <c r="Q404" s="160" t="e">
        <f t="shared" ca="1" si="68"/>
        <v>#N/A</v>
      </c>
      <c r="R404" s="160" t="e">
        <f t="shared" ca="1" si="68"/>
        <v>#N/A</v>
      </c>
      <c r="S404" s="160" t="e">
        <f t="shared" ca="1" si="68"/>
        <v>#N/A</v>
      </c>
      <c r="T404" s="160" t="e">
        <f t="shared" ca="1" si="68"/>
        <v>#N/A</v>
      </c>
      <c r="U404" s="160" t="e">
        <f t="shared" ca="1" si="69"/>
        <v>#N/A</v>
      </c>
      <c r="V404" s="163" t="e">
        <f t="shared" ca="1" si="61"/>
        <v>#N/A</v>
      </c>
      <c r="W404" s="163" t="e">
        <f t="shared" ca="1" si="62"/>
        <v>#N/A</v>
      </c>
      <c r="X404" s="163" t="e">
        <f t="shared" ca="1" si="63"/>
        <v>#N/A</v>
      </c>
      <c r="Y404" s="163" t="e">
        <f t="shared" ca="1" si="64"/>
        <v>#N/A</v>
      </c>
    </row>
    <row r="405" spans="12:25" ht="14.4">
      <c r="L405" s="464"/>
      <c r="M405" s="129" t="e">
        <f t="shared" si="65"/>
        <v>#N/A</v>
      </c>
      <c r="N405" s="161">
        <f t="shared" si="70"/>
        <v>13</v>
      </c>
      <c r="O405" s="160" t="e">
        <f t="shared" ca="1" si="66"/>
        <v>#N/A</v>
      </c>
      <c r="P405" s="160" t="e">
        <f t="shared" ca="1" si="67"/>
        <v>#N/A</v>
      </c>
      <c r="Q405" s="160" t="e">
        <f t="shared" ca="1" si="68"/>
        <v>#N/A</v>
      </c>
      <c r="R405" s="160" t="e">
        <f t="shared" ca="1" si="68"/>
        <v>#N/A</v>
      </c>
      <c r="S405" s="160" t="e">
        <f t="shared" ca="1" si="68"/>
        <v>#N/A</v>
      </c>
      <c r="T405" s="160" t="e">
        <f t="shared" ca="1" si="68"/>
        <v>#N/A</v>
      </c>
      <c r="U405" s="160" t="e">
        <f t="shared" ca="1" si="69"/>
        <v>#N/A</v>
      </c>
      <c r="V405" s="163" t="e">
        <f t="shared" ca="1" si="61"/>
        <v>#N/A</v>
      </c>
      <c r="W405" s="163" t="e">
        <f t="shared" ca="1" si="62"/>
        <v>#N/A</v>
      </c>
      <c r="X405" s="163" t="e">
        <f t="shared" ca="1" si="63"/>
        <v>#N/A</v>
      </c>
      <c r="Y405" s="163" t="e">
        <f t="shared" ca="1" si="64"/>
        <v>#N/A</v>
      </c>
    </row>
    <row r="406" spans="12:25" ht="14.4">
      <c r="L406" s="464"/>
      <c r="M406" s="129" t="e">
        <f t="shared" si="65"/>
        <v>#N/A</v>
      </c>
      <c r="N406" s="161">
        <f t="shared" si="70"/>
        <v>13</v>
      </c>
      <c r="O406" s="160" t="e">
        <f t="shared" ca="1" si="66"/>
        <v>#N/A</v>
      </c>
      <c r="P406" s="160" t="e">
        <f t="shared" ca="1" si="67"/>
        <v>#N/A</v>
      </c>
      <c r="Q406" s="160" t="e">
        <f t="shared" ca="1" si="68"/>
        <v>#N/A</v>
      </c>
      <c r="R406" s="160" t="e">
        <f t="shared" ca="1" si="68"/>
        <v>#N/A</v>
      </c>
      <c r="S406" s="160" t="e">
        <f t="shared" ca="1" si="68"/>
        <v>#N/A</v>
      </c>
      <c r="T406" s="160" t="e">
        <f t="shared" ca="1" si="68"/>
        <v>#N/A</v>
      </c>
      <c r="U406" s="160" t="e">
        <f t="shared" ca="1" si="69"/>
        <v>#N/A</v>
      </c>
      <c r="V406" s="163" t="e">
        <f t="shared" ca="1" si="61"/>
        <v>#N/A</v>
      </c>
      <c r="W406" s="163" t="e">
        <f t="shared" ca="1" si="62"/>
        <v>#N/A</v>
      </c>
      <c r="X406" s="163" t="e">
        <f t="shared" ca="1" si="63"/>
        <v>#N/A</v>
      </c>
      <c r="Y406" s="163" t="e">
        <f t="shared" ca="1" si="64"/>
        <v>#N/A</v>
      </c>
    </row>
    <row r="407" spans="12:25" ht="14.4">
      <c r="L407" s="464"/>
      <c r="M407" s="129" t="e">
        <f t="shared" si="65"/>
        <v>#N/A</v>
      </c>
      <c r="N407" s="161">
        <f t="shared" si="70"/>
        <v>13</v>
      </c>
      <c r="O407" s="160" t="e">
        <f t="shared" ca="1" si="66"/>
        <v>#N/A</v>
      </c>
      <c r="P407" s="160" t="e">
        <f t="shared" ca="1" si="67"/>
        <v>#N/A</v>
      </c>
      <c r="Q407" s="160" t="e">
        <f t="shared" ca="1" si="68"/>
        <v>#N/A</v>
      </c>
      <c r="R407" s="160" t="e">
        <f t="shared" ca="1" si="68"/>
        <v>#N/A</v>
      </c>
      <c r="S407" s="160" t="e">
        <f t="shared" ca="1" si="68"/>
        <v>#N/A</v>
      </c>
      <c r="T407" s="160" t="e">
        <f t="shared" ca="1" si="68"/>
        <v>#N/A</v>
      </c>
      <c r="U407" s="160" t="e">
        <f t="shared" ca="1" si="69"/>
        <v>#N/A</v>
      </c>
      <c r="V407" s="163" t="e">
        <f t="shared" ca="1" si="61"/>
        <v>#N/A</v>
      </c>
      <c r="W407" s="163" t="e">
        <f t="shared" ca="1" si="62"/>
        <v>#N/A</v>
      </c>
      <c r="X407" s="163" t="e">
        <f t="shared" ca="1" si="63"/>
        <v>#N/A</v>
      </c>
      <c r="Y407" s="163" t="e">
        <f t="shared" ca="1" si="64"/>
        <v>#N/A</v>
      </c>
    </row>
    <row r="408" spans="12:25" ht="14.4">
      <c r="L408" s="464"/>
      <c r="M408" s="129" t="e">
        <f t="shared" si="65"/>
        <v>#N/A</v>
      </c>
      <c r="N408" s="161">
        <f t="shared" si="70"/>
        <v>13</v>
      </c>
      <c r="O408" s="160" t="e">
        <f t="shared" ca="1" si="66"/>
        <v>#N/A</v>
      </c>
      <c r="P408" s="160" t="e">
        <f t="shared" ca="1" si="67"/>
        <v>#N/A</v>
      </c>
      <c r="Q408" s="160" t="e">
        <f t="shared" ca="1" si="68"/>
        <v>#N/A</v>
      </c>
      <c r="R408" s="160" t="e">
        <f t="shared" ca="1" si="68"/>
        <v>#N/A</v>
      </c>
      <c r="S408" s="160" t="e">
        <f t="shared" ca="1" si="68"/>
        <v>#N/A</v>
      </c>
      <c r="T408" s="160" t="e">
        <f t="shared" ca="1" si="68"/>
        <v>#N/A</v>
      </c>
      <c r="U408" s="160" t="e">
        <f t="shared" ca="1" si="69"/>
        <v>#N/A</v>
      </c>
      <c r="V408" s="163" t="e">
        <f t="shared" ca="1" si="61"/>
        <v>#N/A</v>
      </c>
      <c r="W408" s="163" t="e">
        <f t="shared" ca="1" si="62"/>
        <v>#N/A</v>
      </c>
      <c r="X408" s="163" t="e">
        <f t="shared" ca="1" si="63"/>
        <v>#N/A</v>
      </c>
      <c r="Y408" s="163" t="e">
        <f t="shared" ca="1" si="64"/>
        <v>#N/A</v>
      </c>
    </row>
    <row r="409" spans="12:25" ht="14.4">
      <c r="L409" s="464"/>
      <c r="M409" s="129" t="e">
        <f t="shared" si="65"/>
        <v>#N/A</v>
      </c>
      <c r="N409" s="161">
        <f t="shared" si="70"/>
        <v>13</v>
      </c>
      <c r="O409" s="160" t="e">
        <f t="shared" ca="1" si="66"/>
        <v>#N/A</v>
      </c>
      <c r="P409" s="160" t="e">
        <f t="shared" ca="1" si="67"/>
        <v>#N/A</v>
      </c>
      <c r="Q409" s="160" t="e">
        <f t="shared" ca="1" si="68"/>
        <v>#N/A</v>
      </c>
      <c r="R409" s="160" t="e">
        <f t="shared" ca="1" si="68"/>
        <v>#N/A</v>
      </c>
      <c r="S409" s="160" t="e">
        <f t="shared" ca="1" si="68"/>
        <v>#N/A</v>
      </c>
      <c r="T409" s="160" t="e">
        <f t="shared" ca="1" si="68"/>
        <v>#N/A</v>
      </c>
      <c r="U409" s="160" t="e">
        <f t="shared" ca="1" si="69"/>
        <v>#N/A</v>
      </c>
      <c r="V409" s="163" t="e">
        <f t="shared" ca="1" si="61"/>
        <v>#N/A</v>
      </c>
      <c r="W409" s="163" t="e">
        <f t="shared" ca="1" si="62"/>
        <v>#N/A</v>
      </c>
      <c r="X409" s="163" t="e">
        <f t="shared" ca="1" si="63"/>
        <v>#N/A</v>
      </c>
      <c r="Y409" s="163" t="e">
        <f t="shared" ca="1" si="64"/>
        <v>#N/A</v>
      </c>
    </row>
    <row r="410" spans="12:25" ht="14.4">
      <c r="L410" s="464"/>
      <c r="M410" s="129" t="e">
        <f t="shared" si="65"/>
        <v>#N/A</v>
      </c>
      <c r="N410" s="161">
        <f t="shared" si="70"/>
        <v>13</v>
      </c>
      <c r="O410" s="160" t="e">
        <f t="shared" ca="1" si="66"/>
        <v>#N/A</v>
      </c>
      <c r="P410" s="160" t="e">
        <f t="shared" ca="1" si="67"/>
        <v>#N/A</v>
      </c>
      <c r="Q410" s="160" t="e">
        <f t="shared" ca="1" si="68"/>
        <v>#N/A</v>
      </c>
      <c r="R410" s="160" t="e">
        <f t="shared" ca="1" si="68"/>
        <v>#N/A</v>
      </c>
      <c r="S410" s="160" t="e">
        <f t="shared" ca="1" si="68"/>
        <v>#N/A</v>
      </c>
      <c r="T410" s="160" t="e">
        <f t="shared" ca="1" si="68"/>
        <v>#N/A</v>
      </c>
      <c r="U410" s="160" t="e">
        <f t="shared" ca="1" si="69"/>
        <v>#N/A</v>
      </c>
      <c r="V410" s="163" t="e">
        <f t="shared" ca="1" si="61"/>
        <v>#N/A</v>
      </c>
      <c r="W410" s="163" t="e">
        <f t="shared" ca="1" si="62"/>
        <v>#N/A</v>
      </c>
      <c r="X410" s="163" t="e">
        <f t="shared" ca="1" si="63"/>
        <v>#N/A</v>
      </c>
      <c r="Y410" s="163" t="e">
        <f t="shared" ca="1" si="64"/>
        <v>#N/A</v>
      </c>
    </row>
    <row r="411" spans="12:25" ht="14.4">
      <c r="L411" s="464"/>
      <c r="M411" s="129" t="e">
        <f t="shared" si="65"/>
        <v>#N/A</v>
      </c>
      <c r="N411" s="161">
        <f t="shared" si="70"/>
        <v>13</v>
      </c>
      <c r="O411" s="160" t="e">
        <f t="shared" ca="1" si="66"/>
        <v>#N/A</v>
      </c>
      <c r="P411" s="160" t="e">
        <f t="shared" ca="1" si="67"/>
        <v>#N/A</v>
      </c>
      <c r="Q411" s="160" t="e">
        <f t="shared" ca="1" si="68"/>
        <v>#N/A</v>
      </c>
      <c r="R411" s="160" t="e">
        <f t="shared" ca="1" si="68"/>
        <v>#N/A</v>
      </c>
      <c r="S411" s="160" t="e">
        <f t="shared" ca="1" si="68"/>
        <v>#N/A</v>
      </c>
      <c r="T411" s="160" t="e">
        <f t="shared" ca="1" si="68"/>
        <v>#N/A</v>
      </c>
      <c r="U411" s="160" t="e">
        <f t="shared" ca="1" si="69"/>
        <v>#N/A</v>
      </c>
      <c r="V411" s="163" t="e">
        <f t="shared" ca="1" si="61"/>
        <v>#N/A</v>
      </c>
      <c r="W411" s="163" t="e">
        <f t="shared" ca="1" si="62"/>
        <v>#N/A</v>
      </c>
      <c r="X411" s="163" t="e">
        <f t="shared" ca="1" si="63"/>
        <v>#N/A</v>
      </c>
      <c r="Y411" s="163" t="e">
        <f t="shared" ca="1" si="64"/>
        <v>#N/A</v>
      </c>
    </row>
    <row r="412" spans="12:25" ht="14.4">
      <c r="L412" s="464"/>
      <c r="M412" s="129" t="e">
        <f t="shared" si="65"/>
        <v>#N/A</v>
      </c>
      <c r="N412" s="161">
        <f t="shared" si="70"/>
        <v>13</v>
      </c>
      <c r="O412" s="160" t="e">
        <f t="shared" ca="1" si="66"/>
        <v>#N/A</v>
      </c>
      <c r="P412" s="160" t="e">
        <f t="shared" ca="1" si="67"/>
        <v>#N/A</v>
      </c>
      <c r="Q412" s="160" t="e">
        <f t="shared" ca="1" si="68"/>
        <v>#N/A</v>
      </c>
      <c r="R412" s="160" t="e">
        <f t="shared" ca="1" si="68"/>
        <v>#N/A</v>
      </c>
      <c r="S412" s="160" t="e">
        <f t="shared" ca="1" si="68"/>
        <v>#N/A</v>
      </c>
      <c r="T412" s="160" t="e">
        <f t="shared" ca="1" si="68"/>
        <v>#N/A</v>
      </c>
      <c r="U412" s="160" t="e">
        <f t="shared" ca="1" si="69"/>
        <v>#N/A</v>
      </c>
      <c r="V412" s="163" t="e">
        <f t="shared" ca="1" si="61"/>
        <v>#N/A</v>
      </c>
      <c r="W412" s="163" t="e">
        <f t="shared" ca="1" si="62"/>
        <v>#N/A</v>
      </c>
      <c r="X412" s="163" t="e">
        <f t="shared" ca="1" si="63"/>
        <v>#N/A</v>
      </c>
      <c r="Y412" s="163" t="e">
        <f t="shared" ca="1" si="64"/>
        <v>#N/A</v>
      </c>
    </row>
    <row r="413" spans="12:25" ht="14.4">
      <c r="L413" s="464"/>
      <c r="M413" s="129" t="e">
        <f t="shared" si="65"/>
        <v>#N/A</v>
      </c>
      <c r="N413" s="161">
        <f t="shared" si="70"/>
        <v>13</v>
      </c>
      <c r="O413" s="160" t="e">
        <f t="shared" ca="1" si="66"/>
        <v>#N/A</v>
      </c>
      <c r="P413" s="160" t="e">
        <f t="shared" ca="1" si="67"/>
        <v>#N/A</v>
      </c>
      <c r="Q413" s="160" t="e">
        <f t="shared" ca="1" si="68"/>
        <v>#N/A</v>
      </c>
      <c r="R413" s="160" t="e">
        <f t="shared" ca="1" si="68"/>
        <v>#N/A</v>
      </c>
      <c r="S413" s="160" t="e">
        <f t="shared" ca="1" si="68"/>
        <v>#N/A</v>
      </c>
      <c r="T413" s="160" t="e">
        <f t="shared" ca="1" si="68"/>
        <v>#N/A</v>
      </c>
      <c r="U413" s="160" t="e">
        <f t="shared" ca="1" si="69"/>
        <v>#N/A</v>
      </c>
      <c r="V413" s="163" t="e">
        <f t="shared" ca="1" si="61"/>
        <v>#N/A</v>
      </c>
      <c r="W413" s="163" t="e">
        <f t="shared" ca="1" si="62"/>
        <v>#N/A</v>
      </c>
      <c r="X413" s="163" t="e">
        <f t="shared" ca="1" si="63"/>
        <v>#N/A</v>
      </c>
      <c r="Y413" s="163" t="e">
        <f t="shared" ca="1" si="64"/>
        <v>#N/A</v>
      </c>
    </row>
    <row r="414" spans="12:25" ht="14.4">
      <c r="L414" s="464"/>
      <c r="M414" s="129" t="e">
        <f t="shared" si="65"/>
        <v>#N/A</v>
      </c>
      <c r="N414" s="161">
        <f t="shared" si="70"/>
        <v>13</v>
      </c>
      <c r="O414" s="160" t="e">
        <f t="shared" ca="1" si="66"/>
        <v>#N/A</v>
      </c>
      <c r="P414" s="160" t="e">
        <f t="shared" ca="1" si="67"/>
        <v>#N/A</v>
      </c>
      <c r="Q414" s="160" t="e">
        <f t="shared" ca="1" si="68"/>
        <v>#N/A</v>
      </c>
      <c r="R414" s="160" t="e">
        <f t="shared" ca="1" si="68"/>
        <v>#N/A</v>
      </c>
      <c r="S414" s="160" t="e">
        <f t="shared" ca="1" si="68"/>
        <v>#N/A</v>
      </c>
      <c r="T414" s="160" t="e">
        <f t="shared" ca="1" si="68"/>
        <v>#N/A</v>
      </c>
      <c r="U414" s="160" t="e">
        <f t="shared" ca="1" si="69"/>
        <v>#N/A</v>
      </c>
      <c r="V414" s="163" t="e">
        <f t="shared" ca="1" si="61"/>
        <v>#N/A</v>
      </c>
      <c r="W414" s="163" t="e">
        <f t="shared" ca="1" si="62"/>
        <v>#N/A</v>
      </c>
      <c r="X414" s="163" t="e">
        <f t="shared" ca="1" si="63"/>
        <v>#N/A</v>
      </c>
      <c r="Y414" s="163" t="e">
        <f t="shared" ca="1" si="64"/>
        <v>#N/A</v>
      </c>
    </row>
    <row r="415" spans="12:25" ht="14.4">
      <c r="L415" s="464"/>
      <c r="M415" s="129" t="e">
        <f t="shared" si="65"/>
        <v>#N/A</v>
      </c>
      <c r="N415" s="161">
        <f t="shared" si="70"/>
        <v>13</v>
      </c>
      <c r="O415" s="160" t="e">
        <f t="shared" ca="1" si="66"/>
        <v>#N/A</v>
      </c>
      <c r="P415" s="160" t="e">
        <f t="shared" ca="1" si="67"/>
        <v>#N/A</v>
      </c>
      <c r="Q415" s="160" t="e">
        <f t="shared" ca="1" si="68"/>
        <v>#N/A</v>
      </c>
      <c r="R415" s="160" t="e">
        <f t="shared" ca="1" si="68"/>
        <v>#N/A</v>
      </c>
      <c r="S415" s="160" t="e">
        <f t="shared" ca="1" si="68"/>
        <v>#N/A</v>
      </c>
      <c r="T415" s="160" t="e">
        <f t="shared" ca="1" si="68"/>
        <v>#N/A</v>
      </c>
      <c r="U415" s="160" t="e">
        <f t="shared" ca="1" si="69"/>
        <v>#N/A</v>
      </c>
      <c r="V415" s="163" t="e">
        <f t="shared" ref="V415:V478" ca="1" si="71">IF(Q415=0,0,IF(S415=180,IF(R415=0,"Slab on Grade",IF(R415=1,"Exposed Floor",IF(R415=3,"Internal Floor",U415))),IF(S415&lt;45,IF(R415=3,"Internal Ceiling",IF(R415=1,"Roof",U415)))))</f>
        <v>#N/A</v>
      </c>
      <c r="W415" s="163" t="e">
        <f t="shared" ref="W415:W478" ca="1" si="72">IF(ISNUMBER(SEARCH($W$29,U415))=TRUE,IF(ISNUMBER(SEARCH($W$27,U415))=TRUE,IF(R415=1,"eFrame",IF(R415=3,"iFrame")),IF(R415=1,"eWindow",IF(R415=3,"iWindow"))),U415)</f>
        <v>#N/A</v>
      </c>
      <c r="X415" s="163" t="e">
        <f t="shared" ref="X415:X478" ca="1" si="73">IF(ISNUMBER(SEARCH($X$29,U415))=TRUE,IF(ISNUMBER(SEARCH($X$27,U415))=TRUE,IF(R415=1,"eFrameDoor",IF(R415=3,"iFrameDoor")),IF(R415=1,"eDoor",IF(R415=3,"iDoor"))),U415)</f>
        <v>#N/A</v>
      </c>
      <c r="Y415" s="163" t="e">
        <f t="shared" ref="Y415:Y478" ca="1" si="74">IF(ISNUMBER(SEARCH($W$29,U415))=TRUE,"Substract",IF(ISNUMBER(SEARCH($X$29,U415))=TRUE, "Sunstract",IF(S415=90,IF(R415=1,"External Wall",IF(R415=3,"Internal Wall",IF(R415=0,"Below Grade Wall",U415))),V415)))</f>
        <v>#N/A</v>
      </c>
    </row>
    <row r="416" spans="12:25" ht="14.4">
      <c r="L416" s="464"/>
      <c r="M416" s="129" t="e">
        <f t="shared" ref="M416:M479" si="75">IF(M415="end","end",IF(M415=$K$1,"end",M415+1))</f>
        <v>#N/A</v>
      </c>
      <c r="N416" s="161">
        <f t="shared" si="70"/>
        <v>13</v>
      </c>
      <c r="O416" s="160" t="e">
        <f t="shared" ca="1" si="66"/>
        <v>#N/A</v>
      </c>
      <c r="P416" s="160" t="e">
        <f t="shared" ca="1" si="67"/>
        <v>#N/A</v>
      </c>
      <c r="Q416" s="160" t="e">
        <f t="shared" ca="1" si="68"/>
        <v>#N/A</v>
      </c>
      <c r="R416" s="160" t="e">
        <f t="shared" ca="1" si="68"/>
        <v>#N/A</v>
      </c>
      <c r="S416" s="160" t="e">
        <f t="shared" ca="1" si="68"/>
        <v>#N/A</v>
      </c>
      <c r="T416" s="160" t="e">
        <f t="shared" ca="1" si="68"/>
        <v>#N/A</v>
      </c>
      <c r="U416" s="160" t="e">
        <f t="shared" ca="1" si="69"/>
        <v>#N/A</v>
      </c>
      <c r="V416" s="163" t="e">
        <f t="shared" ca="1" si="71"/>
        <v>#N/A</v>
      </c>
      <c r="W416" s="163" t="e">
        <f t="shared" ca="1" si="72"/>
        <v>#N/A</v>
      </c>
      <c r="X416" s="163" t="e">
        <f t="shared" ca="1" si="73"/>
        <v>#N/A</v>
      </c>
      <c r="Y416" s="163" t="e">
        <f t="shared" ca="1" si="74"/>
        <v>#N/A</v>
      </c>
    </row>
    <row r="417" spans="12:25" ht="14.4">
      <c r="L417" s="464"/>
      <c r="M417" s="129" t="e">
        <f t="shared" si="75"/>
        <v>#N/A</v>
      </c>
      <c r="N417" s="161">
        <f t="shared" si="70"/>
        <v>13</v>
      </c>
      <c r="O417" s="160" t="e">
        <f t="shared" ca="1" si="66"/>
        <v>#N/A</v>
      </c>
      <c r="P417" s="160" t="e">
        <f t="shared" ca="1" si="67"/>
        <v>#N/A</v>
      </c>
      <c r="Q417" s="160" t="e">
        <f t="shared" ca="1" si="68"/>
        <v>#N/A</v>
      </c>
      <c r="R417" s="160" t="e">
        <f t="shared" ca="1" si="68"/>
        <v>#N/A</v>
      </c>
      <c r="S417" s="160" t="e">
        <f t="shared" ca="1" si="68"/>
        <v>#N/A</v>
      </c>
      <c r="T417" s="160" t="e">
        <f t="shared" ca="1" si="68"/>
        <v>#N/A</v>
      </c>
      <c r="U417" s="160" t="e">
        <f t="shared" ca="1" si="69"/>
        <v>#N/A</v>
      </c>
      <c r="V417" s="163" t="e">
        <f t="shared" ca="1" si="71"/>
        <v>#N/A</v>
      </c>
      <c r="W417" s="163" t="e">
        <f t="shared" ca="1" si="72"/>
        <v>#N/A</v>
      </c>
      <c r="X417" s="163" t="e">
        <f t="shared" ca="1" si="73"/>
        <v>#N/A</v>
      </c>
      <c r="Y417" s="163" t="e">
        <f t="shared" ca="1" si="74"/>
        <v>#N/A</v>
      </c>
    </row>
    <row r="418" spans="12:25" ht="14.4">
      <c r="L418" s="464"/>
      <c r="M418" s="129" t="e">
        <f t="shared" si="75"/>
        <v>#N/A</v>
      </c>
      <c r="N418" s="161">
        <f t="shared" si="70"/>
        <v>13</v>
      </c>
      <c r="O418" s="160" t="e">
        <f t="shared" ca="1" si="66"/>
        <v>#N/A</v>
      </c>
      <c r="P418" s="160" t="e">
        <f t="shared" ca="1" si="67"/>
        <v>#N/A</v>
      </c>
      <c r="Q418" s="160" t="e">
        <f t="shared" ca="1" si="68"/>
        <v>#N/A</v>
      </c>
      <c r="R418" s="160" t="e">
        <f t="shared" ca="1" si="68"/>
        <v>#N/A</v>
      </c>
      <c r="S418" s="160" t="e">
        <f t="shared" ca="1" si="68"/>
        <v>#N/A</v>
      </c>
      <c r="T418" s="160" t="e">
        <f t="shared" ca="1" si="68"/>
        <v>#N/A</v>
      </c>
      <c r="U418" s="160" t="e">
        <f t="shared" ca="1" si="69"/>
        <v>#N/A</v>
      </c>
      <c r="V418" s="163" t="e">
        <f t="shared" ca="1" si="71"/>
        <v>#N/A</v>
      </c>
      <c r="W418" s="163" t="e">
        <f t="shared" ca="1" si="72"/>
        <v>#N/A</v>
      </c>
      <c r="X418" s="163" t="e">
        <f t="shared" ca="1" si="73"/>
        <v>#N/A</v>
      </c>
      <c r="Y418" s="163" t="e">
        <f t="shared" ca="1" si="74"/>
        <v>#N/A</v>
      </c>
    </row>
    <row r="419" spans="12:25" ht="14.4">
      <c r="L419" s="464"/>
      <c r="M419" s="129" t="e">
        <f t="shared" si="75"/>
        <v>#N/A</v>
      </c>
      <c r="N419" s="161">
        <f t="shared" si="70"/>
        <v>13</v>
      </c>
      <c r="O419" s="160" t="e">
        <f t="shared" ca="1" si="66"/>
        <v>#N/A</v>
      </c>
      <c r="P419" s="160" t="e">
        <f t="shared" ca="1" si="67"/>
        <v>#N/A</v>
      </c>
      <c r="Q419" s="160" t="e">
        <f t="shared" ca="1" si="68"/>
        <v>#N/A</v>
      </c>
      <c r="R419" s="160" t="e">
        <f t="shared" ca="1" si="68"/>
        <v>#N/A</v>
      </c>
      <c r="S419" s="160" t="e">
        <f t="shared" ca="1" si="68"/>
        <v>#N/A</v>
      </c>
      <c r="T419" s="160" t="e">
        <f t="shared" ca="1" si="68"/>
        <v>#N/A</v>
      </c>
      <c r="U419" s="160" t="e">
        <f t="shared" ca="1" si="69"/>
        <v>#N/A</v>
      </c>
      <c r="V419" s="163" t="e">
        <f t="shared" ca="1" si="71"/>
        <v>#N/A</v>
      </c>
      <c r="W419" s="163" t="e">
        <f t="shared" ca="1" si="72"/>
        <v>#N/A</v>
      </c>
      <c r="X419" s="163" t="e">
        <f t="shared" ca="1" si="73"/>
        <v>#N/A</v>
      </c>
      <c r="Y419" s="163" t="e">
        <f t="shared" ca="1" si="74"/>
        <v>#N/A</v>
      </c>
    </row>
    <row r="420" spans="12:25" ht="14.4">
      <c r="L420" s="464"/>
      <c r="M420" s="129" t="e">
        <f t="shared" si="75"/>
        <v>#N/A</v>
      </c>
      <c r="N420" s="161">
        <f t="shared" si="70"/>
        <v>13</v>
      </c>
      <c r="O420" s="160" t="e">
        <f t="shared" ca="1" si="66"/>
        <v>#N/A</v>
      </c>
      <c r="P420" s="160" t="e">
        <f t="shared" ca="1" si="67"/>
        <v>#N/A</v>
      </c>
      <c r="Q420" s="160" t="e">
        <f t="shared" ca="1" si="68"/>
        <v>#N/A</v>
      </c>
      <c r="R420" s="160" t="e">
        <f t="shared" ca="1" si="68"/>
        <v>#N/A</v>
      </c>
      <c r="S420" s="160" t="e">
        <f t="shared" ca="1" si="68"/>
        <v>#N/A</v>
      </c>
      <c r="T420" s="160" t="e">
        <f t="shared" ca="1" si="68"/>
        <v>#N/A</v>
      </c>
      <c r="U420" s="160" t="e">
        <f t="shared" ca="1" si="69"/>
        <v>#N/A</v>
      </c>
      <c r="V420" s="163" t="e">
        <f t="shared" ca="1" si="71"/>
        <v>#N/A</v>
      </c>
      <c r="W420" s="163" t="e">
        <f t="shared" ca="1" si="72"/>
        <v>#N/A</v>
      </c>
      <c r="X420" s="163" t="e">
        <f t="shared" ca="1" si="73"/>
        <v>#N/A</v>
      </c>
      <c r="Y420" s="163" t="e">
        <f t="shared" ca="1" si="74"/>
        <v>#N/A</v>
      </c>
    </row>
    <row r="421" spans="12:25" ht="14.4">
      <c r="L421" s="464"/>
      <c r="M421" s="129" t="e">
        <f t="shared" si="75"/>
        <v>#N/A</v>
      </c>
      <c r="N421" s="161">
        <f t="shared" si="70"/>
        <v>13</v>
      </c>
      <c r="O421" s="160" t="e">
        <f t="shared" ca="1" si="66"/>
        <v>#N/A</v>
      </c>
      <c r="P421" s="160" t="e">
        <f t="shared" ca="1" si="67"/>
        <v>#N/A</v>
      </c>
      <c r="Q421" s="160" t="e">
        <f t="shared" ca="1" si="68"/>
        <v>#N/A</v>
      </c>
      <c r="R421" s="160" t="e">
        <f t="shared" ca="1" si="68"/>
        <v>#N/A</v>
      </c>
      <c r="S421" s="160" t="e">
        <f t="shared" ca="1" si="68"/>
        <v>#N/A</v>
      </c>
      <c r="T421" s="160" t="e">
        <f t="shared" ca="1" si="68"/>
        <v>#N/A</v>
      </c>
      <c r="U421" s="160" t="e">
        <f t="shared" ca="1" si="69"/>
        <v>#N/A</v>
      </c>
      <c r="V421" s="163" t="e">
        <f t="shared" ca="1" si="71"/>
        <v>#N/A</v>
      </c>
      <c r="W421" s="163" t="e">
        <f t="shared" ca="1" si="72"/>
        <v>#N/A</v>
      </c>
      <c r="X421" s="163" t="e">
        <f t="shared" ca="1" si="73"/>
        <v>#N/A</v>
      </c>
      <c r="Y421" s="163" t="e">
        <f t="shared" ca="1" si="74"/>
        <v>#N/A</v>
      </c>
    </row>
    <row r="422" spans="12:25" ht="14.4">
      <c r="L422" s="464"/>
      <c r="M422" s="129" t="e">
        <f t="shared" si="75"/>
        <v>#N/A</v>
      </c>
      <c r="N422" s="161">
        <f t="shared" si="70"/>
        <v>13</v>
      </c>
      <c r="O422" s="160" t="e">
        <f t="shared" ca="1" si="66"/>
        <v>#N/A</v>
      </c>
      <c r="P422" s="160" t="e">
        <f t="shared" ca="1" si="67"/>
        <v>#N/A</v>
      </c>
      <c r="Q422" s="160" t="e">
        <f t="shared" ca="1" si="68"/>
        <v>#N/A</v>
      </c>
      <c r="R422" s="160" t="e">
        <f t="shared" ca="1" si="68"/>
        <v>#N/A</v>
      </c>
      <c r="S422" s="160" t="e">
        <f t="shared" ca="1" si="68"/>
        <v>#N/A</v>
      </c>
      <c r="T422" s="160" t="e">
        <f t="shared" ca="1" si="68"/>
        <v>#N/A</v>
      </c>
      <c r="U422" s="160" t="e">
        <f t="shared" ca="1" si="69"/>
        <v>#N/A</v>
      </c>
      <c r="V422" s="163" t="e">
        <f t="shared" ca="1" si="71"/>
        <v>#N/A</v>
      </c>
      <c r="W422" s="163" t="e">
        <f t="shared" ca="1" si="72"/>
        <v>#N/A</v>
      </c>
      <c r="X422" s="163" t="e">
        <f t="shared" ca="1" si="73"/>
        <v>#N/A</v>
      </c>
      <c r="Y422" s="163" t="e">
        <f t="shared" ca="1" si="74"/>
        <v>#N/A</v>
      </c>
    </row>
    <row r="423" spans="12:25" ht="14.4">
      <c r="L423" s="464"/>
      <c r="M423" s="129" t="e">
        <f t="shared" si="75"/>
        <v>#N/A</v>
      </c>
      <c r="N423" s="161">
        <f t="shared" si="70"/>
        <v>13</v>
      </c>
      <c r="O423" s="160" t="e">
        <f t="shared" ca="1" si="66"/>
        <v>#N/A</v>
      </c>
      <c r="P423" s="160" t="e">
        <f t="shared" ca="1" si="67"/>
        <v>#N/A</v>
      </c>
      <c r="Q423" s="160" t="e">
        <f t="shared" ca="1" si="68"/>
        <v>#N/A</v>
      </c>
      <c r="R423" s="160" t="e">
        <f t="shared" ca="1" si="68"/>
        <v>#N/A</v>
      </c>
      <c r="S423" s="160" t="e">
        <f t="shared" ca="1" si="68"/>
        <v>#N/A</v>
      </c>
      <c r="T423" s="160" t="e">
        <f t="shared" ca="1" si="68"/>
        <v>#N/A</v>
      </c>
      <c r="U423" s="160" t="e">
        <f t="shared" ca="1" si="69"/>
        <v>#N/A</v>
      </c>
      <c r="V423" s="163" t="e">
        <f t="shared" ca="1" si="71"/>
        <v>#N/A</v>
      </c>
      <c r="W423" s="163" t="e">
        <f t="shared" ca="1" si="72"/>
        <v>#N/A</v>
      </c>
      <c r="X423" s="163" t="e">
        <f t="shared" ca="1" si="73"/>
        <v>#N/A</v>
      </c>
      <c r="Y423" s="163" t="e">
        <f t="shared" ca="1" si="74"/>
        <v>#N/A</v>
      </c>
    </row>
    <row r="424" spans="12:25" ht="14.4">
      <c r="L424" s="464"/>
      <c r="M424" s="129" t="e">
        <f t="shared" si="75"/>
        <v>#N/A</v>
      </c>
      <c r="N424" s="161">
        <f t="shared" si="70"/>
        <v>13</v>
      </c>
      <c r="O424" s="160" t="e">
        <f t="shared" ca="1" si="66"/>
        <v>#N/A</v>
      </c>
      <c r="P424" s="160" t="e">
        <f t="shared" ca="1" si="67"/>
        <v>#N/A</v>
      </c>
      <c r="Q424" s="160" t="e">
        <f t="shared" ca="1" si="68"/>
        <v>#N/A</v>
      </c>
      <c r="R424" s="160" t="e">
        <f t="shared" ca="1" si="68"/>
        <v>#N/A</v>
      </c>
      <c r="S424" s="160" t="e">
        <f t="shared" ca="1" si="68"/>
        <v>#N/A</v>
      </c>
      <c r="T424" s="160" t="e">
        <f t="shared" ca="1" si="68"/>
        <v>#N/A</v>
      </c>
      <c r="U424" s="160" t="e">
        <f t="shared" ca="1" si="69"/>
        <v>#N/A</v>
      </c>
      <c r="V424" s="163" t="e">
        <f t="shared" ca="1" si="71"/>
        <v>#N/A</v>
      </c>
      <c r="W424" s="163" t="e">
        <f t="shared" ca="1" si="72"/>
        <v>#N/A</v>
      </c>
      <c r="X424" s="163" t="e">
        <f t="shared" ca="1" si="73"/>
        <v>#N/A</v>
      </c>
      <c r="Y424" s="163" t="e">
        <f t="shared" ca="1" si="74"/>
        <v>#N/A</v>
      </c>
    </row>
    <row r="425" spans="12:25" ht="14.4">
      <c r="L425" s="464"/>
      <c r="M425" s="129" t="e">
        <f t="shared" si="75"/>
        <v>#N/A</v>
      </c>
      <c r="N425" s="161">
        <f t="shared" si="70"/>
        <v>13</v>
      </c>
      <c r="O425" s="160" t="e">
        <f t="shared" ref="O425:O488" ca="1" si="76">IF($M425="end",0,OFFSET($A$1,$M425-1,O$29,1,1))</f>
        <v>#N/A</v>
      </c>
      <c r="P425" s="160" t="e">
        <f t="shared" ca="1" si="67"/>
        <v>#N/A</v>
      </c>
      <c r="Q425" s="160" t="e">
        <f t="shared" ca="1" si="68"/>
        <v>#N/A</v>
      </c>
      <c r="R425" s="160" t="e">
        <f t="shared" ca="1" si="68"/>
        <v>#N/A</v>
      </c>
      <c r="S425" s="160" t="e">
        <f t="shared" ca="1" si="68"/>
        <v>#N/A</v>
      </c>
      <c r="T425" s="160" t="e">
        <f t="shared" ca="1" si="68"/>
        <v>#N/A</v>
      </c>
      <c r="U425" s="160" t="e">
        <f t="shared" ca="1" si="69"/>
        <v>#N/A</v>
      </c>
      <c r="V425" s="163" t="e">
        <f t="shared" ca="1" si="71"/>
        <v>#N/A</v>
      </c>
      <c r="W425" s="163" t="e">
        <f t="shared" ca="1" si="72"/>
        <v>#N/A</v>
      </c>
      <c r="X425" s="163" t="e">
        <f t="shared" ca="1" si="73"/>
        <v>#N/A</v>
      </c>
      <c r="Y425" s="163" t="e">
        <f t="shared" ca="1" si="74"/>
        <v>#N/A</v>
      </c>
    </row>
    <row r="426" spans="12:25" ht="14.4">
      <c r="L426" s="464"/>
      <c r="M426" s="129" t="e">
        <f t="shared" si="75"/>
        <v>#N/A</v>
      </c>
      <c r="N426" s="161">
        <f t="shared" si="70"/>
        <v>13</v>
      </c>
      <c r="O426" s="160" t="e">
        <f t="shared" ca="1" si="76"/>
        <v>#N/A</v>
      </c>
      <c r="P426" s="160" t="e">
        <f t="shared" ca="1" si="67"/>
        <v>#N/A</v>
      </c>
      <c r="Q426" s="160" t="e">
        <f t="shared" ca="1" si="68"/>
        <v>#N/A</v>
      </c>
      <c r="R426" s="160" t="e">
        <f t="shared" ca="1" si="68"/>
        <v>#N/A</v>
      </c>
      <c r="S426" s="160" t="e">
        <f t="shared" ca="1" si="68"/>
        <v>#N/A</v>
      </c>
      <c r="T426" s="160" t="e">
        <f t="shared" ca="1" si="68"/>
        <v>#N/A</v>
      </c>
      <c r="U426" s="160" t="e">
        <f t="shared" ca="1" si="69"/>
        <v>#N/A</v>
      </c>
      <c r="V426" s="163" t="e">
        <f t="shared" ca="1" si="71"/>
        <v>#N/A</v>
      </c>
      <c r="W426" s="163" t="e">
        <f t="shared" ca="1" si="72"/>
        <v>#N/A</v>
      </c>
      <c r="X426" s="163" t="e">
        <f t="shared" ca="1" si="73"/>
        <v>#N/A</v>
      </c>
      <c r="Y426" s="163" t="e">
        <f t="shared" ca="1" si="74"/>
        <v>#N/A</v>
      </c>
    </row>
    <row r="427" spans="12:25" ht="14.4">
      <c r="L427" s="464"/>
      <c r="M427" s="129" t="e">
        <f t="shared" si="75"/>
        <v>#N/A</v>
      </c>
      <c r="N427" s="161">
        <f t="shared" si="70"/>
        <v>13</v>
      </c>
      <c r="O427" s="160" t="e">
        <f t="shared" ca="1" si="76"/>
        <v>#N/A</v>
      </c>
      <c r="P427" s="160" t="e">
        <f t="shared" ca="1" si="67"/>
        <v>#N/A</v>
      </c>
      <c r="Q427" s="160" t="e">
        <f t="shared" ca="1" si="68"/>
        <v>#N/A</v>
      </c>
      <c r="R427" s="160" t="e">
        <f t="shared" ca="1" si="68"/>
        <v>#N/A</v>
      </c>
      <c r="S427" s="160" t="e">
        <f t="shared" ca="1" si="68"/>
        <v>#N/A</v>
      </c>
      <c r="T427" s="160" t="e">
        <f t="shared" ca="1" si="68"/>
        <v>#N/A</v>
      </c>
      <c r="U427" s="160" t="e">
        <f t="shared" ca="1" si="69"/>
        <v>#N/A</v>
      </c>
      <c r="V427" s="163" t="e">
        <f t="shared" ca="1" si="71"/>
        <v>#N/A</v>
      </c>
      <c r="W427" s="163" t="e">
        <f t="shared" ca="1" si="72"/>
        <v>#N/A</v>
      </c>
      <c r="X427" s="163" t="e">
        <f t="shared" ca="1" si="73"/>
        <v>#N/A</v>
      </c>
      <c r="Y427" s="163" t="e">
        <f t="shared" ca="1" si="74"/>
        <v>#N/A</v>
      </c>
    </row>
    <row r="428" spans="12:25" ht="14.4">
      <c r="L428" s="464"/>
      <c r="M428" s="129" t="e">
        <f t="shared" si="75"/>
        <v>#N/A</v>
      </c>
      <c r="N428" s="161">
        <f t="shared" si="70"/>
        <v>13</v>
      </c>
      <c r="O428" s="160" t="e">
        <f t="shared" ca="1" si="76"/>
        <v>#N/A</v>
      </c>
      <c r="P428" s="160" t="e">
        <f t="shared" ca="1" si="67"/>
        <v>#N/A</v>
      </c>
      <c r="Q428" s="160" t="e">
        <f t="shared" ca="1" si="68"/>
        <v>#N/A</v>
      </c>
      <c r="R428" s="160" t="e">
        <f t="shared" ca="1" si="68"/>
        <v>#N/A</v>
      </c>
      <c r="S428" s="160" t="e">
        <f t="shared" ca="1" si="68"/>
        <v>#N/A</v>
      </c>
      <c r="T428" s="160" t="e">
        <f t="shared" ca="1" si="68"/>
        <v>#N/A</v>
      </c>
      <c r="U428" s="160" t="e">
        <f t="shared" ca="1" si="69"/>
        <v>#N/A</v>
      </c>
      <c r="V428" s="163" t="e">
        <f t="shared" ca="1" si="71"/>
        <v>#N/A</v>
      </c>
      <c r="W428" s="163" t="e">
        <f t="shared" ca="1" si="72"/>
        <v>#N/A</v>
      </c>
      <c r="X428" s="163" t="e">
        <f t="shared" ca="1" si="73"/>
        <v>#N/A</v>
      </c>
      <c r="Y428" s="163" t="e">
        <f t="shared" ca="1" si="74"/>
        <v>#N/A</v>
      </c>
    </row>
    <row r="429" spans="12:25" ht="14.4">
      <c r="L429" s="464"/>
      <c r="M429" s="129" t="e">
        <f t="shared" si="75"/>
        <v>#N/A</v>
      </c>
      <c r="N429" s="161">
        <f t="shared" si="70"/>
        <v>13</v>
      </c>
      <c r="O429" s="160" t="e">
        <f t="shared" ca="1" si="76"/>
        <v>#N/A</v>
      </c>
      <c r="P429" s="160" t="e">
        <f t="shared" ca="1" si="67"/>
        <v>#N/A</v>
      </c>
      <c r="Q429" s="160" t="e">
        <f t="shared" ca="1" si="68"/>
        <v>#N/A</v>
      </c>
      <c r="R429" s="160" t="e">
        <f t="shared" ca="1" si="68"/>
        <v>#N/A</v>
      </c>
      <c r="S429" s="160" t="e">
        <f t="shared" ca="1" si="68"/>
        <v>#N/A</v>
      </c>
      <c r="T429" s="160" t="e">
        <f t="shared" ca="1" si="68"/>
        <v>#N/A</v>
      </c>
      <c r="U429" s="160" t="e">
        <f t="shared" ca="1" si="69"/>
        <v>#N/A</v>
      </c>
      <c r="V429" s="163" t="e">
        <f t="shared" ca="1" si="71"/>
        <v>#N/A</v>
      </c>
      <c r="W429" s="163" t="e">
        <f t="shared" ca="1" si="72"/>
        <v>#N/A</v>
      </c>
      <c r="X429" s="163" t="e">
        <f t="shared" ca="1" si="73"/>
        <v>#N/A</v>
      </c>
      <c r="Y429" s="163" t="e">
        <f t="shared" ca="1" si="74"/>
        <v>#N/A</v>
      </c>
    </row>
    <row r="430" spans="12:25" ht="14.4">
      <c r="L430" s="464"/>
      <c r="M430" s="129" t="e">
        <f t="shared" si="75"/>
        <v>#N/A</v>
      </c>
      <c r="N430" s="161">
        <f t="shared" si="70"/>
        <v>13</v>
      </c>
      <c r="O430" s="160" t="e">
        <f t="shared" ca="1" si="76"/>
        <v>#N/A</v>
      </c>
      <c r="P430" s="160" t="e">
        <f t="shared" ca="1" si="67"/>
        <v>#N/A</v>
      </c>
      <c r="Q430" s="160" t="e">
        <f t="shared" ca="1" si="68"/>
        <v>#N/A</v>
      </c>
      <c r="R430" s="160" t="e">
        <f t="shared" ca="1" si="68"/>
        <v>#N/A</v>
      </c>
      <c r="S430" s="160" t="e">
        <f t="shared" ca="1" si="68"/>
        <v>#N/A</v>
      </c>
      <c r="T430" s="160" t="e">
        <f t="shared" ca="1" si="68"/>
        <v>#N/A</v>
      </c>
      <c r="U430" s="160" t="e">
        <f t="shared" ca="1" si="69"/>
        <v>#N/A</v>
      </c>
      <c r="V430" s="163" t="e">
        <f t="shared" ca="1" si="71"/>
        <v>#N/A</v>
      </c>
      <c r="W430" s="163" t="e">
        <f t="shared" ca="1" si="72"/>
        <v>#N/A</v>
      </c>
      <c r="X430" s="163" t="e">
        <f t="shared" ca="1" si="73"/>
        <v>#N/A</v>
      </c>
      <c r="Y430" s="163" t="e">
        <f t="shared" ca="1" si="74"/>
        <v>#N/A</v>
      </c>
    </row>
    <row r="431" spans="12:25" ht="14.4">
      <c r="L431" s="464"/>
      <c r="M431" s="129" t="e">
        <f t="shared" si="75"/>
        <v>#N/A</v>
      </c>
      <c r="N431" s="161">
        <f t="shared" si="70"/>
        <v>13</v>
      </c>
      <c r="O431" s="160" t="e">
        <f t="shared" ca="1" si="76"/>
        <v>#N/A</v>
      </c>
      <c r="P431" s="160" t="e">
        <f t="shared" ca="1" si="67"/>
        <v>#N/A</v>
      </c>
      <c r="Q431" s="160" t="e">
        <f t="shared" ca="1" si="68"/>
        <v>#N/A</v>
      </c>
      <c r="R431" s="160" t="e">
        <f t="shared" ca="1" si="68"/>
        <v>#N/A</v>
      </c>
      <c r="S431" s="160" t="e">
        <f t="shared" ca="1" si="68"/>
        <v>#N/A</v>
      </c>
      <c r="T431" s="160" t="e">
        <f t="shared" ca="1" si="68"/>
        <v>#N/A</v>
      </c>
      <c r="U431" s="160" t="e">
        <f t="shared" ca="1" si="69"/>
        <v>#N/A</v>
      </c>
      <c r="V431" s="163" t="e">
        <f t="shared" ca="1" si="71"/>
        <v>#N/A</v>
      </c>
      <c r="W431" s="163" t="e">
        <f t="shared" ca="1" si="72"/>
        <v>#N/A</v>
      </c>
      <c r="X431" s="163" t="e">
        <f t="shared" ca="1" si="73"/>
        <v>#N/A</v>
      </c>
      <c r="Y431" s="163" t="e">
        <f t="shared" ca="1" si="74"/>
        <v>#N/A</v>
      </c>
    </row>
    <row r="432" spans="12:25" ht="14.4">
      <c r="L432" s="464"/>
      <c r="M432" s="129" t="e">
        <f t="shared" si="75"/>
        <v>#N/A</v>
      </c>
      <c r="N432" s="161">
        <f t="shared" si="70"/>
        <v>13</v>
      </c>
      <c r="O432" s="160" t="e">
        <f t="shared" ca="1" si="76"/>
        <v>#N/A</v>
      </c>
      <c r="P432" s="160" t="e">
        <f t="shared" ca="1" si="67"/>
        <v>#N/A</v>
      </c>
      <c r="Q432" s="160" t="e">
        <f t="shared" ca="1" si="68"/>
        <v>#N/A</v>
      </c>
      <c r="R432" s="160" t="e">
        <f t="shared" ca="1" si="68"/>
        <v>#N/A</v>
      </c>
      <c r="S432" s="160" t="e">
        <f t="shared" ca="1" si="68"/>
        <v>#N/A</v>
      </c>
      <c r="T432" s="160" t="e">
        <f t="shared" ca="1" si="68"/>
        <v>#N/A</v>
      </c>
      <c r="U432" s="160" t="e">
        <f t="shared" ca="1" si="69"/>
        <v>#N/A</v>
      </c>
      <c r="V432" s="163" t="e">
        <f t="shared" ca="1" si="71"/>
        <v>#N/A</v>
      </c>
      <c r="W432" s="163" t="e">
        <f t="shared" ca="1" si="72"/>
        <v>#N/A</v>
      </c>
      <c r="X432" s="163" t="e">
        <f t="shared" ca="1" si="73"/>
        <v>#N/A</v>
      </c>
      <c r="Y432" s="163" t="e">
        <f t="shared" ca="1" si="74"/>
        <v>#N/A</v>
      </c>
    </row>
    <row r="433" spans="12:25" ht="14.4">
      <c r="L433" s="464"/>
      <c r="M433" s="129" t="e">
        <f t="shared" si="75"/>
        <v>#N/A</v>
      </c>
      <c r="N433" s="161">
        <f t="shared" si="70"/>
        <v>13</v>
      </c>
      <c r="O433" s="160" t="e">
        <f t="shared" ca="1" si="76"/>
        <v>#N/A</v>
      </c>
      <c r="P433" s="160" t="e">
        <f t="shared" ca="1" si="67"/>
        <v>#N/A</v>
      </c>
      <c r="Q433" s="160" t="e">
        <f t="shared" ca="1" si="68"/>
        <v>#N/A</v>
      </c>
      <c r="R433" s="160" t="e">
        <f t="shared" ca="1" si="68"/>
        <v>#N/A</v>
      </c>
      <c r="S433" s="160" t="e">
        <f t="shared" ca="1" si="68"/>
        <v>#N/A</v>
      </c>
      <c r="T433" s="160" t="e">
        <f t="shared" ref="T433:U496" ca="1" si="77">IF($M433="end",0,OFFSET($A$1,$M433-1,T$29,1,1))</f>
        <v>#N/A</v>
      </c>
      <c r="U433" s="160" t="e">
        <f t="shared" ca="1" si="69"/>
        <v>#N/A</v>
      </c>
      <c r="V433" s="163" t="e">
        <f t="shared" ca="1" si="71"/>
        <v>#N/A</v>
      </c>
      <c r="W433" s="163" t="e">
        <f t="shared" ca="1" si="72"/>
        <v>#N/A</v>
      </c>
      <c r="X433" s="163" t="e">
        <f t="shared" ca="1" si="73"/>
        <v>#N/A</v>
      </c>
      <c r="Y433" s="163" t="e">
        <f t="shared" ca="1" si="74"/>
        <v>#N/A</v>
      </c>
    </row>
    <row r="434" spans="12:25" ht="14.4">
      <c r="L434" s="464"/>
      <c r="M434" s="129" t="e">
        <f t="shared" si="75"/>
        <v>#N/A</v>
      </c>
      <c r="N434" s="161">
        <f t="shared" si="70"/>
        <v>13</v>
      </c>
      <c r="O434" s="160" t="e">
        <f t="shared" ca="1" si="76"/>
        <v>#N/A</v>
      </c>
      <c r="P434" s="160" t="e">
        <f t="shared" ref="P434:P497" ca="1" si="78">IF($M434="end",0,OFFSET($A$1,$M434-1,P$29,1,1))</f>
        <v>#N/A</v>
      </c>
      <c r="Q434" s="160" t="e">
        <f t="shared" ref="Q434:U497" ca="1" si="79">IF($M434="end",0,OFFSET($A$1,$M434-1,Q$29,1,1))</f>
        <v>#N/A</v>
      </c>
      <c r="R434" s="160" t="e">
        <f t="shared" ca="1" si="79"/>
        <v>#N/A</v>
      </c>
      <c r="S434" s="160" t="e">
        <f t="shared" ca="1" si="79"/>
        <v>#N/A</v>
      </c>
      <c r="T434" s="160" t="e">
        <f t="shared" ca="1" si="77"/>
        <v>#N/A</v>
      </c>
      <c r="U434" s="160" t="e">
        <f t="shared" ca="1" si="77"/>
        <v>#N/A</v>
      </c>
      <c r="V434" s="163" t="e">
        <f t="shared" ca="1" si="71"/>
        <v>#N/A</v>
      </c>
      <c r="W434" s="163" t="e">
        <f t="shared" ca="1" si="72"/>
        <v>#N/A</v>
      </c>
      <c r="X434" s="163" t="e">
        <f t="shared" ca="1" si="73"/>
        <v>#N/A</v>
      </c>
      <c r="Y434" s="163" t="e">
        <f t="shared" ca="1" si="74"/>
        <v>#N/A</v>
      </c>
    </row>
    <row r="435" spans="12:25" ht="14.4">
      <c r="L435" s="464"/>
      <c r="M435" s="129" t="e">
        <f t="shared" si="75"/>
        <v>#N/A</v>
      </c>
      <c r="N435" s="161">
        <f t="shared" si="70"/>
        <v>13</v>
      </c>
      <c r="O435" s="160" t="e">
        <f t="shared" ca="1" si="76"/>
        <v>#N/A</v>
      </c>
      <c r="P435" s="160" t="e">
        <f t="shared" ca="1" si="78"/>
        <v>#N/A</v>
      </c>
      <c r="Q435" s="160" t="e">
        <f t="shared" ca="1" si="79"/>
        <v>#N/A</v>
      </c>
      <c r="R435" s="160" t="e">
        <f t="shared" ca="1" si="79"/>
        <v>#N/A</v>
      </c>
      <c r="S435" s="160" t="e">
        <f t="shared" ca="1" si="79"/>
        <v>#N/A</v>
      </c>
      <c r="T435" s="160" t="e">
        <f t="shared" ca="1" si="77"/>
        <v>#N/A</v>
      </c>
      <c r="U435" s="160" t="e">
        <f t="shared" ca="1" si="77"/>
        <v>#N/A</v>
      </c>
      <c r="V435" s="163" t="e">
        <f t="shared" ca="1" si="71"/>
        <v>#N/A</v>
      </c>
      <c r="W435" s="163" t="e">
        <f t="shared" ca="1" si="72"/>
        <v>#N/A</v>
      </c>
      <c r="X435" s="163" t="e">
        <f t="shared" ca="1" si="73"/>
        <v>#N/A</v>
      </c>
      <c r="Y435" s="163" t="e">
        <f t="shared" ca="1" si="74"/>
        <v>#N/A</v>
      </c>
    </row>
    <row r="436" spans="12:25" ht="14.4">
      <c r="L436" s="464"/>
      <c r="M436" s="129" t="e">
        <f t="shared" si="75"/>
        <v>#N/A</v>
      </c>
      <c r="N436" s="161">
        <f t="shared" si="70"/>
        <v>13</v>
      </c>
      <c r="O436" s="160" t="e">
        <f t="shared" ca="1" si="76"/>
        <v>#N/A</v>
      </c>
      <c r="P436" s="160" t="e">
        <f t="shared" ca="1" si="78"/>
        <v>#N/A</v>
      </c>
      <c r="Q436" s="160" t="e">
        <f t="shared" ca="1" si="79"/>
        <v>#N/A</v>
      </c>
      <c r="R436" s="160" t="e">
        <f t="shared" ca="1" si="79"/>
        <v>#N/A</v>
      </c>
      <c r="S436" s="160" t="e">
        <f t="shared" ca="1" si="79"/>
        <v>#N/A</v>
      </c>
      <c r="T436" s="160" t="e">
        <f t="shared" ca="1" si="77"/>
        <v>#N/A</v>
      </c>
      <c r="U436" s="160" t="e">
        <f t="shared" ca="1" si="77"/>
        <v>#N/A</v>
      </c>
      <c r="V436" s="163" t="e">
        <f t="shared" ca="1" si="71"/>
        <v>#N/A</v>
      </c>
      <c r="W436" s="163" t="e">
        <f t="shared" ca="1" si="72"/>
        <v>#N/A</v>
      </c>
      <c r="X436" s="163" t="e">
        <f t="shared" ca="1" si="73"/>
        <v>#N/A</v>
      </c>
      <c r="Y436" s="163" t="e">
        <f t="shared" ca="1" si="74"/>
        <v>#N/A</v>
      </c>
    </row>
    <row r="437" spans="12:25" ht="14.4">
      <c r="L437" s="464"/>
      <c r="M437" s="129" t="e">
        <f t="shared" si="75"/>
        <v>#N/A</v>
      </c>
      <c r="N437" s="161">
        <f t="shared" si="70"/>
        <v>13</v>
      </c>
      <c r="O437" s="160" t="e">
        <f t="shared" ca="1" si="76"/>
        <v>#N/A</v>
      </c>
      <c r="P437" s="160" t="e">
        <f t="shared" ca="1" si="78"/>
        <v>#N/A</v>
      </c>
      <c r="Q437" s="160" t="e">
        <f t="shared" ca="1" si="79"/>
        <v>#N/A</v>
      </c>
      <c r="R437" s="160" t="e">
        <f t="shared" ca="1" si="79"/>
        <v>#N/A</v>
      </c>
      <c r="S437" s="160" t="e">
        <f t="shared" ca="1" si="79"/>
        <v>#N/A</v>
      </c>
      <c r="T437" s="160" t="e">
        <f t="shared" ca="1" si="77"/>
        <v>#N/A</v>
      </c>
      <c r="U437" s="160" t="e">
        <f t="shared" ca="1" si="77"/>
        <v>#N/A</v>
      </c>
      <c r="V437" s="163" t="e">
        <f t="shared" ca="1" si="71"/>
        <v>#N/A</v>
      </c>
      <c r="W437" s="163" t="e">
        <f t="shared" ca="1" si="72"/>
        <v>#N/A</v>
      </c>
      <c r="X437" s="163" t="e">
        <f t="shared" ca="1" si="73"/>
        <v>#N/A</v>
      </c>
      <c r="Y437" s="163" t="e">
        <f t="shared" ca="1" si="74"/>
        <v>#N/A</v>
      </c>
    </row>
    <row r="438" spans="12:25" ht="14.4">
      <c r="L438" s="464"/>
      <c r="M438" s="129" t="e">
        <f t="shared" si="75"/>
        <v>#N/A</v>
      </c>
      <c r="N438" s="161">
        <f t="shared" si="70"/>
        <v>13</v>
      </c>
      <c r="O438" s="160" t="e">
        <f t="shared" ca="1" si="76"/>
        <v>#N/A</v>
      </c>
      <c r="P438" s="160" t="e">
        <f t="shared" ca="1" si="78"/>
        <v>#N/A</v>
      </c>
      <c r="Q438" s="160" t="e">
        <f t="shared" ca="1" si="79"/>
        <v>#N/A</v>
      </c>
      <c r="R438" s="160" t="e">
        <f t="shared" ca="1" si="79"/>
        <v>#N/A</v>
      </c>
      <c r="S438" s="160" t="e">
        <f t="shared" ca="1" si="79"/>
        <v>#N/A</v>
      </c>
      <c r="T438" s="160" t="e">
        <f t="shared" ca="1" si="77"/>
        <v>#N/A</v>
      </c>
      <c r="U438" s="160" t="e">
        <f t="shared" ca="1" si="77"/>
        <v>#N/A</v>
      </c>
      <c r="V438" s="163" t="e">
        <f t="shared" ca="1" si="71"/>
        <v>#N/A</v>
      </c>
      <c r="W438" s="163" t="e">
        <f t="shared" ca="1" si="72"/>
        <v>#N/A</v>
      </c>
      <c r="X438" s="163" t="e">
        <f t="shared" ca="1" si="73"/>
        <v>#N/A</v>
      </c>
      <c r="Y438" s="163" t="e">
        <f t="shared" ca="1" si="74"/>
        <v>#N/A</v>
      </c>
    </row>
    <row r="439" spans="12:25" ht="14.4">
      <c r="L439" s="464"/>
      <c r="M439" s="129" t="e">
        <f t="shared" si="75"/>
        <v>#N/A</v>
      </c>
      <c r="N439" s="161">
        <f t="shared" si="70"/>
        <v>13</v>
      </c>
      <c r="O439" s="160" t="e">
        <f t="shared" ca="1" si="76"/>
        <v>#N/A</v>
      </c>
      <c r="P439" s="160" t="e">
        <f t="shared" ca="1" si="78"/>
        <v>#N/A</v>
      </c>
      <c r="Q439" s="160" t="e">
        <f t="shared" ca="1" si="79"/>
        <v>#N/A</v>
      </c>
      <c r="R439" s="160" t="e">
        <f t="shared" ca="1" si="79"/>
        <v>#N/A</v>
      </c>
      <c r="S439" s="160" t="e">
        <f t="shared" ca="1" si="79"/>
        <v>#N/A</v>
      </c>
      <c r="T439" s="160" t="e">
        <f t="shared" ca="1" si="77"/>
        <v>#N/A</v>
      </c>
      <c r="U439" s="160" t="e">
        <f t="shared" ca="1" si="77"/>
        <v>#N/A</v>
      </c>
      <c r="V439" s="163" t="e">
        <f t="shared" ca="1" si="71"/>
        <v>#N/A</v>
      </c>
      <c r="W439" s="163" t="e">
        <f t="shared" ca="1" si="72"/>
        <v>#N/A</v>
      </c>
      <c r="X439" s="163" t="e">
        <f t="shared" ca="1" si="73"/>
        <v>#N/A</v>
      </c>
      <c r="Y439" s="163" t="e">
        <f t="shared" ca="1" si="74"/>
        <v>#N/A</v>
      </c>
    </row>
    <row r="440" spans="12:25" ht="14.4">
      <c r="L440" s="464"/>
      <c r="M440" s="129" t="e">
        <f t="shared" si="75"/>
        <v>#N/A</v>
      </c>
      <c r="N440" s="161">
        <f t="shared" si="70"/>
        <v>13</v>
      </c>
      <c r="O440" s="160" t="e">
        <f t="shared" ca="1" si="76"/>
        <v>#N/A</v>
      </c>
      <c r="P440" s="160" t="e">
        <f t="shared" ca="1" si="78"/>
        <v>#N/A</v>
      </c>
      <c r="Q440" s="160" t="e">
        <f t="shared" ca="1" si="79"/>
        <v>#N/A</v>
      </c>
      <c r="R440" s="160" t="e">
        <f t="shared" ca="1" si="79"/>
        <v>#N/A</v>
      </c>
      <c r="S440" s="160" t="e">
        <f t="shared" ca="1" si="79"/>
        <v>#N/A</v>
      </c>
      <c r="T440" s="160" t="e">
        <f t="shared" ca="1" si="77"/>
        <v>#N/A</v>
      </c>
      <c r="U440" s="160" t="e">
        <f t="shared" ca="1" si="77"/>
        <v>#N/A</v>
      </c>
      <c r="V440" s="163" t="e">
        <f t="shared" ca="1" si="71"/>
        <v>#N/A</v>
      </c>
      <c r="W440" s="163" t="e">
        <f t="shared" ca="1" si="72"/>
        <v>#N/A</v>
      </c>
      <c r="X440" s="163" t="e">
        <f t="shared" ca="1" si="73"/>
        <v>#N/A</v>
      </c>
      <c r="Y440" s="163" t="e">
        <f t="shared" ca="1" si="74"/>
        <v>#N/A</v>
      </c>
    </row>
    <row r="441" spans="12:25" ht="14.4">
      <c r="L441" s="464"/>
      <c r="M441" s="129" t="e">
        <f t="shared" si="75"/>
        <v>#N/A</v>
      </c>
      <c r="N441" s="161">
        <f t="shared" si="70"/>
        <v>13</v>
      </c>
      <c r="O441" s="160" t="e">
        <f t="shared" ca="1" si="76"/>
        <v>#N/A</v>
      </c>
      <c r="P441" s="160" t="e">
        <f t="shared" ca="1" si="78"/>
        <v>#N/A</v>
      </c>
      <c r="Q441" s="160" t="e">
        <f t="shared" ca="1" si="79"/>
        <v>#N/A</v>
      </c>
      <c r="R441" s="160" t="e">
        <f t="shared" ca="1" si="79"/>
        <v>#N/A</v>
      </c>
      <c r="S441" s="160" t="e">
        <f t="shared" ca="1" si="79"/>
        <v>#N/A</v>
      </c>
      <c r="T441" s="160" t="e">
        <f t="shared" ca="1" si="77"/>
        <v>#N/A</v>
      </c>
      <c r="U441" s="160" t="e">
        <f t="shared" ca="1" si="77"/>
        <v>#N/A</v>
      </c>
      <c r="V441" s="163" t="e">
        <f t="shared" ca="1" si="71"/>
        <v>#N/A</v>
      </c>
      <c r="W441" s="163" t="e">
        <f t="shared" ca="1" si="72"/>
        <v>#N/A</v>
      </c>
      <c r="X441" s="163" t="e">
        <f t="shared" ca="1" si="73"/>
        <v>#N/A</v>
      </c>
      <c r="Y441" s="163" t="e">
        <f t="shared" ca="1" si="74"/>
        <v>#N/A</v>
      </c>
    </row>
    <row r="442" spans="12:25" ht="14.4">
      <c r="L442" s="464"/>
      <c r="M442" s="129" t="e">
        <f t="shared" si="75"/>
        <v>#N/A</v>
      </c>
      <c r="N442" s="161">
        <f t="shared" si="70"/>
        <v>13</v>
      </c>
      <c r="O442" s="160" t="e">
        <f t="shared" ca="1" si="76"/>
        <v>#N/A</v>
      </c>
      <c r="P442" s="160" t="e">
        <f t="shared" ca="1" si="78"/>
        <v>#N/A</v>
      </c>
      <c r="Q442" s="160" t="e">
        <f t="shared" ca="1" si="79"/>
        <v>#N/A</v>
      </c>
      <c r="R442" s="160" t="e">
        <f t="shared" ca="1" si="79"/>
        <v>#N/A</v>
      </c>
      <c r="S442" s="160" t="e">
        <f t="shared" ca="1" si="79"/>
        <v>#N/A</v>
      </c>
      <c r="T442" s="160" t="e">
        <f t="shared" ca="1" si="77"/>
        <v>#N/A</v>
      </c>
      <c r="U442" s="160" t="e">
        <f t="shared" ca="1" si="77"/>
        <v>#N/A</v>
      </c>
      <c r="V442" s="163" t="e">
        <f t="shared" ca="1" si="71"/>
        <v>#N/A</v>
      </c>
      <c r="W442" s="163" t="e">
        <f t="shared" ca="1" si="72"/>
        <v>#N/A</v>
      </c>
      <c r="X442" s="163" t="e">
        <f t="shared" ca="1" si="73"/>
        <v>#N/A</v>
      </c>
      <c r="Y442" s="163" t="e">
        <f t="shared" ca="1" si="74"/>
        <v>#N/A</v>
      </c>
    </row>
    <row r="443" spans="12:25" ht="14.4">
      <c r="L443" s="464"/>
      <c r="M443" s="129" t="e">
        <f t="shared" si="75"/>
        <v>#N/A</v>
      </c>
      <c r="N443" s="161">
        <f t="shared" si="70"/>
        <v>13</v>
      </c>
      <c r="O443" s="160" t="e">
        <f t="shared" ca="1" si="76"/>
        <v>#N/A</v>
      </c>
      <c r="P443" s="160" t="e">
        <f t="shared" ca="1" si="78"/>
        <v>#N/A</v>
      </c>
      <c r="Q443" s="160" t="e">
        <f t="shared" ca="1" si="79"/>
        <v>#N/A</v>
      </c>
      <c r="R443" s="160" t="e">
        <f t="shared" ca="1" si="79"/>
        <v>#N/A</v>
      </c>
      <c r="S443" s="160" t="e">
        <f t="shared" ca="1" si="79"/>
        <v>#N/A</v>
      </c>
      <c r="T443" s="160" t="e">
        <f t="shared" ca="1" si="77"/>
        <v>#N/A</v>
      </c>
      <c r="U443" s="160" t="e">
        <f t="shared" ca="1" si="77"/>
        <v>#N/A</v>
      </c>
      <c r="V443" s="163" t="e">
        <f t="shared" ca="1" si="71"/>
        <v>#N/A</v>
      </c>
      <c r="W443" s="163" t="e">
        <f t="shared" ca="1" si="72"/>
        <v>#N/A</v>
      </c>
      <c r="X443" s="163" t="e">
        <f t="shared" ca="1" si="73"/>
        <v>#N/A</v>
      </c>
      <c r="Y443" s="163" t="e">
        <f t="shared" ca="1" si="74"/>
        <v>#N/A</v>
      </c>
    </row>
    <row r="444" spans="12:25" ht="14.4">
      <c r="L444" s="464"/>
      <c r="M444" s="129" t="e">
        <f t="shared" si="75"/>
        <v>#N/A</v>
      </c>
      <c r="N444" s="161">
        <f t="shared" si="70"/>
        <v>13</v>
      </c>
      <c r="O444" s="160" t="e">
        <f t="shared" ca="1" si="76"/>
        <v>#N/A</v>
      </c>
      <c r="P444" s="160" t="e">
        <f t="shared" ca="1" si="78"/>
        <v>#N/A</v>
      </c>
      <c r="Q444" s="160" t="e">
        <f t="shared" ca="1" si="79"/>
        <v>#N/A</v>
      </c>
      <c r="R444" s="160" t="e">
        <f t="shared" ca="1" si="79"/>
        <v>#N/A</v>
      </c>
      <c r="S444" s="160" t="e">
        <f t="shared" ca="1" si="79"/>
        <v>#N/A</v>
      </c>
      <c r="T444" s="160" t="e">
        <f t="shared" ca="1" si="77"/>
        <v>#N/A</v>
      </c>
      <c r="U444" s="160" t="e">
        <f t="shared" ca="1" si="77"/>
        <v>#N/A</v>
      </c>
      <c r="V444" s="163" t="e">
        <f t="shared" ca="1" si="71"/>
        <v>#N/A</v>
      </c>
      <c r="W444" s="163" t="e">
        <f t="shared" ca="1" si="72"/>
        <v>#N/A</v>
      </c>
      <c r="X444" s="163" t="e">
        <f t="shared" ca="1" si="73"/>
        <v>#N/A</v>
      </c>
      <c r="Y444" s="163" t="e">
        <f t="shared" ca="1" si="74"/>
        <v>#N/A</v>
      </c>
    </row>
    <row r="445" spans="12:25" ht="14.4">
      <c r="L445" s="464"/>
      <c r="M445" s="129" t="e">
        <f t="shared" si="75"/>
        <v>#N/A</v>
      </c>
      <c r="N445" s="161">
        <f t="shared" si="70"/>
        <v>13</v>
      </c>
      <c r="O445" s="160" t="e">
        <f t="shared" ca="1" si="76"/>
        <v>#N/A</v>
      </c>
      <c r="P445" s="160" t="e">
        <f t="shared" ca="1" si="78"/>
        <v>#N/A</v>
      </c>
      <c r="Q445" s="160" t="e">
        <f t="shared" ca="1" si="79"/>
        <v>#N/A</v>
      </c>
      <c r="R445" s="160" t="e">
        <f t="shared" ca="1" si="79"/>
        <v>#N/A</v>
      </c>
      <c r="S445" s="160" t="e">
        <f t="shared" ca="1" si="79"/>
        <v>#N/A</v>
      </c>
      <c r="T445" s="160" t="e">
        <f t="shared" ca="1" si="77"/>
        <v>#N/A</v>
      </c>
      <c r="U445" s="160" t="e">
        <f t="shared" ca="1" si="77"/>
        <v>#N/A</v>
      </c>
      <c r="V445" s="163" t="e">
        <f t="shared" ca="1" si="71"/>
        <v>#N/A</v>
      </c>
      <c r="W445" s="163" t="e">
        <f t="shared" ca="1" si="72"/>
        <v>#N/A</v>
      </c>
      <c r="X445" s="163" t="e">
        <f t="shared" ca="1" si="73"/>
        <v>#N/A</v>
      </c>
      <c r="Y445" s="163" t="e">
        <f t="shared" ca="1" si="74"/>
        <v>#N/A</v>
      </c>
    </row>
    <row r="446" spans="12:25" ht="14.4">
      <c r="L446" s="464"/>
      <c r="M446" s="129" t="e">
        <f t="shared" si="75"/>
        <v>#N/A</v>
      </c>
      <c r="N446" s="161">
        <f t="shared" si="70"/>
        <v>13</v>
      </c>
      <c r="O446" s="160" t="e">
        <f t="shared" ca="1" si="76"/>
        <v>#N/A</v>
      </c>
      <c r="P446" s="160" t="e">
        <f t="shared" ca="1" si="78"/>
        <v>#N/A</v>
      </c>
      <c r="Q446" s="160" t="e">
        <f t="shared" ca="1" si="79"/>
        <v>#N/A</v>
      </c>
      <c r="R446" s="160" t="e">
        <f t="shared" ca="1" si="79"/>
        <v>#N/A</v>
      </c>
      <c r="S446" s="160" t="e">
        <f t="shared" ca="1" si="79"/>
        <v>#N/A</v>
      </c>
      <c r="T446" s="160" t="e">
        <f t="shared" ca="1" si="77"/>
        <v>#N/A</v>
      </c>
      <c r="U446" s="160" t="e">
        <f t="shared" ca="1" si="77"/>
        <v>#N/A</v>
      </c>
      <c r="V446" s="163" t="e">
        <f t="shared" ca="1" si="71"/>
        <v>#N/A</v>
      </c>
      <c r="W446" s="163" t="e">
        <f t="shared" ca="1" si="72"/>
        <v>#N/A</v>
      </c>
      <c r="X446" s="163" t="e">
        <f t="shared" ca="1" si="73"/>
        <v>#N/A</v>
      </c>
      <c r="Y446" s="163" t="e">
        <f t="shared" ca="1" si="74"/>
        <v>#N/A</v>
      </c>
    </row>
    <row r="447" spans="12:25" ht="14.4">
      <c r="L447" s="464"/>
      <c r="M447" s="129" t="e">
        <f t="shared" si="75"/>
        <v>#N/A</v>
      </c>
      <c r="N447" s="161">
        <f t="shared" si="70"/>
        <v>13</v>
      </c>
      <c r="O447" s="160" t="e">
        <f t="shared" ca="1" si="76"/>
        <v>#N/A</v>
      </c>
      <c r="P447" s="160" t="e">
        <f t="shared" ca="1" si="78"/>
        <v>#N/A</v>
      </c>
      <c r="Q447" s="160" t="e">
        <f t="shared" ca="1" si="79"/>
        <v>#N/A</v>
      </c>
      <c r="R447" s="160" t="e">
        <f t="shared" ca="1" si="79"/>
        <v>#N/A</v>
      </c>
      <c r="S447" s="160" t="e">
        <f t="shared" ca="1" si="79"/>
        <v>#N/A</v>
      </c>
      <c r="T447" s="160" t="e">
        <f t="shared" ca="1" si="77"/>
        <v>#N/A</v>
      </c>
      <c r="U447" s="160" t="e">
        <f t="shared" ca="1" si="77"/>
        <v>#N/A</v>
      </c>
      <c r="V447" s="163" t="e">
        <f t="shared" ca="1" si="71"/>
        <v>#N/A</v>
      </c>
      <c r="W447" s="163" t="e">
        <f t="shared" ca="1" si="72"/>
        <v>#N/A</v>
      </c>
      <c r="X447" s="163" t="e">
        <f t="shared" ca="1" si="73"/>
        <v>#N/A</v>
      </c>
      <c r="Y447" s="163" t="e">
        <f t="shared" ca="1" si="74"/>
        <v>#N/A</v>
      </c>
    </row>
    <row r="448" spans="12:25" ht="14.4">
      <c r="L448" s="464"/>
      <c r="M448" s="129" t="e">
        <f t="shared" si="75"/>
        <v>#N/A</v>
      </c>
      <c r="N448" s="161">
        <f t="shared" si="70"/>
        <v>13</v>
      </c>
      <c r="O448" s="160" t="e">
        <f t="shared" ca="1" si="76"/>
        <v>#N/A</v>
      </c>
      <c r="P448" s="160" t="e">
        <f t="shared" ca="1" si="78"/>
        <v>#N/A</v>
      </c>
      <c r="Q448" s="160" t="e">
        <f t="shared" ca="1" si="79"/>
        <v>#N/A</v>
      </c>
      <c r="R448" s="160" t="e">
        <f t="shared" ca="1" si="79"/>
        <v>#N/A</v>
      </c>
      <c r="S448" s="160" t="e">
        <f t="shared" ca="1" si="79"/>
        <v>#N/A</v>
      </c>
      <c r="T448" s="160" t="e">
        <f t="shared" ca="1" si="77"/>
        <v>#N/A</v>
      </c>
      <c r="U448" s="160" t="e">
        <f t="shared" ca="1" si="77"/>
        <v>#N/A</v>
      </c>
      <c r="V448" s="163" t="e">
        <f t="shared" ca="1" si="71"/>
        <v>#N/A</v>
      </c>
      <c r="W448" s="163" t="e">
        <f t="shared" ca="1" si="72"/>
        <v>#N/A</v>
      </c>
      <c r="X448" s="163" t="e">
        <f t="shared" ca="1" si="73"/>
        <v>#N/A</v>
      </c>
      <c r="Y448" s="163" t="e">
        <f t="shared" ca="1" si="74"/>
        <v>#N/A</v>
      </c>
    </row>
    <row r="449" spans="12:25" ht="14.4">
      <c r="L449" s="464"/>
      <c r="M449" s="129" t="e">
        <f t="shared" si="75"/>
        <v>#N/A</v>
      </c>
      <c r="N449" s="161">
        <f t="shared" si="70"/>
        <v>13</v>
      </c>
      <c r="O449" s="160" t="e">
        <f t="shared" ca="1" si="76"/>
        <v>#N/A</v>
      </c>
      <c r="P449" s="160" t="e">
        <f t="shared" ca="1" si="78"/>
        <v>#N/A</v>
      </c>
      <c r="Q449" s="160" t="e">
        <f t="shared" ca="1" si="79"/>
        <v>#N/A</v>
      </c>
      <c r="R449" s="160" t="e">
        <f t="shared" ca="1" si="79"/>
        <v>#N/A</v>
      </c>
      <c r="S449" s="160" t="e">
        <f t="shared" ca="1" si="79"/>
        <v>#N/A</v>
      </c>
      <c r="T449" s="160" t="e">
        <f t="shared" ca="1" si="77"/>
        <v>#N/A</v>
      </c>
      <c r="U449" s="160" t="e">
        <f t="shared" ca="1" si="77"/>
        <v>#N/A</v>
      </c>
      <c r="V449" s="163" t="e">
        <f t="shared" ca="1" si="71"/>
        <v>#N/A</v>
      </c>
      <c r="W449" s="163" t="e">
        <f t="shared" ca="1" si="72"/>
        <v>#N/A</v>
      </c>
      <c r="X449" s="163" t="e">
        <f t="shared" ca="1" si="73"/>
        <v>#N/A</v>
      </c>
      <c r="Y449" s="163" t="e">
        <f t="shared" ca="1" si="74"/>
        <v>#N/A</v>
      </c>
    </row>
    <row r="450" spans="12:25" ht="14.4">
      <c r="L450" s="464"/>
      <c r="M450" s="129" t="e">
        <f t="shared" si="75"/>
        <v>#N/A</v>
      </c>
      <c r="N450" s="161">
        <f t="shared" si="70"/>
        <v>13</v>
      </c>
      <c r="O450" s="160" t="e">
        <f t="shared" ca="1" si="76"/>
        <v>#N/A</v>
      </c>
      <c r="P450" s="160" t="e">
        <f t="shared" ca="1" si="78"/>
        <v>#N/A</v>
      </c>
      <c r="Q450" s="160" t="e">
        <f t="shared" ca="1" si="79"/>
        <v>#N/A</v>
      </c>
      <c r="R450" s="160" t="e">
        <f t="shared" ca="1" si="79"/>
        <v>#N/A</v>
      </c>
      <c r="S450" s="160" t="e">
        <f t="shared" ca="1" si="79"/>
        <v>#N/A</v>
      </c>
      <c r="T450" s="160" t="e">
        <f t="shared" ca="1" si="77"/>
        <v>#N/A</v>
      </c>
      <c r="U450" s="160" t="e">
        <f t="shared" ca="1" si="77"/>
        <v>#N/A</v>
      </c>
      <c r="V450" s="163" t="e">
        <f t="shared" ca="1" si="71"/>
        <v>#N/A</v>
      </c>
      <c r="W450" s="163" t="e">
        <f t="shared" ca="1" si="72"/>
        <v>#N/A</v>
      </c>
      <c r="X450" s="163" t="e">
        <f t="shared" ca="1" si="73"/>
        <v>#N/A</v>
      </c>
      <c r="Y450" s="163" t="e">
        <f t="shared" ca="1" si="74"/>
        <v>#N/A</v>
      </c>
    </row>
    <row r="451" spans="12:25" ht="14.4">
      <c r="L451" s="464"/>
      <c r="M451" s="129" t="e">
        <f t="shared" si="75"/>
        <v>#N/A</v>
      </c>
      <c r="N451" s="161">
        <f t="shared" si="70"/>
        <v>13</v>
      </c>
      <c r="O451" s="160" t="e">
        <f t="shared" ca="1" si="76"/>
        <v>#N/A</v>
      </c>
      <c r="P451" s="160" t="e">
        <f t="shared" ca="1" si="78"/>
        <v>#N/A</v>
      </c>
      <c r="Q451" s="160" t="e">
        <f t="shared" ca="1" si="79"/>
        <v>#N/A</v>
      </c>
      <c r="R451" s="160" t="e">
        <f t="shared" ca="1" si="79"/>
        <v>#N/A</v>
      </c>
      <c r="S451" s="160" t="e">
        <f t="shared" ca="1" si="79"/>
        <v>#N/A</v>
      </c>
      <c r="T451" s="160" t="e">
        <f t="shared" ca="1" si="77"/>
        <v>#N/A</v>
      </c>
      <c r="U451" s="160" t="e">
        <f t="shared" ca="1" si="77"/>
        <v>#N/A</v>
      </c>
      <c r="V451" s="163" t="e">
        <f t="shared" ca="1" si="71"/>
        <v>#N/A</v>
      </c>
      <c r="W451" s="163" t="e">
        <f t="shared" ca="1" si="72"/>
        <v>#N/A</v>
      </c>
      <c r="X451" s="163" t="e">
        <f t="shared" ca="1" si="73"/>
        <v>#N/A</v>
      </c>
      <c r="Y451" s="163" t="e">
        <f t="shared" ca="1" si="74"/>
        <v>#N/A</v>
      </c>
    </row>
    <row r="452" spans="12:25" ht="14.4">
      <c r="L452" s="464"/>
      <c r="M452" s="129" t="e">
        <f t="shared" si="75"/>
        <v>#N/A</v>
      </c>
      <c r="N452" s="161">
        <f t="shared" si="70"/>
        <v>13</v>
      </c>
      <c r="O452" s="160" t="e">
        <f t="shared" ca="1" si="76"/>
        <v>#N/A</v>
      </c>
      <c r="P452" s="160" t="e">
        <f t="shared" ca="1" si="78"/>
        <v>#N/A</v>
      </c>
      <c r="Q452" s="160" t="e">
        <f t="shared" ca="1" si="79"/>
        <v>#N/A</v>
      </c>
      <c r="R452" s="160" t="e">
        <f t="shared" ca="1" si="79"/>
        <v>#N/A</v>
      </c>
      <c r="S452" s="160" t="e">
        <f t="shared" ca="1" si="79"/>
        <v>#N/A</v>
      </c>
      <c r="T452" s="160" t="e">
        <f t="shared" ca="1" si="77"/>
        <v>#N/A</v>
      </c>
      <c r="U452" s="160" t="e">
        <f t="shared" ca="1" si="77"/>
        <v>#N/A</v>
      </c>
      <c r="V452" s="163" t="e">
        <f t="shared" ca="1" si="71"/>
        <v>#N/A</v>
      </c>
      <c r="W452" s="163" t="e">
        <f t="shared" ca="1" si="72"/>
        <v>#N/A</v>
      </c>
      <c r="X452" s="163" t="e">
        <f t="shared" ca="1" si="73"/>
        <v>#N/A</v>
      </c>
      <c r="Y452" s="163" t="e">
        <f t="shared" ca="1" si="74"/>
        <v>#N/A</v>
      </c>
    </row>
    <row r="453" spans="12:25" ht="14.4">
      <c r="L453" s="464"/>
      <c r="M453" s="129" t="e">
        <f t="shared" si="75"/>
        <v>#N/A</v>
      </c>
      <c r="N453" s="161">
        <f t="shared" si="70"/>
        <v>13</v>
      </c>
      <c r="O453" s="160" t="e">
        <f t="shared" ca="1" si="76"/>
        <v>#N/A</v>
      </c>
      <c r="P453" s="160" t="e">
        <f t="shared" ca="1" si="78"/>
        <v>#N/A</v>
      </c>
      <c r="Q453" s="160" t="e">
        <f t="shared" ca="1" si="79"/>
        <v>#N/A</v>
      </c>
      <c r="R453" s="160" t="e">
        <f t="shared" ca="1" si="79"/>
        <v>#N/A</v>
      </c>
      <c r="S453" s="160" t="e">
        <f t="shared" ca="1" si="79"/>
        <v>#N/A</v>
      </c>
      <c r="T453" s="160" t="e">
        <f t="shared" ca="1" si="77"/>
        <v>#N/A</v>
      </c>
      <c r="U453" s="160" t="e">
        <f t="shared" ca="1" si="77"/>
        <v>#N/A</v>
      </c>
      <c r="V453" s="163" t="e">
        <f t="shared" ca="1" si="71"/>
        <v>#N/A</v>
      </c>
      <c r="W453" s="163" t="e">
        <f t="shared" ca="1" si="72"/>
        <v>#N/A</v>
      </c>
      <c r="X453" s="163" t="e">
        <f t="shared" ca="1" si="73"/>
        <v>#N/A</v>
      </c>
      <c r="Y453" s="163" t="e">
        <f t="shared" ca="1" si="74"/>
        <v>#N/A</v>
      </c>
    </row>
    <row r="454" spans="12:25" ht="14.4">
      <c r="L454" s="464"/>
      <c r="M454" s="129" t="e">
        <f t="shared" si="75"/>
        <v>#N/A</v>
      </c>
      <c r="N454" s="161">
        <f t="shared" si="70"/>
        <v>13</v>
      </c>
      <c r="O454" s="160" t="e">
        <f t="shared" ca="1" si="76"/>
        <v>#N/A</v>
      </c>
      <c r="P454" s="160" t="e">
        <f t="shared" ca="1" si="78"/>
        <v>#N/A</v>
      </c>
      <c r="Q454" s="160" t="e">
        <f t="shared" ca="1" si="79"/>
        <v>#N/A</v>
      </c>
      <c r="R454" s="160" t="e">
        <f t="shared" ca="1" si="79"/>
        <v>#N/A</v>
      </c>
      <c r="S454" s="160" t="e">
        <f t="shared" ca="1" si="79"/>
        <v>#N/A</v>
      </c>
      <c r="T454" s="160" t="e">
        <f t="shared" ca="1" si="77"/>
        <v>#N/A</v>
      </c>
      <c r="U454" s="160" t="e">
        <f t="shared" ca="1" si="77"/>
        <v>#N/A</v>
      </c>
      <c r="V454" s="163" t="e">
        <f t="shared" ca="1" si="71"/>
        <v>#N/A</v>
      </c>
      <c r="W454" s="163" t="e">
        <f t="shared" ca="1" si="72"/>
        <v>#N/A</v>
      </c>
      <c r="X454" s="163" t="e">
        <f t="shared" ca="1" si="73"/>
        <v>#N/A</v>
      </c>
      <c r="Y454" s="163" t="e">
        <f t="shared" ca="1" si="74"/>
        <v>#N/A</v>
      </c>
    </row>
    <row r="455" spans="12:25" ht="14.4">
      <c r="L455" s="464"/>
      <c r="M455" s="129" t="e">
        <f t="shared" si="75"/>
        <v>#N/A</v>
      </c>
      <c r="N455" s="161">
        <f t="shared" si="70"/>
        <v>13</v>
      </c>
      <c r="O455" s="160" t="e">
        <f t="shared" ca="1" si="76"/>
        <v>#N/A</v>
      </c>
      <c r="P455" s="160" t="e">
        <f t="shared" ca="1" si="78"/>
        <v>#N/A</v>
      </c>
      <c r="Q455" s="160" t="e">
        <f t="shared" ca="1" si="79"/>
        <v>#N/A</v>
      </c>
      <c r="R455" s="160" t="e">
        <f t="shared" ca="1" si="79"/>
        <v>#N/A</v>
      </c>
      <c r="S455" s="160" t="e">
        <f t="shared" ca="1" si="79"/>
        <v>#N/A</v>
      </c>
      <c r="T455" s="160" t="e">
        <f t="shared" ca="1" si="77"/>
        <v>#N/A</v>
      </c>
      <c r="U455" s="160" t="e">
        <f t="shared" ca="1" si="77"/>
        <v>#N/A</v>
      </c>
      <c r="V455" s="163" t="e">
        <f t="shared" ca="1" si="71"/>
        <v>#N/A</v>
      </c>
      <c r="W455" s="163" t="e">
        <f t="shared" ca="1" si="72"/>
        <v>#N/A</v>
      </c>
      <c r="X455" s="163" t="e">
        <f t="shared" ca="1" si="73"/>
        <v>#N/A</v>
      </c>
      <c r="Y455" s="163" t="e">
        <f t="shared" ca="1" si="74"/>
        <v>#N/A</v>
      </c>
    </row>
    <row r="456" spans="12:25" ht="14.4">
      <c r="L456" s="464"/>
      <c r="M456" s="129" t="e">
        <f t="shared" si="75"/>
        <v>#N/A</v>
      </c>
      <c r="N456" s="161">
        <f t="shared" si="70"/>
        <v>13</v>
      </c>
      <c r="O456" s="160" t="e">
        <f t="shared" ca="1" si="76"/>
        <v>#N/A</v>
      </c>
      <c r="P456" s="160" t="e">
        <f t="shared" ca="1" si="78"/>
        <v>#N/A</v>
      </c>
      <c r="Q456" s="160" t="e">
        <f t="shared" ca="1" si="79"/>
        <v>#N/A</v>
      </c>
      <c r="R456" s="160" t="e">
        <f t="shared" ca="1" si="79"/>
        <v>#N/A</v>
      </c>
      <c r="S456" s="160" t="e">
        <f t="shared" ca="1" si="79"/>
        <v>#N/A</v>
      </c>
      <c r="T456" s="160" t="e">
        <f t="shared" ca="1" si="77"/>
        <v>#N/A</v>
      </c>
      <c r="U456" s="160" t="e">
        <f t="shared" ca="1" si="77"/>
        <v>#N/A</v>
      </c>
      <c r="V456" s="163" t="e">
        <f t="shared" ca="1" si="71"/>
        <v>#N/A</v>
      </c>
      <c r="W456" s="163" t="e">
        <f t="shared" ca="1" si="72"/>
        <v>#N/A</v>
      </c>
      <c r="X456" s="163" t="e">
        <f t="shared" ca="1" si="73"/>
        <v>#N/A</v>
      </c>
      <c r="Y456" s="163" t="e">
        <f t="shared" ca="1" si="74"/>
        <v>#N/A</v>
      </c>
    </row>
    <row r="457" spans="12:25" ht="14.4">
      <c r="L457" s="464"/>
      <c r="M457" s="129" t="e">
        <f t="shared" si="75"/>
        <v>#N/A</v>
      </c>
      <c r="N457" s="161">
        <f t="shared" si="70"/>
        <v>13</v>
      </c>
      <c r="O457" s="160" t="e">
        <f t="shared" ca="1" si="76"/>
        <v>#N/A</v>
      </c>
      <c r="P457" s="160" t="e">
        <f t="shared" ca="1" si="78"/>
        <v>#N/A</v>
      </c>
      <c r="Q457" s="160" t="e">
        <f t="shared" ca="1" si="79"/>
        <v>#N/A</v>
      </c>
      <c r="R457" s="160" t="e">
        <f t="shared" ca="1" si="79"/>
        <v>#N/A</v>
      </c>
      <c r="S457" s="160" t="e">
        <f t="shared" ca="1" si="79"/>
        <v>#N/A</v>
      </c>
      <c r="T457" s="160" t="e">
        <f t="shared" ca="1" si="77"/>
        <v>#N/A</v>
      </c>
      <c r="U457" s="160" t="e">
        <f t="shared" ca="1" si="77"/>
        <v>#N/A</v>
      </c>
      <c r="V457" s="163" t="e">
        <f t="shared" ca="1" si="71"/>
        <v>#N/A</v>
      </c>
      <c r="W457" s="163" t="e">
        <f t="shared" ca="1" si="72"/>
        <v>#N/A</v>
      </c>
      <c r="X457" s="163" t="e">
        <f t="shared" ca="1" si="73"/>
        <v>#N/A</v>
      </c>
      <c r="Y457" s="163" t="e">
        <f t="shared" ca="1" si="74"/>
        <v>#N/A</v>
      </c>
    </row>
    <row r="458" spans="12:25" ht="14.4">
      <c r="L458" s="464"/>
      <c r="M458" s="129" t="e">
        <f t="shared" si="75"/>
        <v>#N/A</v>
      </c>
      <c r="N458" s="161">
        <f t="shared" si="70"/>
        <v>13</v>
      </c>
      <c r="O458" s="160" t="e">
        <f t="shared" ca="1" si="76"/>
        <v>#N/A</v>
      </c>
      <c r="P458" s="160" t="e">
        <f t="shared" ca="1" si="78"/>
        <v>#N/A</v>
      </c>
      <c r="Q458" s="160" t="e">
        <f t="shared" ca="1" si="79"/>
        <v>#N/A</v>
      </c>
      <c r="R458" s="160" t="e">
        <f t="shared" ca="1" si="79"/>
        <v>#N/A</v>
      </c>
      <c r="S458" s="160" t="e">
        <f t="shared" ca="1" si="79"/>
        <v>#N/A</v>
      </c>
      <c r="T458" s="160" t="e">
        <f t="shared" ca="1" si="77"/>
        <v>#N/A</v>
      </c>
      <c r="U458" s="160" t="e">
        <f t="shared" ca="1" si="77"/>
        <v>#N/A</v>
      </c>
      <c r="V458" s="163" t="e">
        <f t="shared" ca="1" si="71"/>
        <v>#N/A</v>
      </c>
      <c r="W458" s="163" t="e">
        <f t="shared" ca="1" si="72"/>
        <v>#N/A</v>
      </c>
      <c r="X458" s="163" t="e">
        <f t="shared" ca="1" si="73"/>
        <v>#N/A</v>
      </c>
      <c r="Y458" s="163" t="e">
        <f t="shared" ca="1" si="74"/>
        <v>#N/A</v>
      </c>
    </row>
    <row r="459" spans="12:25" ht="14.4">
      <c r="L459" s="464"/>
      <c r="M459" s="129" t="e">
        <f t="shared" si="75"/>
        <v>#N/A</v>
      </c>
      <c r="N459" s="161">
        <f t="shared" si="70"/>
        <v>13</v>
      </c>
      <c r="O459" s="160" t="e">
        <f t="shared" ca="1" si="76"/>
        <v>#N/A</v>
      </c>
      <c r="P459" s="160" t="e">
        <f t="shared" ca="1" si="78"/>
        <v>#N/A</v>
      </c>
      <c r="Q459" s="160" t="e">
        <f t="shared" ca="1" si="79"/>
        <v>#N/A</v>
      </c>
      <c r="R459" s="160" t="e">
        <f t="shared" ca="1" si="79"/>
        <v>#N/A</v>
      </c>
      <c r="S459" s="160" t="e">
        <f t="shared" ca="1" si="79"/>
        <v>#N/A</v>
      </c>
      <c r="T459" s="160" t="e">
        <f t="shared" ca="1" si="77"/>
        <v>#N/A</v>
      </c>
      <c r="U459" s="160" t="e">
        <f t="shared" ca="1" si="77"/>
        <v>#N/A</v>
      </c>
      <c r="V459" s="163" t="e">
        <f t="shared" ca="1" si="71"/>
        <v>#N/A</v>
      </c>
      <c r="W459" s="163" t="e">
        <f t="shared" ca="1" si="72"/>
        <v>#N/A</v>
      </c>
      <c r="X459" s="163" t="e">
        <f t="shared" ca="1" si="73"/>
        <v>#N/A</v>
      </c>
      <c r="Y459" s="163" t="e">
        <f t="shared" ca="1" si="74"/>
        <v>#N/A</v>
      </c>
    </row>
    <row r="460" spans="12:25" ht="14.4">
      <c r="L460" s="464"/>
      <c r="M460" s="129" t="e">
        <f t="shared" si="75"/>
        <v>#N/A</v>
      </c>
      <c r="N460" s="161">
        <f t="shared" si="70"/>
        <v>13</v>
      </c>
      <c r="O460" s="160" t="e">
        <f t="shared" ca="1" si="76"/>
        <v>#N/A</v>
      </c>
      <c r="P460" s="160" t="e">
        <f t="shared" ca="1" si="78"/>
        <v>#N/A</v>
      </c>
      <c r="Q460" s="160" t="e">
        <f t="shared" ca="1" si="79"/>
        <v>#N/A</v>
      </c>
      <c r="R460" s="160" t="e">
        <f t="shared" ca="1" si="79"/>
        <v>#N/A</v>
      </c>
      <c r="S460" s="160" t="e">
        <f t="shared" ca="1" si="79"/>
        <v>#N/A</v>
      </c>
      <c r="T460" s="160" t="e">
        <f t="shared" ca="1" si="77"/>
        <v>#N/A</v>
      </c>
      <c r="U460" s="160" t="e">
        <f t="shared" ca="1" si="77"/>
        <v>#N/A</v>
      </c>
      <c r="V460" s="163" t="e">
        <f t="shared" ca="1" si="71"/>
        <v>#N/A</v>
      </c>
      <c r="W460" s="163" t="e">
        <f t="shared" ca="1" si="72"/>
        <v>#N/A</v>
      </c>
      <c r="X460" s="163" t="e">
        <f t="shared" ca="1" si="73"/>
        <v>#N/A</v>
      </c>
      <c r="Y460" s="163" t="e">
        <f t="shared" ca="1" si="74"/>
        <v>#N/A</v>
      </c>
    </row>
    <row r="461" spans="12:25" ht="14.4">
      <c r="L461" s="464"/>
      <c r="M461" s="129" t="e">
        <f t="shared" si="75"/>
        <v>#N/A</v>
      </c>
      <c r="N461" s="161">
        <f t="shared" si="70"/>
        <v>13</v>
      </c>
      <c r="O461" s="160" t="e">
        <f t="shared" ca="1" si="76"/>
        <v>#N/A</v>
      </c>
      <c r="P461" s="160" t="e">
        <f t="shared" ca="1" si="78"/>
        <v>#N/A</v>
      </c>
      <c r="Q461" s="160" t="e">
        <f t="shared" ca="1" si="79"/>
        <v>#N/A</v>
      </c>
      <c r="R461" s="160" t="e">
        <f t="shared" ca="1" si="79"/>
        <v>#N/A</v>
      </c>
      <c r="S461" s="160" t="e">
        <f t="shared" ca="1" si="79"/>
        <v>#N/A</v>
      </c>
      <c r="T461" s="160" t="e">
        <f t="shared" ca="1" si="77"/>
        <v>#N/A</v>
      </c>
      <c r="U461" s="160" t="e">
        <f t="shared" ca="1" si="77"/>
        <v>#N/A</v>
      </c>
      <c r="V461" s="163" t="e">
        <f t="shared" ca="1" si="71"/>
        <v>#N/A</v>
      </c>
      <c r="W461" s="163" t="e">
        <f t="shared" ca="1" si="72"/>
        <v>#N/A</v>
      </c>
      <c r="X461" s="163" t="e">
        <f t="shared" ca="1" si="73"/>
        <v>#N/A</v>
      </c>
      <c r="Y461" s="163" t="e">
        <f t="shared" ca="1" si="74"/>
        <v>#N/A</v>
      </c>
    </row>
    <row r="462" spans="12:25" ht="14.4">
      <c r="L462" s="464"/>
      <c r="M462" s="129" t="e">
        <f t="shared" si="75"/>
        <v>#N/A</v>
      </c>
      <c r="N462" s="161">
        <f t="shared" si="70"/>
        <v>13</v>
      </c>
      <c r="O462" s="160" t="e">
        <f t="shared" ca="1" si="76"/>
        <v>#N/A</v>
      </c>
      <c r="P462" s="160" t="e">
        <f t="shared" ca="1" si="78"/>
        <v>#N/A</v>
      </c>
      <c r="Q462" s="160" t="e">
        <f t="shared" ca="1" si="79"/>
        <v>#N/A</v>
      </c>
      <c r="R462" s="160" t="e">
        <f t="shared" ca="1" si="79"/>
        <v>#N/A</v>
      </c>
      <c r="S462" s="160" t="e">
        <f t="shared" ca="1" si="79"/>
        <v>#N/A</v>
      </c>
      <c r="T462" s="160" t="e">
        <f t="shared" ca="1" si="77"/>
        <v>#N/A</v>
      </c>
      <c r="U462" s="160" t="e">
        <f t="shared" ca="1" si="77"/>
        <v>#N/A</v>
      </c>
      <c r="V462" s="163" t="e">
        <f t="shared" ca="1" si="71"/>
        <v>#N/A</v>
      </c>
      <c r="W462" s="163" t="e">
        <f t="shared" ca="1" si="72"/>
        <v>#N/A</v>
      </c>
      <c r="X462" s="163" t="e">
        <f t="shared" ca="1" si="73"/>
        <v>#N/A</v>
      </c>
      <c r="Y462" s="163" t="e">
        <f t="shared" ca="1" si="74"/>
        <v>#N/A</v>
      </c>
    </row>
    <row r="463" spans="12:25" ht="14.4">
      <c r="L463" s="464"/>
      <c r="M463" s="129" t="e">
        <f t="shared" si="75"/>
        <v>#N/A</v>
      </c>
      <c r="N463" s="161">
        <f t="shared" si="70"/>
        <v>13</v>
      </c>
      <c r="O463" s="160" t="e">
        <f t="shared" ca="1" si="76"/>
        <v>#N/A</v>
      </c>
      <c r="P463" s="160" t="e">
        <f t="shared" ca="1" si="78"/>
        <v>#N/A</v>
      </c>
      <c r="Q463" s="160" t="e">
        <f t="shared" ca="1" si="79"/>
        <v>#N/A</v>
      </c>
      <c r="R463" s="160" t="e">
        <f t="shared" ca="1" si="79"/>
        <v>#N/A</v>
      </c>
      <c r="S463" s="160" t="e">
        <f t="shared" ca="1" si="79"/>
        <v>#N/A</v>
      </c>
      <c r="T463" s="160" t="e">
        <f t="shared" ca="1" si="77"/>
        <v>#N/A</v>
      </c>
      <c r="U463" s="160" t="e">
        <f t="shared" ca="1" si="77"/>
        <v>#N/A</v>
      </c>
      <c r="V463" s="163" t="e">
        <f t="shared" ca="1" si="71"/>
        <v>#N/A</v>
      </c>
      <c r="W463" s="163" t="e">
        <f t="shared" ca="1" si="72"/>
        <v>#N/A</v>
      </c>
      <c r="X463" s="163" t="e">
        <f t="shared" ca="1" si="73"/>
        <v>#N/A</v>
      </c>
      <c r="Y463" s="163" t="e">
        <f t="shared" ca="1" si="74"/>
        <v>#N/A</v>
      </c>
    </row>
    <row r="464" spans="12:25" ht="14.4">
      <c r="L464" s="464"/>
      <c r="M464" s="129" t="e">
        <f t="shared" si="75"/>
        <v>#N/A</v>
      </c>
      <c r="N464" s="161">
        <f t="shared" si="70"/>
        <v>13</v>
      </c>
      <c r="O464" s="160" t="e">
        <f t="shared" ca="1" si="76"/>
        <v>#N/A</v>
      </c>
      <c r="P464" s="160" t="e">
        <f t="shared" ca="1" si="78"/>
        <v>#N/A</v>
      </c>
      <c r="Q464" s="160" t="e">
        <f t="shared" ca="1" si="79"/>
        <v>#N/A</v>
      </c>
      <c r="R464" s="160" t="e">
        <f t="shared" ca="1" si="79"/>
        <v>#N/A</v>
      </c>
      <c r="S464" s="160" t="e">
        <f t="shared" ca="1" si="79"/>
        <v>#N/A</v>
      </c>
      <c r="T464" s="160" t="e">
        <f t="shared" ca="1" si="77"/>
        <v>#N/A</v>
      </c>
      <c r="U464" s="160" t="e">
        <f t="shared" ca="1" si="77"/>
        <v>#N/A</v>
      </c>
      <c r="V464" s="163" t="e">
        <f t="shared" ca="1" si="71"/>
        <v>#N/A</v>
      </c>
      <c r="W464" s="163" t="e">
        <f t="shared" ca="1" si="72"/>
        <v>#N/A</v>
      </c>
      <c r="X464" s="163" t="e">
        <f t="shared" ca="1" si="73"/>
        <v>#N/A</v>
      </c>
      <c r="Y464" s="163" t="e">
        <f t="shared" ca="1" si="74"/>
        <v>#N/A</v>
      </c>
    </row>
    <row r="465" spans="12:25" ht="14.4">
      <c r="L465" s="464"/>
      <c r="M465" s="129" t="e">
        <f t="shared" si="75"/>
        <v>#N/A</v>
      </c>
      <c r="N465" s="161">
        <f t="shared" si="70"/>
        <v>13</v>
      </c>
      <c r="O465" s="160" t="e">
        <f t="shared" ca="1" si="76"/>
        <v>#N/A</v>
      </c>
      <c r="P465" s="160" t="e">
        <f t="shared" ca="1" si="78"/>
        <v>#N/A</v>
      </c>
      <c r="Q465" s="160" t="e">
        <f t="shared" ca="1" si="79"/>
        <v>#N/A</v>
      </c>
      <c r="R465" s="160" t="e">
        <f t="shared" ca="1" si="79"/>
        <v>#N/A</v>
      </c>
      <c r="S465" s="160" t="e">
        <f t="shared" ca="1" si="79"/>
        <v>#N/A</v>
      </c>
      <c r="T465" s="160" t="e">
        <f t="shared" ca="1" si="77"/>
        <v>#N/A</v>
      </c>
      <c r="U465" s="160" t="e">
        <f t="shared" ca="1" si="77"/>
        <v>#N/A</v>
      </c>
      <c r="V465" s="163" t="e">
        <f t="shared" ca="1" si="71"/>
        <v>#N/A</v>
      </c>
      <c r="W465" s="163" t="e">
        <f t="shared" ca="1" si="72"/>
        <v>#N/A</v>
      </c>
      <c r="X465" s="163" t="e">
        <f t="shared" ca="1" si="73"/>
        <v>#N/A</v>
      </c>
      <c r="Y465" s="163" t="e">
        <f t="shared" ca="1" si="74"/>
        <v>#N/A</v>
      </c>
    </row>
    <row r="466" spans="12:25" ht="14.4">
      <c r="L466" s="464"/>
      <c r="M466" s="129" t="e">
        <f t="shared" si="75"/>
        <v>#N/A</v>
      </c>
      <c r="N466" s="161">
        <f t="shared" ref="N466:N529" si="80">N465</f>
        <v>13</v>
      </c>
      <c r="O466" s="160" t="e">
        <f t="shared" ca="1" si="76"/>
        <v>#N/A</v>
      </c>
      <c r="P466" s="160" t="e">
        <f t="shared" ca="1" si="78"/>
        <v>#N/A</v>
      </c>
      <c r="Q466" s="160" t="e">
        <f t="shared" ca="1" si="79"/>
        <v>#N/A</v>
      </c>
      <c r="R466" s="160" t="e">
        <f t="shared" ca="1" si="79"/>
        <v>#N/A</v>
      </c>
      <c r="S466" s="160" t="e">
        <f t="shared" ca="1" si="79"/>
        <v>#N/A</v>
      </c>
      <c r="T466" s="160" t="e">
        <f t="shared" ca="1" si="77"/>
        <v>#N/A</v>
      </c>
      <c r="U466" s="160" t="e">
        <f t="shared" ca="1" si="77"/>
        <v>#N/A</v>
      </c>
      <c r="V466" s="163" t="e">
        <f t="shared" ca="1" si="71"/>
        <v>#N/A</v>
      </c>
      <c r="W466" s="163" t="e">
        <f t="shared" ca="1" si="72"/>
        <v>#N/A</v>
      </c>
      <c r="X466" s="163" t="e">
        <f t="shared" ca="1" si="73"/>
        <v>#N/A</v>
      </c>
      <c r="Y466" s="163" t="e">
        <f t="shared" ca="1" si="74"/>
        <v>#N/A</v>
      </c>
    </row>
    <row r="467" spans="12:25" ht="14.4">
      <c r="L467" s="464"/>
      <c r="M467" s="129" t="e">
        <f t="shared" si="75"/>
        <v>#N/A</v>
      </c>
      <c r="N467" s="161">
        <f t="shared" si="80"/>
        <v>13</v>
      </c>
      <c r="O467" s="160" t="e">
        <f t="shared" ca="1" si="76"/>
        <v>#N/A</v>
      </c>
      <c r="P467" s="160" t="e">
        <f t="shared" ca="1" si="78"/>
        <v>#N/A</v>
      </c>
      <c r="Q467" s="160" t="e">
        <f t="shared" ca="1" si="79"/>
        <v>#N/A</v>
      </c>
      <c r="R467" s="160" t="e">
        <f t="shared" ca="1" si="79"/>
        <v>#N/A</v>
      </c>
      <c r="S467" s="160" t="e">
        <f t="shared" ca="1" si="79"/>
        <v>#N/A</v>
      </c>
      <c r="T467" s="160" t="e">
        <f t="shared" ca="1" si="77"/>
        <v>#N/A</v>
      </c>
      <c r="U467" s="160" t="e">
        <f t="shared" ca="1" si="77"/>
        <v>#N/A</v>
      </c>
      <c r="V467" s="163" t="e">
        <f t="shared" ca="1" si="71"/>
        <v>#N/A</v>
      </c>
      <c r="W467" s="163" t="e">
        <f t="shared" ca="1" si="72"/>
        <v>#N/A</v>
      </c>
      <c r="X467" s="163" t="e">
        <f t="shared" ca="1" si="73"/>
        <v>#N/A</v>
      </c>
      <c r="Y467" s="163" t="e">
        <f t="shared" ca="1" si="74"/>
        <v>#N/A</v>
      </c>
    </row>
    <row r="468" spans="12:25" ht="14.4">
      <c r="L468" s="464"/>
      <c r="M468" s="129" t="e">
        <f t="shared" si="75"/>
        <v>#N/A</v>
      </c>
      <c r="N468" s="161">
        <f t="shared" si="80"/>
        <v>13</v>
      </c>
      <c r="O468" s="160" t="e">
        <f t="shared" ca="1" si="76"/>
        <v>#N/A</v>
      </c>
      <c r="P468" s="160" t="e">
        <f t="shared" ca="1" si="78"/>
        <v>#N/A</v>
      </c>
      <c r="Q468" s="160" t="e">
        <f t="shared" ca="1" si="79"/>
        <v>#N/A</v>
      </c>
      <c r="R468" s="160" t="e">
        <f t="shared" ca="1" si="79"/>
        <v>#N/A</v>
      </c>
      <c r="S468" s="160" t="e">
        <f t="shared" ca="1" si="79"/>
        <v>#N/A</v>
      </c>
      <c r="T468" s="160" t="e">
        <f t="shared" ca="1" si="77"/>
        <v>#N/A</v>
      </c>
      <c r="U468" s="160" t="e">
        <f t="shared" ca="1" si="77"/>
        <v>#N/A</v>
      </c>
      <c r="V468" s="163" t="e">
        <f t="shared" ca="1" si="71"/>
        <v>#N/A</v>
      </c>
      <c r="W468" s="163" t="e">
        <f t="shared" ca="1" si="72"/>
        <v>#N/A</v>
      </c>
      <c r="X468" s="163" t="e">
        <f t="shared" ca="1" si="73"/>
        <v>#N/A</v>
      </c>
      <c r="Y468" s="163" t="e">
        <f t="shared" ca="1" si="74"/>
        <v>#N/A</v>
      </c>
    </row>
    <row r="469" spans="12:25" ht="14.4">
      <c r="L469" s="464"/>
      <c r="M469" s="129" t="e">
        <f t="shared" si="75"/>
        <v>#N/A</v>
      </c>
      <c r="N469" s="161">
        <f t="shared" si="80"/>
        <v>13</v>
      </c>
      <c r="O469" s="160" t="e">
        <f t="shared" ca="1" si="76"/>
        <v>#N/A</v>
      </c>
      <c r="P469" s="160" t="e">
        <f t="shared" ca="1" si="78"/>
        <v>#N/A</v>
      </c>
      <c r="Q469" s="160" t="e">
        <f t="shared" ca="1" si="79"/>
        <v>#N/A</v>
      </c>
      <c r="R469" s="160" t="e">
        <f t="shared" ca="1" si="79"/>
        <v>#N/A</v>
      </c>
      <c r="S469" s="160" t="e">
        <f t="shared" ca="1" si="79"/>
        <v>#N/A</v>
      </c>
      <c r="T469" s="160" t="e">
        <f t="shared" ca="1" si="77"/>
        <v>#N/A</v>
      </c>
      <c r="U469" s="160" t="e">
        <f t="shared" ca="1" si="77"/>
        <v>#N/A</v>
      </c>
      <c r="V469" s="163" t="e">
        <f t="shared" ca="1" si="71"/>
        <v>#N/A</v>
      </c>
      <c r="W469" s="163" t="e">
        <f t="shared" ca="1" si="72"/>
        <v>#N/A</v>
      </c>
      <c r="X469" s="163" t="e">
        <f t="shared" ca="1" si="73"/>
        <v>#N/A</v>
      </c>
      <c r="Y469" s="163" t="e">
        <f t="shared" ca="1" si="74"/>
        <v>#N/A</v>
      </c>
    </row>
    <row r="470" spans="12:25" ht="14.4">
      <c r="L470" s="464"/>
      <c r="M470" s="129" t="e">
        <f t="shared" si="75"/>
        <v>#N/A</v>
      </c>
      <c r="N470" s="161">
        <f t="shared" si="80"/>
        <v>13</v>
      </c>
      <c r="O470" s="160" t="e">
        <f t="shared" ca="1" si="76"/>
        <v>#N/A</v>
      </c>
      <c r="P470" s="160" t="e">
        <f t="shared" ca="1" si="78"/>
        <v>#N/A</v>
      </c>
      <c r="Q470" s="160" t="e">
        <f t="shared" ca="1" si="79"/>
        <v>#N/A</v>
      </c>
      <c r="R470" s="160" t="e">
        <f t="shared" ca="1" si="79"/>
        <v>#N/A</v>
      </c>
      <c r="S470" s="160" t="e">
        <f t="shared" ca="1" si="79"/>
        <v>#N/A</v>
      </c>
      <c r="T470" s="160" t="e">
        <f t="shared" ca="1" si="77"/>
        <v>#N/A</v>
      </c>
      <c r="U470" s="160" t="e">
        <f t="shared" ca="1" si="77"/>
        <v>#N/A</v>
      </c>
      <c r="V470" s="163" t="e">
        <f t="shared" ca="1" si="71"/>
        <v>#N/A</v>
      </c>
      <c r="W470" s="163" t="e">
        <f t="shared" ca="1" si="72"/>
        <v>#N/A</v>
      </c>
      <c r="X470" s="163" t="e">
        <f t="shared" ca="1" si="73"/>
        <v>#N/A</v>
      </c>
      <c r="Y470" s="163" t="e">
        <f t="shared" ca="1" si="74"/>
        <v>#N/A</v>
      </c>
    </row>
    <row r="471" spans="12:25" ht="14.4">
      <c r="L471" s="464"/>
      <c r="M471" s="129" t="e">
        <f t="shared" si="75"/>
        <v>#N/A</v>
      </c>
      <c r="N471" s="161">
        <f t="shared" si="80"/>
        <v>13</v>
      </c>
      <c r="O471" s="160" t="e">
        <f t="shared" ca="1" si="76"/>
        <v>#N/A</v>
      </c>
      <c r="P471" s="160" t="e">
        <f t="shared" ca="1" si="78"/>
        <v>#N/A</v>
      </c>
      <c r="Q471" s="160" t="e">
        <f t="shared" ca="1" si="79"/>
        <v>#N/A</v>
      </c>
      <c r="R471" s="160" t="e">
        <f t="shared" ca="1" si="79"/>
        <v>#N/A</v>
      </c>
      <c r="S471" s="160" t="e">
        <f t="shared" ca="1" si="79"/>
        <v>#N/A</v>
      </c>
      <c r="T471" s="160" t="e">
        <f t="shared" ca="1" si="77"/>
        <v>#N/A</v>
      </c>
      <c r="U471" s="160" t="e">
        <f t="shared" ca="1" si="77"/>
        <v>#N/A</v>
      </c>
      <c r="V471" s="163" t="e">
        <f t="shared" ca="1" si="71"/>
        <v>#N/A</v>
      </c>
      <c r="W471" s="163" t="e">
        <f t="shared" ca="1" si="72"/>
        <v>#N/A</v>
      </c>
      <c r="X471" s="163" t="e">
        <f t="shared" ca="1" si="73"/>
        <v>#N/A</v>
      </c>
      <c r="Y471" s="163" t="e">
        <f t="shared" ca="1" si="74"/>
        <v>#N/A</v>
      </c>
    </row>
    <row r="472" spans="12:25" ht="14.4">
      <c r="L472" s="464"/>
      <c r="M472" s="129" t="e">
        <f t="shared" si="75"/>
        <v>#N/A</v>
      </c>
      <c r="N472" s="161">
        <f t="shared" si="80"/>
        <v>13</v>
      </c>
      <c r="O472" s="160" t="e">
        <f t="shared" ca="1" si="76"/>
        <v>#N/A</v>
      </c>
      <c r="P472" s="160" t="e">
        <f t="shared" ca="1" si="78"/>
        <v>#N/A</v>
      </c>
      <c r="Q472" s="160" t="e">
        <f t="shared" ca="1" si="79"/>
        <v>#N/A</v>
      </c>
      <c r="R472" s="160" t="e">
        <f t="shared" ca="1" si="79"/>
        <v>#N/A</v>
      </c>
      <c r="S472" s="160" t="e">
        <f t="shared" ca="1" si="79"/>
        <v>#N/A</v>
      </c>
      <c r="T472" s="160" t="e">
        <f t="shared" ca="1" si="77"/>
        <v>#N/A</v>
      </c>
      <c r="U472" s="160" t="e">
        <f t="shared" ca="1" si="77"/>
        <v>#N/A</v>
      </c>
      <c r="V472" s="163" t="e">
        <f t="shared" ca="1" si="71"/>
        <v>#N/A</v>
      </c>
      <c r="W472" s="163" t="e">
        <f t="shared" ca="1" si="72"/>
        <v>#N/A</v>
      </c>
      <c r="X472" s="163" t="e">
        <f t="shared" ca="1" si="73"/>
        <v>#N/A</v>
      </c>
      <c r="Y472" s="163" t="e">
        <f t="shared" ca="1" si="74"/>
        <v>#N/A</v>
      </c>
    </row>
    <row r="473" spans="12:25" ht="14.4">
      <c r="L473" s="464"/>
      <c r="M473" s="129" t="e">
        <f t="shared" si="75"/>
        <v>#N/A</v>
      </c>
      <c r="N473" s="161">
        <f t="shared" si="80"/>
        <v>13</v>
      </c>
      <c r="O473" s="160" t="e">
        <f t="shared" ca="1" si="76"/>
        <v>#N/A</v>
      </c>
      <c r="P473" s="160" t="e">
        <f t="shared" ca="1" si="78"/>
        <v>#N/A</v>
      </c>
      <c r="Q473" s="160" t="e">
        <f t="shared" ca="1" si="79"/>
        <v>#N/A</v>
      </c>
      <c r="R473" s="160" t="e">
        <f t="shared" ca="1" si="79"/>
        <v>#N/A</v>
      </c>
      <c r="S473" s="160" t="e">
        <f t="shared" ca="1" si="79"/>
        <v>#N/A</v>
      </c>
      <c r="T473" s="160" t="e">
        <f t="shared" ca="1" si="77"/>
        <v>#N/A</v>
      </c>
      <c r="U473" s="160" t="e">
        <f t="shared" ca="1" si="77"/>
        <v>#N/A</v>
      </c>
      <c r="V473" s="163" t="e">
        <f t="shared" ca="1" si="71"/>
        <v>#N/A</v>
      </c>
      <c r="W473" s="163" t="e">
        <f t="shared" ca="1" si="72"/>
        <v>#N/A</v>
      </c>
      <c r="X473" s="163" t="e">
        <f t="shared" ca="1" si="73"/>
        <v>#N/A</v>
      </c>
      <c r="Y473" s="163" t="e">
        <f t="shared" ca="1" si="74"/>
        <v>#N/A</v>
      </c>
    </row>
    <row r="474" spans="12:25" ht="14.4">
      <c r="L474" s="464"/>
      <c r="M474" s="129" t="e">
        <f t="shared" si="75"/>
        <v>#N/A</v>
      </c>
      <c r="N474" s="161">
        <f t="shared" si="80"/>
        <v>13</v>
      </c>
      <c r="O474" s="160" t="e">
        <f t="shared" ca="1" si="76"/>
        <v>#N/A</v>
      </c>
      <c r="P474" s="160" t="e">
        <f t="shared" ca="1" si="78"/>
        <v>#N/A</v>
      </c>
      <c r="Q474" s="160" t="e">
        <f t="shared" ca="1" si="79"/>
        <v>#N/A</v>
      </c>
      <c r="R474" s="160" t="e">
        <f t="shared" ca="1" si="79"/>
        <v>#N/A</v>
      </c>
      <c r="S474" s="160" t="e">
        <f t="shared" ca="1" si="79"/>
        <v>#N/A</v>
      </c>
      <c r="T474" s="160" t="e">
        <f t="shared" ca="1" si="77"/>
        <v>#N/A</v>
      </c>
      <c r="U474" s="160" t="e">
        <f t="shared" ca="1" si="77"/>
        <v>#N/A</v>
      </c>
      <c r="V474" s="163" t="e">
        <f t="shared" ca="1" si="71"/>
        <v>#N/A</v>
      </c>
      <c r="W474" s="163" t="e">
        <f t="shared" ca="1" si="72"/>
        <v>#N/A</v>
      </c>
      <c r="X474" s="163" t="e">
        <f t="shared" ca="1" si="73"/>
        <v>#N/A</v>
      </c>
      <c r="Y474" s="163" t="e">
        <f t="shared" ca="1" si="74"/>
        <v>#N/A</v>
      </c>
    </row>
    <row r="475" spans="12:25" ht="14.4">
      <c r="L475" s="464"/>
      <c r="M475" s="129" t="e">
        <f t="shared" si="75"/>
        <v>#N/A</v>
      </c>
      <c r="N475" s="161">
        <f t="shared" si="80"/>
        <v>13</v>
      </c>
      <c r="O475" s="160" t="e">
        <f t="shared" ca="1" si="76"/>
        <v>#N/A</v>
      </c>
      <c r="P475" s="160" t="e">
        <f t="shared" ca="1" si="78"/>
        <v>#N/A</v>
      </c>
      <c r="Q475" s="160" t="e">
        <f t="shared" ca="1" si="79"/>
        <v>#N/A</v>
      </c>
      <c r="R475" s="160" t="e">
        <f t="shared" ca="1" si="79"/>
        <v>#N/A</v>
      </c>
      <c r="S475" s="160" t="e">
        <f t="shared" ca="1" si="79"/>
        <v>#N/A</v>
      </c>
      <c r="T475" s="160" t="e">
        <f t="shared" ca="1" si="77"/>
        <v>#N/A</v>
      </c>
      <c r="U475" s="160" t="e">
        <f t="shared" ca="1" si="77"/>
        <v>#N/A</v>
      </c>
      <c r="V475" s="163" t="e">
        <f t="shared" ca="1" si="71"/>
        <v>#N/A</v>
      </c>
      <c r="W475" s="163" t="e">
        <f t="shared" ca="1" si="72"/>
        <v>#N/A</v>
      </c>
      <c r="X475" s="163" t="e">
        <f t="shared" ca="1" si="73"/>
        <v>#N/A</v>
      </c>
      <c r="Y475" s="163" t="e">
        <f t="shared" ca="1" si="74"/>
        <v>#N/A</v>
      </c>
    </row>
    <row r="476" spans="12:25" ht="14.4">
      <c r="L476" s="464"/>
      <c r="M476" s="129" t="e">
        <f t="shared" si="75"/>
        <v>#N/A</v>
      </c>
      <c r="N476" s="161">
        <f t="shared" si="80"/>
        <v>13</v>
      </c>
      <c r="O476" s="160" t="e">
        <f t="shared" ca="1" si="76"/>
        <v>#N/A</v>
      </c>
      <c r="P476" s="160" t="e">
        <f t="shared" ca="1" si="78"/>
        <v>#N/A</v>
      </c>
      <c r="Q476" s="160" t="e">
        <f t="shared" ca="1" si="79"/>
        <v>#N/A</v>
      </c>
      <c r="R476" s="160" t="e">
        <f t="shared" ca="1" si="79"/>
        <v>#N/A</v>
      </c>
      <c r="S476" s="160" t="e">
        <f t="shared" ca="1" si="79"/>
        <v>#N/A</v>
      </c>
      <c r="T476" s="160" t="e">
        <f t="shared" ca="1" si="77"/>
        <v>#N/A</v>
      </c>
      <c r="U476" s="160" t="e">
        <f t="shared" ca="1" si="77"/>
        <v>#N/A</v>
      </c>
      <c r="V476" s="163" t="e">
        <f t="shared" ca="1" si="71"/>
        <v>#N/A</v>
      </c>
      <c r="W476" s="163" t="e">
        <f t="shared" ca="1" si="72"/>
        <v>#N/A</v>
      </c>
      <c r="X476" s="163" t="e">
        <f t="shared" ca="1" si="73"/>
        <v>#N/A</v>
      </c>
      <c r="Y476" s="163" t="e">
        <f t="shared" ca="1" si="74"/>
        <v>#N/A</v>
      </c>
    </row>
    <row r="477" spans="12:25" ht="14.4">
      <c r="L477" s="464"/>
      <c r="M477" s="129" t="e">
        <f t="shared" si="75"/>
        <v>#N/A</v>
      </c>
      <c r="N477" s="161">
        <f t="shared" si="80"/>
        <v>13</v>
      </c>
      <c r="O477" s="160" t="e">
        <f t="shared" ca="1" si="76"/>
        <v>#N/A</v>
      </c>
      <c r="P477" s="160" t="e">
        <f t="shared" ca="1" si="78"/>
        <v>#N/A</v>
      </c>
      <c r="Q477" s="160" t="e">
        <f t="shared" ca="1" si="79"/>
        <v>#N/A</v>
      </c>
      <c r="R477" s="160" t="e">
        <f t="shared" ca="1" si="79"/>
        <v>#N/A</v>
      </c>
      <c r="S477" s="160" t="e">
        <f t="shared" ca="1" si="79"/>
        <v>#N/A</v>
      </c>
      <c r="T477" s="160" t="e">
        <f t="shared" ca="1" si="77"/>
        <v>#N/A</v>
      </c>
      <c r="U477" s="160" t="e">
        <f t="shared" ca="1" si="77"/>
        <v>#N/A</v>
      </c>
      <c r="V477" s="163" t="e">
        <f t="shared" ca="1" si="71"/>
        <v>#N/A</v>
      </c>
      <c r="W477" s="163" t="e">
        <f t="shared" ca="1" si="72"/>
        <v>#N/A</v>
      </c>
      <c r="X477" s="163" t="e">
        <f t="shared" ca="1" si="73"/>
        <v>#N/A</v>
      </c>
      <c r="Y477" s="163" t="e">
        <f t="shared" ca="1" si="74"/>
        <v>#N/A</v>
      </c>
    </row>
    <row r="478" spans="12:25" ht="14.4">
      <c r="L478" s="464"/>
      <c r="M478" s="129" t="e">
        <f t="shared" si="75"/>
        <v>#N/A</v>
      </c>
      <c r="N478" s="161">
        <f t="shared" si="80"/>
        <v>13</v>
      </c>
      <c r="O478" s="160" t="e">
        <f t="shared" ca="1" si="76"/>
        <v>#N/A</v>
      </c>
      <c r="P478" s="160" t="e">
        <f t="shared" ca="1" si="78"/>
        <v>#N/A</v>
      </c>
      <c r="Q478" s="160" t="e">
        <f t="shared" ca="1" si="79"/>
        <v>#N/A</v>
      </c>
      <c r="R478" s="160" t="e">
        <f t="shared" ca="1" si="79"/>
        <v>#N/A</v>
      </c>
      <c r="S478" s="160" t="e">
        <f t="shared" ca="1" si="79"/>
        <v>#N/A</v>
      </c>
      <c r="T478" s="160" t="e">
        <f t="shared" ca="1" si="77"/>
        <v>#N/A</v>
      </c>
      <c r="U478" s="160" t="e">
        <f t="shared" ca="1" si="77"/>
        <v>#N/A</v>
      </c>
      <c r="V478" s="163" t="e">
        <f t="shared" ca="1" si="71"/>
        <v>#N/A</v>
      </c>
      <c r="W478" s="163" t="e">
        <f t="shared" ca="1" si="72"/>
        <v>#N/A</v>
      </c>
      <c r="X478" s="163" t="e">
        <f t="shared" ca="1" si="73"/>
        <v>#N/A</v>
      </c>
      <c r="Y478" s="163" t="e">
        <f t="shared" ca="1" si="74"/>
        <v>#N/A</v>
      </c>
    </row>
    <row r="479" spans="12:25" ht="14.4">
      <c r="L479" s="464"/>
      <c r="M479" s="129" t="e">
        <f t="shared" si="75"/>
        <v>#N/A</v>
      </c>
      <c r="N479" s="161">
        <f t="shared" si="80"/>
        <v>13</v>
      </c>
      <c r="O479" s="160" t="e">
        <f t="shared" ca="1" si="76"/>
        <v>#N/A</v>
      </c>
      <c r="P479" s="160" t="e">
        <f t="shared" ca="1" si="78"/>
        <v>#N/A</v>
      </c>
      <c r="Q479" s="160" t="e">
        <f t="shared" ca="1" si="79"/>
        <v>#N/A</v>
      </c>
      <c r="R479" s="160" t="e">
        <f t="shared" ca="1" si="79"/>
        <v>#N/A</v>
      </c>
      <c r="S479" s="160" t="e">
        <f t="shared" ca="1" si="79"/>
        <v>#N/A</v>
      </c>
      <c r="T479" s="160" t="e">
        <f t="shared" ca="1" si="77"/>
        <v>#N/A</v>
      </c>
      <c r="U479" s="160" t="e">
        <f t="shared" ca="1" si="77"/>
        <v>#N/A</v>
      </c>
      <c r="V479" s="163" t="e">
        <f t="shared" ref="V479:V542" ca="1" si="81">IF(Q479=0,0,IF(S479=180,IF(R479=0,"Slab on Grade",IF(R479=1,"Exposed Floor",IF(R479=3,"Internal Floor",U479))),IF(S479&lt;45,IF(R479=3,"Internal Ceiling",IF(R479=1,"Roof",U479)))))</f>
        <v>#N/A</v>
      </c>
      <c r="W479" s="163" t="e">
        <f t="shared" ref="W479:W542" ca="1" si="82">IF(ISNUMBER(SEARCH($W$29,U479))=TRUE,IF(ISNUMBER(SEARCH($W$27,U479))=TRUE,IF(R479=1,"eFrame",IF(R479=3,"iFrame")),IF(R479=1,"eWindow",IF(R479=3,"iWindow"))),U479)</f>
        <v>#N/A</v>
      </c>
      <c r="X479" s="163" t="e">
        <f t="shared" ref="X479:X542" ca="1" si="83">IF(ISNUMBER(SEARCH($X$29,U479))=TRUE,IF(ISNUMBER(SEARCH($X$27,U479))=TRUE,IF(R479=1,"eFrameDoor",IF(R479=3,"iFrameDoor")),IF(R479=1,"eDoor",IF(R479=3,"iDoor"))),U479)</f>
        <v>#N/A</v>
      </c>
      <c r="Y479" s="163" t="e">
        <f t="shared" ref="Y479:Y542" ca="1" si="84">IF(ISNUMBER(SEARCH($W$29,U479))=TRUE,"Substract",IF(ISNUMBER(SEARCH($X$29,U479))=TRUE, "Sunstract",IF(S479=90,IF(R479=1,"External Wall",IF(R479=3,"Internal Wall",IF(R479=0,"Below Grade Wall",U479))),V479)))</f>
        <v>#N/A</v>
      </c>
    </row>
    <row r="480" spans="12:25" ht="14.4">
      <c r="L480" s="464"/>
      <c r="M480" s="129" t="e">
        <f t="shared" ref="M480:M543" si="85">IF(M479="end","end",IF(M479=$K$1,"end",M479+1))</f>
        <v>#N/A</v>
      </c>
      <c r="N480" s="161">
        <f t="shared" si="80"/>
        <v>13</v>
      </c>
      <c r="O480" s="160" t="e">
        <f t="shared" ca="1" si="76"/>
        <v>#N/A</v>
      </c>
      <c r="P480" s="160" t="e">
        <f t="shared" ca="1" si="78"/>
        <v>#N/A</v>
      </c>
      <c r="Q480" s="160" t="e">
        <f t="shared" ca="1" si="79"/>
        <v>#N/A</v>
      </c>
      <c r="R480" s="160" t="e">
        <f t="shared" ca="1" si="79"/>
        <v>#N/A</v>
      </c>
      <c r="S480" s="160" t="e">
        <f t="shared" ca="1" si="79"/>
        <v>#N/A</v>
      </c>
      <c r="T480" s="160" t="e">
        <f t="shared" ca="1" si="77"/>
        <v>#N/A</v>
      </c>
      <c r="U480" s="160" t="e">
        <f t="shared" ca="1" si="77"/>
        <v>#N/A</v>
      </c>
      <c r="V480" s="163" t="e">
        <f t="shared" ca="1" si="81"/>
        <v>#N/A</v>
      </c>
      <c r="W480" s="163" t="e">
        <f t="shared" ca="1" si="82"/>
        <v>#N/A</v>
      </c>
      <c r="X480" s="163" t="e">
        <f t="shared" ca="1" si="83"/>
        <v>#N/A</v>
      </c>
      <c r="Y480" s="163" t="e">
        <f t="shared" ca="1" si="84"/>
        <v>#N/A</v>
      </c>
    </row>
    <row r="481" spans="12:25" ht="14.4">
      <c r="L481" s="464"/>
      <c r="M481" s="129" t="e">
        <f t="shared" si="85"/>
        <v>#N/A</v>
      </c>
      <c r="N481" s="161">
        <f t="shared" si="80"/>
        <v>13</v>
      </c>
      <c r="O481" s="160" t="e">
        <f t="shared" ca="1" si="76"/>
        <v>#N/A</v>
      </c>
      <c r="P481" s="160" t="e">
        <f t="shared" ca="1" si="78"/>
        <v>#N/A</v>
      </c>
      <c r="Q481" s="160" t="e">
        <f t="shared" ca="1" si="79"/>
        <v>#N/A</v>
      </c>
      <c r="R481" s="160" t="e">
        <f t="shared" ca="1" si="79"/>
        <v>#N/A</v>
      </c>
      <c r="S481" s="160" t="e">
        <f t="shared" ca="1" si="79"/>
        <v>#N/A</v>
      </c>
      <c r="T481" s="160" t="e">
        <f t="shared" ca="1" si="77"/>
        <v>#N/A</v>
      </c>
      <c r="U481" s="160" t="e">
        <f t="shared" ca="1" si="77"/>
        <v>#N/A</v>
      </c>
      <c r="V481" s="163" t="e">
        <f t="shared" ca="1" si="81"/>
        <v>#N/A</v>
      </c>
      <c r="W481" s="163" t="e">
        <f t="shared" ca="1" si="82"/>
        <v>#N/A</v>
      </c>
      <c r="X481" s="163" t="e">
        <f t="shared" ca="1" si="83"/>
        <v>#N/A</v>
      </c>
      <c r="Y481" s="163" t="e">
        <f t="shared" ca="1" si="84"/>
        <v>#N/A</v>
      </c>
    </row>
    <row r="482" spans="12:25" ht="14.4">
      <c r="L482" s="464"/>
      <c r="M482" s="129" t="e">
        <f t="shared" si="85"/>
        <v>#N/A</v>
      </c>
      <c r="N482" s="161">
        <f t="shared" si="80"/>
        <v>13</v>
      </c>
      <c r="O482" s="160" t="e">
        <f t="shared" ca="1" si="76"/>
        <v>#N/A</v>
      </c>
      <c r="P482" s="160" t="e">
        <f t="shared" ca="1" si="78"/>
        <v>#N/A</v>
      </c>
      <c r="Q482" s="160" t="e">
        <f t="shared" ca="1" si="79"/>
        <v>#N/A</v>
      </c>
      <c r="R482" s="160" t="e">
        <f t="shared" ca="1" si="79"/>
        <v>#N/A</v>
      </c>
      <c r="S482" s="160" t="e">
        <f t="shared" ca="1" si="79"/>
        <v>#N/A</v>
      </c>
      <c r="T482" s="160" t="e">
        <f t="shared" ca="1" si="77"/>
        <v>#N/A</v>
      </c>
      <c r="U482" s="160" t="e">
        <f t="shared" ca="1" si="77"/>
        <v>#N/A</v>
      </c>
      <c r="V482" s="163" t="e">
        <f t="shared" ca="1" si="81"/>
        <v>#N/A</v>
      </c>
      <c r="W482" s="163" t="e">
        <f t="shared" ca="1" si="82"/>
        <v>#N/A</v>
      </c>
      <c r="X482" s="163" t="e">
        <f t="shared" ca="1" si="83"/>
        <v>#N/A</v>
      </c>
      <c r="Y482" s="163" t="e">
        <f t="shared" ca="1" si="84"/>
        <v>#N/A</v>
      </c>
    </row>
    <row r="483" spans="12:25" ht="14.4">
      <c r="L483" s="464"/>
      <c r="M483" s="129" t="e">
        <f t="shared" si="85"/>
        <v>#N/A</v>
      </c>
      <c r="N483" s="161">
        <f t="shared" si="80"/>
        <v>13</v>
      </c>
      <c r="O483" s="160" t="e">
        <f t="shared" ca="1" si="76"/>
        <v>#N/A</v>
      </c>
      <c r="P483" s="160" t="e">
        <f t="shared" ca="1" si="78"/>
        <v>#N/A</v>
      </c>
      <c r="Q483" s="160" t="e">
        <f t="shared" ca="1" si="79"/>
        <v>#N/A</v>
      </c>
      <c r="R483" s="160" t="e">
        <f t="shared" ca="1" si="79"/>
        <v>#N/A</v>
      </c>
      <c r="S483" s="160" t="e">
        <f t="shared" ca="1" si="79"/>
        <v>#N/A</v>
      </c>
      <c r="T483" s="160" t="e">
        <f t="shared" ca="1" si="77"/>
        <v>#N/A</v>
      </c>
      <c r="U483" s="160" t="e">
        <f t="shared" ca="1" si="77"/>
        <v>#N/A</v>
      </c>
      <c r="V483" s="163" t="e">
        <f t="shared" ca="1" si="81"/>
        <v>#N/A</v>
      </c>
      <c r="W483" s="163" t="e">
        <f t="shared" ca="1" si="82"/>
        <v>#N/A</v>
      </c>
      <c r="X483" s="163" t="e">
        <f t="shared" ca="1" si="83"/>
        <v>#N/A</v>
      </c>
      <c r="Y483" s="163" t="e">
        <f t="shared" ca="1" si="84"/>
        <v>#N/A</v>
      </c>
    </row>
    <row r="484" spans="12:25" ht="14.4">
      <c r="L484" s="464"/>
      <c r="M484" s="129" t="e">
        <f t="shared" si="85"/>
        <v>#N/A</v>
      </c>
      <c r="N484" s="161">
        <f t="shared" si="80"/>
        <v>13</v>
      </c>
      <c r="O484" s="160" t="e">
        <f t="shared" ca="1" si="76"/>
        <v>#N/A</v>
      </c>
      <c r="P484" s="160" t="e">
        <f t="shared" ca="1" si="78"/>
        <v>#N/A</v>
      </c>
      <c r="Q484" s="160" t="e">
        <f t="shared" ca="1" si="79"/>
        <v>#N/A</v>
      </c>
      <c r="R484" s="160" t="e">
        <f t="shared" ca="1" si="79"/>
        <v>#N/A</v>
      </c>
      <c r="S484" s="160" t="e">
        <f t="shared" ca="1" si="79"/>
        <v>#N/A</v>
      </c>
      <c r="T484" s="160" t="e">
        <f t="shared" ca="1" si="77"/>
        <v>#N/A</v>
      </c>
      <c r="U484" s="160" t="e">
        <f t="shared" ca="1" si="77"/>
        <v>#N/A</v>
      </c>
      <c r="V484" s="163" t="e">
        <f t="shared" ca="1" si="81"/>
        <v>#N/A</v>
      </c>
      <c r="W484" s="163" t="e">
        <f t="shared" ca="1" si="82"/>
        <v>#N/A</v>
      </c>
      <c r="X484" s="163" t="e">
        <f t="shared" ca="1" si="83"/>
        <v>#N/A</v>
      </c>
      <c r="Y484" s="163" t="e">
        <f t="shared" ca="1" si="84"/>
        <v>#N/A</v>
      </c>
    </row>
    <row r="485" spans="12:25" ht="14.4">
      <c r="L485" s="464"/>
      <c r="M485" s="129" t="e">
        <f t="shared" si="85"/>
        <v>#N/A</v>
      </c>
      <c r="N485" s="161">
        <f t="shared" si="80"/>
        <v>13</v>
      </c>
      <c r="O485" s="160" t="e">
        <f t="shared" ca="1" si="76"/>
        <v>#N/A</v>
      </c>
      <c r="P485" s="160" t="e">
        <f t="shared" ca="1" si="78"/>
        <v>#N/A</v>
      </c>
      <c r="Q485" s="160" t="e">
        <f t="shared" ca="1" si="79"/>
        <v>#N/A</v>
      </c>
      <c r="R485" s="160" t="e">
        <f t="shared" ca="1" si="79"/>
        <v>#N/A</v>
      </c>
      <c r="S485" s="160" t="e">
        <f t="shared" ca="1" si="79"/>
        <v>#N/A</v>
      </c>
      <c r="T485" s="160" t="e">
        <f t="shared" ca="1" si="77"/>
        <v>#N/A</v>
      </c>
      <c r="U485" s="160" t="e">
        <f t="shared" ca="1" si="77"/>
        <v>#N/A</v>
      </c>
      <c r="V485" s="163" t="e">
        <f t="shared" ca="1" si="81"/>
        <v>#N/A</v>
      </c>
      <c r="W485" s="163" t="e">
        <f t="shared" ca="1" si="82"/>
        <v>#N/A</v>
      </c>
      <c r="X485" s="163" t="e">
        <f t="shared" ca="1" si="83"/>
        <v>#N/A</v>
      </c>
      <c r="Y485" s="163" t="e">
        <f t="shared" ca="1" si="84"/>
        <v>#N/A</v>
      </c>
    </row>
    <row r="486" spans="12:25" ht="14.4">
      <c r="L486" s="464"/>
      <c r="M486" s="129" t="e">
        <f t="shared" si="85"/>
        <v>#N/A</v>
      </c>
      <c r="N486" s="161">
        <f t="shared" si="80"/>
        <v>13</v>
      </c>
      <c r="O486" s="160" t="e">
        <f t="shared" ca="1" si="76"/>
        <v>#N/A</v>
      </c>
      <c r="P486" s="160" t="e">
        <f t="shared" ca="1" si="78"/>
        <v>#N/A</v>
      </c>
      <c r="Q486" s="160" t="e">
        <f t="shared" ca="1" si="79"/>
        <v>#N/A</v>
      </c>
      <c r="R486" s="160" t="e">
        <f t="shared" ca="1" si="79"/>
        <v>#N/A</v>
      </c>
      <c r="S486" s="160" t="e">
        <f t="shared" ca="1" si="79"/>
        <v>#N/A</v>
      </c>
      <c r="T486" s="160" t="e">
        <f t="shared" ca="1" si="77"/>
        <v>#N/A</v>
      </c>
      <c r="U486" s="160" t="e">
        <f t="shared" ca="1" si="77"/>
        <v>#N/A</v>
      </c>
      <c r="V486" s="163" t="e">
        <f t="shared" ca="1" si="81"/>
        <v>#N/A</v>
      </c>
      <c r="W486" s="163" t="e">
        <f t="shared" ca="1" si="82"/>
        <v>#N/A</v>
      </c>
      <c r="X486" s="163" t="e">
        <f t="shared" ca="1" si="83"/>
        <v>#N/A</v>
      </c>
      <c r="Y486" s="163" t="e">
        <f t="shared" ca="1" si="84"/>
        <v>#N/A</v>
      </c>
    </row>
    <row r="487" spans="12:25" ht="14.4">
      <c r="L487" s="464"/>
      <c r="M487" s="129" t="e">
        <f t="shared" si="85"/>
        <v>#N/A</v>
      </c>
      <c r="N487" s="161">
        <f t="shared" si="80"/>
        <v>13</v>
      </c>
      <c r="O487" s="160" t="e">
        <f t="shared" ca="1" si="76"/>
        <v>#N/A</v>
      </c>
      <c r="P487" s="160" t="e">
        <f t="shared" ca="1" si="78"/>
        <v>#N/A</v>
      </c>
      <c r="Q487" s="160" t="e">
        <f t="shared" ca="1" si="79"/>
        <v>#N/A</v>
      </c>
      <c r="R487" s="160" t="e">
        <f t="shared" ca="1" si="79"/>
        <v>#N/A</v>
      </c>
      <c r="S487" s="160" t="e">
        <f t="shared" ca="1" si="79"/>
        <v>#N/A</v>
      </c>
      <c r="T487" s="160" t="e">
        <f t="shared" ca="1" si="77"/>
        <v>#N/A</v>
      </c>
      <c r="U487" s="160" t="e">
        <f t="shared" ca="1" si="77"/>
        <v>#N/A</v>
      </c>
      <c r="V487" s="163" t="e">
        <f t="shared" ca="1" si="81"/>
        <v>#N/A</v>
      </c>
      <c r="W487" s="163" t="e">
        <f t="shared" ca="1" si="82"/>
        <v>#N/A</v>
      </c>
      <c r="X487" s="163" t="e">
        <f t="shared" ca="1" si="83"/>
        <v>#N/A</v>
      </c>
      <c r="Y487" s="163" t="e">
        <f t="shared" ca="1" si="84"/>
        <v>#N/A</v>
      </c>
    </row>
    <row r="488" spans="12:25" ht="14.4">
      <c r="L488" s="464"/>
      <c r="M488" s="129" t="e">
        <f t="shared" si="85"/>
        <v>#N/A</v>
      </c>
      <c r="N488" s="161">
        <f t="shared" si="80"/>
        <v>13</v>
      </c>
      <c r="O488" s="160" t="e">
        <f t="shared" ca="1" si="76"/>
        <v>#N/A</v>
      </c>
      <c r="P488" s="160" t="e">
        <f t="shared" ca="1" si="78"/>
        <v>#N/A</v>
      </c>
      <c r="Q488" s="160" t="e">
        <f t="shared" ca="1" si="79"/>
        <v>#N/A</v>
      </c>
      <c r="R488" s="160" t="e">
        <f t="shared" ca="1" si="79"/>
        <v>#N/A</v>
      </c>
      <c r="S488" s="160" t="e">
        <f t="shared" ca="1" si="79"/>
        <v>#N/A</v>
      </c>
      <c r="T488" s="160" t="e">
        <f t="shared" ca="1" si="77"/>
        <v>#N/A</v>
      </c>
      <c r="U488" s="160" t="e">
        <f t="shared" ca="1" si="77"/>
        <v>#N/A</v>
      </c>
      <c r="V488" s="163" t="e">
        <f t="shared" ca="1" si="81"/>
        <v>#N/A</v>
      </c>
      <c r="W488" s="163" t="e">
        <f t="shared" ca="1" si="82"/>
        <v>#N/A</v>
      </c>
      <c r="X488" s="163" t="e">
        <f t="shared" ca="1" si="83"/>
        <v>#N/A</v>
      </c>
      <c r="Y488" s="163" t="e">
        <f t="shared" ca="1" si="84"/>
        <v>#N/A</v>
      </c>
    </row>
    <row r="489" spans="12:25" ht="14.4">
      <c r="L489" s="464"/>
      <c r="M489" s="129" t="e">
        <f t="shared" si="85"/>
        <v>#N/A</v>
      </c>
      <c r="N489" s="161">
        <f t="shared" si="80"/>
        <v>13</v>
      </c>
      <c r="O489" s="160" t="e">
        <f t="shared" ref="O489:O552" ca="1" si="86">IF($M489="end",0,OFFSET($A$1,$M489-1,O$29,1,1))</f>
        <v>#N/A</v>
      </c>
      <c r="P489" s="160" t="e">
        <f t="shared" ca="1" si="78"/>
        <v>#N/A</v>
      </c>
      <c r="Q489" s="160" t="e">
        <f t="shared" ca="1" si="79"/>
        <v>#N/A</v>
      </c>
      <c r="R489" s="160" t="e">
        <f t="shared" ca="1" si="79"/>
        <v>#N/A</v>
      </c>
      <c r="S489" s="160" t="e">
        <f t="shared" ca="1" si="79"/>
        <v>#N/A</v>
      </c>
      <c r="T489" s="160" t="e">
        <f t="shared" ca="1" si="77"/>
        <v>#N/A</v>
      </c>
      <c r="U489" s="160" t="e">
        <f t="shared" ca="1" si="77"/>
        <v>#N/A</v>
      </c>
      <c r="V489" s="163" t="e">
        <f t="shared" ca="1" si="81"/>
        <v>#N/A</v>
      </c>
      <c r="W489" s="163" t="e">
        <f t="shared" ca="1" si="82"/>
        <v>#N/A</v>
      </c>
      <c r="X489" s="163" t="e">
        <f t="shared" ca="1" si="83"/>
        <v>#N/A</v>
      </c>
      <c r="Y489" s="163" t="e">
        <f t="shared" ca="1" si="84"/>
        <v>#N/A</v>
      </c>
    </row>
    <row r="490" spans="12:25" ht="14.4">
      <c r="L490" s="464"/>
      <c r="M490" s="129" t="e">
        <f t="shared" si="85"/>
        <v>#N/A</v>
      </c>
      <c r="N490" s="161">
        <f t="shared" si="80"/>
        <v>13</v>
      </c>
      <c r="O490" s="160" t="e">
        <f t="shared" ca="1" si="86"/>
        <v>#N/A</v>
      </c>
      <c r="P490" s="160" t="e">
        <f t="shared" ca="1" si="78"/>
        <v>#N/A</v>
      </c>
      <c r="Q490" s="160" t="e">
        <f t="shared" ca="1" si="79"/>
        <v>#N/A</v>
      </c>
      <c r="R490" s="160" t="e">
        <f t="shared" ca="1" si="79"/>
        <v>#N/A</v>
      </c>
      <c r="S490" s="160" t="e">
        <f t="shared" ca="1" si="79"/>
        <v>#N/A</v>
      </c>
      <c r="T490" s="160" t="e">
        <f t="shared" ca="1" si="77"/>
        <v>#N/A</v>
      </c>
      <c r="U490" s="160" t="e">
        <f t="shared" ca="1" si="77"/>
        <v>#N/A</v>
      </c>
      <c r="V490" s="163" t="e">
        <f t="shared" ca="1" si="81"/>
        <v>#N/A</v>
      </c>
      <c r="W490" s="163" t="e">
        <f t="shared" ca="1" si="82"/>
        <v>#N/A</v>
      </c>
      <c r="X490" s="163" t="e">
        <f t="shared" ca="1" si="83"/>
        <v>#N/A</v>
      </c>
      <c r="Y490" s="163" t="e">
        <f t="shared" ca="1" si="84"/>
        <v>#N/A</v>
      </c>
    </row>
    <row r="491" spans="12:25" ht="14.4">
      <c r="L491" s="464"/>
      <c r="M491" s="129" t="e">
        <f t="shared" si="85"/>
        <v>#N/A</v>
      </c>
      <c r="N491" s="161">
        <f t="shared" si="80"/>
        <v>13</v>
      </c>
      <c r="O491" s="160" t="e">
        <f t="shared" ca="1" si="86"/>
        <v>#N/A</v>
      </c>
      <c r="P491" s="160" t="e">
        <f t="shared" ca="1" si="78"/>
        <v>#N/A</v>
      </c>
      <c r="Q491" s="160" t="e">
        <f t="shared" ca="1" si="79"/>
        <v>#N/A</v>
      </c>
      <c r="R491" s="160" t="e">
        <f t="shared" ca="1" si="79"/>
        <v>#N/A</v>
      </c>
      <c r="S491" s="160" t="e">
        <f t="shared" ca="1" si="79"/>
        <v>#N/A</v>
      </c>
      <c r="T491" s="160" t="e">
        <f t="shared" ca="1" si="77"/>
        <v>#N/A</v>
      </c>
      <c r="U491" s="160" t="e">
        <f t="shared" ca="1" si="77"/>
        <v>#N/A</v>
      </c>
      <c r="V491" s="163" t="e">
        <f t="shared" ca="1" si="81"/>
        <v>#N/A</v>
      </c>
      <c r="W491" s="163" t="e">
        <f t="shared" ca="1" si="82"/>
        <v>#N/A</v>
      </c>
      <c r="X491" s="163" t="e">
        <f t="shared" ca="1" si="83"/>
        <v>#N/A</v>
      </c>
      <c r="Y491" s="163" t="e">
        <f t="shared" ca="1" si="84"/>
        <v>#N/A</v>
      </c>
    </row>
    <row r="492" spans="12:25" ht="14.4">
      <c r="L492" s="464"/>
      <c r="M492" s="129" t="e">
        <f t="shared" si="85"/>
        <v>#N/A</v>
      </c>
      <c r="N492" s="161">
        <f t="shared" si="80"/>
        <v>13</v>
      </c>
      <c r="O492" s="160" t="e">
        <f t="shared" ca="1" si="86"/>
        <v>#N/A</v>
      </c>
      <c r="P492" s="160" t="e">
        <f t="shared" ca="1" si="78"/>
        <v>#N/A</v>
      </c>
      <c r="Q492" s="160" t="e">
        <f t="shared" ca="1" si="79"/>
        <v>#N/A</v>
      </c>
      <c r="R492" s="160" t="e">
        <f t="shared" ca="1" si="79"/>
        <v>#N/A</v>
      </c>
      <c r="S492" s="160" t="e">
        <f t="shared" ca="1" si="79"/>
        <v>#N/A</v>
      </c>
      <c r="T492" s="160" t="e">
        <f t="shared" ca="1" si="77"/>
        <v>#N/A</v>
      </c>
      <c r="U492" s="160" t="e">
        <f t="shared" ca="1" si="77"/>
        <v>#N/A</v>
      </c>
      <c r="V492" s="163" t="e">
        <f t="shared" ca="1" si="81"/>
        <v>#N/A</v>
      </c>
      <c r="W492" s="163" t="e">
        <f t="shared" ca="1" si="82"/>
        <v>#N/A</v>
      </c>
      <c r="X492" s="163" t="e">
        <f t="shared" ca="1" si="83"/>
        <v>#N/A</v>
      </c>
      <c r="Y492" s="163" t="e">
        <f t="shared" ca="1" si="84"/>
        <v>#N/A</v>
      </c>
    </row>
    <row r="493" spans="12:25" ht="14.4">
      <c r="L493" s="464"/>
      <c r="M493" s="129" t="e">
        <f t="shared" si="85"/>
        <v>#N/A</v>
      </c>
      <c r="N493" s="161">
        <f t="shared" si="80"/>
        <v>13</v>
      </c>
      <c r="O493" s="160" t="e">
        <f t="shared" ca="1" si="86"/>
        <v>#N/A</v>
      </c>
      <c r="P493" s="160" t="e">
        <f t="shared" ca="1" si="78"/>
        <v>#N/A</v>
      </c>
      <c r="Q493" s="160" t="e">
        <f t="shared" ca="1" si="79"/>
        <v>#N/A</v>
      </c>
      <c r="R493" s="160" t="e">
        <f t="shared" ca="1" si="79"/>
        <v>#N/A</v>
      </c>
      <c r="S493" s="160" t="e">
        <f t="shared" ca="1" si="79"/>
        <v>#N/A</v>
      </c>
      <c r="T493" s="160" t="e">
        <f t="shared" ca="1" si="77"/>
        <v>#N/A</v>
      </c>
      <c r="U493" s="160" t="e">
        <f t="shared" ca="1" si="77"/>
        <v>#N/A</v>
      </c>
      <c r="V493" s="163" t="e">
        <f t="shared" ca="1" si="81"/>
        <v>#N/A</v>
      </c>
      <c r="W493" s="163" t="e">
        <f t="shared" ca="1" si="82"/>
        <v>#N/A</v>
      </c>
      <c r="X493" s="163" t="e">
        <f t="shared" ca="1" si="83"/>
        <v>#N/A</v>
      </c>
      <c r="Y493" s="163" t="e">
        <f t="shared" ca="1" si="84"/>
        <v>#N/A</v>
      </c>
    </row>
    <row r="494" spans="12:25" ht="14.4">
      <c r="L494" s="464"/>
      <c r="M494" s="129" t="e">
        <f t="shared" si="85"/>
        <v>#N/A</v>
      </c>
      <c r="N494" s="161">
        <f t="shared" si="80"/>
        <v>13</v>
      </c>
      <c r="O494" s="160" t="e">
        <f t="shared" ca="1" si="86"/>
        <v>#N/A</v>
      </c>
      <c r="P494" s="160" t="e">
        <f t="shared" ca="1" si="78"/>
        <v>#N/A</v>
      </c>
      <c r="Q494" s="160" t="e">
        <f t="shared" ca="1" si="79"/>
        <v>#N/A</v>
      </c>
      <c r="R494" s="160" t="e">
        <f t="shared" ca="1" si="79"/>
        <v>#N/A</v>
      </c>
      <c r="S494" s="160" t="e">
        <f t="shared" ca="1" si="79"/>
        <v>#N/A</v>
      </c>
      <c r="T494" s="160" t="e">
        <f t="shared" ca="1" si="77"/>
        <v>#N/A</v>
      </c>
      <c r="U494" s="160" t="e">
        <f t="shared" ca="1" si="77"/>
        <v>#N/A</v>
      </c>
      <c r="V494" s="163" t="e">
        <f t="shared" ca="1" si="81"/>
        <v>#N/A</v>
      </c>
      <c r="W494" s="163" t="e">
        <f t="shared" ca="1" si="82"/>
        <v>#N/A</v>
      </c>
      <c r="X494" s="163" t="e">
        <f t="shared" ca="1" si="83"/>
        <v>#N/A</v>
      </c>
      <c r="Y494" s="163" t="e">
        <f t="shared" ca="1" si="84"/>
        <v>#N/A</v>
      </c>
    </row>
    <row r="495" spans="12:25" ht="14.4">
      <c r="L495" s="464"/>
      <c r="M495" s="129" t="e">
        <f t="shared" si="85"/>
        <v>#N/A</v>
      </c>
      <c r="N495" s="161">
        <f t="shared" si="80"/>
        <v>13</v>
      </c>
      <c r="O495" s="160" t="e">
        <f t="shared" ca="1" si="86"/>
        <v>#N/A</v>
      </c>
      <c r="P495" s="160" t="e">
        <f t="shared" ca="1" si="78"/>
        <v>#N/A</v>
      </c>
      <c r="Q495" s="160" t="e">
        <f t="shared" ca="1" si="79"/>
        <v>#N/A</v>
      </c>
      <c r="R495" s="160" t="e">
        <f t="shared" ca="1" si="79"/>
        <v>#N/A</v>
      </c>
      <c r="S495" s="160" t="e">
        <f t="shared" ca="1" si="79"/>
        <v>#N/A</v>
      </c>
      <c r="T495" s="160" t="e">
        <f t="shared" ca="1" si="77"/>
        <v>#N/A</v>
      </c>
      <c r="U495" s="160" t="e">
        <f t="shared" ca="1" si="77"/>
        <v>#N/A</v>
      </c>
      <c r="V495" s="163" t="e">
        <f t="shared" ca="1" si="81"/>
        <v>#N/A</v>
      </c>
      <c r="W495" s="163" t="e">
        <f t="shared" ca="1" si="82"/>
        <v>#N/A</v>
      </c>
      <c r="X495" s="163" t="e">
        <f t="shared" ca="1" si="83"/>
        <v>#N/A</v>
      </c>
      <c r="Y495" s="163" t="e">
        <f t="shared" ca="1" si="84"/>
        <v>#N/A</v>
      </c>
    </row>
    <row r="496" spans="12:25" ht="14.4">
      <c r="L496" s="464"/>
      <c r="M496" s="129" t="e">
        <f t="shared" si="85"/>
        <v>#N/A</v>
      </c>
      <c r="N496" s="161">
        <f t="shared" si="80"/>
        <v>13</v>
      </c>
      <c r="O496" s="160" t="e">
        <f t="shared" ca="1" si="86"/>
        <v>#N/A</v>
      </c>
      <c r="P496" s="160" t="e">
        <f t="shared" ca="1" si="78"/>
        <v>#N/A</v>
      </c>
      <c r="Q496" s="160" t="e">
        <f t="shared" ca="1" si="79"/>
        <v>#N/A</v>
      </c>
      <c r="R496" s="160" t="e">
        <f t="shared" ca="1" si="79"/>
        <v>#N/A</v>
      </c>
      <c r="S496" s="160" t="e">
        <f t="shared" ca="1" si="79"/>
        <v>#N/A</v>
      </c>
      <c r="T496" s="160" t="e">
        <f t="shared" ca="1" si="77"/>
        <v>#N/A</v>
      </c>
      <c r="U496" s="160" t="e">
        <f t="shared" ca="1" si="77"/>
        <v>#N/A</v>
      </c>
      <c r="V496" s="163" t="e">
        <f t="shared" ca="1" si="81"/>
        <v>#N/A</v>
      </c>
      <c r="W496" s="163" t="e">
        <f t="shared" ca="1" si="82"/>
        <v>#N/A</v>
      </c>
      <c r="X496" s="163" t="e">
        <f t="shared" ca="1" si="83"/>
        <v>#N/A</v>
      </c>
      <c r="Y496" s="163" t="e">
        <f t="shared" ca="1" si="84"/>
        <v>#N/A</v>
      </c>
    </row>
    <row r="497" spans="12:25" ht="14.4">
      <c r="L497" s="464"/>
      <c r="M497" s="129" t="e">
        <f t="shared" si="85"/>
        <v>#N/A</v>
      </c>
      <c r="N497" s="161">
        <f t="shared" si="80"/>
        <v>13</v>
      </c>
      <c r="O497" s="160" t="e">
        <f t="shared" ca="1" si="86"/>
        <v>#N/A</v>
      </c>
      <c r="P497" s="160" t="e">
        <f t="shared" ca="1" si="78"/>
        <v>#N/A</v>
      </c>
      <c r="Q497" s="160" t="e">
        <f t="shared" ca="1" si="79"/>
        <v>#N/A</v>
      </c>
      <c r="R497" s="160" t="e">
        <f t="shared" ca="1" si="79"/>
        <v>#N/A</v>
      </c>
      <c r="S497" s="160" t="e">
        <f t="shared" ca="1" si="79"/>
        <v>#N/A</v>
      </c>
      <c r="T497" s="160" t="e">
        <f t="shared" ca="1" si="79"/>
        <v>#N/A</v>
      </c>
      <c r="U497" s="160" t="e">
        <f t="shared" ca="1" si="79"/>
        <v>#N/A</v>
      </c>
      <c r="V497" s="163" t="e">
        <f t="shared" ca="1" si="81"/>
        <v>#N/A</v>
      </c>
      <c r="W497" s="163" t="e">
        <f t="shared" ca="1" si="82"/>
        <v>#N/A</v>
      </c>
      <c r="X497" s="163" t="e">
        <f t="shared" ca="1" si="83"/>
        <v>#N/A</v>
      </c>
      <c r="Y497" s="163" t="e">
        <f t="shared" ca="1" si="84"/>
        <v>#N/A</v>
      </c>
    </row>
    <row r="498" spans="12:25" ht="14.4">
      <c r="L498" s="464"/>
      <c r="M498" s="129" t="e">
        <f t="shared" si="85"/>
        <v>#N/A</v>
      </c>
      <c r="N498" s="161">
        <f t="shared" si="80"/>
        <v>13</v>
      </c>
      <c r="O498" s="160" t="e">
        <f t="shared" ca="1" si="86"/>
        <v>#N/A</v>
      </c>
      <c r="P498" s="160" t="e">
        <f t="shared" ref="P498:P561" ca="1" si="87">IF($M498="end",0,OFFSET($A$1,$M498-1,P$29,1,1))</f>
        <v>#N/A</v>
      </c>
      <c r="Q498" s="160" t="e">
        <f t="shared" ref="Q498:T561" ca="1" si="88">IF($M498="end",0,OFFSET($A$1,$M498-1,Q$29,1,1))</f>
        <v>#N/A</v>
      </c>
      <c r="R498" s="160" t="e">
        <f t="shared" ca="1" si="88"/>
        <v>#N/A</v>
      </c>
      <c r="S498" s="160" t="e">
        <f t="shared" ca="1" si="88"/>
        <v>#N/A</v>
      </c>
      <c r="T498" s="160" t="e">
        <f t="shared" ca="1" si="88"/>
        <v>#N/A</v>
      </c>
      <c r="U498" s="160" t="e">
        <f t="shared" ref="U498:U561" ca="1" si="89">IF($M498="end",0,OFFSET($A$1,$M498-1,U$29,1,1))</f>
        <v>#N/A</v>
      </c>
      <c r="V498" s="163" t="e">
        <f t="shared" ca="1" si="81"/>
        <v>#N/A</v>
      </c>
      <c r="W498" s="163" t="e">
        <f t="shared" ca="1" si="82"/>
        <v>#N/A</v>
      </c>
      <c r="X498" s="163" t="e">
        <f t="shared" ca="1" si="83"/>
        <v>#N/A</v>
      </c>
      <c r="Y498" s="163" t="e">
        <f t="shared" ca="1" si="84"/>
        <v>#N/A</v>
      </c>
    </row>
    <row r="499" spans="12:25" ht="14.4">
      <c r="L499" s="464"/>
      <c r="M499" s="129" t="e">
        <f t="shared" si="85"/>
        <v>#N/A</v>
      </c>
      <c r="N499" s="161">
        <f t="shared" si="80"/>
        <v>13</v>
      </c>
      <c r="O499" s="160" t="e">
        <f t="shared" ca="1" si="86"/>
        <v>#N/A</v>
      </c>
      <c r="P499" s="160" t="e">
        <f t="shared" ca="1" si="87"/>
        <v>#N/A</v>
      </c>
      <c r="Q499" s="160" t="e">
        <f t="shared" ca="1" si="88"/>
        <v>#N/A</v>
      </c>
      <c r="R499" s="160" t="e">
        <f t="shared" ca="1" si="88"/>
        <v>#N/A</v>
      </c>
      <c r="S499" s="160" t="e">
        <f t="shared" ca="1" si="88"/>
        <v>#N/A</v>
      </c>
      <c r="T499" s="160" t="e">
        <f t="shared" ca="1" si="88"/>
        <v>#N/A</v>
      </c>
      <c r="U499" s="160" t="e">
        <f t="shared" ca="1" si="89"/>
        <v>#N/A</v>
      </c>
      <c r="V499" s="163" t="e">
        <f t="shared" ca="1" si="81"/>
        <v>#N/A</v>
      </c>
      <c r="W499" s="163" t="e">
        <f t="shared" ca="1" si="82"/>
        <v>#N/A</v>
      </c>
      <c r="X499" s="163" t="e">
        <f t="shared" ca="1" si="83"/>
        <v>#N/A</v>
      </c>
      <c r="Y499" s="163" t="e">
        <f t="shared" ca="1" si="84"/>
        <v>#N/A</v>
      </c>
    </row>
    <row r="500" spans="12:25" ht="14.4">
      <c r="L500" s="464"/>
      <c r="M500" s="129" t="e">
        <f t="shared" si="85"/>
        <v>#N/A</v>
      </c>
      <c r="N500" s="161">
        <f t="shared" si="80"/>
        <v>13</v>
      </c>
      <c r="O500" s="160" t="e">
        <f t="shared" ca="1" si="86"/>
        <v>#N/A</v>
      </c>
      <c r="P500" s="160" t="e">
        <f t="shared" ca="1" si="87"/>
        <v>#N/A</v>
      </c>
      <c r="Q500" s="160" t="e">
        <f t="shared" ca="1" si="88"/>
        <v>#N/A</v>
      </c>
      <c r="R500" s="160" t="e">
        <f t="shared" ca="1" si="88"/>
        <v>#N/A</v>
      </c>
      <c r="S500" s="160" t="e">
        <f t="shared" ca="1" si="88"/>
        <v>#N/A</v>
      </c>
      <c r="T500" s="160" t="e">
        <f t="shared" ca="1" si="88"/>
        <v>#N/A</v>
      </c>
      <c r="U500" s="160" t="e">
        <f t="shared" ca="1" si="89"/>
        <v>#N/A</v>
      </c>
      <c r="V500" s="163" t="e">
        <f t="shared" ca="1" si="81"/>
        <v>#N/A</v>
      </c>
      <c r="W500" s="163" t="e">
        <f t="shared" ca="1" si="82"/>
        <v>#N/A</v>
      </c>
      <c r="X500" s="163" t="e">
        <f t="shared" ca="1" si="83"/>
        <v>#N/A</v>
      </c>
      <c r="Y500" s="163" t="e">
        <f t="shared" ca="1" si="84"/>
        <v>#N/A</v>
      </c>
    </row>
    <row r="501" spans="12:25" ht="14.4">
      <c r="L501" s="464"/>
      <c r="M501" s="129" t="e">
        <f t="shared" si="85"/>
        <v>#N/A</v>
      </c>
      <c r="N501" s="161">
        <f t="shared" si="80"/>
        <v>13</v>
      </c>
      <c r="O501" s="160" t="e">
        <f t="shared" ca="1" si="86"/>
        <v>#N/A</v>
      </c>
      <c r="P501" s="160" t="e">
        <f t="shared" ca="1" si="87"/>
        <v>#N/A</v>
      </c>
      <c r="Q501" s="160" t="e">
        <f t="shared" ca="1" si="88"/>
        <v>#N/A</v>
      </c>
      <c r="R501" s="160" t="e">
        <f t="shared" ca="1" si="88"/>
        <v>#N/A</v>
      </c>
      <c r="S501" s="160" t="e">
        <f t="shared" ca="1" si="88"/>
        <v>#N/A</v>
      </c>
      <c r="T501" s="160" t="e">
        <f t="shared" ca="1" si="88"/>
        <v>#N/A</v>
      </c>
      <c r="U501" s="160" t="e">
        <f t="shared" ca="1" si="89"/>
        <v>#N/A</v>
      </c>
      <c r="V501" s="163" t="e">
        <f t="shared" ca="1" si="81"/>
        <v>#N/A</v>
      </c>
      <c r="W501" s="163" t="e">
        <f t="shared" ca="1" si="82"/>
        <v>#N/A</v>
      </c>
      <c r="X501" s="163" t="e">
        <f t="shared" ca="1" si="83"/>
        <v>#N/A</v>
      </c>
      <c r="Y501" s="163" t="e">
        <f t="shared" ca="1" si="84"/>
        <v>#N/A</v>
      </c>
    </row>
    <row r="502" spans="12:25" ht="14.4">
      <c r="L502" s="464"/>
      <c r="M502" s="129" t="e">
        <f t="shared" si="85"/>
        <v>#N/A</v>
      </c>
      <c r="N502" s="161">
        <f t="shared" si="80"/>
        <v>13</v>
      </c>
      <c r="O502" s="160" t="e">
        <f t="shared" ca="1" si="86"/>
        <v>#N/A</v>
      </c>
      <c r="P502" s="160" t="e">
        <f t="shared" ca="1" si="87"/>
        <v>#N/A</v>
      </c>
      <c r="Q502" s="160" t="e">
        <f t="shared" ca="1" si="88"/>
        <v>#N/A</v>
      </c>
      <c r="R502" s="160" t="e">
        <f t="shared" ca="1" si="88"/>
        <v>#N/A</v>
      </c>
      <c r="S502" s="160" t="e">
        <f t="shared" ca="1" si="88"/>
        <v>#N/A</v>
      </c>
      <c r="T502" s="160" t="e">
        <f t="shared" ca="1" si="88"/>
        <v>#N/A</v>
      </c>
      <c r="U502" s="160" t="e">
        <f t="shared" ca="1" si="89"/>
        <v>#N/A</v>
      </c>
      <c r="V502" s="163" t="e">
        <f t="shared" ca="1" si="81"/>
        <v>#N/A</v>
      </c>
      <c r="W502" s="163" t="e">
        <f t="shared" ca="1" si="82"/>
        <v>#N/A</v>
      </c>
      <c r="X502" s="163" t="e">
        <f t="shared" ca="1" si="83"/>
        <v>#N/A</v>
      </c>
      <c r="Y502" s="163" t="e">
        <f t="shared" ca="1" si="84"/>
        <v>#N/A</v>
      </c>
    </row>
    <row r="503" spans="12:25" ht="14.4">
      <c r="L503" s="464"/>
      <c r="M503" s="129" t="e">
        <f t="shared" si="85"/>
        <v>#N/A</v>
      </c>
      <c r="N503" s="161">
        <f t="shared" si="80"/>
        <v>13</v>
      </c>
      <c r="O503" s="160" t="e">
        <f t="shared" ca="1" si="86"/>
        <v>#N/A</v>
      </c>
      <c r="P503" s="160" t="e">
        <f t="shared" ca="1" si="87"/>
        <v>#N/A</v>
      </c>
      <c r="Q503" s="160" t="e">
        <f t="shared" ca="1" si="88"/>
        <v>#N/A</v>
      </c>
      <c r="R503" s="160" t="e">
        <f t="shared" ca="1" si="88"/>
        <v>#N/A</v>
      </c>
      <c r="S503" s="160" t="e">
        <f t="shared" ca="1" si="88"/>
        <v>#N/A</v>
      </c>
      <c r="T503" s="160" t="e">
        <f t="shared" ca="1" si="88"/>
        <v>#N/A</v>
      </c>
      <c r="U503" s="160" t="e">
        <f t="shared" ca="1" si="89"/>
        <v>#N/A</v>
      </c>
      <c r="V503" s="163" t="e">
        <f t="shared" ca="1" si="81"/>
        <v>#N/A</v>
      </c>
      <c r="W503" s="163" t="e">
        <f t="shared" ca="1" si="82"/>
        <v>#N/A</v>
      </c>
      <c r="X503" s="163" t="e">
        <f t="shared" ca="1" si="83"/>
        <v>#N/A</v>
      </c>
      <c r="Y503" s="163" t="e">
        <f t="shared" ca="1" si="84"/>
        <v>#N/A</v>
      </c>
    </row>
    <row r="504" spans="12:25" ht="14.4">
      <c r="L504" s="464"/>
      <c r="M504" s="129" t="e">
        <f t="shared" si="85"/>
        <v>#N/A</v>
      </c>
      <c r="N504" s="161">
        <f t="shared" si="80"/>
        <v>13</v>
      </c>
      <c r="O504" s="160" t="e">
        <f t="shared" ca="1" si="86"/>
        <v>#N/A</v>
      </c>
      <c r="P504" s="160" t="e">
        <f t="shared" ca="1" si="87"/>
        <v>#N/A</v>
      </c>
      <c r="Q504" s="160" t="e">
        <f t="shared" ca="1" si="88"/>
        <v>#N/A</v>
      </c>
      <c r="R504" s="160" t="e">
        <f t="shared" ca="1" si="88"/>
        <v>#N/A</v>
      </c>
      <c r="S504" s="160" t="e">
        <f t="shared" ca="1" si="88"/>
        <v>#N/A</v>
      </c>
      <c r="T504" s="160" t="e">
        <f t="shared" ca="1" si="88"/>
        <v>#N/A</v>
      </c>
      <c r="U504" s="160" t="e">
        <f t="shared" ca="1" si="89"/>
        <v>#N/A</v>
      </c>
      <c r="V504" s="163" t="e">
        <f t="shared" ca="1" si="81"/>
        <v>#N/A</v>
      </c>
      <c r="W504" s="163" t="e">
        <f t="shared" ca="1" si="82"/>
        <v>#N/A</v>
      </c>
      <c r="X504" s="163" t="e">
        <f t="shared" ca="1" si="83"/>
        <v>#N/A</v>
      </c>
      <c r="Y504" s="163" t="e">
        <f t="shared" ca="1" si="84"/>
        <v>#N/A</v>
      </c>
    </row>
    <row r="505" spans="12:25" ht="14.4">
      <c r="L505" s="464"/>
      <c r="M505" s="129" t="e">
        <f t="shared" si="85"/>
        <v>#N/A</v>
      </c>
      <c r="N505" s="161">
        <f t="shared" si="80"/>
        <v>13</v>
      </c>
      <c r="O505" s="160" t="e">
        <f t="shared" ca="1" si="86"/>
        <v>#N/A</v>
      </c>
      <c r="P505" s="160" t="e">
        <f t="shared" ca="1" si="87"/>
        <v>#N/A</v>
      </c>
      <c r="Q505" s="160" t="e">
        <f t="shared" ca="1" si="88"/>
        <v>#N/A</v>
      </c>
      <c r="R505" s="160" t="e">
        <f t="shared" ca="1" si="88"/>
        <v>#N/A</v>
      </c>
      <c r="S505" s="160" t="e">
        <f t="shared" ca="1" si="88"/>
        <v>#N/A</v>
      </c>
      <c r="T505" s="160" t="e">
        <f t="shared" ca="1" si="88"/>
        <v>#N/A</v>
      </c>
      <c r="U505" s="160" t="e">
        <f t="shared" ca="1" si="89"/>
        <v>#N/A</v>
      </c>
      <c r="V505" s="163" t="e">
        <f t="shared" ca="1" si="81"/>
        <v>#N/A</v>
      </c>
      <c r="W505" s="163" t="e">
        <f t="shared" ca="1" si="82"/>
        <v>#N/A</v>
      </c>
      <c r="X505" s="163" t="e">
        <f t="shared" ca="1" si="83"/>
        <v>#N/A</v>
      </c>
      <c r="Y505" s="163" t="e">
        <f t="shared" ca="1" si="84"/>
        <v>#N/A</v>
      </c>
    </row>
    <row r="506" spans="12:25" ht="14.4">
      <c r="L506" s="464"/>
      <c r="M506" s="129" t="e">
        <f t="shared" si="85"/>
        <v>#N/A</v>
      </c>
      <c r="N506" s="161">
        <f t="shared" si="80"/>
        <v>13</v>
      </c>
      <c r="O506" s="160" t="e">
        <f t="shared" ca="1" si="86"/>
        <v>#N/A</v>
      </c>
      <c r="P506" s="160" t="e">
        <f t="shared" ca="1" si="87"/>
        <v>#N/A</v>
      </c>
      <c r="Q506" s="160" t="e">
        <f t="shared" ca="1" si="88"/>
        <v>#N/A</v>
      </c>
      <c r="R506" s="160" t="e">
        <f t="shared" ca="1" si="88"/>
        <v>#N/A</v>
      </c>
      <c r="S506" s="160" t="e">
        <f t="shared" ca="1" si="88"/>
        <v>#N/A</v>
      </c>
      <c r="T506" s="160" t="e">
        <f t="shared" ca="1" si="88"/>
        <v>#N/A</v>
      </c>
      <c r="U506" s="160" t="e">
        <f t="shared" ca="1" si="89"/>
        <v>#N/A</v>
      </c>
      <c r="V506" s="163" t="e">
        <f t="shared" ca="1" si="81"/>
        <v>#N/A</v>
      </c>
      <c r="W506" s="163" t="e">
        <f t="shared" ca="1" si="82"/>
        <v>#N/A</v>
      </c>
      <c r="X506" s="163" t="e">
        <f t="shared" ca="1" si="83"/>
        <v>#N/A</v>
      </c>
      <c r="Y506" s="163" t="e">
        <f t="shared" ca="1" si="84"/>
        <v>#N/A</v>
      </c>
    </row>
    <row r="507" spans="12:25" ht="14.4">
      <c r="L507" s="464"/>
      <c r="M507" s="129" t="e">
        <f t="shared" si="85"/>
        <v>#N/A</v>
      </c>
      <c r="N507" s="161">
        <f t="shared" si="80"/>
        <v>13</v>
      </c>
      <c r="O507" s="160" t="e">
        <f t="shared" ca="1" si="86"/>
        <v>#N/A</v>
      </c>
      <c r="P507" s="160" t="e">
        <f t="shared" ca="1" si="87"/>
        <v>#N/A</v>
      </c>
      <c r="Q507" s="160" t="e">
        <f t="shared" ca="1" si="88"/>
        <v>#N/A</v>
      </c>
      <c r="R507" s="160" t="e">
        <f t="shared" ca="1" si="88"/>
        <v>#N/A</v>
      </c>
      <c r="S507" s="160" t="e">
        <f t="shared" ca="1" si="88"/>
        <v>#N/A</v>
      </c>
      <c r="T507" s="160" t="e">
        <f t="shared" ca="1" si="88"/>
        <v>#N/A</v>
      </c>
      <c r="U507" s="160" t="e">
        <f t="shared" ca="1" si="89"/>
        <v>#N/A</v>
      </c>
      <c r="V507" s="163" t="e">
        <f t="shared" ca="1" si="81"/>
        <v>#N/A</v>
      </c>
      <c r="W507" s="163" t="e">
        <f t="shared" ca="1" si="82"/>
        <v>#N/A</v>
      </c>
      <c r="X507" s="163" t="e">
        <f t="shared" ca="1" si="83"/>
        <v>#N/A</v>
      </c>
      <c r="Y507" s="163" t="e">
        <f t="shared" ca="1" si="84"/>
        <v>#N/A</v>
      </c>
    </row>
    <row r="508" spans="12:25" ht="14.4">
      <c r="L508" s="464"/>
      <c r="M508" s="129" t="e">
        <f t="shared" si="85"/>
        <v>#N/A</v>
      </c>
      <c r="N508" s="161">
        <f t="shared" si="80"/>
        <v>13</v>
      </c>
      <c r="O508" s="160" t="e">
        <f t="shared" ca="1" si="86"/>
        <v>#N/A</v>
      </c>
      <c r="P508" s="160" t="e">
        <f t="shared" ca="1" si="87"/>
        <v>#N/A</v>
      </c>
      <c r="Q508" s="160" t="e">
        <f t="shared" ca="1" si="88"/>
        <v>#N/A</v>
      </c>
      <c r="R508" s="160" t="e">
        <f t="shared" ca="1" si="88"/>
        <v>#N/A</v>
      </c>
      <c r="S508" s="160" t="e">
        <f t="shared" ca="1" si="88"/>
        <v>#N/A</v>
      </c>
      <c r="T508" s="160" t="e">
        <f t="shared" ca="1" si="88"/>
        <v>#N/A</v>
      </c>
      <c r="U508" s="160" t="e">
        <f t="shared" ca="1" si="89"/>
        <v>#N/A</v>
      </c>
      <c r="V508" s="163" t="e">
        <f t="shared" ca="1" si="81"/>
        <v>#N/A</v>
      </c>
      <c r="W508" s="163" t="e">
        <f t="shared" ca="1" si="82"/>
        <v>#N/A</v>
      </c>
      <c r="X508" s="163" t="e">
        <f t="shared" ca="1" si="83"/>
        <v>#N/A</v>
      </c>
      <c r="Y508" s="163" t="e">
        <f t="shared" ca="1" si="84"/>
        <v>#N/A</v>
      </c>
    </row>
    <row r="509" spans="12:25" ht="14.4">
      <c r="L509" s="464"/>
      <c r="M509" s="129" t="e">
        <f t="shared" si="85"/>
        <v>#N/A</v>
      </c>
      <c r="N509" s="161">
        <f t="shared" si="80"/>
        <v>13</v>
      </c>
      <c r="O509" s="160" t="e">
        <f t="shared" ca="1" si="86"/>
        <v>#N/A</v>
      </c>
      <c r="P509" s="160" t="e">
        <f t="shared" ca="1" si="87"/>
        <v>#N/A</v>
      </c>
      <c r="Q509" s="160" t="e">
        <f t="shared" ca="1" si="88"/>
        <v>#N/A</v>
      </c>
      <c r="R509" s="160" t="e">
        <f t="shared" ca="1" si="88"/>
        <v>#N/A</v>
      </c>
      <c r="S509" s="160" t="e">
        <f t="shared" ca="1" si="88"/>
        <v>#N/A</v>
      </c>
      <c r="T509" s="160" t="e">
        <f t="shared" ca="1" si="88"/>
        <v>#N/A</v>
      </c>
      <c r="U509" s="160" t="e">
        <f t="shared" ca="1" si="89"/>
        <v>#N/A</v>
      </c>
      <c r="V509" s="163" t="e">
        <f t="shared" ca="1" si="81"/>
        <v>#N/A</v>
      </c>
      <c r="W509" s="163" t="e">
        <f t="shared" ca="1" si="82"/>
        <v>#N/A</v>
      </c>
      <c r="X509" s="163" t="e">
        <f t="shared" ca="1" si="83"/>
        <v>#N/A</v>
      </c>
      <c r="Y509" s="163" t="e">
        <f t="shared" ca="1" si="84"/>
        <v>#N/A</v>
      </c>
    </row>
    <row r="510" spans="12:25" ht="14.4">
      <c r="L510" s="464"/>
      <c r="M510" s="129" t="e">
        <f t="shared" si="85"/>
        <v>#N/A</v>
      </c>
      <c r="N510" s="161">
        <f t="shared" si="80"/>
        <v>13</v>
      </c>
      <c r="O510" s="160" t="e">
        <f t="shared" ca="1" si="86"/>
        <v>#N/A</v>
      </c>
      <c r="P510" s="160" t="e">
        <f t="shared" ca="1" si="87"/>
        <v>#N/A</v>
      </c>
      <c r="Q510" s="160" t="e">
        <f t="shared" ca="1" si="88"/>
        <v>#N/A</v>
      </c>
      <c r="R510" s="160" t="e">
        <f t="shared" ca="1" si="88"/>
        <v>#N/A</v>
      </c>
      <c r="S510" s="160" t="e">
        <f t="shared" ca="1" si="88"/>
        <v>#N/A</v>
      </c>
      <c r="T510" s="160" t="e">
        <f t="shared" ca="1" si="88"/>
        <v>#N/A</v>
      </c>
      <c r="U510" s="160" t="e">
        <f t="shared" ca="1" si="89"/>
        <v>#N/A</v>
      </c>
      <c r="V510" s="163" t="e">
        <f t="shared" ca="1" si="81"/>
        <v>#N/A</v>
      </c>
      <c r="W510" s="163" t="e">
        <f t="shared" ca="1" si="82"/>
        <v>#N/A</v>
      </c>
      <c r="X510" s="163" t="e">
        <f t="shared" ca="1" si="83"/>
        <v>#N/A</v>
      </c>
      <c r="Y510" s="163" t="e">
        <f t="shared" ca="1" si="84"/>
        <v>#N/A</v>
      </c>
    </row>
    <row r="511" spans="12:25" ht="14.4">
      <c r="L511" s="464"/>
      <c r="M511" s="129" t="e">
        <f t="shared" si="85"/>
        <v>#N/A</v>
      </c>
      <c r="N511" s="161">
        <f t="shared" si="80"/>
        <v>13</v>
      </c>
      <c r="O511" s="160" t="e">
        <f t="shared" ca="1" si="86"/>
        <v>#N/A</v>
      </c>
      <c r="P511" s="160" t="e">
        <f t="shared" ca="1" si="87"/>
        <v>#N/A</v>
      </c>
      <c r="Q511" s="160" t="e">
        <f t="shared" ca="1" si="88"/>
        <v>#N/A</v>
      </c>
      <c r="R511" s="160" t="e">
        <f t="shared" ca="1" si="88"/>
        <v>#N/A</v>
      </c>
      <c r="S511" s="160" t="e">
        <f t="shared" ca="1" si="88"/>
        <v>#N/A</v>
      </c>
      <c r="T511" s="160" t="e">
        <f t="shared" ca="1" si="88"/>
        <v>#N/A</v>
      </c>
      <c r="U511" s="160" t="e">
        <f t="shared" ca="1" si="89"/>
        <v>#N/A</v>
      </c>
      <c r="V511" s="163" t="e">
        <f t="shared" ca="1" si="81"/>
        <v>#N/A</v>
      </c>
      <c r="W511" s="163" t="e">
        <f t="shared" ca="1" si="82"/>
        <v>#N/A</v>
      </c>
      <c r="X511" s="163" t="e">
        <f t="shared" ca="1" si="83"/>
        <v>#N/A</v>
      </c>
      <c r="Y511" s="163" t="e">
        <f t="shared" ca="1" si="84"/>
        <v>#N/A</v>
      </c>
    </row>
    <row r="512" spans="12:25" ht="14.4">
      <c r="L512" s="464"/>
      <c r="M512" s="129" t="e">
        <f t="shared" si="85"/>
        <v>#N/A</v>
      </c>
      <c r="N512" s="161">
        <f t="shared" si="80"/>
        <v>13</v>
      </c>
      <c r="O512" s="160" t="e">
        <f t="shared" ca="1" si="86"/>
        <v>#N/A</v>
      </c>
      <c r="P512" s="160" t="e">
        <f t="shared" ca="1" si="87"/>
        <v>#N/A</v>
      </c>
      <c r="Q512" s="160" t="e">
        <f t="shared" ca="1" si="88"/>
        <v>#N/A</v>
      </c>
      <c r="R512" s="160" t="e">
        <f t="shared" ca="1" si="88"/>
        <v>#N/A</v>
      </c>
      <c r="S512" s="160" t="e">
        <f t="shared" ca="1" si="88"/>
        <v>#N/A</v>
      </c>
      <c r="T512" s="160" t="e">
        <f t="shared" ca="1" si="88"/>
        <v>#N/A</v>
      </c>
      <c r="U512" s="160" t="e">
        <f t="shared" ca="1" si="89"/>
        <v>#N/A</v>
      </c>
      <c r="V512" s="163" t="e">
        <f t="shared" ca="1" si="81"/>
        <v>#N/A</v>
      </c>
      <c r="W512" s="163" t="e">
        <f t="shared" ca="1" si="82"/>
        <v>#N/A</v>
      </c>
      <c r="X512" s="163" t="e">
        <f t="shared" ca="1" si="83"/>
        <v>#N/A</v>
      </c>
      <c r="Y512" s="163" t="e">
        <f t="shared" ca="1" si="84"/>
        <v>#N/A</v>
      </c>
    </row>
    <row r="513" spans="12:25" ht="14.4">
      <c r="L513" s="464"/>
      <c r="M513" s="129" t="e">
        <f t="shared" si="85"/>
        <v>#N/A</v>
      </c>
      <c r="N513" s="161">
        <f t="shared" si="80"/>
        <v>13</v>
      </c>
      <c r="O513" s="160" t="e">
        <f t="shared" ca="1" si="86"/>
        <v>#N/A</v>
      </c>
      <c r="P513" s="160" t="e">
        <f t="shared" ca="1" si="87"/>
        <v>#N/A</v>
      </c>
      <c r="Q513" s="160" t="e">
        <f t="shared" ca="1" si="88"/>
        <v>#N/A</v>
      </c>
      <c r="R513" s="160" t="e">
        <f t="shared" ca="1" si="88"/>
        <v>#N/A</v>
      </c>
      <c r="S513" s="160" t="e">
        <f t="shared" ca="1" si="88"/>
        <v>#N/A</v>
      </c>
      <c r="T513" s="160" t="e">
        <f t="shared" ca="1" si="88"/>
        <v>#N/A</v>
      </c>
      <c r="U513" s="160" t="e">
        <f t="shared" ca="1" si="89"/>
        <v>#N/A</v>
      </c>
      <c r="V513" s="163" t="e">
        <f t="shared" ca="1" si="81"/>
        <v>#N/A</v>
      </c>
      <c r="W513" s="163" t="e">
        <f t="shared" ca="1" si="82"/>
        <v>#N/A</v>
      </c>
      <c r="X513" s="163" t="e">
        <f t="shared" ca="1" si="83"/>
        <v>#N/A</v>
      </c>
      <c r="Y513" s="163" t="e">
        <f t="shared" ca="1" si="84"/>
        <v>#N/A</v>
      </c>
    </row>
    <row r="514" spans="12:25" ht="14.4">
      <c r="L514" s="464"/>
      <c r="M514" s="129" t="e">
        <f t="shared" si="85"/>
        <v>#N/A</v>
      </c>
      <c r="N514" s="161">
        <f t="shared" si="80"/>
        <v>13</v>
      </c>
      <c r="O514" s="160" t="e">
        <f t="shared" ca="1" si="86"/>
        <v>#N/A</v>
      </c>
      <c r="P514" s="160" t="e">
        <f t="shared" ca="1" si="87"/>
        <v>#N/A</v>
      </c>
      <c r="Q514" s="160" t="e">
        <f t="shared" ca="1" si="88"/>
        <v>#N/A</v>
      </c>
      <c r="R514" s="160" t="e">
        <f t="shared" ca="1" si="88"/>
        <v>#N/A</v>
      </c>
      <c r="S514" s="160" t="e">
        <f t="shared" ca="1" si="88"/>
        <v>#N/A</v>
      </c>
      <c r="T514" s="160" t="e">
        <f t="shared" ca="1" si="88"/>
        <v>#N/A</v>
      </c>
      <c r="U514" s="160" t="e">
        <f t="shared" ca="1" si="89"/>
        <v>#N/A</v>
      </c>
      <c r="V514" s="163" t="e">
        <f t="shared" ca="1" si="81"/>
        <v>#N/A</v>
      </c>
      <c r="W514" s="163" t="e">
        <f t="shared" ca="1" si="82"/>
        <v>#N/A</v>
      </c>
      <c r="X514" s="163" t="e">
        <f t="shared" ca="1" si="83"/>
        <v>#N/A</v>
      </c>
      <c r="Y514" s="163" t="e">
        <f t="shared" ca="1" si="84"/>
        <v>#N/A</v>
      </c>
    </row>
    <row r="515" spans="12:25" ht="14.4">
      <c r="L515" s="464"/>
      <c r="M515" s="129" t="e">
        <f t="shared" si="85"/>
        <v>#N/A</v>
      </c>
      <c r="N515" s="161">
        <f t="shared" si="80"/>
        <v>13</v>
      </c>
      <c r="O515" s="160" t="e">
        <f t="shared" ca="1" si="86"/>
        <v>#N/A</v>
      </c>
      <c r="P515" s="160" t="e">
        <f t="shared" ca="1" si="87"/>
        <v>#N/A</v>
      </c>
      <c r="Q515" s="160" t="e">
        <f t="shared" ca="1" si="88"/>
        <v>#N/A</v>
      </c>
      <c r="R515" s="160" t="e">
        <f t="shared" ca="1" si="88"/>
        <v>#N/A</v>
      </c>
      <c r="S515" s="160" t="e">
        <f t="shared" ca="1" si="88"/>
        <v>#N/A</v>
      </c>
      <c r="T515" s="160" t="e">
        <f t="shared" ca="1" si="88"/>
        <v>#N/A</v>
      </c>
      <c r="U515" s="160" t="e">
        <f t="shared" ca="1" si="89"/>
        <v>#N/A</v>
      </c>
      <c r="V515" s="163" t="e">
        <f t="shared" ca="1" si="81"/>
        <v>#N/A</v>
      </c>
      <c r="W515" s="163" t="e">
        <f t="shared" ca="1" si="82"/>
        <v>#N/A</v>
      </c>
      <c r="X515" s="163" t="e">
        <f t="shared" ca="1" si="83"/>
        <v>#N/A</v>
      </c>
      <c r="Y515" s="163" t="e">
        <f t="shared" ca="1" si="84"/>
        <v>#N/A</v>
      </c>
    </row>
    <row r="516" spans="12:25" ht="14.4">
      <c r="L516" s="464"/>
      <c r="M516" s="129" t="e">
        <f t="shared" si="85"/>
        <v>#N/A</v>
      </c>
      <c r="N516" s="161">
        <f t="shared" si="80"/>
        <v>13</v>
      </c>
      <c r="O516" s="160" t="e">
        <f t="shared" ca="1" si="86"/>
        <v>#N/A</v>
      </c>
      <c r="P516" s="160" t="e">
        <f t="shared" ca="1" si="87"/>
        <v>#N/A</v>
      </c>
      <c r="Q516" s="160" t="e">
        <f t="shared" ca="1" si="88"/>
        <v>#N/A</v>
      </c>
      <c r="R516" s="160" t="e">
        <f t="shared" ca="1" si="88"/>
        <v>#N/A</v>
      </c>
      <c r="S516" s="160" t="e">
        <f t="shared" ca="1" si="88"/>
        <v>#N/A</v>
      </c>
      <c r="T516" s="160" t="e">
        <f t="shared" ca="1" si="88"/>
        <v>#N/A</v>
      </c>
      <c r="U516" s="160" t="e">
        <f t="shared" ca="1" si="89"/>
        <v>#N/A</v>
      </c>
      <c r="V516" s="163" t="e">
        <f t="shared" ca="1" si="81"/>
        <v>#N/A</v>
      </c>
      <c r="W516" s="163" t="e">
        <f t="shared" ca="1" si="82"/>
        <v>#N/A</v>
      </c>
      <c r="X516" s="163" t="e">
        <f t="shared" ca="1" si="83"/>
        <v>#N/A</v>
      </c>
      <c r="Y516" s="163" t="e">
        <f t="shared" ca="1" si="84"/>
        <v>#N/A</v>
      </c>
    </row>
    <row r="517" spans="12:25" ht="14.4">
      <c r="L517" s="464"/>
      <c r="M517" s="129" t="e">
        <f t="shared" si="85"/>
        <v>#N/A</v>
      </c>
      <c r="N517" s="161">
        <f t="shared" si="80"/>
        <v>13</v>
      </c>
      <c r="O517" s="160" t="e">
        <f t="shared" ca="1" si="86"/>
        <v>#N/A</v>
      </c>
      <c r="P517" s="160" t="e">
        <f t="shared" ca="1" si="87"/>
        <v>#N/A</v>
      </c>
      <c r="Q517" s="160" t="e">
        <f t="shared" ca="1" si="88"/>
        <v>#N/A</v>
      </c>
      <c r="R517" s="160" t="e">
        <f t="shared" ca="1" si="88"/>
        <v>#N/A</v>
      </c>
      <c r="S517" s="160" t="e">
        <f t="shared" ca="1" si="88"/>
        <v>#N/A</v>
      </c>
      <c r="T517" s="160" t="e">
        <f t="shared" ca="1" si="88"/>
        <v>#N/A</v>
      </c>
      <c r="U517" s="160" t="e">
        <f t="shared" ca="1" si="89"/>
        <v>#N/A</v>
      </c>
      <c r="V517" s="163" t="e">
        <f t="shared" ca="1" si="81"/>
        <v>#N/A</v>
      </c>
      <c r="W517" s="163" t="e">
        <f t="shared" ca="1" si="82"/>
        <v>#N/A</v>
      </c>
      <c r="X517" s="163" t="e">
        <f t="shared" ca="1" si="83"/>
        <v>#N/A</v>
      </c>
      <c r="Y517" s="163" t="e">
        <f t="shared" ca="1" si="84"/>
        <v>#N/A</v>
      </c>
    </row>
    <row r="518" spans="12:25" ht="14.4">
      <c r="L518" s="464"/>
      <c r="M518" s="129" t="e">
        <f t="shared" si="85"/>
        <v>#N/A</v>
      </c>
      <c r="N518" s="161">
        <f t="shared" si="80"/>
        <v>13</v>
      </c>
      <c r="O518" s="160" t="e">
        <f t="shared" ca="1" si="86"/>
        <v>#N/A</v>
      </c>
      <c r="P518" s="160" t="e">
        <f t="shared" ca="1" si="87"/>
        <v>#N/A</v>
      </c>
      <c r="Q518" s="160" t="e">
        <f t="shared" ca="1" si="88"/>
        <v>#N/A</v>
      </c>
      <c r="R518" s="160" t="e">
        <f t="shared" ca="1" si="88"/>
        <v>#N/A</v>
      </c>
      <c r="S518" s="160" t="e">
        <f t="shared" ca="1" si="88"/>
        <v>#N/A</v>
      </c>
      <c r="T518" s="160" t="e">
        <f t="shared" ca="1" si="88"/>
        <v>#N/A</v>
      </c>
      <c r="U518" s="160" t="e">
        <f t="shared" ca="1" si="89"/>
        <v>#N/A</v>
      </c>
      <c r="V518" s="163" t="e">
        <f t="shared" ca="1" si="81"/>
        <v>#N/A</v>
      </c>
      <c r="W518" s="163" t="e">
        <f t="shared" ca="1" si="82"/>
        <v>#N/A</v>
      </c>
      <c r="X518" s="163" t="e">
        <f t="shared" ca="1" si="83"/>
        <v>#N/A</v>
      </c>
      <c r="Y518" s="163" t="e">
        <f t="shared" ca="1" si="84"/>
        <v>#N/A</v>
      </c>
    </row>
    <row r="519" spans="12:25" ht="14.4">
      <c r="L519" s="464"/>
      <c r="M519" s="129" t="e">
        <f t="shared" si="85"/>
        <v>#N/A</v>
      </c>
      <c r="N519" s="161">
        <f t="shared" si="80"/>
        <v>13</v>
      </c>
      <c r="O519" s="160" t="e">
        <f t="shared" ca="1" si="86"/>
        <v>#N/A</v>
      </c>
      <c r="P519" s="160" t="e">
        <f t="shared" ca="1" si="87"/>
        <v>#N/A</v>
      </c>
      <c r="Q519" s="160" t="e">
        <f t="shared" ca="1" si="88"/>
        <v>#N/A</v>
      </c>
      <c r="R519" s="160" t="e">
        <f t="shared" ca="1" si="88"/>
        <v>#N/A</v>
      </c>
      <c r="S519" s="160" t="e">
        <f t="shared" ca="1" si="88"/>
        <v>#N/A</v>
      </c>
      <c r="T519" s="160" t="e">
        <f t="shared" ca="1" si="88"/>
        <v>#N/A</v>
      </c>
      <c r="U519" s="160" t="e">
        <f t="shared" ca="1" si="89"/>
        <v>#N/A</v>
      </c>
      <c r="V519" s="163" t="e">
        <f t="shared" ca="1" si="81"/>
        <v>#N/A</v>
      </c>
      <c r="W519" s="163" t="e">
        <f t="shared" ca="1" si="82"/>
        <v>#N/A</v>
      </c>
      <c r="X519" s="163" t="e">
        <f t="shared" ca="1" si="83"/>
        <v>#N/A</v>
      </c>
      <c r="Y519" s="163" t="e">
        <f t="shared" ca="1" si="84"/>
        <v>#N/A</v>
      </c>
    </row>
    <row r="520" spans="12:25" ht="14.4">
      <c r="L520" s="464"/>
      <c r="M520" s="129" t="e">
        <f t="shared" si="85"/>
        <v>#N/A</v>
      </c>
      <c r="N520" s="161">
        <f t="shared" si="80"/>
        <v>13</v>
      </c>
      <c r="O520" s="160" t="e">
        <f t="shared" ca="1" si="86"/>
        <v>#N/A</v>
      </c>
      <c r="P520" s="160" t="e">
        <f t="shared" ca="1" si="87"/>
        <v>#N/A</v>
      </c>
      <c r="Q520" s="160" t="e">
        <f t="shared" ca="1" si="88"/>
        <v>#N/A</v>
      </c>
      <c r="R520" s="160" t="e">
        <f t="shared" ca="1" si="88"/>
        <v>#N/A</v>
      </c>
      <c r="S520" s="160" t="e">
        <f t="shared" ca="1" si="88"/>
        <v>#N/A</v>
      </c>
      <c r="T520" s="160" t="e">
        <f t="shared" ca="1" si="88"/>
        <v>#N/A</v>
      </c>
      <c r="U520" s="160" t="e">
        <f t="shared" ca="1" si="89"/>
        <v>#N/A</v>
      </c>
      <c r="V520" s="163" t="e">
        <f t="shared" ca="1" si="81"/>
        <v>#N/A</v>
      </c>
      <c r="W520" s="163" t="e">
        <f t="shared" ca="1" si="82"/>
        <v>#N/A</v>
      </c>
      <c r="X520" s="163" t="e">
        <f t="shared" ca="1" si="83"/>
        <v>#N/A</v>
      </c>
      <c r="Y520" s="163" t="e">
        <f t="shared" ca="1" si="84"/>
        <v>#N/A</v>
      </c>
    </row>
    <row r="521" spans="12:25" ht="14.4">
      <c r="L521" s="464"/>
      <c r="M521" s="129" t="e">
        <f t="shared" si="85"/>
        <v>#N/A</v>
      </c>
      <c r="N521" s="161">
        <f t="shared" si="80"/>
        <v>13</v>
      </c>
      <c r="O521" s="160" t="e">
        <f t="shared" ca="1" si="86"/>
        <v>#N/A</v>
      </c>
      <c r="P521" s="160" t="e">
        <f t="shared" ca="1" si="87"/>
        <v>#N/A</v>
      </c>
      <c r="Q521" s="160" t="e">
        <f t="shared" ca="1" si="88"/>
        <v>#N/A</v>
      </c>
      <c r="R521" s="160" t="e">
        <f t="shared" ca="1" si="88"/>
        <v>#N/A</v>
      </c>
      <c r="S521" s="160" t="e">
        <f t="shared" ca="1" si="88"/>
        <v>#N/A</v>
      </c>
      <c r="T521" s="160" t="e">
        <f t="shared" ca="1" si="88"/>
        <v>#N/A</v>
      </c>
      <c r="U521" s="160" t="e">
        <f t="shared" ca="1" si="89"/>
        <v>#N/A</v>
      </c>
      <c r="V521" s="163" t="e">
        <f t="shared" ca="1" si="81"/>
        <v>#N/A</v>
      </c>
      <c r="W521" s="163" t="e">
        <f t="shared" ca="1" si="82"/>
        <v>#N/A</v>
      </c>
      <c r="X521" s="163" t="e">
        <f t="shared" ca="1" si="83"/>
        <v>#N/A</v>
      </c>
      <c r="Y521" s="163" t="e">
        <f t="shared" ca="1" si="84"/>
        <v>#N/A</v>
      </c>
    </row>
    <row r="522" spans="12:25" ht="14.4">
      <c r="L522" s="464"/>
      <c r="M522" s="129" t="e">
        <f t="shared" si="85"/>
        <v>#N/A</v>
      </c>
      <c r="N522" s="161">
        <f t="shared" si="80"/>
        <v>13</v>
      </c>
      <c r="O522" s="160" t="e">
        <f t="shared" ca="1" si="86"/>
        <v>#N/A</v>
      </c>
      <c r="P522" s="160" t="e">
        <f t="shared" ca="1" si="87"/>
        <v>#N/A</v>
      </c>
      <c r="Q522" s="160" t="e">
        <f t="shared" ca="1" si="88"/>
        <v>#N/A</v>
      </c>
      <c r="R522" s="160" t="e">
        <f t="shared" ca="1" si="88"/>
        <v>#N/A</v>
      </c>
      <c r="S522" s="160" t="e">
        <f t="shared" ca="1" si="88"/>
        <v>#N/A</v>
      </c>
      <c r="T522" s="160" t="e">
        <f t="shared" ca="1" si="88"/>
        <v>#N/A</v>
      </c>
      <c r="U522" s="160" t="e">
        <f t="shared" ca="1" si="89"/>
        <v>#N/A</v>
      </c>
      <c r="V522" s="163" t="e">
        <f t="shared" ca="1" si="81"/>
        <v>#N/A</v>
      </c>
      <c r="W522" s="163" t="e">
        <f t="shared" ca="1" si="82"/>
        <v>#N/A</v>
      </c>
      <c r="X522" s="163" t="e">
        <f t="shared" ca="1" si="83"/>
        <v>#N/A</v>
      </c>
      <c r="Y522" s="163" t="e">
        <f t="shared" ca="1" si="84"/>
        <v>#N/A</v>
      </c>
    </row>
    <row r="523" spans="12:25" ht="14.4">
      <c r="L523" s="464"/>
      <c r="M523" s="129" t="e">
        <f t="shared" si="85"/>
        <v>#N/A</v>
      </c>
      <c r="N523" s="161">
        <f t="shared" si="80"/>
        <v>13</v>
      </c>
      <c r="O523" s="160" t="e">
        <f t="shared" ca="1" si="86"/>
        <v>#N/A</v>
      </c>
      <c r="P523" s="160" t="e">
        <f t="shared" ca="1" si="87"/>
        <v>#N/A</v>
      </c>
      <c r="Q523" s="160" t="e">
        <f t="shared" ca="1" si="88"/>
        <v>#N/A</v>
      </c>
      <c r="R523" s="160" t="e">
        <f t="shared" ca="1" si="88"/>
        <v>#N/A</v>
      </c>
      <c r="S523" s="160" t="e">
        <f t="shared" ca="1" si="88"/>
        <v>#N/A</v>
      </c>
      <c r="T523" s="160" t="e">
        <f t="shared" ca="1" si="88"/>
        <v>#N/A</v>
      </c>
      <c r="U523" s="160" t="e">
        <f t="shared" ca="1" si="89"/>
        <v>#N/A</v>
      </c>
      <c r="V523" s="163" t="e">
        <f t="shared" ca="1" si="81"/>
        <v>#N/A</v>
      </c>
      <c r="W523" s="163" t="e">
        <f t="shared" ca="1" si="82"/>
        <v>#N/A</v>
      </c>
      <c r="X523" s="163" t="e">
        <f t="shared" ca="1" si="83"/>
        <v>#N/A</v>
      </c>
      <c r="Y523" s="163" t="e">
        <f t="shared" ca="1" si="84"/>
        <v>#N/A</v>
      </c>
    </row>
    <row r="524" spans="12:25" ht="14.4">
      <c r="L524" s="464"/>
      <c r="M524" s="129" t="e">
        <f t="shared" si="85"/>
        <v>#N/A</v>
      </c>
      <c r="N524" s="161">
        <f t="shared" si="80"/>
        <v>13</v>
      </c>
      <c r="O524" s="160" t="e">
        <f t="shared" ca="1" si="86"/>
        <v>#N/A</v>
      </c>
      <c r="P524" s="160" t="e">
        <f t="shared" ca="1" si="87"/>
        <v>#N/A</v>
      </c>
      <c r="Q524" s="160" t="e">
        <f t="shared" ca="1" si="88"/>
        <v>#N/A</v>
      </c>
      <c r="R524" s="160" t="e">
        <f t="shared" ca="1" si="88"/>
        <v>#N/A</v>
      </c>
      <c r="S524" s="160" t="e">
        <f t="shared" ca="1" si="88"/>
        <v>#N/A</v>
      </c>
      <c r="T524" s="160" t="e">
        <f t="shared" ca="1" si="88"/>
        <v>#N/A</v>
      </c>
      <c r="U524" s="160" t="e">
        <f t="shared" ca="1" si="89"/>
        <v>#N/A</v>
      </c>
      <c r="V524" s="163" t="e">
        <f t="shared" ca="1" si="81"/>
        <v>#N/A</v>
      </c>
      <c r="W524" s="163" t="e">
        <f t="shared" ca="1" si="82"/>
        <v>#N/A</v>
      </c>
      <c r="X524" s="163" t="e">
        <f t="shared" ca="1" si="83"/>
        <v>#N/A</v>
      </c>
      <c r="Y524" s="163" t="e">
        <f t="shared" ca="1" si="84"/>
        <v>#N/A</v>
      </c>
    </row>
    <row r="525" spans="12:25" ht="14.4">
      <c r="L525" s="464"/>
      <c r="M525" s="129" t="e">
        <f t="shared" si="85"/>
        <v>#N/A</v>
      </c>
      <c r="N525" s="161">
        <f t="shared" si="80"/>
        <v>13</v>
      </c>
      <c r="O525" s="160" t="e">
        <f t="shared" ca="1" si="86"/>
        <v>#N/A</v>
      </c>
      <c r="P525" s="160" t="e">
        <f t="shared" ca="1" si="87"/>
        <v>#N/A</v>
      </c>
      <c r="Q525" s="160" t="e">
        <f t="shared" ca="1" si="88"/>
        <v>#N/A</v>
      </c>
      <c r="R525" s="160" t="e">
        <f t="shared" ca="1" si="88"/>
        <v>#N/A</v>
      </c>
      <c r="S525" s="160" t="e">
        <f t="shared" ca="1" si="88"/>
        <v>#N/A</v>
      </c>
      <c r="T525" s="160" t="e">
        <f t="shared" ca="1" si="88"/>
        <v>#N/A</v>
      </c>
      <c r="U525" s="160" t="e">
        <f t="shared" ca="1" si="89"/>
        <v>#N/A</v>
      </c>
      <c r="V525" s="163" t="e">
        <f t="shared" ca="1" si="81"/>
        <v>#N/A</v>
      </c>
      <c r="W525" s="163" t="e">
        <f t="shared" ca="1" si="82"/>
        <v>#N/A</v>
      </c>
      <c r="X525" s="163" t="e">
        <f t="shared" ca="1" si="83"/>
        <v>#N/A</v>
      </c>
      <c r="Y525" s="163" t="e">
        <f t="shared" ca="1" si="84"/>
        <v>#N/A</v>
      </c>
    </row>
    <row r="526" spans="12:25" ht="14.4">
      <c r="L526" s="464"/>
      <c r="M526" s="129" t="e">
        <f t="shared" si="85"/>
        <v>#N/A</v>
      </c>
      <c r="N526" s="161">
        <f t="shared" si="80"/>
        <v>13</v>
      </c>
      <c r="O526" s="160" t="e">
        <f t="shared" ca="1" si="86"/>
        <v>#N/A</v>
      </c>
      <c r="P526" s="160" t="e">
        <f t="shared" ca="1" si="87"/>
        <v>#N/A</v>
      </c>
      <c r="Q526" s="160" t="e">
        <f t="shared" ca="1" si="88"/>
        <v>#N/A</v>
      </c>
      <c r="R526" s="160" t="e">
        <f t="shared" ca="1" si="88"/>
        <v>#N/A</v>
      </c>
      <c r="S526" s="160" t="e">
        <f t="shared" ca="1" si="88"/>
        <v>#N/A</v>
      </c>
      <c r="T526" s="160" t="e">
        <f t="shared" ca="1" si="88"/>
        <v>#N/A</v>
      </c>
      <c r="U526" s="160" t="e">
        <f t="shared" ca="1" si="89"/>
        <v>#N/A</v>
      </c>
      <c r="V526" s="163" t="e">
        <f t="shared" ca="1" si="81"/>
        <v>#N/A</v>
      </c>
      <c r="W526" s="163" t="e">
        <f t="shared" ca="1" si="82"/>
        <v>#N/A</v>
      </c>
      <c r="X526" s="163" t="e">
        <f t="shared" ca="1" si="83"/>
        <v>#N/A</v>
      </c>
      <c r="Y526" s="163" t="e">
        <f t="shared" ca="1" si="84"/>
        <v>#N/A</v>
      </c>
    </row>
    <row r="527" spans="12:25" ht="14.4">
      <c r="L527" s="464"/>
      <c r="M527" s="129" t="e">
        <f t="shared" si="85"/>
        <v>#N/A</v>
      </c>
      <c r="N527" s="161">
        <f t="shared" si="80"/>
        <v>13</v>
      </c>
      <c r="O527" s="160" t="e">
        <f t="shared" ca="1" si="86"/>
        <v>#N/A</v>
      </c>
      <c r="P527" s="160" t="e">
        <f t="shared" ca="1" si="87"/>
        <v>#N/A</v>
      </c>
      <c r="Q527" s="160" t="e">
        <f t="shared" ca="1" si="88"/>
        <v>#N/A</v>
      </c>
      <c r="R527" s="160" t="e">
        <f t="shared" ca="1" si="88"/>
        <v>#N/A</v>
      </c>
      <c r="S527" s="160" t="e">
        <f t="shared" ca="1" si="88"/>
        <v>#N/A</v>
      </c>
      <c r="T527" s="160" t="e">
        <f t="shared" ca="1" si="88"/>
        <v>#N/A</v>
      </c>
      <c r="U527" s="160" t="e">
        <f t="shared" ca="1" si="89"/>
        <v>#N/A</v>
      </c>
      <c r="V527" s="163" t="e">
        <f t="shared" ca="1" si="81"/>
        <v>#N/A</v>
      </c>
      <c r="W527" s="163" t="e">
        <f t="shared" ca="1" si="82"/>
        <v>#N/A</v>
      </c>
      <c r="X527" s="163" t="e">
        <f t="shared" ca="1" si="83"/>
        <v>#N/A</v>
      </c>
      <c r="Y527" s="163" t="e">
        <f t="shared" ca="1" si="84"/>
        <v>#N/A</v>
      </c>
    </row>
    <row r="528" spans="12:25" ht="14.4">
      <c r="L528" s="464"/>
      <c r="M528" s="129" t="e">
        <f t="shared" si="85"/>
        <v>#N/A</v>
      </c>
      <c r="N528" s="161">
        <f t="shared" si="80"/>
        <v>13</v>
      </c>
      <c r="O528" s="160" t="e">
        <f t="shared" ca="1" si="86"/>
        <v>#N/A</v>
      </c>
      <c r="P528" s="160" t="e">
        <f t="shared" ca="1" si="87"/>
        <v>#N/A</v>
      </c>
      <c r="Q528" s="160" t="e">
        <f t="shared" ca="1" si="88"/>
        <v>#N/A</v>
      </c>
      <c r="R528" s="160" t="e">
        <f t="shared" ca="1" si="88"/>
        <v>#N/A</v>
      </c>
      <c r="S528" s="160" t="e">
        <f t="shared" ca="1" si="88"/>
        <v>#N/A</v>
      </c>
      <c r="T528" s="160" t="e">
        <f t="shared" ca="1" si="88"/>
        <v>#N/A</v>
      </c>
      <c r="U528" s="160" t="e">
        <f t="shared" ca="1" si="89"/>
        <v>#N/A</v>
      </c>
      <c r="V528" s="163" t="e">
        <f t="shared" ca="1" si="81"/>
        <v>#N/A</v>
      </c>
      <c r="W528" s="163" t="e">
        <f t="shared" ca="1" si="82"/>
        <v>#N/A</v>
      </c>
      <c r="X528" s="163" t="e">
        <f t="shared" ca="1" si="83"/>
        <v>#N/A</v>
      </c>
      <c r="Y528" s="163" t="e">
        <f t="shared" ca="1" si="84"/>
        <v>#N/A</v>
      </c>
    </row>
    <row r="529" spans="12:25" ht="14.4">
      <c r="L529" s="464"/>
      <c r="M529" s="129" t="e">
        <f t="shared" si="85"/>
        <v>#N/A</v>
      </c>
      <c r="N529" s="161">
        <f t="shared" si="80"/>
        <v>13</v>
      </c>
      <c r="O529" s="160" t="e">
        <f t="shared" ca="1" si="86"/>
        <v>#N/A</v>
      </c>
      <c r="P529" s="160" t="e">
        <f t="shared" ca="1" si="87"/>
        <v>#N/A</v>
      </c>
      <c r="Q529" s="160" t="e">
        <f t="shared" ca="1" si="88"/>
        <v>#N/A</v>
      </c>
      <c r="R529" s="160" t="e">
        <f t="shared" ca="1" si="88"/>
        <v>#N/A</v>
      </c>
      <c r="S529" s="160" t="e">
        <f t="shared" ca="1" si="88"/>
        <v>#N/A</v>
      </c>
      <c r="T529" s="160" t="e">
        <f t="shared" ca="1" si="88"/>
        <v>#N/A</v>
      </c>
      <c r="U529" s="160" t="e">
        <f t="shared" ca="1" si="89"/>
        <v>#N/A</v>
      </c>
      <c r="V529" s="163" t="e">
        <f t="shared" ca="1" si="81"/>
        <v>#N/A</v>
      </c>
      <c r="W529" s="163" t="e">
        <f t="shared" ca="1" si="82"/>
        <v>#N/A</v>
      </c>
      <c r="X529" s="163" t="e">
        <f t="shared" ca="1" si="83"/>
        <v>#N/A</v>
      </c>
      <c r="Y529" s="163" t="e">
        <f t="shared" ca="1" si="84"/>
        <v>#N/A</v>
      </c>
    </row>
    <row r="530" spans="12:25" ht="14.4">
      <c r="L530" s="464"/>
      <c r="M530" s="129" t="e">
        <f t="shared" si="85"/>
        <v>#N/A</v>
      </c>
      <c r="N530" s="161">
        <f t="shared" ref="N530:N583" si="90">N529</f>
        <v>13</v>
      </c>
      <c r="O530" s="160" t="e">
        <f t="shared" ca="1" si="86"/>
        <v>#N/A</v>
      </c>
      <c r="P530" s="160" t="e">
        <f t="shared" ca="1" si="87"/>
        <v>#N/A</v>
      </c>
      <c r="Q530" s="160" t="e">
        <f t="shared" ca="1" si="88"/>
        <v>#N/A</v>
      </c>
      <c r="R530" s="160" t="e">
        <f t="shared" ca="1" si="88"/>
        <v>#N/A</v>
      </c>
      <c r="S530" s="160" t="e">
        <f t="shared" ca="1" si="88"/>
        <v>#N/A</v>
      </c>
      <c r="T530" s="160" t="e">
        <f t="shared" ca="1" si="88"/>
        <v>#N/A</v>
      </c>
      <c r="U530" s="160" t="e">
        <f t="shared" ca="1" si="89"/>
        <v>#N/A</v>
      </c>
      <c r="V530" s="163" t="e">
        <f t="shared" ca="1" si="81"/>
        <v>#N/A</v>
      </c>
      <c r="W530" s="163" t="e">
        <f t="shared" ca="1" si="82"/>
        <v>#N/A</v>
      </c>
      <c r="X530" s="163" t="e">
        <f t="shared" ca="1" si="83"/>
        <v>#N/A</v>
      </c>
      <c r="Y530" s="163" t="e">
        <f t="shared" ca="1" si="84"/>
        <v>#N/A</v>
      </c>
    </row>
    <row r="531" spans="12:25" ht="14.4">
      <c r="L531" s="464"/>
      <c r="M531" s="129" t="e">
        <f t="shared" si="85"/>
        <v>#N/A</v>
      </c>
      <c r="N531" s="161">
        <f t="shared" si="90"/>
        <v>13</v>
      </c>
      <c r="O531" s="160" t="e">
        <f t="shared" ca="1" si="86"/>
        <v>#N/A</v>
      </c>
      <c r="P531" s="160" t="e">
        <f t="shared" ca="1" si="87"/>
        <v>#N/A</v>
      </c>
      <c r="Q531" s="160" t="e">
        <f t="shared" ca="1" si="88"/>
        <v>#N/A</v>
      </c>
      <c r="R531" s="160" t="e">
        <f t="shared" ca="1" si="88"/>
        <v>#N/A</v>
      </c>
      <c r="S531" s="160" t="e">
        <f t="shared" ca="1" si="88"/>
        <v>#N/A</v>
      </c>
      <c r="T531" s="160" t="e">
        <f t="shared" ca="1" si="88"/>
        <v>#N/A</v>
      </c>
      <c r="U531" s="160" t="e">
        <f t="shared" ca="1" si="89"/>
        <v>#N/A</v>
      </c>
      <c r="V531" s="163" t="e">
        <f t="shared" ca="1" si="81"/>
        <v>#N/A</v>
      </c>
      <c r="W531" s="163" t="e">
        <f t="shared" ca="1" si="82"/>
        <v>#N/A</v>
      </c>
      <c r="X531" s="163" t="e">
        <f t="shared" ca="1" si="83"/>
        <v>#N/A</v>
      </c>
      <c r="Y531" s="163" t="e">
        <f t="shared" ca="1" si="84"/>
        <v>#N/A</v>
      </c>
    </row>
    <row r="532" spans="12:25" ht="14.4">
      <c r="L532" s="464"/>
      <c r="M532" s="129" t="e">
        <f t="shared" si="85"/>
        <v>#N/A</v>
      </c>
      <c r="N532" s="161">
        <f t="shared" si="90"/>
        <v>13</v>
      </c>
      <c r="O532" s="160" t="e">
        <f t="shared" ca="1" si="86"/>
        <v>#N/A</v>
      </c>
      <c r="P532" s="160" t="e">
        <f t="shared" ca="1" si="87"/>
        <v>#N/A</v>
      </c>
      <c r="Q532" s="160" t="e">
        <f t="shared" ca="1" si="88"/>
        <v>#N/A</v>
      </c>
      <c r="R532" s="160" t="e">
        <f t="shared" ca="1" si="88"/>
        <v>#N/A</v>
      </c>
      <c r="S532" s="160" t="e">
        <f t="shared" ca="1" si="88"/>
        <v>#N/A</v>
      </c>
      <c r="T532" s="160" t="e">
        <f t="shared" ca="1" si="88"/>
        <v>#N/A</v>
      </c>
      <c r="U532" s="160" t="e">
        <f t="shared" ca="1" si="89"/>
        <v>#N/A</v>
      </c>
      <c r="V532" s="163" t="e">
        <f t="shared" ca="1" si="81"/>
        <v>#N/A</v>
      </c>
      <c r="W532" s="163" t="e">
        <f t="shared" ca="1" si="82"/>
        <v>#N/A</v>
      </c>
      <c r="X532" s="163" t="e">
        <f t="shared" ca="1" si="83"/>
        <v>#N/A</v>
      </c>
      <c r="Y532" s="163" t="e">
        <f t="shared" ca="1" si="84"/>
        <v>#N/A</v>
      </c>
    </row>
    <row r="533" spans="12:25" ht="14.4">
      <c r="L533" s="464"/>
      <c r="M533" s="129" t="e">
        <f t="shared" si="85"/>
        <v>#N/A</v>
      </c>
      <c r="N533" s="161">
        <f t="shared" si="90"/>
        <v>13</v>
      </c>
      <c r="O533" s="160" t="e">
        <f t="shared" ca="1" si="86"/>
        <v>#N/A</v>
      </c>
      <c r="P533" s="160" t="e">
        <f t="shared" ca="1" si="87"/>
        <v>#N/A</v>
      </c>
      <c r="Q533" s="160" t="e">
        <f t="shared" ca="1" si="88"/>
        <v>#N/A</v>
      </c>
      <c r="R533" s="160" t="e">
        <f t="shared" ca="1" si="88"/>
        <v>#N/A</v>
      </c>
      <c r="S533" s="160" t="e">
        <f t="shared" ca="1" si="88"/>
        <v>#N/A</v>
      </c>
      <c r="T533" s="160" t="e">
        <f t="shared" ca="1" si="88"/>
        <v>#N/A</v>
      </c>
      <c r="U533" s="160" t="e">
        <f t="shared" ca="1" si="89"/>
        <v>#N/A</v>
      </c>
      <c r="V533" s="163" t="e">
        <f t="shared" ca="1" si="81"/>
        <v>#N/A</v>
      </c>
      <c r="W533" s="163" t="e">
        <f t="shared" ca="1" si="82"/>
        <v>#N/A</v>
      </c>
      <c r="X533" s="163" t="e">
        <f t="shared" ca="1" si="83"/>
        <v>#N/A</v>
      </c>
      <c r="Y533" s="163" t="e">
        <f t="shared" ca="1" si="84"/>
        <v>#N/A</v>
      </c>
    </row>
    <row r="534" spans="12:25" ht="14.4">
      <c r="L534" s="464"/>
      <c r="M534" s="129" t="e">
        <f t="shared" si="85"/>
        <v>#N/A</v>
      </c>
      <c r="N534" s="161">
        <f t="shared" si="90"/>
        <v>13</v>
      </c>
      <c r="O534" s="160" t="e">
        <f t="shared" ca="1" si="86"/>
        <v>#N/A</v>
      </c>
      <c r="P534" s="160" t="e">
        <f t="shared" ca="1" si="87"/>
        <v>#N/A</v>
      </c>
      <c r="Q534" s="160" t="e">
        <f t="shared" ca="1" si="88"/>
        <v>#N/A</v>
      </c>
      <c r="R534" s="160" t="e">
        <f t="shared" ca="1" si="88"/>
        <v>#N/A</v>
      </c>
      <c r="S534" s="160" t="e">
        <f t="shared" ca="1" si="88"/>
        <v>#N/A</v>
      </c>
      <c r="T534" s="160" t="e">
        <f t="shared" ca="1" si="88"/>
        <v>#N/A</v>
      </c>
      <c r="U534" s="160" t="e">
        <f t="shared" ca="1" si="89"/>
        <v>#N/A</v>
      </c>
      <c r="V534" s="163" t="e">
        <f t="shared" ca="1" si="81"/>
        <v>#N/A</v>
      </c>
      <c r="W534" s="163" t="e">
        <f t="shared" ca="1" si="82"/>
        <v>#N/A</v>
      </c>
      <c r="X534" s="163" t="e">
        <f t="shared" ca="1" si="83"/>
        <v>#N/A</v>
      </c>
      <c r="Y534" s="163" t="e">
        <f t="shared" ca="1" si="84"/>
        <v>#N/A</v>
      </c>
    </row>
    <row r="535" spans="12:25" ht="14.4">
      <c r="L535" s="464"/>
      <c r="M535" s="129" t="e">
        <f t="shared" si="85"/>
        <v>#N/A</v>
      </c>
      <c r="N535" s="161">
        <f t="shared" si="90"/>
        <v>13</v>
      </c>
      <c r="O535" s="160" t="e">
        <f t="shared" ca="1" si="86"/>
        <v>#N/A</v>
      </c>
      <c r="P535" s="160" t="e">
        <f t="shared" ca="1" si="87"/>
        <v>#N/A</v>
      </c>
      <c r="Q535" s="160" t="e">
        <f t="shared" ca="1" si="88"/>
        <v>#N/A</v>
      </c>
      <c r="R535" s="160" t="e">
        <f t="shared" ca="1" si="88"/>
        <v>#N/A</v>
      </c>
      <c r="S535" s="160" t="e">
        <f t="shared" ca="1" si="88"/>
        <v>#N/A</v>
      </c>
      <c r="T535" s="160" t="e">
        <f t="shared" ca="1" si="88"/>
        <v>#N/A</v>
      </c>
      <c r="U535" s="160" t="e">
        <f t="shared" ca="1" si="89"/>
        <v>#N/A</v>
      </c>
      <c r="V535" s="163" t="e">
        <f t="shared" ca="1" si="81"/>
        <v>#N/A</v>
      </c>
      <c r="W535" s="163" t="e">
        <f t="shared" ca="1" si="82"/>
        <v>#N/A</v>
      </c>
      <c r="X535" s="163" t="e">
        <f t="shared" ca="1" si="83"/>
        <v>#N/A</v>
      </c>
      <c r="Y535" s="163" t="e">
        <f t="shared" ca="1" si="84"/>
        <v>#N/A</v>
      </c>
    </row>
    <row r="536" spans="12:25" ht="14.4">
      <c r="L536" s="464"/>
      <c r="M536" s="129" t="e">
        <f t="shared" si="85"/>
        <v>#N/A</v>
      </c>
      <c r="N536" s="161">
        <f t="shared" si="90"/>
        <v>13</v>
      </c>
      <c r="O536" s="160" t="e">
        <f t="shared" ca="1" si="86"/>
        <v>#N/A</v>
      </c>
      <c r="P536" s="160" t="e">
        <f t="shared" ca="1" si="87"/>
        <v>#N/A</v>
      </c>
      <c r="Q536" s="160" t="e">
        <f t="shared" ca="1" si="88"/>
        <v>#N/A</v>
      </c>
      <c r="R536" s="160" t="e">
        <f t="shared" ca="1" si="88"/>
        <v>#N/A</v>
      </c>
      <c r="S536" s="160" t="e">
        <f t="shared" ca="1" si="88"/>
        <v>#N/A</v>
      </c>
      <c r="T536" s="160" t="e">
        <f t="shared" ca="1" si="88"/>
        <v>#N/A</v>
      </c>
      <c r="U536" s="160" t="e">
        <f t="shared" ca="1" si="89"/>
        <v>#N/A</v>
      </c>
      <c r="V536" s="163" t="e">
        <f t="shared" ca="1" si="81"/>
        <v>#N/A</v>
      </c>
      <c r="W536" s="163" t="e">
        <f t="shared" ca="1" si="82"/>
        <v>#N/A</v>
      </c>
      <c r="X536" s="163" t="e">
        <f t="shared" ca="1" si="83"/>
        <v>#N/A</v>
      </c>
      <c r="Y536" s="163" t="e">
        <f t="shared" ca="1" si="84"/>
        <v>#N/A</v>
      </c>
    </row>
    <row r="537" spans="12:25" ht="14.4">
      <c r="L537" s="464"/>
      <c r="M537" s="129" t="e">
        <f t="shared" si="85"/>
        <v>#N/A</v>
      </c>
      <c r="N537" s="161">
        <f t="shared" si="90"/>
        <v>13</v>
      </c>
      <c r="O537" s="160" t="e">
        <f t="shared" ca="1" si="86"/>
        <v>#N/A</v>
      </c>
      <c r="P537" s="160" t="e">
        <f t="shared" ca="1" si="87"/>
        <v>#N/A</v>
      </c>
      <c r="Q537" s="160" t="e">
        <f t="shared" ca="1" si="88"/>
        <v>#N/A</v>
      </c>
      <c r="R537" s="160" t="e">
        <f t="shared" ca="1" si="88"/>
        <v>#N/A</v>
      </c>
      <c r="S537" s="160" t="e">
        <f t="shared" ca="1" si="88"/>
        <v>#N/A</v>
      </c>
      <c r="T537" s="160" t="e">
        <f t="shared" ca="1" si="88"/>
        <v>#N/A</v>
      </c>
      <c r="U537" s="160" t="e">
        <f t="shared" ca="1" si="89"/>
        <v>#N/A</v>
      </c>
      <c r="V537" s="163" t="e">
        <f t="shared" ca="1" si="81"/>
        <v>#N/A</v>
      </c>
      <c r="W537" s="163" t="e">
        <f t="shared" ca="1" si="82"/>
        <v>#N/A</v>
      </c>
      <c r="X537" s="163" t="e">
        <f t="shared" ca="1" si="83"/>
        <v>#N/A</v>
      </c>
      <c r="Y537" s="163" t="e">
        <f t="shared" ca="1" si="84"/>
        <v>#N/A</v>
      </c>
    </row>
    <row r="538" spans="12:25" ht="14.4">
      <c r="L538" s="464"/>
      <c r="M538" s="129" t="e">
        <f t="shared" si="85"/>
        <v>#N/A</v>
      </c>
      <c r="N538" s="161">
        <f t="shared" si="90"/>
        <v>13</v>
      </c>
      <c r="O538" s="160" t="e">
        <f t="shared" ca="1" si="86"/>
        <v>#N/A</v>
      </c>
      <c r="P538" s="160" t="e">
        <f t="shared" ca="1" si="87"/>
        <v>#N/A</v>
      </c>
      <c r="Q538" s="160" t="e">
        <f t="shared" ca="1" si="88"/>
        <v>#N/A</v>
      </c>
      <c r="R538" s="160" t="e">
        <f t="shared" ca="1" si="88"/>
        <v>#N/A</v>
      </c>
      <c r="S538" s="160" t="e">
        <f t="shared" ca="1" si="88"/>
        <v>#N/A</v>
      </c>
      <c r="T538" s="160" t="e">
        <f t="shared" ca="1" si="88"/>
        <v>#N/A</v>
      </c>
      <c r="U538" s="160" t="e">
        <f t="shared" ca="1" si="89"/>
        <v>#N/A</v>
      </c>
      <c r="V538" s="163" t="e">
        <f t="shared" ca="1" si="81"/>
        <v>#N/A</v>
      </c>
      <c r="W538" s="163" t="e">
        <f t="shared" ca="1" si="82"/>
        <v>#N/A</v>
      </c>
      <c r="X538" s="163" t="e">
        <f t="shared" ca="1" si="83"/>
        <v>#N/A</v>
      </c>
      <c r="Y538" s="163" t="e">
        <f t="shared" ca="1" si="84"/>
        <v>#N/A</v>
      </c>
    </row>
    <row r="539" spans="12:25" ht="14.4">
      <c r="L539" s="464"/>
      <c r="M539" s="129" t="e">
        <f t="shared" si="85"/>
        <v>#N/A</v>
      </c>
      <c r="N539" s="161">
        <f t="shared" si="90"/>
        <v>13</v>
      </c>
      <c r="O539" s="160" t="e">
        <f t="shared" ca="1" si="86"/>
        <v>#N/A</v>
      </c>
      <c r="P539" s="160" t="e">
        <f t="shared" ca="1" si="87"/>
        <v>#N/A</v>
      </c>
      <c r="Q539" s="160" t="e">
        <f t="shared" ca="1" si="88"/>
        <v>#N/A</v>
      </c>
      <c r="R539" s="160" t="e">
        <f t="shared" ca="1" si="88"/>
        <v>#N/A</v>
      </c>
      <c r="S539" s="160" t="e">
        <f t="shared" ca="1" si="88"/>
        <v>#N/A</v>
      </c>
      <c r="T539" s="160" t="e">
        <f t="shared" ca="1" si="88"/>
        <v>#N/A</v>
      </c>
      <c r="U539" s="160" t="e">
        <f t="shared" ca="1" si="89"/>
        <v>#N/A</v>
      </c>
      <c r="V539" s="163" t="e">
        <f t="shared" ca="1" si="81"/>
        <v>#N/A</v>
      </c>
      <c r="W539" s="163" t="e">
        <f t="shared" ca="1" si="82"/>
        <v>#N/A</v>
      </c>
      <c r="X539" s="163" t="e">
        <f t="shared" ca="1" si="83"/>
        <v>#N/A</v>
      </c>
      <c r="Y539" s="163" t="e">
        <f t="shared" ca="1" si="84"/>
        <v>#N/A</v>
      </c>
    </row>
    <row r="540" spans="12:25" ht="14.4">
      <c r="L540" s="464"/>
      <c r="M540" s="129" t="e">
        <f t="shared" si="85"/>
        <v>#N/A</v>
      </c>
      <c r="N540" s="161">
        <f t="shared" si="90"/>
        <v>13</v>
      </c>
      <c r="O540" s="160" t="e">
        <f t="shared" ca="1" si="86"/>
        <v>#N/A</v>
      </c>
      <c r="P540" s="160" t="e">
        <f t="shared" ca="1" si="87"/>
        <v>#N/A</v>
      </c>
      <c r="Q540" s="160" t="e">
        <f t="shared" ca="1" si="88"/>
        <v>#N/A</v>
      </c>
      <c r="R540" s="160" t="e">
        <f t="shared" ca="1" si="88"/>
        <v>#N/A</v>
      </c>
      <c r="S540" s="160" t="e">
        <f t="shared" ca="1" si="88"/>
        <v>#N/A</v>
      </c>
      <c r="T540" s="160" t="e">
        <f t="shared" ca="1" si="88"/>
        <v>#N/A</v>
      </c>
      <c r="U540" s="160" t="e">
        <f t="shared" ca="1" si="89"/>
        <v>#N/A</v>
      </c>
      <c r="V540" s="163" t="e">
        <f t="shared" ca="1" si="81"/>
        <v>#N/A</v>
      </c>
      <c r="W540" s="163" t="e">
        <f t="shared" ca="1" si="82"/>
        <v>#N/A</v>
      </c>
      <c r="X540" s="163" t="e">
        <f t="shared" ca="1" si="83"/>
        <v>#N/A</v>
      </c>
      <c r="Y540" s="163" t="e">
        <f t="shared" ca="1" si="84"/>
        <v>#N/A</v>
      </c>
    </row>
    <row r="541" spans="12:25" ht="14.4">
      <c r="L541" s="464"/>
      <c r="M541" s="129" t="e">
        <f t="shared" si="85"/>
        <v>#N/A</v>
      </c>
      <c r="N541" s="161">
        <f t="shared" si="90"/>
        <v>13</v>
      </c>
      <c r="O541" s="160" t="e">
        <f t="shared" ca="1" si="86"/>
        <v>#N/A</v>
      </c>
      <c r="P541" s="160" t="e">
        <f t="shared" ca="1" si="87"/>
        <v>#N/A</v>
      </c>
      <c r="Q541" s="160" t="e">
        <f t="shared" ca="1" si="88"/>
        <v>#N/A</v>
      </c>
      <c r="R541" s="160" t="e">
        <f t="shared" ca="1" si="88"/>
        <v>#N/A</v>
      </c>
      <c r="S541" s="160" t="e">
        <f t="shared" ca="1" si="88"/>
        <v>#N/A</v>
      </c>
      <c r="T541" s="160" t="e">
        <f t="shared" ca="1" si="88"/>
        <v>#N/A</v>
      </c>
      <c r="U541" s="160" t="e">
        <f t="shared" ca="1" si="89"/>
        <v>#N/A</v>
      </c>
      <c r="V541" s="163" t="e">
        <f t="shared" ca="1" si="81"/>
        <v>#N/A</v>
      </c>
      <c r="W541" s="163" t="e">
        <f t="shared" ca="1" si="82"/>
        <v>#N/A</v>
      </c>
      <c r="X541" s="163" t="e">
        <f t="shared" ca="1" si="83"/>
        <v>#N/A</v>
      </c>
      <c r="Y541" s="163" t="e">
        <f t="shared" ca="1" si="84"/>
        <v>#N/A</v>
      </c>
    </row>
    <row r="542" spans="12:25" ht="14.4">
      <c r="L542" s="464"/>
      <c r="M542" s="129" t="e">
        <f t="shared" si="85"/>
        <v>#N/A</v>
      </c>
      <c r="N542" s="161">
        <f t="shared" si="90"/>
        <v>13</v>
      </c>
      <c r="O542" s="160" t="e">
        <f t="shared" ca="1" si="86"/>
        <v>#N/A</v>
      </c>
      <c r="P542" s="160" t="e">
        <f t="shared" ca="1" si="87"/>
        <v>#N/A</v>
      </c>
      <c r="Q542" s="160" t="e">
        <f t="shared" ca="1" si="88"/>
        <v>#N/A</v>
      </c>
      <c r="R542" s="160" t="e">
        <f t="shared" ca="1" si="88"/>
        <v>#N/A</v>
      </c>
      <c r="S542" s="160" t="e">
        <f t="shared" ca="1" si="88"/>
        <v>#N/A</v>
      </c>
      <c r="T542" s="160" t="e">
        <f t="shared" ca="1" si="88"/>
        <v>#N/A</v>
      </c>
      <c r="U542" s="160" t="e">
        <f t="shared" ca="1" si="89"/>
        <v>#N/A</v>
      </c>
      <c r="V542" s="163" t="e">
        <f t="shared" ca="1" si="81"/>
        <v>#N/A</v>
      </c>
      <c r="W542" s="163" t="e">
        <f t="shared" ca="1" si="82"/>
        <v>#N/A</v>
      </c>
      <c r="X542" s="163" t="e">
        <f t="shared" ca="1" si="83"/>
        <v>#N/A</v>
      </c>
      <c r="Y542" s="163" t="e">
        <f t="shared" ca="1" si="84"/>
        <v>#N/A</v>
      </c>
    </row>
    <row r="543" spans="12:25" ht="14.4">
      <c r="L543" s="464"/>
      <c r="M543" s="129" t="e">
        <f t="shared" si="85"/>
        <v>#N/A</v>
      </c>
      <c r="N543" s="161">
        <f t="shared" si="90"/>
        <v>13</v>
      </c>
      <c r="O543" s="160" t="e">
        <f t="shared" ca="1" si="86"/>
        <v>#N/A</v>
      </c>
      <c r="P543" s="160" t="e">
        <f t="shared" ca="1" si="87"/>
        <v>#N/A</v>
      </c>
      <c r="Q543" s="160" t="e">
        <f t="shared" ca="1" si="88"/>
        <v>#N/A</v>
      </c>
      <c r="R543" s="160" t="e">
        <f t="shared" ca="1" si="88"/>
        <v>#N/A</v>
      </c>
      <c r="S543" s="160" t="e">
        <f t="shared" ca="1" si="88"/>
        <v>#N/A</v>
      </c>
      <c r="T543" s="160" t="e">
        <f t="shared" ca="1" si="88"/>
        <v>#N/A</v>
      </c>
      <c r="U543" s="160" t="e">
        <f t="shared" ca="1" si="89"/>
        <v>#N/A</v>
      </c>
      <c r="V543" s="163" t="e">
        <f t="shared" ref="V543:V583" ca="1" si="91">IF(Q543=0,0,IF(S543=180,IF(R543=0,"Slab on Grade",IF(R543=1,"Exposed Floor",IF(R543=3,"Internal Floor",U543))),IF(S543&lt;45,IF(R543=3,"Internal Ceiling",IF(R543=1,"Roof",U543)))))</f>
        <v>#N/A</v>
      </c>
      <c r="W543" s="163" t="e">
        <f t="shared" ref="W543:W583" ca="1" si="92">IF(ISNUMBER(SEARCH($W$29,U543))=TRUE,IF(ISNUMBER(SEARCH($W$27,U543))=TRUE,IF(R543=1,"eFrame",IF(R543=3,"iFrame")),IF(R543=1,"eWindow",IF(R543=3,"iWindow"))),U543)</f>
        <v>#N/A</v>
      </c>
      <c r="X543" s="163" t="e">
        <f t="shared" ref="X543:X583" ca="1" si="93">IF(ISNUMBER(SEARCH($X$29,U543))=TRUE,IF(ISNUMBER(SEARCH($X$27,U543))=TRUE,IF(R543=1,"eFrameDoor",IF(R543=3,"iFrameDoor")),IF(R543=1,"eDoor",IF(R543=3,"iDoor"))),U543)</f>
        <v>#N/A</v>
      </c>
      <c r="Y543" s="163" t="e">
        <f t="shared" ref="Y543:Y583" ca="1" si="94">IF(ISNUMBER(SEARCH($W$29,U543))=TRUE,"Substract",IF(ISNUMBER(SEARCH($X$29,U543))=TRUE, "Sunstract",IF(S543=90,IF(R543=1,"External Wall",IF(R543=3,"Internal Wall",IF(R543=0,"Below Grade Wall",U543))),V543)))</f>
        <v>#N/A</v>
      </c>
    </row>
    <row r="544" spans="12:25" ht="14.4">
      <c r="L544" s="464"/>
      <c r="M544" s="129" t="e">
        <f t="shared" ref="M544:M583" si="95">IF(M543="end","end",IF(M543=$K$1,"end",M543+1))</f>
        <v>#N/A</v>
      </c>
      <c r="N544" s="161">
        <f t="shared" si="90"/>
        <v>13</v>
      </c>
      <c r="O544" s="160" t="e">
        <f t="shared" ca="1" si="86"/>
        <v>#N/A</v>
      </c>
      <c r="P544" s="160" t="e">
        <f t="shared" ca="1" si="87"/>
        <v>#N/A</v>
      </c>
      <c r="Q544" s="160" t="e">
        <f t="shared" ca="1" si="88"/>
        <v>#N/A</v>
      </c>
      <c r="R544" s="160" t="e">
        <f t="shared" ca="1" si="88"/>
        <v>#N/A</v>
      </c>
      <c r="S544" s="160" t="e">
        <f t="shared" ca="1" si="88"/>
        <v>#N/A</v>
      </c>
      <c r="T544" s="160" t="e">
        <f t="shared" ca="1" si="88"/>
        <v>#N/A</v>
      </c>
      <c r="U544" s="160" t="e">
        <f t="shared" ca="1" si="89"/>
        <v>#N/A</v>
      </c>
      <c r="V544" s="163" t="e">
        <f t="shared" ca="1" si="91"/>
        <v>#N/A</v>
      </c>
      <c r="W544" s="163" t="e">
        <f t="shared" ca="1" si="92"/>
        <v>#N/A</v>
      </c>
      <c r="X544" s="163" t="e">
        <f t="shared" ca="1" si="93"/>
        <v>#N/A</v>
      </c>
      <c r="Y544" s="163" t="e">
        <f t="shared" ca="1" si="94"/>
        <v>#N/A</v>
      </c>
    </row>
    <row r="545" spans="12:25" ht="14.4">
      <c r="L545" s="464"/>
      <c r="M545" s="129" t="e">
        <f t="shared" si="95"/>
        <v>#N/A</v>
      </c>
      <c r="N545" s="161">
        <f t="shared" si="90"/>
        <v>13</v>
      </c>
      <c r="O545" s="160" t="e">
        <f t="shared" ca="1" si="86"/>
        <v>#N/A</v>
      </c>
      <c r="P545" s="160" t="e">
        <f t="shared" ca="1" si="87"/>
        <v>#N/A</v>
      </c>
      <c r="Q545" s="160" t="e">
        <f t="shared" ca="1" si="88"/>
        <v>#N/A</v>
      </c>
      <c r="R545" s="160" t="e">
        <f t="shared" ca="1" si="88"/>
        <v>#N/A</v>
      </c>
      <c r="S545" s="160" t="e">
        <f t="shared" ca="1" si="88"/>
        <v>#N/A</v>
      </c>
      <c r="T545" s="160" t="e">
        <f t="shared" ca="1" si="88"/>
        <v>#N/A</v>
      </c>
      <c r="U545" s="160" t="e">
        <f t="shared" ca="1" si="89"/>
        <v>#N/A</v>
      </c>
      <c r="V545" s="163" t="e">
        <f t="shared" ca="1" si="91"/>
        <v>#N/A</v>
      </c>
      <c r="W545" s="163" t="e">
        <f t="shared" ca="1" si="92"/>
        <v>#N/A</v>
      </c>
      <c r="X545" s="163" t="e">
        <f t="shared" ca="1" si="93"/>
        <v>#N/A</v>
      </c>
      <c r="Y545" s="163" t="e">
        <f t="shared" ca="1" si="94"/>
        <v>#N/A</v>
      </c>
    </row>
    <row r="546" spans="12:25" ht="14.4">
      <c r="L546" s="464"/>
      <c r="M546" s="129" t="e">
        <f t="shared" si="95"/>
        <v>#N/A</v>
      </c>
      <c r="N546" s="161">
        <f t="shared" si="90"/>
        <v>13</v>
      </c>
      <c r="O546" s="160" t="e">
        <f t="shared" ca="1" si="86"/>
        <v>#N/A</v>
      </c>
      <c r="P546" s="160" t="e">
        <f t="shared" ca="1" si="87"/>
        <v>#N/A</v>
      </c>
      <c r="Q546" s="160" t="e">
        <f t="shared" ca="1" si="88"/>
        <v>#N/A</v>
      </c>
      <c r="R546" s="160" t="e">
        <f t="shared" ca="1" si="88"/>
        <v>#N/A</v>
      </c>
      <c r="S546" s="160" t="e">
        <f t="shared" ca="1" si="88"/>
        <v>#N/A</v>
      </c>
      <c r="T546" s="160" t="e">
        <f t="shared" ca="1" si="88"/>
        <v>#N/A</v>
      </c>
      <c r="U546" s="160" t="e">
        <f t="shared" ca="1" si="89"/>
        <v>#N/A</v>
      </c>
      <c r="V546" s="163" t="e">
        <f t="shared" ca="1" si="91"/>
        <v>#N/A</v>
      </c>
      <c r="W546" s="163" t="e">
        <f t="shared" ca="1" si="92"/>
        <v>#N/A</v>
      </c>
      <c r="X546" s="163" t="e">
        <f t="shared" ca="1" si="93"/>
        <v>#N/A</v>
      </c>
      <c r="Y546" s="163" t="e">
        <f t="shared" ca="1" si="94"/>
        <v>#N/A</v>
      </c>
    </row>
    <row r="547" spans="12:25" ht="14.4">
      <c r="L547" s="464"/>
      <c r="M547" s="129" t="e">
        <f t="shared" si="95"/>
        <v>#N/A</v>
      </c>
      <c r="N547" s="161">
        <f t="shared" si="90"/>
        <v>13</v>
      </c>
      <c r="O547" s="160" t="e">
        <f t="shared" ca="1" si="86"/>
        <v>#N/A</v>
      </c>
      <c r="P547" s="160" t="e">
        <f t="shared" ca="1" si="87"/>
        <v>#N/A</v>
      </c>
      <c r="Q547" s="160" t="e">
        <f t="shared" ca="1" si="88"/>
        <v>#N/A</v>
      </c>
      <c r="R547" s="160" t="e">
        <f t="shared" ca="1" si="88"/>
        <v>#N/A</v>
      </c>
      <c r="S547" s="160" t="e">
        <f t="shared" ca="1" si="88"/>
        <v>#N/A</v>
      </c>
      <c r="T547" s="160" t="e">
        <f t="shared" ca="1" si="88"/>
        <v>#N/A</v>
      </c>
      <c r="U547" s="160" t="e">
        <f t="shared" ca="1" si="89"/>
        <v>#N/A</v>
      </c>
      <c r="V547" s="163" t="e">
        <f t="shared" ca="1" si="91"/>
        <v>#N/A</v>
      </c>
      <c r="W547" s="163" t="e">
        <f t="shared" ca="1" si="92"/>
        <v>#N/A</v>
      </c>
      <c r="X547" s="163" t="e">
        <f t="shared" ca="1" si="93"/>
        <v>#N/A</v>
      </c>
      <c r="Y547" s="163" t="e">
        <f t="shared" ca="1" si="94"/>
        <v>#N/A</v>
      </c>
    </row>
    <row r="548" spans="12:25" ht="14.4">
      <c r="L548" s="464"/>
      <c r="M548" s="129" t="e">
        <f t="shared" si="95"/>
        <v>#N/A</v>
      </c>
      <c r="N548" s="161">
        <f t="shared" si="90"/>
        <v>13</v>
      </c>
      <c r="O548" s="160" t="e">
        <f t="shared" ca="1" si="86"/>
        <v>#N/A</v>
      </c>
      <c r="P548" s="160" t="e">
        <f t="shared" ca="1" si="87"/>
        <v>#N/A</v>
      </c>
      <c r="Q548" s="160" t="e">
        <f t="shared" ca="1" si="88"/>
        <v>#N/A</v>
      </c>
      <c r="R548" s="160" t="e">
        <f t="shared" ca="1" si="88"/>
        <v>#N/A</v>
      </c>
      <c r="S548" s="160" t="e">
        <f t="shared" ca="1" si="88"/>
        <v>#N/A</v>
      </c>
      <c r="T548" s="160" t="e">
        <f t="shared" ca="1" si="88"/>
        <v>#N/A</v>
      </c>
      <c r="U548" s="160" t="e">
        <f t="shared" ca="1" si="89"/>
        <v>#N/A</v>
      </c>
      <c r="V548" s="163" t="e">
        <f t="shared" ca="1" si="91"/>
        <v>#N/A</v>
      </c>
      <c r="W548" s="163" t="e">
        <f t="shared" ca="1" si="92"/>
        <v>#N/A</v>
      </c>
      <c r="X548" s="163" t="e">
        <f t="shared" ca="1" si="93"/>
        <v>#N/A</v>
      </c>
      <c r="Y548" s="163" t="e">
        <f t="shared" ca="1" si="94"/>
        <v>#N/A</v>
      </c>
    </row>
    <row r="549" spans="12:25" ht="14.4">
      <c r="L549" s="464"/>
      <c r="M549" s="129" t="e">
        <f t="shared" si="95"/>
        <v>#N/A</v>
      </c>
      <c r="N549" s="161">
        <f t="shared" si="90"/>
        <v>13</v>
      </c>
      <c r="O549" s="160" t="e">
        <f t="shared" ca="1" si="86"/>
        <v>#N/A</v>
      </c>
      <c r="P549" s="160" t="e">
        <f t="shared" ca="1" si="87"/>
        <v>#N/A</v>
      </c>
      <c r="Q549" s="160" t="e">
        <f t="shared" ca="1" si="88"/>
        <v>#N/A</v>
      </c>
      <c r="R549" s="160" t="e">
        <f t="shared" ca="1" si="88"/>
        <v>#N/A</v>
      </c>
      <c r="S549" s="160" t="e">
        <f t="shared" ca="1" si="88"/>
        <v>#N/A</v>
      </c>
      <c r="T549" s="160" t="e">
        <f t="shared" ca="1" si="88"/>
        <v>#N/A</v>
      </c>
      <c r="U549" s="160" t="e">
        <f t="shared" ca="1" si="89"/>
        <v>#N/A</v>
      </c>
      <c r="V549" s="163" t="e">
        <f t="shared" ca="1" si="91"/>
        <v>#N/A</v>
      </c>
      <c r="W549" s="163" t="e">
        <f t="shared" ca="1" si="92"/>
        <v>#N/A</v>
      </c>
      <c r="X549" s="163" t="e">
        <f t="shared" ca="1" si="93"/>
        <v>#N/A</v>
      </c>
      <c r="Y549" s="163" t="e">
        <f t="shared" ca="1" si="94"/>
        <v>#N/A</v>
      </c>
    </row>
    <row r="550" spans="12:25" ht="14.4">
      <c r="L550" s="464"/>
      <c r="M550" s="129" t="e">
        <f t="shared" si="95"/>
        <v>#N/A</v>
      </c>
      <c r="N550" s="161">
        <f t="shared" si="90"/>
        <v>13</v>
      </c>
      <c r="O550" s="160" t="e">
        <f t="shared" ca="1" si="86"/>
        <v>#N/A</v>
      </c>
      <c r="P550" s="160" t="e">
        <f t="shared" ca="1" si="87"/>
        <v>#N/A</v>
      </c>
      <c r="Q550" s="160" t="e">
        <f t="shared" ca="1" si="88"/>
        <v>#N/A</v>
      </c>
      <c r="R550" s="160" t="e">
        <f t="shared" ca="1" si="88"/>
        <v>#N/A</v>
      </c>
      <c r="S550" s="160" t="e">
        <f t="shared" ca="1" si="88"/>
        <v>#N/A</v>
      </c>
      <c r="T550" s="160" t="e">
        <f t="shared" ca="1" si="88"/>
        <v>#N/A</v>
      </c>
      <c r="U550" s="160" t="e">
        <f t="shared" ca="1" si="89"/>
        <v>#N/A</v>
      </c>
      <c r="V550" s="163" t="e">
        <f t="shared" ca="1" si="91"/>
        <v>#N/A</v>
      </c>
      <c r="W550" s="163" t="e">
        <f t="shared" ca="1" si="92"/>
        <v>#N/A</v>
      </c>
      <c r="X550" s="163" t="e">
        <f t="shared" ca="1" si="93"/>
        <v>#N/A</v>
      </c>
      <c r="Y550" s="163" t="e">
        <f t="shared" ca="1" si="94"/>
        <v>#N/A</v>
      </c>
    </row>
    <row r="551" spans="12:25" ht="14.4">
      <c r="L551" s="464"/>
      <c r="M551" s="129" t="e">
        <f t="shared" si="95"/>
        <v>#N/A</v>
      </c>
      <c r="N551" s="161">
        <f t="shared" si="90"/>
        <v>13</v>
      </c>
      <c r="O551" s="160" t="e">
        <f t="shared" ca="1" si="86"/>
        <v>#N/A</v>
      </c>
      <c r="P551" s="160" t="e">
        <f t="shared" ca="1" si="87"/>
        <v>#N/A</v>
      </c>
      <c r="Q551" s="160" t="e">
        <f t="shared" ca="1" si="88"/>
        <v>#N/A</v>
      </c>
      <c r="R551" s="160" t="e">
        <f t="shared" ca="1" si="88"/>
        <v>#N/A</v>
      </c>
      <c r="S551" s="160" t="e">
        <f t="shared" ca="1" si="88"/>
        <v>#N/A</v>
      </c>
      <c r="T551" s="160" t="e">
        <f t="shared" ca="1" si="88"/>
        <v>#N/A</v>
      </c>
      <c r="U551" s="160" t="e">
        <f t="shared" ca="1" si="89"/>
        <v>#N/A</v>
      </c>
      <c r="V551" s="163" t="e">
        <f t="shared" ca="1" si="91"/>
        <v>#N/A</v>
      </c>
      <c r="W551" s="163" t="e">
        <f t="shared" ca="1" si="92"/>
        <v>#N/A</v>
      </c>
      <c r="X551" s="163" t="e">
        <f t="shared" ca="1" si="93"/>
        <v>#N/A</v>
      </c>
      <c r="Y551" s="163" t="e">
        <f t="shared" ca="1" si="94"/>
        <v>#N/A</v>
      </c>
    </row>
    <row r="552" spans="12:25" ht="14.4">
      <c r="L552" s="464"/>
      <c r="M552" s="129" t="e">
        <f t="shared" si="95"/>
        <v>#N/A</v>
      </c>
      <c r="N552" s="161">
        <f t="shared" si="90"/>
        <v>13</v>
      </c>
      <c r="O552" s="160" t="e">
        <f t="shared" ca="1" si="86"/>
        <v>#N/A</v>
      </c>
      <c r="P552" s="160" t="e">
        <f t="shared" ca="1" si="87"/>
        <v>#N/A</v>
      </c>
      <c r="Q552" s="160" t="e">
        <f t="shared" ca="1" si="88"/>
        <v>#N/A</v>
      </c>
      <c r="R552" s="160" t="e">
        <f t="shared" ca="1" si="88"/>
        <v>#N/A</v>
      </c>
      <c r="S552" s="160" t="e">
        <f t="shared" ca="1" si="88"/>
        <v>#N/A</v>
      </c>
      <c r="T552" s="160" t="e">
        <f t="shared" ca="1" si="88"/>
        <v>#N/A</v>
      </c>
      <c r="U552" s="160" t="e">
        <f t="shared" ca="1" si="89"/>
        <v>#N/A</v>
      </c>
      <c r="V552" s="163" t="e">
        <f t="shared" ca="1" si="91"/>
        <v>#N/A</v>
      </c>
      <c r="W552" s="163" t="e">
        <f t="shared" ca="1" si="92"/>
        <v>#N/A</v>
      </c>
      <c r="X552" s="163" t="e">
        <f t="shared" ca="1" si="93"/>
        <v>#N/A</v>
      </c>
      <c r="Y552" s="163" t="e">
        <f t="shared" ca="1" si="94"/>
        <v>#N/A</v>
      </c>
    </row>
    <row r="553" spans="12:25" ht="14.4">
      <c r="L553" s="464"/>
      <c r="M553" s="129" t="e">
        <f t="shared" si="95"/>
        <v>#N/A</v>
      </c>
      <c r="N553" s="161">
        <f t="shared" si="90"/>
        <v>13</v>
      </c>
      <c r="O553" s="160" t="e">
        <f t="shared" ref="O553:O583" ca="1" si="96">IF($M553="end",0,OFFSET($A$1,$M553-1,O$29,1,1))</f>
        <v>#N/A</v>
      </c>
      <c r="P553" s="160" t="e">
        <f t="shared" ca="1" si="87"/>
        <v>#N/A</v>
      </c>
      <c r="Q553" s="160" t="e">
        <f t="shared" ca="1" si="88"/>
        <v>#N/A</v>
      </c>
      <c r="R553" s="160" t="e">
        <f t="shared" ca="1" si="88"/>
        <v>#N/A</v>
      </c>
      <c r="S553" s="160" t="e">
        <f t="shared" ca="1" si="88"/>
        <v>#N/A</v>
      </c>
      <c r="T553" s="160" t="e">
        <f t="shared" ca="1" si="88"/>
        <v>#N/A</v>
      </c>
      <c r="U553" s="160" t="e">
        <f t="shared" ca="1" si="89"/>
        <v>#N/A</v>
      </c>
      <c r="V553" s="163" t="e">
        <f t="shared" ca="1" si="91"/>
        <v>#N/A</v>
      </c>
      <c r="W553" s="163" t="e">
        <f t="shared" ca="1" si="92"/>
        <v>#N/A</v>
      </c>
      <c r="X553" s="163" t="e">
        <f t="shared" ca="1" si="93"/>
        <v>#N/A</v>
      </c>
      <c r="Y553" s="163" t="e">
        <f t="shared" ca="1" si="94"/>
        <v>#N/A</v>
      </c>
    </row>
    <row r="554" spans="12:25" ht="14.4">
      <c r="L554" s="464"/>
      <c r="M554" s="129" t="e">
        <f t="shared" si="95"/>
        <v>#N/A</v>
      </c>
      <c r="N554" s="161">
        <f t="shared" si="90"/>
        <v>13</v>
      </c>
      <c r="O554" s="160" t="e">
        <f t="shared" ca="1" si="96"/>
        <v>#N/A</v>
      </c>
      <c r="P554" s="160" t="e">
        <f t="shared" ca="1" si="87"/>
        <v>#N/A</v>
      </c>
      <c r="Q554" s="160" t="e">
        <f t="shared" ca="1" si="88"/>
        <v>#N/A</v>
      </c>
      <c r="R554" s="160" t="e">
        <f t="shared" ca="1" si="88"/>
        <v>#N/A</v>
      </c>
      <c r="S554" s="160" t="e">
        <f t="shared" ca="1" si="88"/>
        <v>#N/A</v>
      </c>
      <c r="T554" s="160" t="e">
        <f t="shared" ca="1" si="88"/>
        <v>#N/A</v>
      </c>
      <c r="U554" s="160" t="e">
        <f t="shared" ca="1" si="89"/>
        <v>#N/A</v>
      </c>
      <c r="V554" s="163" t="e">
        <f t="shared" ca="1" si="91"/>
        <v>#N/A</v>
      </c>
      <c r="W554" s="163" t="e">
        <f t="shared" ca="1" si="92"/>
        <v>#N/A</v>
      </c>
      <c r="X554" s="163" t="e">
        <f t="shared" ca="1" si="93"/>
        <v>#N/A</v>
      </c>
      <c r="Y554" s="163" t="e">
        <f t="shared" ca="1" si="94"/>
        <v>#N/A</v>
      </c>
    </row>
    <row r="555" spans="12:25" ht="14.4">
      <c r="L555" s="464"/>
      <c r="M555" s="129" t="e">
        <f t="shared" si="95"/>
        <v>#N/A</v>
      </c>
      <c r="N555" s="161">
        <f t="shared" si="90"/>
        <v>13</v>
      </c>
      <c r="O555" s="160" t="e">
        <f t="shared" ca="1" si="96"/>
        <v>#N/A</v>
      </c>
      <c r="P555" s="160" t="e">
        <f t="shared" ca="1" si="87"/>
        <v>#N/A</v>
      </c>
      <c r="Q555" s="160" t="e">
        <f t="shared" ca="1" si="88"/>
        <v>#N/A</v>
      </c>
      <c r="R555" s="160" t="e">
        <f t="shared" ca="1" si="88"/>
        <v>#N/A</v>
      </c>
      <c r="S555" s="160" t="e">
        <f t="shared" ca="1" si="88"/>
        <v>#N/A</v>
      </c>
      <c r="T555" s="160" t="e">
        <f t="shared" ca="1" si="88"/>
        <v>#N/A</v>
      </c>
      <c r="U555" s="160" t="e">
        <f t="shared" ca="1" si="89"/>
        <v>#N/A</v>
      </c>
      <c r="V555" s="163" t="e">
        <f t="shared" ca="1" si="91"/>
        <v>#N/A</v>
      </c>
      <c r="W555" s="163" t="e">
        <f t="shared" ca="1" si="92"/>
        <v>#N/A</v>
      </c>
      <c r="X555" s="163" t="e">
        <f t="shared" ca="1" si="93"/>
        <v>#N/A</v>
      </c>
      <c r="Y555" s="163" t="e">
        <f t="shared" ca="1" si="94"/>
        <v>#N/A</v>
      </c>
    </row>
    <row r="556" spans="12:25" ht="14.4">
      <c r="L556" s="464"/>
      <c r="M556" s="129" t="e">
        <f t="shared" si="95"/>
        <v>#N/A</v>
      </c>
      <c r="N556" s="161">
        <f t="shared" si="90"/>
        <v>13</v>
      </c>
      <c r="O556" s="160" t="e">
        <f t="shared" ca="1" si="96"/>
        <v>#N/A</v>
      </c>
      <c r="P556" s="160" t="e">
        <f t="shared" ca="1" si="87"/>
        <v>#N/A</v>
      </c>
      <c r="Q556" s="160" t="e">
        <f t="shared" ca="1" si="88"/>
        <v>#N/A</v>
      </c>
      <c r="R556" s="160" t="e">
        <f t="shared" ca="1" si="88"/>
        <v>#N/A</v>
      </c>
      <c r="S556" s="160" t="e">
        <f t="shared" ca="1" si="88"/>
        <v>#N/A</v>
      </c>
      <c r="T556" s="160" t="e">
        <f t="shared" ca="1" si="88"/>
        <v>#N/A</v>
      </c>
      <c r="U556" s="160" t="e">
        <f t="shared" ca="1" si="89"/>
        <v>#N/A</v>
      </c>
      <c r="V556" s="163" t="e">
        <f t="shared" ca="1" si="91"/>
        <v>#N/A</v>
      </c>
      <c r="W556" s="163" t="e">
        <f t="shared" ca="1" si="92"/>
        <v>#N/A</v>
      </c>
      <c r="X556" s="163" t="e">
        <f t="shared" ca="1" si="93"/>
        <v>#N/A</v>
      </c>
      <c r="Y556" s="163" t="e">
        <f t="shared" ca="1" si="94"/>
        <v>#N/A</v>
      </c>
    </row>
    <row r="557" spans="12:25" ht="14.4">
      <c r="L557" s="464"/>
      <c r="M557" s="129" t="e">
        <f t="shared" si="95"/>
        <v>#N/A</v>
      </c>
      <c r="N557" s="161">
        <f t="shared" si="90"/>
        <v>13</v>
      </c>
      <c r="O557" s="160" t="e">
        <f t="shared" ca="1" si="96"/>
        <v>#N/A</v>
      </c>
      <c r="P557" s="160" t="e">
        <f t="shared" ca="1" si="87"/>
        <v>#N/A</v>
      </c>
      <c r="Q557" s="160" t="e">
        <f t="shared" ca="1" si="88"/>
        <v>#N/A</v>
      </c>
      <c r="R557" s="160" t="e">
        <f t="shared" ca="1" si="88"/>
        <v>#N/A</v>
      </c>
      <c r="S557" s="160" t="e">
        <f t="shared" ca="1" si="88"/>
        <v>#N/A</v>
      </c>
      <c r="T557" s="160" t="e">
        <f t="shared" ca="1" si="88"/>
        <v>#N/A</v>
      </c>
      <c r="U557" s="160" t="e">
        <f t="shared" ca="1" si="89"/>
        <v>#N/A</v>
      </c>
      <c r="V557" s="163" t="e">
        <f t="shared" ca="1" si="91"/>
        <v>#N/A</v>
      </c>
      <c r="W557" s="163" t="e">
        <f t="shared" ca="1" si="92"/>
        <v>#N/A</v>
      </c>
      <c r="X557" s="163" t="e">
        <f t="shared" ca="1" si="93"/>
        <v>#N/A</v>
      </c>
      <c r="Y557" s="163" t="e">
        <f t="shared" ca="1" si="94"/>
        <v>#N/A</v>
      </c>
    </row>
    <row r="558" spans="12:25" ht="14.4">
      <c r="L558" s="464"/>
      <c r="M558" s="129" t="e">
        <f t="shared" si="95"/>
        <v>#N/A</v>
      </c>
      <c r="N558" s="161">
        <f t="shared" si="90"/>
        <v>13</v>
      </c>
      <c r="O558" s="160" t="e">
        <f t="shared" ca="1" si="96"/>
        <v>#N/A</v>
      </c>
      <c r="P558" s="160" t="e">
        <f t="shared" ca="1" si="87"/>
        <v>#N/A</v>
      </c>
      <c r="Q558" s="160" t="e">
        <f t="shared" ca="1" si="88"/>
        <v>#N/A</v>
      </c>
      <c r="R558" s="160" t="e">
        <f t="shared" ca="1" si="88"/>
        <v>#N/A</v>
      </c>
      <c r="S558" s="160" t="e">
        <f t="shared" ca="1" si="88"/>
        <v>#N/A</v>
      </c>
      <c r="T558" s="160" t="e">
        <f t="shared" ca="1" si="88"/>
        <v>#N/A</v>
      </c>
      <c r="U558" s="160" t="e">
        <f t="shared" ca="1" si="89"/>
        <v>#N/A</v>
      </c>
      <c r="V558" s="163" t="e">
        <f t="shared" ca="1" si="91"/>
        <v>#N/A</v>
      </c>
      <c r="W558" s="163" t="e">
        <f t="shared" ca="1" si="92"/>
        <v>#N/A</v>
      </c>
      <c r="X558" s="163" t="e">
        <f t="shared" ca="1" si="93"/>
        <v>#N/A</v>
      </c>
      <c r="Y558" s="163" t="e">
        <f t="shared" ca="1" si="94"/>
        <v>#N/A</v>
      </c>
    </row>
    <row r="559" spans="12:25" ht="14.4">
      <c r="L559" s="464"/>
      <c r="M559" s="129" t="e">
        <f t="shared" si="95"/>
        <v>#N/A</v>
      </c>
      <c r="N559" s="161">
        <f t="shared" si="90"/>
        <v>13</v>
      </c>
      <c r="O559" s="160" t="e">
        <f t="shared" ca="1" si="96"/>
        <v>#N/A</v>
      </c>
      <c r="P559" s="160" t="e">
        <f t="shared" ca="1" si="87"/>
        <v>#N/A</v>
      </c>
      <c r="Q559" s="160" t="e">
        <f t="shared" ca="1" si="88"/>
        <v>#N/A</v>
      </c>
      <c r="R559" s="160" t="e">
        <f t="shared" ca="1" si="88"/>
        <v>#N/A</v>
      </c>
      <c r="S559" s="160" t="e">
        <f t="shared" ca="1" si="88"/>
        <v>#N/A</v>
      </c>
      <c r="T559" s="160" t="e">
        <f t="shared" ca="1" si="88"/>
        <v>#N/A</v>
      </c>
      <c r="U559" s="160" t="e">
        <f t="shared" ca="1" si="89"/>
        <v>#N/A</v>
      </c>
      <c r="V559" s="163" t="e">
        <f t="shared" ca="1" si="91"/>
        <v>#N/A</v>
      </c>
      <c r="W559" s="163" t="e">
        <f t="shared" ca="1" si="92"/>
        <v>#N/A</v>
      </c>
      <c r="X559" s="163" t="e">
        <f t="shared" ca="1" si="93"/>
        <v>#N/A</v>
      </c>
      <c r="Y559" s="163" t="e">
        <f t="shared" ca="1" si="94"/>
        <v>#N/A</v>
      </c>
    </row>
    <row r="560" spans="12:25" ht="14.4">
      <c r="L560" s="464"/>
      <c r="M560" s="129" t="e">
        <f t="shared" si="95"/>
        <v>#N/A</v>
      </c>
      <c r="N560" s="161">
        <f t="shared" si="90"/>
        <v>13</v>
      </c>
      <c r="O560" s="160" t="e">
        <f t="shared" ca="1" si="96"/>
        <v>#N/A</v>
      </c>
      <c r="P560" s="160" t="e">
        <f t="shared" ca="1" si="87"/>
        <v>#N/A</v>
      </c>
      <c r="Q560" s="160" t="e">
        <f t="shared" ca="1" si="88"/>
        <v>#N/A</v>
      </c>
      <c r="R560" s="160" t="e">
        <f t="shared" ca="1" si="88"/>
        <v>#N/A</v>
      </c>
      <c r="S560" s="160" t="e">
        <f t="shared" ca="1" si="88"/>
        <v>#N/A</v>
      </c>
      <c r="T560" s="160" t="e">
        <f t="shared" ca="1" si="88"/>
        <v>#N/A</v>
      </c>
      <c r="U560" s="160" t="e">
        <f t="shared" ca="1" si="89"/>
        <v>#N/A</v>
      </c>
      <c r="V560" s="163" t="e">
        <f t="shared" ca="1" si="91"/>
        <v>#N/A</v>
      </c>
      <c r="W560" s="163" t="e">
        <f t="shared" ca="1" si="92"/>
        <v>#N/A</v>
      </c>
      <c r="X560" s="163" t="e">
        <f t="shared" ca="1" si="93"/>
        <v>#N/A</v>
      </c>
      <c r="Y560" s="163" t="e">
        <f t="shared" ca="1" si="94"/>
        <v>#N/A</v>
      </c>
    </row>
    <row r="561" spans="12:25" ht="14.4">
      <c r="L561" s="464"/>
      <c r="M561" s="129" t="e">
        <f t="shared" si="95"/>
        <v>#N/A</v>
      </c>
      <c r="N561" s="161">
        <f t="shared" si="90"/>
        <v>13</v>
      </c>
      <c r="O561" s="160" t="e">
        <f t="shared" ca="1" si="96"/>
        <v>#N/A</v>
      </c>
      <c r="P561" s="160" t="e">
        <f t="shared" ca="1" si="87"/>
        <v>#N/A</v>
      </c>
      <c r="Q561" s="160" t="e">
        <f t="shared" ca="1" si="88"/>
        <v>#N/A</v>
      </c>
      <c r="R561" s="160" t="e">
        <f t="shared" ca="1" si="88"/>
        <v>#N/A</v>
      </c>
      <c r="S561" s="160" t="e">
        <f t="shared" ca="1" si="88"/>
        <v>#N/A</v>
      </c>
      <c r="T561" s="160" t="e">
        <f t="shared" ref="T561:U583" ca="1" si="97">IF($M561="end",0,OFFSET($A$1,$M561-1,T$29,1,1))</f>
        <v>#N/A</v>
      </c>
      <c r="U561" s="160" t="e">
        <f t="shared" ca="1" si="89"/>
        <v>#N/A</v>
      </c>
      <c r="V561" s="163" t="e">
        <f t="shared" ca="1" si="91"/>
        <v>#N/A</v>
      </c>
      <c r="W561" s="163" t="e">
        <f t="shared" ca="1" si="92"/>
        <v>#N/A</v>
      </c>
      <c r="X561" s="163" t="e">
        <f t="shared" ca="1" si="93"/>
        <v>#N/A</v>
      </c>
      <c r="Y561" s="163" t="e">
        <f t="shared" ca="1" si="94"/>
        <v>#N/A</v>
      </c>
    </row>
    <row r="562" spans="12:25" ht="14.4">
      <c r="L562" s="464"/>
      <c r="M562" s="129" t="e">
        <f t="shared" si="95"/>
        <v>#N/A</v>
      </c>
      <c r="N562" s="161">
        <f t="shared" si="90"/>
        <v>13</v>
      </c>
      <c r="O562" s="160" t="e">
        <f t="shared" ca="1" si="96"/>
        <v>#N/A</v>
      </c>
      <c r="P562" s="160" t="e">
        <f t="shared" ref="P562:P583" ca="1" si="98">IF($M562="end",0,OFFSET($A$1,$M562-1,P$29,1,1))</f>
        <v>#N/A</v>
      </c>
      <c r="Q562" s="160" t="e">
        <f t="shared" ref="Q562:S583" ca="1" si="99">IF($M562="end",0,OFFSET($A$1,$M562-1,Q$29,1,1))</f>
        <v>#N/A</v>
      </c>
      <c r="R562" s="160" t="e">
        <f t="shared" ca="1" si="99"/>
        <v>#N/A</v>
      </c>
      <c r="S562" s="160" t="e">
        <f t="shared" ca="1" si="99"/>
        <v>#N/A</v>
      </c>
      <c r="T562" s="160" t="e">
        <f t="shared" ca="1" si="97"/>
        <v>#N/A</v>
      </c>
      <c r="U562" s="160" t="e">
        <f t="shared" ca="1" si="97"/>
        <v>#N/A</v>
      </c>
      <c r="V562" s="163" t="e">
        <f t="shared" ca="1" si="91"/>
        <v>#N/A</v>
      </c>
      <c r="W562" s="163" t="e">
        <f t="shared" ca="1" si="92"/>
        <v>#N/A</v>
      </c>
      <c r="X562" s="163" t="e">
        <f t="shared" ca="1" si="93"/>
        <v>#N/A</v>
      </c>
      <c r="Y562" s="163" t="e">
        <f t="shared" ca="1" si="94"/>
        <v>#N/A</v>
      </c>
    </row>
    <row r="563" spans="12:25" ht="14.4">
      <c r="L563" s="464"/>
      <c r="M563" s="129" t="e">
        <f t="shared" si="95"/>
        <v>#N/A</v>
      </c>
      <c r="N563" s="161">
        <f t="shared" si="90"/>
        <v>13</v>
      </c>
      <c r="O563" s="160" t="e">
        <f t="shared" ca="1" si="96"/>
        <v>#N/A</v>
      </c>
      <c r="P563" s="160" t="e">
        <f t="shared" ca="1" si="98"/>
        <v>#N/A</v>
      </c>
      <c r="Q563" s="160" t="e">
        <f t="shared" ca="1" si="99"/>
        <v>#N/A</v>
      </c>
      <c r="R563" s="160" t="e">
        <f t="shared" ca="1" si="99"/>
        <v>#N/A</v>
      </c>
      <c r="S563" s="160" t="e">
        <f t="shared" ca="1" si="99"/>
        <v>#N/A</v>
      </c>
      <c r="T563" s="160" t="e">
        <f t="shared" ca="1" si="97"/>
        <v>#N/A</v>
      </c>
      <c r="U563" s="160" t="e">
        <f t="shared" ca="1" si="97"/>
        <v>#N/A</v>
      </c>
      <c r="V563" s="163" t="e">
        <f t="shared" ca="1" si="91"/>
        <v>#N/A</v>
      </c>
      <c r="W563" s="163" t="e">
        <f t="shared" ca="1" si="92"/>
        <v>#N/A</v>
      </c>
      <c r="X563" s="163" t="e">
        <f t="shared" ca="1" si="93"/>
        <v>#N/A</v>
      </c>
      <c r="Y563" s="163" t="e">
        <f t="shared" ca="1" si="94"/>
        <v>#N/A</v>
      </c>
    </row>
    <row r="564" spans="12:25" ht="14.4">
      <c r="L564" s="464"/>
      <c r="M564" s="129" t="e">
        <f t="shared" si="95"/>
        <v>#N/A</v>
      </c>
      <c r="N564" s="161">
        <f t="shared" si="90"/>
        <v>13</v>
      </c>
      <c r="O564" s="160" t="e">
        <f t="shared" ca="1" si="96"/>
        <v>#N/A</v>
      </c>
      <c r="P564" s="160" t="e">
        <f t="shared" ca="1" si="98"/>
        <v>#N/A</v>
      </c>
      <c r="Q564" s="160" t="e">
        <f t="shared" ca="1" si="99"/>
        <v>#N/A</v>
      </c>
      <c r="R564" s="160" t="e">
        <f t="shared" ca="1" si="99"/>
        <v>#N/A</v>
      </c>
      <c r="S564" s="160" t="e">
        <f t="shared" ca="1" si="99"/>
        <v>#N/A</v>
      </c>
      <c r="T564" s="160" t="e">
        <f t="shared" ca="1" si="97"/>
        <v>#N/A</v>
      </c>
      <c r="U564" s="160" t="e">
        <f t="shared" ca="1" si="97"/>
        <v>#N/A</v>
      </c>
      <c r="V564" s="163" t="e">
        <f t="shared" ca="1" si="91"/>
        <v>#N/A</v>
      </c>
      <c r="W564" s="163" t="e">
        <f t="shared" ca="1" si="92"/>
        <v>#N/A</v>
      </c>
      <c r="X564" s="163" t="e">
        <f t="shared" ca="1" si="93"/>
        <v>#N/A</v>
      </c>
      <c r="Y564" s="163" t="e">
        <f t="shared" ca="1" si="94"/>
        <v>#N/A</v>
      </c>
    </row>
    <row r="565" spans="12:25" ht="14.4">
      <c r="L565" s="464"/>
      <c r="M565" s="129" t="e">
        <f t="shared" si="95"/>
        <v>#N/A</v>
      </c>
      <c r="N565" s="161">
        <f t="shared" si="90"/>
        <v>13</v>
      </c>
      <c r="O565" s="160" t="e">
        <f t="shared" ca="1" si="96"/>
        <v>#N/A</v>
      </c>
      <c r="P565" s="160" t="e">
        <f t="shared" ca="1" si="98"/>
        <v>#N/A</v>
      </c>
      <c r="Q565" s="160" t="e">
        <f t="shared" ca="1" si="99"/>
        <v>#N/A</v>
      </c>
      <c r="R565" s="160" t="e">
        <f t="shared" ca="1" si="99"/>
        <v>#N/A</v>
      </c>
      <c r="S565" s="160" t="e">
        <f t="shared" ca="1" si="99"/>
        <v>#N/A</v>
      </c>
      <c r="T565" s="160" t="e">
        <f t="shared" ca="1" si="97"/>
        <v>#N/A</v>
      </c>
      <c r="U565" s="160" t="e">
        <f t="shared" ca="1" si="97"/>
        <v>#N/A</v>
      </c>
      <c r="V565" s="163" t="e">
        <f t="shared" ca="1" si="91"/>
        <v>#N/A</v>
      </c>
      <c r="W565" s="163" t="e">
        <f t="shared" ca="1" si="92"/>
        <v>#N/A</v>
      </c>
      <c r="X565" s="163" t="e">
        <f t="shared" ca="1" si="93"/>
        <v>#N/A</v>
      </c>
      <c r="Y565" s="163" t="e">
        <f t="shared" ca="1" si="94"/>
        <v>#N/A</v>
      </c>
    </row>
    <row r="566" spans="12:25" ht="14.4">
      <c r="L566" s="464"/>
      <c r="M566" s="129" t="e">
        <f t="shared" si="95"/>
        <v>#N/A</v>
      </c>
      <c r="N566" s="161">
        <f t="shared" si="90"/>
        <v>13</v>
      </c>
      <c r="O566" s="160" t="e">
        <f t="shared" ca="1" si="96"/>
        <v>#N/A</v>
      </c>
      <c r="P566" s="160" t="e">
        <f t="shared" ca="1" si="98"/>
        <v>#N/A</v>
      </c>
      <c r="Q566" s="160" t="e">
        <f t="shared" ca="1" si="99"/>
        <v>#N/A</v>
      </c>
      <c r="R566" s="160" t="e">
        <f t="shared" ca="1" si="99"/>
        <v>#N/A</v>
      </c>
      <c r="S566" s="160" t="e">
        <f t="shared" ca="1" si="99"/>
        <v>#N/A</v>
      </c>
      <c r="T566" s="160" t="e">
        <f t="shared" ca="1" si="97"/>
        <v>#N/A</v>
      </c>
      <c r="U566" s="160" t="e">
        <f t="shared" ca="1" si="97"/>
        <v>#N/A</v>
      </c>
      <c r="V566" s="163" t="e">
        <f t="shared" ca="1" si="91"/>
        <v>#N/A</v>
      </c>
      <c r="W566" s="163" t="e">
        <f t="shared" ca="1" si="92"/>
        <v>#N/A</v>
      </c>
      <c r="X566" s="163" t="e">
        <f t="shared" ca="1" si="93"/>
        <v>#N/A</v>
      </c>
      <c r="Y566" s="163" t="e">
        <f t="shared" ca="1" si="94"/>
        <v>#N/A</v>
      </c>
    </row>
    <row r="567" spans="12:25" ht="14.4">
      <c r="L567" s="464"/>
      <c r="M567" s="129" t="e">
        <f t="shared" si="95"/>
        <v>#N/A</v>
      </c>
      <c r="N567" s="161">
        <f t="shared" si="90"/>
        <v>13</v>
      </c>
      <c r="O567" s="160" t="e">
        <f t="shared" ca="1" si="96"/>
        <v>#N/A</v>
      </c>
      <c r="P567" s="160" t="e">
        <f t="shared" ca="1" si="98"/>
        <v>#N/A</v>
      </c>
      <c r="Q567" s="160" t="e">
        <f t="shared" ca="1" si="99"/>
        <v>#N/A</v>
      </c>
      <c r="R567" s="160" t="e">
        <f t="shared" ca="1" si="99"/>
        <v>#N/A</v>
      </c>
      <c r="S567" s="160" t="e">
        <f t="shared" ca="1" si="99"/>
        <v>#N/A</v>
      </c>
      <c r="T567" s="160" t="e">
        <f t="shared" ca="1" si="97"/>
        <v>#N/A</v>
      </c>
      <c r="U567" s="160" t="e">
        <f t="shared" ca="1" si="97"/>
        <v>#N/A</v>
      </c>
      <c r="V567" s="163" t="e">
        <f t="shared" ca="1" si="91"/>
        <v>#N/A</v>
      </c>
      <c r="W567" s="163" t="e">
        <f t="shared" ca="1" si="92"/>
        <v>#N/A</v>
      </c>
      <c r="X567" s="163" t="e">
        <f t="shared" ca="1" si="93"/>
        <v>#N/A</v>
      </c>
      <c r="Y567" s="163" t="e">
        <f t="shared" ca="1" si="94"/>
        <v>#N/A</v>
      </c>
    </row>
    <row r="568" spans="12:25" ht="14.4">
      <c r="L568" s="464"/>
      <c r="M568" s="129" t="e">
        <f t="shared" si="95"/>
        <v>#N/A</v>
      </c>
      <c r="N568" s="161">
        <f t="shared" si="90"/>
        <v>13</v>
      </c>
      <c r="O568" s="160" t="e">
        <f t="shared" ca="1" si="96"/>
        <v>#N/A</v>
      </c>
      <c r="P568" s="160" t="e">
        <f t="shared" ca="1" si="98"/>
        <v>#N/A</v>
      </c>
      <c r="Q568" s="160" t="e">
        <f t="shared" ca="1" si="99"/>
        <v>#N/A</v>
      </c>
      <c r="R568" s="160" t="e">
        <f t="shared" ca="1" si="99"/>
        <v>#N/A</v>
      </c>
      <c r="S568" s="160" t="e">
        <f t="shared" ca="1" si="99"/>
        <v>#N/A</v>
      </c>
      <c r="T568" s="160" t="e">
        <f t="shared" ca="1" si="97"/>
        <v>#N/A</v>
      </c>
      <c r="U568" s="160" t="e">
        <f t="shared" ca="1" si="97"/>
        <v>#N/A</v>
      </c>
      <c r="V568" s="163" t="e">
        <f t="shared" ca="1" si="91"/>
        <v>#N/A</v>
      </c>
      <c r="W568" s="163" t="e">
        <f t="shared" ca="1" si="92"/>
        <v>#N/A</v>
      </c>
      <c r="X568" s="163" t="e">
        <f t="shared" ca="1" si="93"/>
        <v>#N/A</v>
      </c>
      <c r="Y568" s="163" t="e">
        <f t="shared" ca="1" si="94"/>
        <v>#N/A</v>
      </c>
    </row>
    <row r="569" spans="12:25" ht="14.4">
      <c r="L569" s="464"/>
      <c r="M569" s="129" t="e">
        <f t="shared" si="95"/>
        <v>#N/A</v>
      </c>
      <c r="N569" s="161">
        <f t="shared" si="90"/>
        <v>13</v>
      </c>
      <c r="O569" s="160" t="e">
        <f t="shared" ca="1" si="96"/>
        <v>#N/A</v>
      </c>
      <c r="P569" s="160" t="e">
        <f t="shared" ca="1" si="98"/>
        <v>#N/A</v>
      </c>
      <c r="Q569" s="160" t="e">
        <f t="shared" ca="1" si="99"/>
        <v>#N/A</v>
      </c>
      <c r="R569" s="160" t="e">
        <f t="shared" ca="1" si="99"/>
        <v>#N/A</v>
      </c>
      <c r="S569" s="160" t="e">
        <f t="shared" ca="1" si="99"/>
        <v>#N/A</v>
      </c>
      <c r="T569" s="160" t="e">
        <f t="shared" ca="1" si="97"/>
        <v>#N/A</v>
      </c>
      <c r="U569" s="160" t="e">
        <f t="shared" ca="1" si="97"/>
        <v>#N/A</v>
      </c>
      <c r="V569" s="163" t="e">
        <f t="shared" ca="1" si="91"/>
        <v>#N/A</v>
      </c>
      <c r="W569" s="163" t="e">
        <f t="shared" ca="1" si="92"/>
        <v>#N/A</v>
      </c>
      <c r="X569" s="163" t="e">
        <f t="shared" ca="1" si="93"/>
        <v>#N/A</v>
      </c>
      <c r="Y569" s="163" t="e">
        <f t="shared" ca="1" si="94"/>
        <v>#N/A</v>
      </c>
    </row>
    <row r="570" spans="12:25" ht="14.4">
      <c r="L570" s="464"/>
      <c r="M570" s="129" t="e">
        <f t="shared" si="95"/>
        <v>#N/A</v>
      </c>
      <c r="N570" s="161">
        <f t="shared" si="90"/>
        <v>13</v>
      </c>
      <c r="O570" s="160" t="e">
        <f t="shared" ca="1" si="96"/>
        <v>#N/A</v>
      </c>
      <c r="P570" s="160" t="e">
        <f t="shared" ca="1" si="98"/>
        <v>#N/A</v>
      </c>
      <c r="Q570" s="160" t="e">
        <f t="shared" ca="1" si="99"/>
        <v>#N/A</v>
      </c>
      <c r="R570" s="160" t="e">
        <f t="shared" ca="1" si="99"/>
        <v>#N/A</v>
      </c>
      <c r="S570" s="160" t="e">
        <f t="shared" ca="1" si="99"/>
        <v>#N/A</v>
      </c>
      <c r="T570" s="160" t="e">
        <f t="shared" ca="1" si="97"/>
        <v>#N/A</v>
      </c>
      <c r="U570" s="160" t="e">
        <f t="shared" ca="1" si="97"/>
        <v>#N/A</v>
      </c>
      <c r="V570" s="163" t="e">
        <f t="shared" ca="1" si="91"/>
        <v>#N/A</v>
      </c>
      <c r="W570" s="163" t="e">
        <f t="shared" ca="1" si="92"/>
        <v>#N/A</v>
      </c>
      <c r="X570" s="163" t="e">
        <f t="shared" ca="1" si="93"/>
        <v>#N/A</v>
      </c>
      <c r="Y570" s="163" t="e">
        <f t="shared" ca="1" si="94"/>
        <v>#N/A</v>
      </c>
    </row>
    <row r="571" spans="12:25" ht="14.4">
      <c r="L571" s="464"/>
      <c r="M571" s="129" t="e">
        <f t="shared" si="95"/>
        <v>#N/A</v>
      </c>
      <c r="N571" s="161">
        <f t="shared" si="90"/>
        <v>13</v>
      </c>
      <c r="O571" s="160" t="e">
        <f t="shared" ca="1" si="96"/>
        <v>#N/A</v>
      </c>
      <c r="P571" s="160" t="e">
        <f t="shared" ca="1" si="98"/>
        <v>#N/A</v>
      </c>
      <c r="Q571" s="160" t="e">
        <f t="shared" ca="1" si="99"/>
        <v>#N/A</v>
      </c>
      <c r="R571" s="160" t="e">
        <f t="shared" ca="1" si="99"/>
        <v>#N/A</v>
      </c>
      <c r="S571" s="160" t="e">
        <f t="shared" ca="1" si="99"/>
        <v>#N/A</v>
      </c>
      <c r="T571" s="160" t="e">
        <f t="shared" ca="1" si="97"/>
        <v>#N/A</v>
      </c>
      <c r="U571" s="160" t="e">
        <f t="shared" ca="1" si="97"/>
        <v>#N/A</v>
      </c>
      <c r="V571" s="163" t="e">
        <f t="shared" ca="1" si="91"/>
        <v>#N/A</v>
      </c>
      <c r="W571" s="163" t="e">
        <f t="shared" ca="1" si="92"/>
        <v>#N/A</v>
      </c>
      <c r="X571" s="163" t="e">
        <f t="shared" ca="1" si="93"/>
        <v>#N/A</v>
      </c>
      <c r="Y571" s="163" t="e">
        <f t="shared" ca="1" si="94"/>
        <v>#N/A</v>
      </c>
    </row>
    <row r="572" spans="12:25" ht="14.4">
      <c r="L572" s="464"/>
      <c r="M572" s="129" t="e">
        <f t="shared" si="95"/>
        <v>#N/A</v>
      </c>
      <c r="N572" s="161">
        <f t="shared" si="90"/>
        <v>13</v>
      </c>
      <c r="O572" s="160" t="e">
        <f t="shared" ca="1" si="96"/>
        <v>#N/A</v>
      </c>
      <c r="P572" s="160" t="e">
        <f t="shared" ca="1" si="98"/>
        <v>#N/A</v>
      </c>
      <c r="Q572" s="160" t="e">
        <f t="shared" ca="1" si="99"/>
        <v>#N/A</v>
      </c>
      <c r="R572" s="160" t="e">
        <f t="shared" ca="1" si="99"/>
        <v>#N/A</v>
      </c>
      <c r="S572" s="160" t="e">
        <f t="shared" ca="1" si="99"/>
        <v>#N/A</v>
      </c>
      <c r="T572" s="160" t="e">
        <f t="shared" ca="1" si="97"/>
        <v>#N/A</v>
      </c>
      <c r="U572" s="160" t="e">
        <f t="shared" ca="1" si="97"/>
        <v>#N/A</v>
      </c>
      <c r="V572" s="163" t="e">
        <f t="shared" ca="1" si="91"/>
        <v>#N/A</v>
      </c>
      <c r="W572" s="163" t="e">
        <f t="shared" ca="1" si="92"/>
        <v>#N/A</v>
      </c>
      <c r="X572" s="163" t="e">
        <f t="shared" ca="1" si="93"/>
        <v>#N/A</v>
      </c>
      <c r="Y572" s="163" t="e">
        <f t="shared" ca="1" si="94"/>
        <v>#N/A</v>
      </c>
    </row>
    <row r="573" spans="12:25" ht="14.4">
      <c r="L573" s="464"/>
      <c r="M573" s="129" t="e">
        <f t="shared" si="95"/>
        <v>#N/A</v>
      </c>
      <c r="N573" s="161">
        <f t="shared" si="90"/>
        <v>13</v>
      </c>
      <c r="O573" s="160" t="e">
        <f t="shared" ca="1" si="96"/>
        <v>#N/A</v>
      </c>
      <c r="P573" s="160" t="e">
        <f t="shared" ca="1" si="98"/>
        <v>#N/A</v>
      </c>
      <c r="Q573" s="160" t="e">
        <f t="shared" ca="1" si="99"/>
        <v>#N/A</v>
      </c>
      <c r="R573" s="160" t="e">
        <f t="shared" ca="1" si="99"/>
        <v>#N/A</v>
      </c>
      <c r="S573" s="160" t="e">
        <f t="shared" ca="1" si="99"/>
        <v>#N/A</v>
      </c>
      <c r="T573" s="160" t="e">
        <f t="shared" ca="1" si="97"/>
        <v>#N/A</v>
      </c>
      <c r="U573" s="160" t="e">
        <f t="shared" ca="1" si="97"/>
        <v>#N/A</v>
      </c>
      <c r="V573" s="163" t="e">
        <f t="shared" ca="1" si="91"/>
        <v>#N/A</v>
      </c>
      <c r="W573" s="163" t="e">
        <f t="shared" ca="1" si="92"/>
        <v>#N/A</v>
      </c>
      <c r="X573" s="163" t="e">
        <f t="shared" ca="1" si="93"/>
        <v>#N/A</v>
      </c>
      <c r="Y573" s="163" t="e">
        <f t="shared" ca="1" si="94"/>
        <v>#N/A</v>
      </c>
    </row>
    <row r="574" spans="12:25" ht="14.4">
      <c r="L574" s="464"/>
      <c r="M574" s="129" t="e">
        <f t="shared" si="95"/>
        <v>#N/A</v>
      </c>
      <c r="N574" s="161">
        <f t="shared" si="90"/>
        <v>13</v>
      </c>
      <c r="O574" s="160" t="e">
        <f t="shared" ca="1" si="96"/>
        <v>#N/A</v>
      </c>
      <c r="P574" s="160" t="e">
        <f t="shared" ca="1" si="98"/>
        <v>#N/A</v>
      </c>
      <c r="Q574" s="160" t="e">
        <f t="shared" ca="1" si="99"/>
        <v>#N/A</v>
      </c>
      <c r="R574" s="160" t="e">
        <f t="shared" ca="1" si="99"/>
        <v>#N/A</v>
      </c>
      <c r="S574" s="160" t="e">
        <f t="shared" ca="1" si="99"/>
        <v>#N/A</v>
      </c>
      <c r="T574" s="160" t="e">
        <f t="shared" ca="1" si="97"/>
        <v>#N/A</v>
      </c>
      <c r="U574" s="160" t="e">
        <f t="shared" ca="1" si="97"/>
        <v>#N/A</v>
      </c>
      <c r="V574" s="163" t="e">
        <f t="shared" ca="1" si="91"/>
        <v>#N/A</v>
      </c>
      <c r="W574" s="163" t="e">
        <f t="shared" ca="1" si="92"/>
        <v>#N/A</v>
      </c>
      <c r="X574" s="163" t="e">
        <f t="shared" ca="1" si="93"/>
        <v>#N/A</v>
      </c>
      <c r="Y574" s="163" t="e">
        <f t="shared" ca="1" si="94"/>
        <v>#N/A</v>
      </c>
    </row>
    <row r="575" spans="12:25" ht="14.4">
      <c r="L575" s="464"/>
      <c r="M575" s="129" t="e">
        <f t="shared" si="95"/>
        <v>#N/A</v>
      </c>
      <c r="N575" s="161">
        <f t="shared" si="90"/>
        <v>13</v>
      </c>
      <c r="O575" s="160" t="e">
        <f t="shared" ca="1" si="96"/>
        <v>#N/A</v>
      </c>
      <c r="P575" s="160" t="e">
        <f t="shared" ca="1" si="98"/>
        <v>#N/A</v>
      </c>
      <c r="Q575" s="160" t="e">
        <f t="shared" ca="1" si="99"/>
        <v>#N/A</v>
      </c>
      <c r="R575" s="160" t="e">
        <f t="shared" ca="1" si="99"/>
        <v>#N/A</v>
      </c>
      <c r="S575" s="160" t="e">
        <f t="shared" ca="1" si="99"/>
        <v>#N/A</v>
      </c>
      <c r="T575" s="160" t="e">
        <f t="shared" ca="1" si="97"/>
        <v>#N/A</v>
      </c>
      <c r="U575" s="160" t="e">
        <f t="shared" ca="1" si="97"/>
        <v>#N/A</v>
      </c>
      <c r="V575" s="163" t="e">
        <f t="shared" ca="1" si="91"/>
        <v>#N/A</v>
      </c>
      <c r="W575" s="163" t="e">
        <f t="shared" ca="1" si="92"/>
        <v>#N/A</v>
      </c>
      <c r="X575" s="163" t="e">
        <f t="shared" ca="1" si="93"/>
        <v>#N/A</v>
      </c>
      <c r="Y575" s="163" t="e">
        <f t="shared" ca="1" si="94"/>
        <v>#N/A</v>
      </c>
    </row>
    <row r="576" spans="12:25" ht="14.4">
      <c r="L576" s="464"/>
      <c r="M576" s="129" t="e">
        <f t="shared" si="95"/>
        <v>#N/A</v>
      </c>
      <c r="N576" s="161">
        <f t="shared" si="90"/>
        <v>13</v>
      </c>
      <c r="O576" s="160" t="e">
        <f t="shared" ca="1" si="96"/>
        <v>#N/A</v>
      </c>
      <c r="P576" s="160" t="e">
        <f t="shared" ca="1" si="98"/>
        <v>#N/A</v>
      </c>
      <c r="Q576" s="160" t="e">
        <f t="shared" ca="1" si="99"/>
        <v>#N/A</v>
      </c>
      <c r="R576" s="160" t="e">
        <f t="shared" ca="1" si="99"/>
        <v>#N/A</v>
      </c>
      <c r="S576" s="160" t="e">
        <f t="shared" ca="1" si="99"/>
        <v>#N/A</v>
      </c>
      <c r="T576" s="160" t="e">
        <f t="shared" ca="1" si="97"/>
        <v>#N/A</v>
      </c>
      <c r="U576" s="160" t="e">
        <f t="shared" ca="1" si="97"/>
        <v>#N/A</v>
      </c>
      <c r="V576" s="163" t="e">
        <f t="shared" ca="1" si="91"/>
        <v>#N/A</v>
      </c>
      <c r="W576" s="163" t="e">
        <f t="shared" ca="1" si="92"/>
        <v>#N/A</v>
      </c>
      <c r="X576" s="163" t="e">
        <f t="shared" ca="1" si="93"/>
        <v>#N/A</v>
      </c>
      <c r="Y576" s="163" t="e">
        <f t="shared" ca="1" si="94"/>
        <v>#N/A</v>
      </c>
    </row>
    <row r="577" spans="12:25" ht="14.4">
      <c r="L577" s="464"/>
      <c r="M577" s="129" t="e">
        <f t="shared" si="95"/>
        <v>#N/A</v>
      </c>
      <c r="N577" s="161">
        <f t="shared" si="90"/>
        <v>13</v>
      </c>
      <c r="O577" s="160" t="e">
        <f t="shared" ca="1" si="96"/>
        <v>#N/A</v>
      </c>
      <c r="P577" s="160" t="e">
        <f t="shared" ca="1" si="98"/>
        <v>#N/A</v>
      </c>
      <c r="Q577" s="160" t="e">
        <f t="shared" ca="1" si="99"/>
        <v>#N/A</v>
      </c>
      <c r="R577" s="160" t="e">
        <f t="shared" ca="1" si="99"/>
        <v>#N/A</v>
      </c>
      <c r="S577" s="160" t="e">
        <f t="shared" ca="1" si="99"/>
        <v>#N/A</v>
      </c>
      <c r="T577" s="160" t="e">
        <f t="shared" ca="1" si="97"/>
        <v>#N/A</v>
      </c>
      <c r="U577" s="160" t="e">
        <f t="shared" ca="1" si="97"/>
        <v>#N/A</v>
      </c>
      <c r="V577" s="163" t="e">
        <f t="shared" ca="1" si="91"/>
        <v>#N/A</v>
      </c>
      <c r="W577" s="163" t="e">
        <f t="shared" ca="1" si="92"/>
        <v>#N/A</v>
      </c>
      <c r="X577" s="163" t="e">
        <f t="shared" ca="1" si="93"/>
        <v>#N/A</v>
      </c>
      <c r="Y577" s="163" t="e">
        <f t="shared" ca="1" si="94"/>
        <v>#N/A</v>
      </c>
    </row>
    <row r="578" spans="12:25" ht="14.4">
      <c r="L578" s="464"/>
      <c r="M578" s="129" t="e">
        <f t="shared" si="95"/>
        <v>#N/A</v>
      </c>
      <c r="N578" s="161">
        <f t="shared" si="90"/>
        <v>13</v>
      </c>
      <c r="O578" s="160" t="e">
        <f t="shared" ca="1" si="96"/>
        <v>#N/A</v>
      </c>
      <c r="P578" s="160" t="e">
        <f t="shared" ca="1" si="98"/>
        <v>#N/A</v>
      </c>
      <c r="Q578" s="160" t="e">
        <f t="shared" ca="1" si="99"/>
        <v>#N/A</v>
      </c>
      <c r="R578" s="160" t="e">
        <f t="shared" ca="1" si="99"/>
        <v>#N/A</v>
      </c>
      <c r="S578" s="160" t="e">
        <f t="shared" ca="1" si="99"/>
        <v>#N/A</v>
      </c>
      <c r="T578" s="160" t="e">
        <f t="shared" ca="1" si="97"/>
        <v>#N/A</v>
      </c>
      <c r="U578" s="160" t="e">
        <f t="shared" ca="1" si="97"/>
        <v>#N/A</v>
      </c>
      <c r="V578" s="163" t="e">
        <f t="shared" ca="1" si="91"/>
        <v>#N/A</v>
      </c>
      <c r="W578" s="163" t="e">
        <f t="shared" ca="1" si="92"/>
        <v>#N/A</v>
      </c>
      <c r="X578" s="163" t="e">
        <f t="shared" ca="1" si="93"/>
        <v>#N/A</v>
      </c>
      <c r="Y578" s="163" t="e">
        <f t="shared" ca="1" si="94"/>
        <v>#N/A</v>
      </c>
    </row>
    <row r="579" spans="12:25" ht="14.4">
      <c r="L579" s="464"/>
      <c r="M579" s="129" t="e">
        <f t="shared" si="95"/>
        <v>#N/A</v>
      </c>
      <c r="N579" s="161">
        <f t="shared" si="90"/>
        <v>13</v>
      </c>
      <c r="O579" s="160" t="e">
        <f t="shared" ca="1" si="96"/>
        <v>#N/A</v>
      </c>
      <c r="P579" s="160" t="e">
        <f t="shared" ca="1" si="98"/>
        <v>#N/A</v>
      </c>
      <c r="Q579" s="160" t="e">
        <f t="shared" ca="1" si="99"/>
        <v>#N/A</v>
      </c>
      <c r="R579" s="160" t="e">
        <f t="shared" ca="1" si="99"/>
        <v>#N/A</v>
      </c>
      <c r="S579" s="160" t="e">
        <f t="shared" ca="1" si="99"/>
        <v>#N/A</v>
      </c>
      <c r="T579" s="160" t="e">
        <f t="shared" ca="1" si="97"/>
        <v>#N/A</v>
      </c>
      <c r="U579" s="160" t="e">
        <f t="shared" ca="1" si="97"/>
        <v>#N/A</v>
      </c>
      <c r="V579" s="163" t="e">
        <f t="shared" ca="1" si="91"/>
        <v>#N/A</v>
      </c>
      <c r="W579" s="163" t="e">
        <f t="shared" ca="1" si="92"/>
        <v>#N/A</v>
      </c>
      <c r="X579" s="163" t="e">
        <f t="shared" ca="1" si="93"/>
        <v>#N/A</v>
      </c>
      <c r="Y579" s="163" t="e">
        <f t="shared" ca="1" si="94"/>
        <v>#N/A</v>
      </c>
    </row>
    <row r="580" spans="12:25" ht="14.4">
      <c r="L580" s="464"/>
      <c r="M580" s="129" t="e">
        <f t="shared" si="95"/>
        <v>#N/A</v>
      </c>
      <c r="N580" s="161">
        <f t="shared" si="90"/>
        <v>13</v>
      </c>
      <c r="O580" s="160" t="e">
        <f t="shared" ca="1" si="96"/>
        <v>#N/A</v>
      </c>
      <c r="P580" s="160" t="e">
        <f t="shared" ca="1" si="98"/>
        <v>#N/A</v>
      </c>
      <c r="Q580" s="160" t="e">
        <f t="shared" ca="1" si="99"/>
        <v>#N/A</v>
      </c>
      <c r="R580" s="160" t="e">
        <f t="shared" ca="1" si="99"/>
        <v>#N/A</v>
      </c>
      <c r="S580" s="160" t="e">
        <f t="shared" ca="1" si="99"/>
        <v>#N/A</v>
      </c>
      <c r="T580" s="160" t="e">
        <f t="shared" ca="1" si="97"/>
        <v>#N/A</v>
      </c>
      <c r="U580" s="160" t="e">
        <f t="shared" ca="1" si="97"/>
        <v>#N/A</v>
      </c>
      <c r="V580" s="163" t="e">
        <f t="shared" ca="1" si="91"/>
        <v>#N/A</v>
      </c>
      <c r="W580" s="163" t="e">
        <f t="shared" ca="1" si="92"/>
        <v>#N/A</v>
      </c>
      <c r="X580" s="163" t="e">
        <f t="shared" ca="1" si="93"/>
        <v>#N/A</v>
      </c>
      <c r="Y580" s="163" t="e">
        <f t="shared" ca="1" si="94"/>
        <v>#N/A</v>
      </c>
    </row>
    <row r="581" spans="12:25" ht="14.4">
      <c r="L581" s="464"/>
      <c r="M581" s="129" t="e">
        <f t="shared" si="95"/>
        <v>#N/A</v>
      </c>
      <c r="N581" s="161">
        <f t="shared" si="90"/>
        <v>13</v>
      </c>
      <c r="O581" s="160" t="e">
        <f t="shared" ca="1" si="96"/>
        <v>#N/A</v>
      </c>
      <c r="P581" s="160" t="e">
        <f t="shared" ca="1" si="98"/>
        <v>#N/A</v>
      </c>
      <c r="Q581" s="160" t="e">
        <f t="shared" ca="1" si="99"/>
        <v>#N/A</v>
      </c>
      <c r="R581" s="160" t="e">
        <f t="shared" ca="1" si="99"/>
        <v>#N/A</v>
      </c>
      <c r="S581" s="160" t="e">
        <f t="shared" ca="1" si="99"/>
        <v>#N/A</v>
      </c>
      <c r="T581" s="160" t="e">
        <f t="shared" ca="1" si="97"/>
        <v>#N/A</v>
      </c>
      <c r="U581" s="160" t="e">
        <f t="shared" ca="1" si="97"/>
        <v>#N/A</v>
      </c>
      <c r="V581" s="163" t="e">
        <f t="shared" ca="1" si="91"/>
        <v>#N/A</v>
      </c>
      <c r="W581" s="163" t="e">
        <f t="shared" ca="1" si="92"/>
        <v>#N/A</v>
      </c>
      <c r="X581" s="163" t="e">
        <f t="shared" ca="1" si="93"/>
        <v>#N/A</v>
      </c>
      <c r="Y581" s="163" t="e">
        <f t="shared" ca="1" si="94"/>
        <v>#N/A</v>
      </c>
    </row>
    <row r="582" spans="12:25" ht="14.4">
      <c r="L582" s="464"/>
      <c r="M582" s="129" t="e">
        <f t="shared" si="95"/>
        <v>#N/A</v>
      </c>
      <c r="N582" s="161">
        <f t="shared" si="90"/>
        <v>13</v>
      </c>
      <c r="O582" s="160" t="e">
        <f t="shared" ca="1" si="96"/>
        <v>#N/A</v>
      </c>
      <c r="P582" s="160" t="e">
        <f t="shared" ca="1" si="98"/>
        <v>#N/A</v>
      </c>
      <c r="Q582" s="160" t="e">
        <f t="shared" ca="1" si="99"/>
        <v>#N/A</v>
      </c>
      <c r="R582" s="160" t="e">
        <f t="shared" ca="1" si="99"/>
        <v>#N/A</v>
      </c>
      <c r="S582" s="160" t="e">
        <f t="shared" ca="1" si="99"/>
        <v>#N/A</v>
      </c>
      <c r="T582" s="160" t="e">
        <f t="shared" ca="1" si="97"/>
        <v>#N/A</v>
      </c>
      <c r="U582" s="160" t="e">
        <f t="shared" ca="1" si="97"/>
        <v>#N/A</v>
      </c>
      <c r="V582" s="163" t="e">
        <f t="shared" ca="1" si="91"/>
        <v>#N/A</v>
      </c>
      <c r="W582" s="163" t="e">
        <f t="shared" ca="1" si="92"/>
        <v>#N/A</v>
      </c>
      <c r="X582" s="163" t="e">
        <f t="shared" ca="1" si="93"/>
        <v>#N/A</v>
      </c>
      <c r="Y582" s="163" t="e">
        <f t="shared" ca="1" si="94"/>
        <v>#N/A</v>
      </c>
    </row>
    <row r="583" spans="12:25" ht="14.4">
      <c r="L583" s="464"/>
      <c r="M583" s="129" t="e">
        <f t="shared" si="95"/>
        <v>#N/A</v>
      </c>
      <c r="N583" s="161">
        <f t="shared" si="90"/>
        <v>13</v>
      </c>
      <c r="O583" s="160" t="e">
        <f t="shared" ca="1" si="96"/>
        <v>#N/A</v>
      </c>
      <c r="P583" s="160" t="e">
        <f t="shared" ca="1" si="98"/>
        <v>#N/A</v>
      </c>
      <c r="Q583" s="160" t="e">
        <f t="shared" ca="1" si="99"/>
        <v>#N/A</v>
      </c>
      <c r="R583" s="160" t="e">
        <f t="shared" ca="1" si="99"/>
        <v>#N/A</v>
      </c>
      <c r="S583" s="160" t="e">
        <f t="shared" ca="1" si="99"/>
        <v>#N/A</v>
      </c>
      <c r="T583" s="160" t="e">
        <f t="shared" ca="1" si="97"/>
        <v>#N/A</v>
      </c>
      <c r="U583" s="160" t="e">
        <f t="shared" ca="1" si="97"/>
        <v>#N/A</v>
      </c>
      <c r="V583" s="163" t="e">
        <f t="shared" ca="1" si="91"/>
        <v>#N/A</v>
      </c>
      <c r="W583" s="163" t="e">
        <f t="shared" ca="1" si="92"/>
        <v>#N/A</v>
      </c>
      <c r="X583" s="163" t="e">
        <f t="shared" ca="1" si="93"/>
        <v>#N/A</v>
      </c>
      <c r="Y583" s="163" t="e">
        <f t="shared" ca="1" si="94"/>
        <v>#N/A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  <row r="859" spans="1:1" ht="12.75" customHeight="1">
      <c r="A859" s="129">
        <v>859</v>
      </c>
    </row>
    <row r="860" spans="1:1" ht="12.75" customHeight="1">
      <c r="A860" s="129">
        <v>860</v>
      </c>
    </row>
    <row r="861" spans="1:1" ht="12.75" customHeight="1">
      <c r="A861" s="129">
        <v>861</v>
      </c>
    </row>
    <row r="862" spans="1:1" ht="12.75" customHeight="1">
      <c r="A862" s="129">
        <v>862</v>
      </c>
    </row>
    <row r="863" spans="1:1" ht="12.75" customHeight="1">
      <c r="A863" s="129">
        <v>863</v>
      </c>
    </row>
    <row r="864" spans="1:1" ht="12.75" customHeight="1">
      <c r="A864" s="129">
        <v>864</v>
      </c>
    </row>
    <row r="865" spans="1:1" ht="12.75" customHeight="1">
      <c r="A865" s="129">
        <v>865</v>
      </c>
    </row>
    <row r="866" spans="1:1" ht="12.75" customHeight="1">
      <c r="A866" s="129">
        <v>866</v>
      </c>
    </row>
    <row r="867" spans="1:1" ht="12.75" customHeight="1">
      <c r="A867" s="129">
        <v>867</v>
      </c>
    </row>
    <row r="868" spans="1:1" ht="12.75" customHeight="1">
      <c r="A868" s="129">
        <v>868</v>
      </c>
    </row>
    <row r="869" spans="1:1" ht="12.75" customHeight="1">
      <c r="A869" s="129">
        <v>869</v>
      </c>
    </row>
    <row r="870" spans="1:1" ht="12.75" customHeight="1">
      <c r="A870" s="129">
        <v>870</v>
      </c>
    </row>
    <row r="871" spans="1:1" ht="12.75" customHeight="1">
      <c r="A871" s="129">
        <v>871</v>
      </c>
    </row>
    <row r="872" spans="1:1" ht="12.75" customHeight="1">
      <c r="A872" s="129">
        <v>872</v>
      </c>
    </row>
    <row r="873" spans="1:1" ht="12.75" customHeight="1">
      <c r="A873" s="129">
        <v>873</v>
      </c>
    </row>
    <row r="874" spans="1:1" ht="12.75" customHeight="1">
      <c r="A874" s="129">
        <v>874</v>
      </c>
    </row>
    <row r="875" spans="1:1" ht="12.75" customHeight="1">
      <c r="A875" s="129">
        <v>875</v>
      </c>
    </row>
    <row r="876" spans="1:1" ht="12.75" customHeight="1">
      <c r="A876" s="129">
        <v>876</v>
      </c>
    </row>
    <row r="877" spans="1:1" ht="12.75" customHeight="1">
      <c r="A877" s="129">
        <v>877</v>
      </c>
    </row>
    <row r="878" spans="1:1" ht="12.75" customHeight="1">
      <c r="A878" s="129">
        <v>878</v>
      </c>
    </row>
    <row r="879" spans="1:1" ht="12.75" customHeight="1">
      <c r="A879" s="129">
        <v>879</v>
      </c>
    </row>
    <row r="880" spans="1:1" ht="12.75" customHeight="1">
      <c r="A880" s="129">
        <v>880</v>
      </c>
    </row>
    <row r="881" spans="1:1" ht="12.75" customHeight="1">
      <c r="A881" s="129">
        <v>881</v>
      </c>
    </row>
    <row r="882" spans="1:1" ht="12.75" customHeight="1">
      <c r="A882" s="129">
        <v>882</v>
      </c>
    </row>
    <row r="883" spans="1:1" ht="12.75" customHeight="1">
      <c r="A883" s="129">
        <v>883</v>
      </c>
    </row>
    <row r="884" spans="1:1" ht="12.75" customHeight="1">
      <c r="A884" s="129">
        <v>884</v>
      </c>
    </row>
    <row r="885" spans="1:1" ht="12.75" customHeight="1">
      <c r="A885" s="129">
        <v>885</v>
      </c>
    </row>
    <row r="886" spans="1:1" ht="12.75" customHeight="1">
      <c r="A886" s="129">
        <v>886</v>
      </c>
    </row>
    <row r="887" spans="1:1" ht="12.75" customHeight="1">
      <c r="A887" s="129">
        <v>887</v>
      </c>
    </row>
    <row r="888" spans="1:1" ht="12.75" customHeight="1">
      <c r="A888" s="129">
        <v>888</v>
      </c>
    </row>
    <row r="889" spans="1:1" ht="12.75" customHeight="1">
      <c r="A889" s="129">
        <v>889</v>
      </c>
    </row>
    <row r="890" spans="1:1" ht="12.75" customHeight="1">
      <c r="A890" s="129">
        <v>890</v>
      </c>
    </row>
    <row r="891" spans="1:1" ht="12.75" customHeight="1">
      <c r="A891" s="129">
        <v>891</v>
      </c>
    </row>
    <row r="892" spans="1:1" ht="12.75" customHeight="1">
      <c r="A892" s="129">
        <v>892</v>
      </c>
    </row>
    <row r="893" spans="1:1" ht="12.75" customHeight="1">
      <c r="A893" s="129">
        <v>893</v>
      </c>
    </row>
    <row r="894" spans="1:1" ht="12.75" customHeight="1">
      <c r="A894" s="129">
        <v>894</v>
      </c>
    </row>
    <row r="895" spans="1:1" ht="12.75" customHeight="1">
      <c r="A895" s="129">
        <v>895</v>
      </c>
    </row>
    <row r="896" spans="1:1" ht="12.75" customHeight="1">
      <c r="A896" s="129">
        <v>896</v>
      </c>
    </row>
    <row r="897" spans="1:1" ht="12.75" customHeight="1">
      <c r="A897" s="129">
        <v>897</v>
      </c>
    </row>
    <row r="898" spans="1:1" ht="12.75" customHeight="1">
      <c r="A898" s="129">
        <v>898</v>
      </c>
    </row>
    <row r="899" spans="1:1" ht="12.75" customHeight="1">
      <c r="A899" s="129">
        <v>899</v>
      </c>
    </row>
    <row r="900" spans="1:1" ht="12.75" customHeight="1">
      <c r="A900" s="129">
        <v>900</v>
      </c>
    </row>
    <row r="901" spans="1:1" ht="12.75" customHeight="1">
      <c r="A901" s="129">
        <v>901</v>
      </c>
    </row>
    <row r="902" spans="1:1" ht="12.75" customHeight="1">
      <c r="A902" s="129">
        <v>902</v>
      </c>
    </row>
    <row r="903" spans="1:1" ht="12.75" customHeight="1">
      <c r="A903" s="129">
        <v>903</v>
      </c>
    </row>
    <row r="904" spans="1:1" ht="12.75" customHeight="1">
      <c r="A904" s="129">
        <v>904</v>
      </c>
    </row>
    <row r="905" spans="1:1" ht="12.75" customHeight="1">
      <c r="A905" s="129">
        <v>905</v>
      </c>
    </row>
    <row r="906" spans="1:1" ht="12.75" customHeight="1">
      <c r="A906" s="129">
        <v>906</v>
      </c>
    </row>
    <row r="907" spans="1:1" ht="12.75" customHeight="1">
      <c r="A907" s="129">
        <v>907</v>
      </c>
    </row>
    <row r="908" spans="1:1" ht="12.75" customHeight="1">
      <c r="A908" s="129">
        <v>908</v>
      </c>
    </row>
    <row r="909" spans="1:1" ht="12.75" customHeight="1">
      <c r="A909" s="129">
        <v>909</v>
      </c>
    </row>
    <row r="910" spans="1:1" ht="12.75" customHeight="1">
      <c r="A910" s="129">
        <v>910</v>
      </c>
    </row>
    <row r="911" spans="1:1" ht="12.75" customHeight="1">
      <c r="A911" s="129">
        <v>911</v>
      </c>
    </row>
    <row r="912" spans="1:1" ht="12.75" customHeight="1">
      <c r="A912" s="129">
        <v>912</v>
      </c>
    </row>
    <row r="913" spans="1:1" ht="12.75" customHeight="1">
      <c r="A913" s="129">
        <v>913</v>
      </c>
    </row>
    <row r="914" spans="1:1" ht="12.75" customHeight="1">
      <c r="A914" s="129">
        <v>914</v>
      </c>
    </row>
    <row r="915" spans="1:1" ht="12.75" customHeight="1">
      <c r="A915" s="129">
        <v>915</v>
      </c>
    </row>
    <row r="916" spans="1:1" ht="12.75" customHeight="1">
      <c r="A916" s="129">
        <v>916</v>
      </c>
    </row>
    <row r="917" spans="1:1" ht="12.75" customHeight="1">
      <c r="A917" s="129">
        <v>917</v>
      </c>
    </row>
    <row r="918" spans="1:1" ht="12.75" customHeight="1">
      <c r="A918" s="129">
        <v>918</v>
      </c>
    </row>
    <row r="919" spans="1:1" ht="12.75" customHeight="1">
      <c r="A919" s="129">
        <v>919</v>
      </c>
    </row>
    <row r="920" spans="1:1" ht="12.75" customHeight="1">
      <c r="A920" s="129">
        <v>920</v>
      </c>
    </row>
    <row r="921" spans="1:1" ht="12.75" customHeight="1">
      <c r="A921" s="129">
        <v>921</v>
      </c>
    </row>
    <row r="922" spans="1:1" ht="12.75" customHeight="1">
      <c r="A922" s="129">
        <v>922</v>
      </c>
    </row>
    <row r="923" spans="1:1" ht="12.75" customHeight="1">
      <c r="A923" s="129">
        <v>923</v>
      </c>
    </row>
    <row r="924" spans="1:1" ht="12.75" customHeight="1">
      <c r="A924" s="129">
        <v>924</v>
      </c>
    </row>
    <row r="925" spans="1:1" ht="12.75" customHeight="1">
      <c r="A925" s="129">
        <v>925</v>
      </c>
    </row>
    <row r="926" spans="1:1" ht="12.75" customHeight="1">
      <c r="A926" s="129">
        <v>926</v>
      </c>
    </row>
    <row r="927" spans="1:1" ht="12.75" customHeight="1">
      <c r="A927" s="129">
        <v>927</v>
      </c>
    </row>
    <row r="928" spans="1:1" ht="12.75" customHeight="1">
      <c r="A928" s="129">
        <v>928</v>
      </c>
    </row>
    <row r="929" spans="1:1" ht="12.75" customHeight="1">
      <c r="A929" s="129">
        <v>929</v>
      </c>
    </row>
    <row r="930" spans="1:1" ht="12.75" customHeight="1">
      <c r="A930" s="129">
        <v>930</v>
      </c>
    </row>
    <row r="931" spans="1:1" ht="12.75" customHeight="1">
      <c r="A931" s="129">
        <v>931</v>
      </c>
    </row>
    <row r="932" spans="1:1" ht="12.75" customHeight="1">
      <c r="A932" s="129">
        <v>932</v>
      </c>
    </row>
    <row r="933" spans="1:1" ht="12.75" customHeight="1">
      <c r="A933" s="129">
        <v>933</v>
      </c>
    </row>
    <row r="934" spans="1:1" ht="12.75" customHeight="1">
      <c r="A934" s="129">
        <v>934</v>
      </c>
    </row>
    <row r="935" spans="1:1" ht="12.75" customHeight="1">
      <c r="A935" s="129">
        <v>935</v>
      </c>
    </row>
    <row r="936" spans="1:1" ht="12.75" customHeight="1">
      <c r="A936" s="129">
        <v>936</v>
      </c>
    </row>
    <row r="937" spans="1:1" ht="12.75" customHeight="1">
      <c r="A937" s="129">
        <v>937</v>
      </c>
    </row>
    <row r="938" spans="1:1" ht="12.75" customHeight="1">
      <c r="A938" s="129">
        <v>938</v>
      </c>
    </row>
    <row r="939" spans="1:1" ht="12.75" customHeight="1">
      <c r="A939" s="129">
        <v>939</v>
      </c>
    </row>
    <row r="940" spans="1:1" ht="12.75" customHeight="1">
      <c r="A940" s="129">
        <v>940</v>
      </c>
    </row>
    <row r="941" spans="1:1" ht="12.75" customHeight="1">
      <c r="A941" s="129">
        <v>941</v>
      </c>
    </row>
    <row r="942" spans="1:1" ht="12.75" customHeight="1">
      <c r="A942" s="129">
        <v>942</v>
      </c>
    </row>
    <row r="943" spans="1:1" ht="12.75" customHeight="1">
      <c r="A943" s="129">
        <v>943</v>
      </c>
    </row>
    <row r="944" spans="1:1" ht="12.75" customHeight="1">
      <c r="A944" s="129">
        <v>944</v>
      </c>
    </row>
    <row r="945" spans="1:1" ht="12.75" customHeight="1">
      <c r="A945" s="129">
        <v>945</v>
      </c>
    </row>
    <row r="946" spans="1:1" ht="12.75" customHeight="1">
      <c r="A946" s="129">
        <v>946</v>
      </c>
    </row>
    <row r="947" spans="1:1" ht="12.75" customHeight="1">
      <c r="A947" s="129">
        <v>947</v>
      </c>
    </row>
    <row r="948" spans="1:1" ht="12.75" customHeight="1">
      <c r="A948" s="129">
        <v>948</v>
      </c>
    </row>
    <row r="949" spans="1:1" ht="12.75" customHeight="1">
      <c r="A949" s="129">
        <v>949</v>
      </c>
    </row>
    <row r="950" spans="1:1" ht="12.75" customHeight="1">
      <c r="A950" s="129">
        <v>950</v>
      </c>
    </row>
    <row r="951" spans="1:1" ht="12.75" customHeight="1">
      <c r="A951" s="129">
        <v>951</v>
      </c>
    </row>
    <row r="952" spans="1:1" ht="12.75" customHeight="1">
      <c r="A952" s="129">
        <v>952</v>
      </c>
    </row>
    <row r="953" spans="1:1" ht="12.75" customHeight="1">
      <c r="A953" s="129">
        <v>953</v>
      </c>
    </row>
    <row r="954" spans="1:1" ht="12.75" customHeight="1">
      <c r="A954" s="129">
        <v>954</v>
      </c>
    </row>
    <row r="955" spans="1:1" ht="12.75" customHeight="1">
      <c r="A955" s="129">
        <v>955</v>
      </c>
    </row>
    <row r="956" spans="1:1" ht="12.75" customHeight="1">
      <c r="A956" s="129">
        <v>956</v>
      </c>
    </row>
    <row r="957" spans="1:1" ht="12.75" customHeight="1">
      <c r="A957" s="129">
        <v>957</v>
      </c>
    </row>
    <row r="958" spans="1:1" ht="12.75" customHeight="1">
      <c r="A958" s="129">
        <v>958</v>
      </c>
    </row>
    <row r="959" spans="1:1" ht="12.75" customHeight="1">
      <c r="A959" s="129">
        <v>959</v>
      </c>
    </row>
    <row r="960" spans="1:1" ht="12.75" customHeight="1">
      <c r="A960" s="129">
        <v>960</v>
      </c>
    </row>
    <row r="961" spans="1:1" ht="12.75" customHeight="1">
      <c r="A961" s="129">
        <v>961</v>
      </c>
    </row>
    <row r="962" spans="1:1" ht="12.75" customHeight="1">
      <c r="A962" s="129">
        <v>962</v>
      </c>
    </row>
    <row r="963" spans="1:1" ht="12.75" customHeight="1">
      <c r="A963" s="129">
        <v>963</v>
      </c>
    </row>
    <row r="964" spans="1:1" ht="12.75" customHeight="1">
      <c r="A964" s="129">
        <v>964</v>
      </c>
    </row>
    <row r="965" spans="1:1" ht="12.75" customHeight="1">
      <c r="A965" s="129">
        <v>965</v>
      </c>
    </row>
    <row r="966" spans="1:1" ht="12.75" customHeight="1">
      <c r="A966" s="129">
        <v>966</v>
      </c>
    </row>
    <row r="967" spans="1:1" ht="12.75" customHeight="1">
      <c r="A967" s="129">
        <v>967</v>
      </c>
    </row>
    <row r="968" spans="1:1" ht="12.75" customHeight="1">
      <c r="A968" s="129">
        <v>968</v>
      </c>
    </row>
    <row r="969" spans="1:1" ht="12.75" customHeight="1">
      <c r="A969" s="129">
        <v>969</v>
      </c>
    </row>
    <row r="970" spans="1:1" ht="12.75" customHeight="1">
      <c r="A970" s="129">
        <v>970</v>
      </c>
    </row>
    <row r="971" spans="1:1" ht="12.75" customHeight="1">
      <c r="A971" s="129">
        <v>971</v>
      </c>
    </row>
    <row r="972" spans="1:1" ht="12.75" customHeight="1">
      <c r="A972" s="129">
        <v>972</v>
      </c>
    </row>
    <row r="973" spans="1:1" ht="12.75" customHeight="1">
      <c r="A973" s="129">
        <v>973</v>
      </c>
    </row>
    <row r="974" spans="1:1" ht="12.75" customHeight="1">
      <c r="A974" s="129">
        <v>974</v>
      </c>
    </row>
    <row r="975" spans="1:1" ht="12.75" customHeight="1">
      <c r="A975" s="129">
        <v>975</v>
      </c>
    </row>
    <row r="976" spans="1:1" ht="12.75" customHeight="1">
      <c r="A976" s="129">
        <v>976</v>
      </c>
    </row>
    <row r="977" spans="1:1" ht="12.75" customHeight="1">
      <c r="A977" s="129">
        <v>977</v>
      </c>
    </row>
    <row r="978" spans="1:1" ht="12.75" customHeight="1">
      <c r="A978" s="129">
        <v>978</v>
      </c>
    </row>
    <row r="979" spans="1:1" ht="12.75" customHeight="1">
      <c r="A979" s="129">
        <v>979</v>
      </c>
    </row>
    <row r="980" spans="1:1" ht="12.75" customHeight="1">
      <c r="A980" s="129">
        <v>980</v>
      </c>
    </row>
    <row r="981" spans="1:1" ht="12.75" customHeight="1">
      <c r="A981" s="129">
        <v>981</v>
      </c>
    </row>
    <row r="982" spans="1:1" ht="12.75" customHeight="1">
      <c r="A982" s="129">
        <v>982</v>
      </c>
    </row>
    <row r="983" spans="1:1" ht="12.75" customHeight="1">
      <c r="A983" s="129">
        <v>983</v>
      </c>
    </row>
    <row r="984" spans="1:1" ht="12.75" customHeight="1">
      <c r="A984" s="129">
        <v>984</v>
      </c>
    </row>
    <row r="985" spans="1:1" ht="12.75" customHeight="1">
      <c r="A985" s="129">
        <v>985</v>
      </c>
    </row>
    <row r="986" spans="1:1" ht="12.75" customHeight="1">
      <c r="A986" s="129">
        <v>986</v>
      </c>
    </row>
    <row r="987" spans="1:1" ht="12.75" customHeight="1">
      <c r="A987" s="129">
        <v>987</v>
      </c>
    </row>
    <row r="988" spans="1:1" ht="12.75" customHeight="1">
      <c r="A988" s="129">
        <v>988</v>
      </c>
    </row>
    <row r="989" spans="1:1" ht="12.75" customHeight="1">
      <c r="A989" s="129">
        <v>989</v>
      </c>
    </row>
    <row r="990" spans="1:1" ht="12.75" customHeight="1">
      <c r="A990" s="129">
        <v>990</v>
      </c>
    </row>
    <row r="991" spans="1:1" ht="12.75" customHeight="1">
      <c r="A991" s="129">
        <v>991</v>
      </c>
    </row>
    <row r="992" spans="1:1" ht="12.75" customHeight="1">
      <c r="A992" s="129">
        <v>992</v>
      </c>
    </row>
    <row r="993" spans="1:1" ht="12.75" customHeight="1">
      <c r="A993" s="129">
        <v>993</v>
      </c>
    </row>
    <row r="994" spans="1:1" ht="12.75" customHeight="1">
      <c r="A994" s="129">
        <v>994</v>
      </c>
    </row>
    <row r="995" spans="1:1" ht="12.75" customHeight="1">
      <c r="A995" s="129">
        <v>995</v>
      </c>
    </row>
    <row r="996" spans="1:1" ht="12.75" customHeight="1">
      <c r="A996" s="129">
        <v>996</v>
      </c>
    </row>
    <row r="997" spans="1:1" ht="12.75" customHeight="1">
      <c r="A997" s="129">
        <v>997</v>
      </c>
    </row>
    <row r="998" spans="1:1" ht="12.75" customHeight="1">
      <c r="A998" s="129">
        <v>998</v>
      </c>
    </row>
    <row r="999" spans="1:1" ht="12.75" customHeight="1">
      <c r="A999" s="129">
        <v>999</v>
      </c>
    </row>
    <row r="1000" spans="1:1" ht="12.75" customHeight="1">
      <c r="A1000" s="129">
        <v>1000</v>
      </c>
    </row>
    <row r="1001" spans="1:1" ht="12.75" customHeight="1">
      <c r="A1001" s="129">
        <v>1001</v>
      </c>
    </row>
    <row r="1002" spans="1:1" ht="12.75" customHeight="1">
      <c r="A1002" s="129">
        <v>1002</v>
      </c>
    </row>
    <row r="1003" spans="1:1" ht="12.75" customHeight="1">
      <c r="A1003" s="129">
        <v>1003</v>
      </c>
    </row>
    <row r="1004" spans="1:1" ht="12.75" customHeight="1">
      <c r="A1004" s="129">
        <v>1004</v>
      </c>
    </row>
    <row r="1005" spans="1:1" ht="12.75" customHeight="1">
      <c r="A1005" s="129">
        <v>1005</v>
      </c>
    </row>
    <row r="1006" spans="1:1" ht="12.75" customHeight="1">
      <c r="A1006" s="129">
        <v>1006</v>
      </c>
    </row>
    <row r="1007" spans="1:1" ht="12.75" customHeight="1">
      <c r="A1007" s="129">
        <v>1007</v>
      </c>
    </row>
    <row r="1008" spans="1:1" ht="12.75" customHeight="1">
      <c r="A1008" s="129">
        <v>1008</v>
      </c>
    </row>
    <row r="1009" spans="1:1" ht="12.75" customHeight="1">
      <c r="A1009" s="129">
        <v>1009</v>
      </c>
    </row>
    <row r="1010" spans="1:1" ht="12.75" customHeight="1">
      <c r="A1010" s="129">
        <v>1010</v>
      </c>
    </row>
    <row r="1011" spans="1:1" ht="12.75" customHeight="1">
      <c r="A1011" s="129">
        <v>1011</v>
      </c>
    </row>
    <row r="1012" spans="1:1" ht="12.75" customHeight="1">
      <c r="A1012" s="129">
        <v>1012</v>
      </c>
    </row>
    <row r="1013" spans="1:1" ht="12.75" customHeight="1">
      <c r="A1013" s="129">
        <v>1013</v>
      </c>
    </row>
    <row r="1014" spans="1:1" ht="12.75" customHeight="1">
      <c r="A1014" s="129">
        <v>1014</v>
      </c>
    </row>
    <row r="1015" spans="1:1" ht="12.75" customHeight="1">
      <c r="A1015" s="129">
        <v>1015</v>
      </c>
    </row>
    <row r="1016" spans="1:1" ht="12.75" customHeight="1">
      <c r="A1016" s="129">
        <v>1016</v>
      </c>
    </row>
    <row r="1017" spans="1:1" ht="12.75" customHeight="1">
      <c r="A1017" s="129">
        <v>1017</v>
      </c>
    </row>
    <row r="1018" spans="1:1" ht="12.75" customHeight="1">
      <c r="A1018" s="129">
        <v>1018</v>
      </c>
    </row>
    <row r="1019" spans="1:1" ht="12.75" customHeight="1">
      <c r="A1019" s="129">
        <v>1019</v>
      </c>
    </row>
    <row r="1020" spans="1:1" ht="12.75" customHeight="1">
      <c r="A1020" s="129">
        <v>1020</v>
      </c>
    </row>
    <row r="1021" spans="1:1" ht="12.75" customHeight="1">
      <c r="A1021" s="129">
        <v>1021</v>
      </c>
    </row>
    <row r="1022" spans="1:1" ht="12.75" customHeight="1">
      <c r="A1022" s="129">
        <v>1022</v>
      </c>
    </row>
    <row r="1023" spans="1:1" ht="12.75" customHeight="1">
      <c r="A1023" s="129">
        <v>1023</v>
      </c>
    </row>
    <row r="1024" spans="1:1" ht="12.75" customHeight="1">
      <c r="A1024" s="129">
        <v>1024</v>
      </c>
    </row>
    <row r="1025" spans="1:1" ht="12.75" customHeight="1">
      <c r="A1025" s="129">
        <v>1025</v>
      </c>
    </row>
    <row r="1026" spans="1:1" ht="12.75" customHeight="1">
      <c r="A1026" s="129">
        <v>1026</v>
      </c>
    </row>
    <row r="1027" spans="1:1" ht="12.75" customHeight="1">
      <c r="A1027" s="129">
        <v>1027</v>
      </c>
    </row>
    <row r="1028" spans="1:1" ht="12.75" customHeight="1">
      <c r="A1028" s="129">
        <v>1028</v>
      </c>
    </row>
    <row r="1029" spans="1:1" ht="12.75" customHeight="1">
      <c r="A1029" s="129">
        <v>1029</v>
      </c>
    </row>
    <row r="1030" spans="1:1" ht="12.75" customHeight="1">
      <c r="A1030" s="129">
        <v>1030</v>
      </c>
    </row>
    <row r="1031" spans="1:1" ht="12.75" customHeight="1">
      <c r="A1031" s="129">
        <v>1031</v>
      </c>
    </row>
    <row r="1032" spans="1:1" ht="12.75" customHeight="1">
      <c r="A1032" s="129">
        <v>1032</v>
      </c>
    </row>
    <row r="1033" spans="1:1" ht="12.75" customHeight="1">
      <c r="A1033" s="129">
        <v>1033</v>
      </c>
    </row>
    <row r="1034" spans="1:1" ht="12.75" customHeight="1">
      <c r="A1034" s="129">
        <v>1034</v>
      </c>
    </row>
    <row r="1035" spans="1:1" ht="12.75" customHeight="1">
      <c r="A1035" s="129">
        <v>1035</v>
      </c>
    </row>
    <row r="1036" spans="1:1" ht="12.75" customHeight="1">
      <c r="A1036" s="129">
        <v>1036</v>
      </c>
    </row>
    <row r="1037" spans="1:1" ht="12.75" customHeight="1">
      <c r="A1037" s="129">
        <v>1037</v>
      </c>
    </row>
    <row r="1038" spans="1:1" ht="12.75" customHeight="1">
      <c r="A1038" s="129">
        <v>1038</v>
      </c>
    </row>
    <row r="1039" spans="1:1" ht="12.75" customHeight="1">
      <c r="A1039" s="129">
        <v>1039</v>
      </c>
    </row>
    <row r="1040" spans="1:1" ht="12.75" customHeight="1">
      <c r="A1040" s="129">
        <v>1040</v>
      </c>
    </row>
    <row r="1041" spans="1:1" ht="12.75" customHeight="1">
      <c r="A1041" s="129">
        <v>1041</v>
      </c>
    </row>
    <row r="1042" spans="1:1" ht="12.75" customHeight="1">
      <c r="A1042" s="129">
        <v>1042</v>
      </c>
    </row>
    <row r="1043" spans="1:1" ht="12.75" customHeight="1">
      <c r="A1043" s="129">
        <v>1043</v>
      </c>
    </row>
    <row r="1044" spans="1:1" ht="12.75" customHeight="1">
      <c r="A1044" s="129">
        <v>1044</v>
      </c>
    </row>
    <row r="1045" spans="1:1" ht="12.75" customHeight="1">
      <c r="A1045" s="129">
        <v>1045</v>
      </c>
    </row>
    <row r="1046" spans="1:1" ht="12.75" customHeight="1">
      <c r="A1046" s="129">
        <v>1046</v>
      </c>
    </row>
    <row r="1047" spans="1:1" ht="12.75" customHeight="1">
      <c r="A1047" s="129">
        <v>1047</v>
      </c>
    </row>
    <row r="1048" spans="1:1" ht="12.75" customHeight="1">
      <c r="A1048" s="129">
        <v>1048</v>
      </c>
    </row>
    <row r="1049" spans="1:1" ht="12.75" customHeight="1">
      <c r="A1049" s="129">
        <v>1049</v>
      </c>
    </row>
    <row r="1050" spans="1:1" ht="12.75" customHeight="1">
      <c r="A1050" s="129">
        <v>1050</v>
      </c>
    </row>
    <row r="1051" spans="1:1" ht="12.75" customHeight="1">
      <c r="A1051" s="129">
        <v>1051</v>
      </c>
    </row>
    <row r="1052" spans="1:1" ht="12.75" customHeight="1">
      <c r="A1052" s="129">
        <v>1052</v>
      </c>
    </row>
    <row r="1053" spans="1:1" ht="12.75" customHeight="1">
      <c r="A1053" s="129">
        <v>1053</v>
      </c>
    </row>
    <row r="1054" spans="1:1" ht="12.75" customHeight="1">
      <c r="A1054" s="129">
        <v>1054</v>
      </c>
    </row>
    <row r="1055" spans="1:1" ht="12.75" customHeight="1">
      <c r="A1055" s="129">
        <v>1055</v>
      </c>
    </row>
    <row r="1056" spans="1:1" ht="12.75" customHeight="1">
      <c r="A1056" s="129">
        <v>1056</v>
      </c>
    </row>
    <row r="1057" spans="1:1" ht="12.75" customHeight="1">
      <c r="A1057" s="129">
        <v>1057</v>
      </c>
    </row>
    <row r="1058" spans="1:1" ht="12.75" customHeight="1">
      <c r="A1058" s="129">
        <v>1058</v>
      </c>
    </row>
    <row r="1059" spans="1:1" ht="12.75" customHeight="1">
      <c r="A1059" s="129">
        <v>1059</v>
      </c>
    </row>
    <row r="1060" spans="1:1" ht="12.75" customHeight="1">
      <c r="A1060" s="129">
        <v>1060</v>
      </c>
    </row>
    <row r="1061" spans="1:1" ht="12.75" customHeight="1">
      <c r="A1061" s="129">
        <v>1061</v>
      </c>
    </row>
    <row r="1062" spans="1:1" ht="12.75" customHeight="1">
      <c r="A1062" s="129">
        <v>1062</v>
      </c>
    </row>
    <row r="1063" spans="1:1" ht="12.75" customHeight="1">
      <c r="A1063" s="129">
        <v>1063</v>
      </c>
    </row>
    <row r="1064" spans="1:1" ht="12.75" customHeight="1">
      <c r="A1064" s="129">
        <v>1064</v>
      </c>
    </row>
    <row r="1065" spans="1:1" ht="12.75" customHeight="1">
      <c r="A1065" s="129">
        <v>1065</v>
      </c>
    </row>
    <row r="1066" spans="1:1" ht="12.75" customHeight="1">
      <c r="A1066" s="129">
        <v>1066</v>
      </c>
    </row>
    <row r="1067" spans="1:1" ht="12.75" customHeight="1">
      <c r="A1067" s="129">
        <v>1067</v>
      </c>
    </row>
    <row r="1068" spans="1:1" ht="12.75" customHeight="1">
      <c r="A1068" s="129">
        <v>1068</v>
      </c>
    </row>
    <row r="1069" spans="1:1" ht="12.75" customHeight="1">
      <c r="A1069" s="129">
        <v>1069</v>
      </c>
    </row>
    <row r="1070" spans="1:1" ht="12.75" customHeight="1">
      <c r="A1070" s="129">
        <v>1070</v>
      </c>
    </row>
    <row r="1071" spans="1:1" ht="12.75" customHeight="1">
      <c r="A1071" s="129">
        <v>1071</v>
      </c>
    </row>
    <row r="1072" spans="1:1" ht="12.75" customHeight="1">
      <c r="A1072" s="129">
        <v>1072</v>
      </c>
    </row>
    <row r="1073" spans="1:1" ht="12.75" customHeight="1">
      <c r="A1073" s="129">
        <v>1073</v>
      </c>
    </row>
    <row r="1074" spans="1:1" ht="12.75" customHeight="1">
      <c r="A1074" s="129">
        <v>1074</v>
      </c>
    </row>
    <row r="1075" spans="1:1" ht="12.75" customHeight="1">
      <c r="A1075" s="129">
        <v>1075</v>
      </c>
    </row>
    <row r="1076" spans="1:1" ht="12.75" customHeight="1">
      <c r="A1076" s="129">
        <v>1076</v>
      </c>
    </row>
    <row r="1077" spans="1:1" ht="12.75" customHeight="1">
      <c r="A1077" s="129">
        <v>1077</v>
      </c>
    </row>
    <row r="1078" spans="1:1" ht="12.75" customHeight="1">
      <c r="A1078" s="129">
        <v>1078</v>
      </c>
    </row>
    <row r="1079" spans="1:1" ht="12.75" customHeight="1">
      <c r="A1079" s="129">
        <v>1079</v>
      </c>
    </row>
    <row r="1080" spans="1:1" ht="12.75" customHeight="1">
      <c r="A1080" s="129">
        <v>1080</v>
      </c>
    </row>
    <row r="1081" spans="1:1" ht="12.75" customHeight="1">
      <c r="A1081" s="129">
        <v>1081</v>
      </c>
    </row>
    <row r="1082" spans="1:1" ht="12.75" customHeight="1">
      <c r="A1082" s="129">
        <v>1082</v>
      </c>
    </row>
    <row r="1083" spans="1:1" ht="12.75" customHeight="1">
      <c r="A1083" s="129">
        <v>1083</v>
      </c>
    </row>
    <row r="1084" spans="1:1" ht="12.75" customHeight="1">
      <c r="A1084" s="129">
        <v>1084</v>
      </c>
    </row>
    <row r="1085" spans="1:1" ht="12.75" customHeight="1">
      <c r="A1085" s="129">
        <v>1085</v>
      </c>
    </row>
    <row r="1086" spans="1:1" ht="12.75" customHeight="1">
      <c r="A1086" s="129">
        <v>1086</v>
      </c>
    </row>
    <row r="1087" spans="1:1" ht="12.75" customHeight="1">
      <c r="A1087" s="129">
        <v>1087</v>
      </c>
    </row>
    <row r="1088" spans="1:1" ht="12.75" customHeight="1">
      <c r="A1088" s="129">
        <v>1088</v>
      </c>
    </row>
    <row r="1089" spans="1:1" ht="12.75" customHeight="1">
      <c r="A1089" s="129">
        <v>1089</v>
      </c>
    </row>
    <row r="1090" spans="1:1" ht="12.75" customHeight="1">
      <c r="A1090" s="129">
        <v>1090</v>
      </c>
    </row>
    <row r="1091" spans="1:1" ht="12.75" customHeight="1">
      <c r="A1091" s="129">
        <v>1091</v>
      </c>
    </row>
    <row r="1092" spans="1:1" ht="12.75" customHeight="1">
      <c r="A1092" s="129">
        <v>1092</v>
      </c>
    </row>
    <row r="1093" spans="1:1" ht="12.75" customHeight="1">
      <c r="A1093" s="129">
        <v>1093</v>
      </c>
    </row>
    <row r="1094" spans="1:1" ht="12.75" customHeight="1">
      <c r="A1094" s="129">
        <v>1094</v>
      </c>
    </row>
    <row r="1095" spans="1:1" ht="12.75" customHeight="1">
      <c r="A1095" s="129">
        <v>1095</v>
      </c>
    </row>
    <row r="1096" spans="1:1" ht="12.75" customHeight="1">
      <c r="A1096" s="129">
        <v>1096</v>
      </c>
    </row>
    <row r="1097" spans="1:1" ht="12.75" customHeight="1">
      <c r="A1097" s="129">
        <v>1097</v>
      </c>
    </row>
    <row r="1098" spans="1:1" ht="12.75" customHeight="1">
      <c r="A1098" s="129">
        <v>1098</v>
      </c>
    </row>
    <row r="1099" spans="1:1" ht="12.75" customHeight="1">
      <c r="A1099" s="129">
        <v>1099</v>
      </c>
    </row>
    <row r="1100" spans="1:1" ht="12.75" customHeight="1">
      <c r="A1100" s="129">
        <v>1100</v>
      </c>
    </row>
    <row r="1101" spans="1:1" ht="12.75" customHeight="1">
      <c r="A1101" s="129">
        <v>1101</v>
      </c>
    </row>
    <row r="1102" spans="1:1" ht="12.75" customHeight="1">
      <c r="A1102" s="129">
        <v>1102</v>
      </c>
    </row>
    <row r="1103" spans="1:1" ht="12.75" customHeight="1">
      <c r="A1103" s="129">
        <v>1103</v>
      </c>
    </row>
    <row r="1104" spans="1:1" ht="12.75" customHeight="1">
      <c r="A1104" s="129">
        <v>1104</v>
      </c>
    </row>
    <row r="1105" spans="1:1" ht="12.75" customHeight="1">
      <c r="A1105" s="129">
        <v>1105</v>
      </c>
    </row>
    <row r="1106" spans="1:1" ht="12.75" customHeight="1">
      <c r="A1106" s="129">
        <v>1106</v>
      </c>
    </row>
    <row r="1107" spans="1:1" ht="12.75" customHeight="1">
      <c r="A1107" s="129">
        <v>1107</v>
      </c>
    </row>
    <row r="1108" spans="1:1" ht="12.75" customHeight="1">
      <c r="A1108" s="129">
        <v>1108</v>
      </c>
    </row>
    <row r="1109" spans="1:1" ht="12.75" customHeight="1">
      <c r="A1109" s="129">
        <v>1109</v>
      </c>
    </row>
    <row r="1110" spans="1:1" ht="12.75" customHeight="1">
      <c r="A1110" s="129">
        <v>1110</v>
      </c>
    </row>
    <row r="1111" spans="1:1" ht="12.75" customHeight="1">
      <c r="A1111" s="129">
        <v>1111</v>
      </c>
    </row>
    <row r="1112" spans="1:1" ht="12.75" customHeight="1">
      <c r="A1112" s="129">
        <v>1112</v>
      </c>
    </row>
    <row r="1113" spans="1:1" ht="12.75" customHeight="1">
      <c r="A1113" s="129">
        <v>1113</v>
      </c>
    </row>
    <row r="1114" spans="1:1" ht="12.75" customHeight="1">
      <c r="A1114" s="129">
        <v>1114</v>
      </c>
    </row>
    <row r="1115" spans="1:1" ht="12.75" customHeight="1">
      <c r="A1115" s="129">
        <v>1115</v>
      </c>
    </row>
    <row r="1116" spans="1:1" ht="12.75" customHeight="1">
      <c r="A1116" s="129">
        <v>1116</v>
      </c>
    </row>
    <row r="1117" spans="1:1" ht="12.75" customHeight="1">
      <c r="A1117" s="129">
        <v>1117</v>
      </c>
    </row>
    <row r="1118" spans="1:1" ht="12.75" customHeight="1">
      <c r="A1118" s="129">
        <v>1118</v>
      </c>
    </row>
    <row r="1119" spans="1:1" ht="12.75" customHeight="1">
      <c r="A1119" s="129">
        <v>1119</v>
      </c>
    </row>
    <row r="1120" spans="1:1" ht="12.75" customHeight="1">
      <c r="A1120" s="129">
        <v>1120</v>
      </c>
    </row>
    <row r="1121" spans="1:1" ht="12.75" customHeight="1">
      <c r="A1121" s="129">
        <v>1121</v>
      </c>
    </row>
    <row r="1122" spans="1:1" ht="12.75" customHeight="1">
      <c r="A1122" s="129">
        <v>1122</v>
      </c>
    </row>
    <row r="1123" spans="1:1" ht="12.75" customHeight="1">
      <c r="A1123" s="129">
        <v>1123</v>
      </c>
    </row>
    <row r="1124" spans="1:1" ht="12.75" customHeight="1">
      <c r="A1124" s="129">
        <v>1124</v>
      </c>
    </row>
    <row r="1125" spans="1:1" ht="12.75" customHeight="1">
      <c r="A1125" s="129">
        <v>1125</v>
      </c>
    </row>
    <row r="1126" spans="1:1" ht="12.75" customHeight="1">
      <c r="A1126" s="129">
        <v>1126</v>
      </c>
    </row>
    <row r="1127" spans="1:1" ht="12.75" customHeight="1">
      <c r="A1127" s="129">
        <v>1127</v>
      </c>
    </row>
    <row r="1128" spans="1:1" ht="12.75" customHeight="1">
      <c r="A1128" s="129">
        <v>1128</v>
      </c>
    </row>
    <row r="1129" spans="1:1" ht="12.75" customHeight="1">
      <c r="A1129" s="129">
        <v>1129</v>
      </c>
    </row>
    <row r="1130" spans="1:1" ht="12.75" customHeight="1">
      <c r="A1130" s="129">
        <v>1130</v>
      </c>
    </row>
    <row r="1131" spans="1:1" ht="12.75" customHeight="1">
      <c r="A1131" s="129">
        <v>1131</v>
      </c>
    </row>
    <row r="1132" spans="1:1" ht="12.75" customHeight="1">
      <c r="A1132" s="129">
        <v>1132</v>
      </c>
    </row>
    <row r="1133" spans="1:1" ht="12.75" customHeight="1">
      <c r="A1133" s="129">
        <v>1133</v>
      </c>
    </row>
    <row r="1134" spans="1:1" ht="12.75" customHeight="1">
      <c r="A1134" s="129">
        <v>1134</v>
      </c>
    </row>
    <row r="1135" spans="1:1" ht="12.75" customHeight="1">
      <c r="A1135" s="129">
        <v>1135</v>
      </c>
    </row>
    <row r="1136" spans="1:1" ht="12.75" customHeight="1">
      <c r="A1136" s="129">
        <v>1136</v>
      </c>
    </row>
    <row r="1137" spans="1:1" ht="12.75" customHeight="1">
      <c r="A1137" s="129">
        <v>1137</v>
      </c>
    </row>
    <row r="1138" spans="1:1" ht="12.75" customHeight="1">
      <c r="A1138" s="129">
        <v>1138</v>
      </c>
    </row>
    <row r="1139" spans="1:1" ht="12.75" customHeight="1">
      <c r="A1139" s="129">
        <v>1139</v>
      </c>
    </row>
    <row r="1140" spans="1:1" ht="12.75" customHeight="1">
      <c r="A1140" s="129">
        <v>1140</v>
      </c>
    </row>
    <row r="1141" spans="1:1" ht="12.75" customHeight="1">
      <c r="A1141" s="129">
        <v>1141</v>
      </c>
    </row>
    <row r="1142" spans="1:1" ht="12.75" customHeight="1">
      <c r="A1142" s="129">
        <v>1142</v>
      </c>
    </row>
    <row r="1143" spans="1:1" ht="12.75" customHeight="1">
      <c r="A1143" s="129">
        <v>1143</v>
      </c>
    </row>
    <row r="1144" spans="1:1" ht="12.75" customHeight="1">
      <c r="A1144" s="129">
        <v>1144</v>
      </c>
    </row>
    <row r="1145" spans="1:1" ht="12.75" customHeight="1">
      <c r="A1145" s="129">
        <v>1145</v>
      </c>
    </row>
    <row r="1146" spans="1:1" ht="12.75" customHeight="1">
      <c r="A1146" s="129">
        <v>1146</v>
      </c>
    </row>
    <row r="1147" spans="1:1" ht="12.75" customHeight="1">
      <c r="A1147" s="129">
        <v>1147</v>
      </c>
    </row>
    <row r="1148" spans="1:1" ht="12.75" customHeight="1">
      <c r="A1148" s="129">
        <v>1148</v>
      </c>
    </row>
    <row r="1149" spans="1:1" ht="12.75" customHeight="1">
      <c r="A1149" s="129">
        <v>1149</v>
      </c>
    </row>
    <row r="1150" spans="1:1" ht="12.75" customHeight="1">
      <c r="A1150" s="129">
        <v>1150</v>
      </c>
    </row>
    <row r="1151" spans="1:1" ht="12.75" customHeight="1">
      <c r="A1151" s="129">
        <v>1151</v>
      </c>
    </row>
    <row r="1152" spans="1:1" ht="12.75" customHeight="1">
      <c r="A1152" s="129">
        <v>1152</v>
      </c>
    </row>
    <row r="1153" spans="1:1" ht="12.75" customHeight="1">
      <c r="A1153" s="129">
        <v>1153</v>
      </c>
    </row>
    <row r="1154" spans="1:1" ht="12.75" customHeight="1">
      <c r="A1154" s="129">
        <v>1154</v>
      </c>
    </row>
    <row r="1155" spans="1:1" ht="12.75" customHeight="1">
      <c r="A1155" s="129">
        <v>1155</v>
      </c>
    </row>
    <row r="1156" spans="1:1" ht="12.75" customHeight="1">
      <c r="A1156" s="129">
        <v>1156</v>
      </c>
    </row>
    <row r="1157" spans="1:1" ht="12.75" customHeight="1">
      <c r="A1157" s="129">
        <v>1157</v>
      </c>
    </row>
    <row r="1158" spans="1:1" ht="12.75" customHeight="1">
      <c r="A1158" s="129">
        <v>1158</v>
      </c>
    </row>
    <row r="1159" spans="1:1" ht="12.75" customHeight="1">
      <c r="A1159" s="129">
        <v>1159</v>
      </c>
    </row>
    <row r="1160" spans="1:1" ht="12.75" customHeight="1">
      <c r="A1160" s="129">
        <v>1160</v>
      </c>
    </row>
    <row r="1161" spans="1:1" ht="12.75" customHeight="1">
      <c r="A1161" s="129">
        <v>1161</v>
      </c>
    </row>
    <row r="1162" spans="1:1" ht="12.75" customHeight="1">
      <c r="A1162" s="129">
        <v>1162</v>
      </c>
    </row>
    <row r="1163" spans="1:1" ht="12.75" customHeight="1">
      <c r="A1163" s="129">
        <v>1163</v>
      </c>
    </row>
    <row r="1164" spans="1:1" ht="12.75" customHeight="1">
      <c r="A1164" s="129">
        <v>1164</v>
      </c>
    </row>
    <row r="1165" spans="1:1" ht="12.75" customHeight="1">
      <c r="A1165" s="129">
        <v>1165</v>
      </c>
    </row>
    <row r="1166" spans="1:1" ht="12.75" customHeight="1">
      <c r="A1166" s="129">
        <v>1166</v>
      </c>
    </row>
    <row r="1167" spans="1:1" ht="12.75" customHeight="1">
      <c r="A1167" s="129">
        <v>1167</v>
      </c>
    </row>
    <row r="1168" spans="1:1" ht="12.75" customHeight="1">
      <c r="A1168" s="129">
        <v>1168</v>
      </c>
    </row>
    <row r="1169" spans="1:1" ht="12.75" customHeight="1">
      <c r="A1169" s="129">
        <v>1169</v>
      </c>
    </row>
    <row r="1170" spans="1:1" ht="12.75" customHeight="1">
      <c r="A1170" s="129">
        <v>1170</v>
      </c>
    </row>
    <row r="1171" spans="1:1" ht="12.75" customHeight="1">
      <c r="A1171" s="129">
        <v>1171</v>
      </c>
    </row>
    <row r="1172" spans="1:1" ht="12.75" customHeight="1">
      <c r="A1172" s="129">
        <v>1172</v>
      </c>
    </row>
    <row r="1173" spans="1:1" ht="12.75" customHeight="1">
      <c r="A1173" s="129">
        <v>1173</v>
      </c>
    </row>
    <row r="1174" spans="1:1" ht="12.75" customHeight="1">
      <c r="A1174" s="129">
        <v>1174</v>
      </c>
    </row>
    <row r="1175" spans="1:1" ht="12.75" customHeight="1">
      <c r="A1175" s="129">
        <v>1175</v>
      </c>
    </row>
    <row r="1176" spans="1:1" ht="12.75" customHeight="1">
      <c r="A1176" s="129">
        <v>1176</v>
      </c>
    </row>
    <row r="1177" spans="1:1" ht="12.75" customHeight="1">
      <c r="A1177" s="129">
        <v>1177</v>
      </c>
    </row>
    <row r="1178" spans="1:1" ht="12.75" customHeight="1">
      <c r="A1178" s="129">
        <v>1178</v>
      </c>
    </row>
    <row r="1179" spans="1:1" ht="12.75" customHeight="1">
      <c r="A1179" s="129">
        <v>1179</v>
      </c>
    </row>
    <row r="1180" spans="1:1" ht="12.75" customHeight="1">
      <c r="A1180" s="129">
        <v>1180</v>
      </c>
    </row>
    <row r="1181" spans="1:1" ht="12.75" customHeight="1">
      <c r="A1181" s="129">
        <v>1181</v>
      </c>
    </row>
    <row r="1182" spans="1:1" ht="12.75" customHeight="1">
      <c r="A1182" s="129">
        <v>1182</v>
      </c>
    </row>
    <row r="1183" spans="1:1" ht="12.75" customHeight="1">
      <c r="A1183" s="129">
        <v>1183</v>
      </c>
    </row>
    <row r="1184" spans="1:1" ht="12.75" customHeight="1">
      <c r="A1184" s="129">
        <v>1184</v>
      </c>
    </row>
    <row r="1185" spans="1:1" ht="12.75" customHeight="1">
      <c r="A1185" s="129">
        <v>1185</v>
      </c>
    </row>
    <row r="1186" spans="1:1" ht="12.75" customHeight="1">
      <c r="A1186" s="129">
        <v>1186</v>
      </c>
    </row>
    <row r="1187" spans="1:1" ht="12.75" customHeight="1">
      <c r="A1187" s="129">
        <v>1187</v>
      </c>
    </row>
    <row r="1188" spans="1:1" ht="12.75" customHeight="1">
      <c r="A1188" s="129">
        <v>1188</v>
      </c>
    </row>
    <row r="1189" spans="1:1" ht="12.75" customHeight="1">
      <c r="A1189" s="129">
        <v>1189</v>
      </c>
    </row>
    <row r="1190" spans="1:1" ht="12.75" customHeight="1">
      <c r="A1190" s="129">
        <v>1190</v>
      </c>
    </row>
    <row r="1191" spans="1:1" ht="12.75" customHeight="1">
      <c r="A1191" s="129">
        <v>1191</v>
      </c>
    </row>
    <row r="1192" spans="1:1" ht="12.75" customHeight="1">
      <c r="A1192" s="129">
        <v>1192</v>
      </c>
    </row>
    <row r="1193" spans="1:1" ht="12.75" customHeight="1">
      <c r="A1193" s="129">
        <v>1193</v>
      </c>
    </row>
    <row r="1194" spans="1:1" ht="12.75" customHeight="1">
      <c r="A1194" s="129">
        <v>1194</v>
      </c>
    </row>
    <row r="1195" spans="1:1" ht="12.75" customHeight="1">
      <c r="A1195" s="129">
        <v>1195</v>
      </c>
    </row>
    <row r="1196" spans="1:1" ht="12.75" customHeight="1">
      <c r="A1196" s="129">
        <v>1196</v>
      </c>
    </row>
    <row r="1197" spans="1:1" ht="12.75" customHeight="1">
      <c r="A1197" s="129">
        <v>1197</v>
      </c>
    </row>
    <row r="1198" spans="1:1" ht="12.75" customHeight="1">
      <c r="A1198" s="129">
        <v>1198</v>
      </c>
    </row>
    <row r="1199" spans="1:1" ht="12.75" customHeight="1">
      <c r="A1199" s="129">
        <v>1199</v>
      </c>
    </row>
    <row r="1200" spans="1:1" ht="12.75" customHeight="1">
      <c r="A1200" s="129">
        <v>1200</v>
      </c>
    </row>
    <row r="1201" spans="1:1" ht="12.75" customHeight="1">
      <c r="A1201" s="129">
        <v>1201</v>
      </c>
    </row>
    <row r="1202" spans="1:1" ht="12.75" customHeight="1">
      <c r="A1202" s="129">
        <v>1202</v>
      </c>
    </row>
    <row r="1203" spans="1:1" ht="12.75" customHeight="1">
      <c r="A1203" s="129">
        <v>1203</v>
      </c>
    </row>
    <row r="1204" spans="1:1" ht="12.75" customHeight="1">
      <c r="A1204" s="129">
        <v>1204</v>
      </c>
    </row>
    <row r="1205" spans="1:1" ht="12.75" customHeight="1">
      <c r="A1205" s="129">
        <v>1205</v>
      </c>
    </row>
    <row r="1206" spans="1:1" ht="12.75" customHeight="1">
      <c r="A1206" s="129">
        <v>1206</v>
      </c>
    </row>
    <row r="1207" spans="1:1" ht="12.75" customHeight="1">
      <c r="A1207" s="129">
        <v>1207</v>
      </c>
    </row>
    <row r="1208" spans="1:1" ht="12.75" customHeight="1">
      <c r="A1208" s="129">
        <v>1208</v>
      </c>
    </row>
    <row r="1209" spans="1:1" ht="12.75" customHeight="1">
      <c r="A1209" s="129">
        <v>1209</v>
      </c>
    </row>
    <row r="1210" spans="1:1" ht="12.75" customHeight="1">
      <c r="A1210" s="129">
        <v>1210</v>
      </c>
    </row>
    <row r="1211" spans="1:1" ht="12.75" customHeight="1">
      <c r="A1211" s="129">
        <v>1211</v>
      </c>
    </row>
    <row r="1212" spans="1:1" ht="12.75" customHeight="1">
      <c r="A1212" s="129">
        <v>1212</v>
      </c>
    </row>
    <row r="1213" spans="1:1" ht="12.75" customHeight="1">
      <c r="A1213" s="129">
        <v>1213</v>
      </c>
    </row>
    <row r="1214" spans="1:1" ht="12.75" customHeight="1">
      <c r="A1214" s="129">
        <v>1214</v>
      </c>
    </row>
    <row r="1215" spans="1:1" ht="12.75" customHeight="1">
      <c r="A1215" s="129">
        <v>1215</v>
      </c>
    </row>
    <row r="1216" spans="1:1" ht="12.75" customHeight="1">
      <c r="A1216" s="129">
        <v>1216</v>
      </c>
    </row>
    <row r="1217" spans="1:1" ht="12.75" customHeight="1">
      <c r="A1217" s="129">
        <v>1217</v>
      </c>
    </row>
    <row r="1218" spans="1:1" ht="12.75" customHeight="1">
      <c r="A1218" s="129">
        <v>1218</v>
      </c>
    </row>
    <row r="1219" spans="1:1" ht="12.75" customHeight="1">
      <c r="A1219" s="129">
        <v>1219</v>
      </c>
    </row>
    <row r="1220" spans="1:1" ht="12.75" customHeight="1">
      <c r="A1220" s="129">
        <v>1220</v>
      </c>
    </row>
    <row r="1221" spans="1:1" ht="12.75" customHeight="1">
      <c r="A1221" s="129">
        <v>1221</v>
      </c>
    </row>
    <row r="1222" spans="1:1" ht="12.75" customHeight="1">
      <c r="A1222" s="129">
        <v>1222</v>
      </c>
    </row>
    <row r="1223" spans="1:1" ht="12.75" customHeight="1">
      <c r="A1223" s="129">
        <v>1223</v>
      </c>
    </row>
    <row r="1224" spans="1:1" ht="12.75" customHeight="1">
      <c r="A1224" s="129">
        <v>1224</v>
      </c>
    </row>
    <row r="1225" spans="1:1" ht="12.75" customHeight="1">
      <c r="A1225" s="129">
        <v>1225</v>
      </c>
    </row>
    <row r="1226" spans="1:1" ht="12.75" customHeight="1">
      <c r="A1226" s="129">
        <v>1226</v>
      </c>
    </row>
    <row r="1227" spans="1:1" ht="12.75" customHeight="1">
      <c r="A1227" s="129">
        <v>1227</v>
      </c>
    </row>
    <row r="1228" spans="1:1" ht="12.75" customHeight="1">
      <c r="A1228" s="129">
        <v>1228</v>
      </c>
    </row>
    <row r="1229" spans="1:1" ht="12.75" customHeight="1">
      <c r="A1229" s="129">
        <v>1229</v>
      </c>
    </row>
    <row r="1230" spans="1:1" ht="12.75" customHeight="1">
      <c r="A1230" s="129">
        <v>1230</v>
      </c>
    </row>
    <row r="1231" spans="1:1" ht="12.75" customHeight="1">
      <c r="A1231" s="129">
        <v>1231</v>
      </c>
    </row>
    <row r="1232" spans="1:1" ht="12.75" customHeight="1">
      <c r="A1232" s="129">
        <v>1232</v>
      </c>
    </row>
    <row r="1233" spans="1:1" ht="12.75" customHeight="1">
      <c r="A1233" s="129">
        <v>1233</v>
      </c>
    </row>
    <row r="1234" spans="1:1" ht="12.75" customHeight="1">
      <c r="A1234" s="129">
        <v>1234</v>
      </c>
    </row>
    <row r="1235" spans="1:1" ht="12.75" customHeight="1">
      <c r="A1235" s="129">
        <v>1235</v>
      </c>
    </row>
    <row r="1236" spans="1:1" ht="12.75" customHeight="1">
      <c r="A1236" s="129">
        <v>1236</v>
      </c>
    </row>
    <row r="1237" spans="1:1" ht="12.75" customHeight="1">
      <c r="A1237" s="129">
        <v>1237</v>
      </c>
    </row>
    <row r="1238" spans="1:1" ht="12.75" customHeight="1">
      <c r="A1238" s="129">
        <v>1238</v>
      </c>
    </row>
    <row r="1239" spans="1:1" ht="12.75" customHeight="1">
      <c r="A1239" s="129">
        <v>1239</v>
      </c>
    </row>
    <row r="1240" spans="1:1" ht="12.75" customHeight="1">
      <c r="A1240" s="129">
        <v>1240</v>
      </c>
    </row>
    <row r="1241" spans="1:1" ht="12.75" customHeight="1">
      <c r="A1241" s="129">
        <v>1241</v>
      </c>
    </row>
    <row r="1242" spans="1:1" ht="12.75" customHeight="1">
      <c r="A1242" s="129">
        <v>1242</v>
      </c>
    </row>
    <row r="1243" spans="1:1" ht="12.75" customHeight="1">
      <c r="A1243" s="129">
        <v>1243</v>
      </c>
    </row>
    <row r="1244" spans="1:1" ht="12.75" customHeight="1">
      <c r="A1244" s="129">
        <v>1244</v>
      </c>
    </row>
    <row r="1245" spans="1:1" ht="12.75" customHeight="1">
      <c r="A1245" s="129">
        <v>1245</v>
      </c>
    </row>
    <row r="1246" spans="1:1" ht="12.75" customHeight="1">
      <c r="A1246" s="129">
        <v>1246</v>
      </c>
    </row>
    <row r="1247" spans="1:1" ht="12.75" customHeight="1">
      <c r="A1247" s="129">
        <v>1247</v>
      </c>
    </row>
    <row r="1248" spans="1:1" ht="12.75" customHeight="1">
      <c r="A1248" s="129">
        <v>1248</v>
      </c>
    </row>
    <row r="1249" spans="1:1" ht="12.75" customHeight="1">
      <c r="A1249" s="129">
        <v>1249</v>
      </c>
    </row>
    <row r="1250" spans="1:1" ht="12.75" customHeight="1">
      <c r="A1250" s="129">
        <v>1250</v>
      </c>
    </row>
    <row r="1251" spans="1:1" ht="12.75" customHeight="1">
      <c r="A1251" s="129">
        <v>1251</v>
      </c>
    </row>
    <row r="1252" spans="1:1" ht="12.75" customHeight="1">
      <c r="A1252" s="129">
        <v>1252</v>
      </c>
    </row>
    <row r="1253" spans="1:1" ht="12.75" customHeight="1">
      <c r="A1253" s="129">
        <v>1253</v>
      </c>
    </row>
    <row r="1254" spans="1:1" ht="12.75" customHeight="1">
      <c r="A1254" s="129">
        <v>1254</v>
      </c>
    </row>
    <row r="1255" spans="1:1" ht="12.75" customHeight="1">
      <c r="A1255" s="129">
        <v>1255</v>
      </c>
    </row>
    <row r="1256" spans="1:1" ht="12.75" customHeight="1">
      <c r="A1256" s="129">
        <v>1256</v>
      </c>
    </row>
    <row r="1257" spans="1:1" ht="12.75" customHeight="1">
      <c r="A1257" s="129">
        <v>1257</v>
      </c>
    </row>
    <row r="1258" spans="1:1" ht="12.75" customHeight="1">
      <c r="A1258" s="129">
        <v>1258</v>
      </c>
    </row>
    <row r="1259" spans="1:1" ht="12.75" customHeight="1">
      <c r="A1259" s="129">
        <v>1259</v>
      </c>
    </row>
    <row r="1260" spans="1:1" ht="12.75" customHeight="1">
      <c r="A1260" s="129">
        <v>1260</v>
      </c>
    </row>
    <row r="1261" spans="1:1" ht="12.75" customHeight="1">
      <c r="A1261" s="129">
        <v>1261</v>
      </c>
    </row>
    <row r="1262" spans="1:1" ht="12.75" customHeight="1">
      <c r="A1262" s="129">
        <v>1262</v>
      </c>
    </row>
    <row r="1263" spans="1:1" ht="12.75" customHeight="1">
      <c r="A1263" s="129">
        <v>1263</v>
      </c>
    </row>
    <row r="1264" spans="1:1" ht="12.75" customHeight="1">
      <c r="A1264" s="129">
        <v>1264</v>
      </c>
    </row>
    <row r="1265" spans="1:1" ht="12.75" customHeight="1">
      <c r="A1265" s="129">
        <v>1265</v>
      </c>
    </row>
    <row r="1266" spans="1:1" ht="12.75" customHeight="1">
      <c r="A1266" s="129">
        <v>1266</v>
      </c>
    </row>
    <row r="1267" spans="1:1" ht="12.75" customHeight="1">
      <c r="A1267" s="129">
        <v>1267</v>
      </c>
    </row>
    <row r="1268" spans="1:1" ht="12.75" customHeight="1">
      <c r="A1268" s="129">
        <v>1268</v>
      </c>
    </row>
    <row r="1269" spans="1:1" ht="12.75" customHeight="1">
      <c r="A1269" s="129">
        <v>1269</v>
      </c>
    </row>
    <row r="1270" spans="1:1" ht="12.75" customHeight="1">
      <c r="A1270" s="129">
        <v>1270</v>
      </c>
    </row>
    <row r="1271" spans="1:1" ht="12.75" customHeight="1">
      <c r="A1271" s="129">
        <v>1271</v>
      </c>
    </row>
    <row r="1272" spans="1:1" ht="12.75" customHeight="1">
      <c r="A1272" s="129">
        <v>1272</v>
      </c>
    </row>
    <row r="1273" spans="1:1" ht="12.75" customHeight="1">
      <c r="A1273" s="129">
        <v>1273</v>
      </c>
    </row>
    <row r="1274" spans="1:1" ht="12.75" customHeight="1">
      <c r="A1274" s="129">
        <v>1274</v>
      </c>
    </row>
    <row r="1275" spans="1:1" ht="12.75" customHeight="1">
      <c r="A1275" s="129">
        <v>1275</v>
      </c>
    </row>
    <row r="1276" spans="1:1" ht="12.75" customHeight="1">
      <c r="A1276" s="129">
        <v>1276</v>
      </c>
    </row>
    <row r="1277" spans="1:1" ht="12.75" customHeight="1">
      <c r="A1277" s="129">
        <v>1277</v>
      </c>
    </row>
    <row r="1278" spans="1:1" ht="12.75" customHeight="1">
      <c r="A1278" s="129">
        <v>1278</v>
      </c>
    </row>
    <row r="1279" spans="1:1" ht="12.75" customHeight="1">
      <c r="A1279" s="129">
        <v>1279</v>
      </c>
    </row>
    <row r="1280" spans="1:1" ht="12.75" customHeight="1">
      <c r="A1280" s="129">
        <v>1280</v>
      </c>
    </row>
    <row r="1281" spans="1:1" ht="12.75" customHeight="1">
      <c r="A1281" s="129">
        <v>1281</v>
      </c>
    </row>
    <row r="1282" spans="1:1" ht="12.75" customHeight="1">
      <c r="A1282" s="129">
        <v>1282</v>
      </c>
    </row>
    <row r="1283" spans="1:1" ht="12.75" customHeight="1">
      <c r="A1283" s="129">
        <v>1283</v>
      </c>
    </row>
    <row r="1284" spans="1:1" ht="12.75" customHeight="1">
      <c r="A1284" s="129">
        <v>1284</v>
      </c>
    </row>
    <row r="1285" spans="1:1" ht="12.75" customHeight="1">
      <c r="A1285" s="129">
        <v>1285</v>
      </c>
    </row>
    <row r="1286" spans="1:1" ht="12.75" customHeight="1">
      <c r="A1286" s="129">
        <v>1286</v>
      </c>
    </row>
    <row r="1287" spans="1:1" ht="12.75" customHeight="1">
      <c r="A1287" s="129">
        <v>1287</v>
      </c>
    </row>
    <row r="1288" spans="1:1" ht="12.75" customHeight="1">
      <c r="A1288" s="129">
        <v>1288</v>
      </c>
    </row>
    <row r="1289" spans="1:1" ht="12.75" customHeight="1">
      <c r="A1289" s="129">
        <v>1289</v>
      </c>
    </row>
    <row r="1290" spans="1:1" ht="12.75" customHeight="1">
      <c r="A1290" s="129">
        <v>1290</v>
      </c>
    </row>
    <row r="1291" spans="1:1" ht="12.75" customHeight="1">
      <c r="A1291" s="129">
        <v>1291</v>
      </c>
    </row>
    <row r="1292" spans="1:1" ht="12.75" customHeight="1">
      <c r="A1292" s="129">
        <v>1292</v>
      </c>
    </row>
    <row r="1293" spans="1:1" ht="12.75" customHeight="1">
      <c r="A1293" s="129">
        <v>1293</v>
      </c>
    </row>
    <row r="1294" spans="1:1" ht="12.75" customHeight="1">
      <c r="A1294" s="129">
        <v>1294</v>
      </c>
    </row>
    <row r="1295" spans="1:1" ht="12.75" customHeight="1">
      <c r="A1295" s="129">
        <v>1295</v>
      </c>
    </row>
    <row r="1296" spans="1:1" ht="12.75" customHeight="1">
      <c r="A1296" s="129">
        <v>1296</v>
      </c>
    </row>
    <row r="1297" spans="1:1" ht="12.75" customHeight="1">
      <c r="A1297" s="129">
        <v>1297</v>
      </c>
    </row>
    <row r="1298" spans="1:1" ht="12.75" customHeight="1">
      <c r="A1298" s="129">
        <v>1298</v>
      </c>
    </row>
    <row r="1299" spans="1:1" ht="12.75" customHeight="1">
      <c r="A1299" s="129">
        <v>1299</v>
      </c>
    </row>
    <row r="1300" spans="1:1" ht="12.75" customHeight="1">
      <c r="A1300" s="129">
        <v>1300</v>
      </c>
    </row>
    <row r="1301" spans="1:1" ht="12.75" customHeight="1">
      <c r="A1301" s="129">
        <v>1301</v>
      </c>
    </row>
    <row r="1302" spans="1:1" ht="12.75" customHeight="1">
      <c r="A1302" s="129">
        <v>1302</v>
      </c>
    </row>
    <row r="1303" spans="1:1" ht="12.75" customHeight="1">
      <c r="A1303" s="129">
        <v>1303</v>
      </c>
    </row>
    <row r="1304" spans="1:1" ht="12.75" customHeight="1">
      <c r="A1304" s="129">
        <v>1304</v>
      </c>
    </row>
    <row r="1305" spans="1:1" ht="12.75" customHeight="1">
      <c r="A1305" s="129">
        <v>1305</v>
      </c>
    </row>
    <row r="1306" spans="1:1" ht="12.75" customHeight="1">
      <c r="A1306" s="129">
        <v>1306</v>
      </c>
    </row>
    <row r="1307" spans="1:1" ht="12.75" customHeight="1">
      <c r="A1307" s="129">
        <v>1307</v>
      </c>
    </row>
    <row r="1308" spans="1:1" ht="12.75" customHeight="1">
      <c r="A1308" s="129">
        <v>1308</v>
      </c>
    </row>
    <row r="1309" spans="1:1" ht="12.75" customHeight="1">
      <c r="A1309" s="129">
        <v>1309</v>
      </c>
    </row>
    <row r="1310" spans="1:1" ht="12.75" customHeight="1">
      <c r="A1310" s="129">
        <v>1310</v>
      </c>
    </row>
    <row r="1311" spans="1:1" ht="12.75" customHeight="1">
      <c r="A1311" s="129">
        <v>1311</v>
      </c>
    </row>
    <row r="1312" spans="1:1" ht="12.75" customHeight="1">
      <c r="A1312" s="129">
        <v>1312</v>
      </c>
    </row>
    <row r="1313" spans="1:1" ht="12.75" customHeight="1">
      <c r="A1313" s="129">
        <v>1313</v>
      </c>
    </row>
    <row r="1314" spans="1:1" ht="12.75" customHeight="1">
      <c r="A1314" s="129">
        <v>1314</v>
      </c>
    </row>
    <row r="1315" spans="1:1" ht="12.75" customHeight="1">
      <c r="A1315" s="129">
        <v>1315</v>
      </c>
    </row>
    <row r="1316" spans="1:1" ht="12.75" customHeight="1">
      <c r="A1316" s="129">
        <v>1316</v>
      </c>
    </row>
    <row r="1317" spans="1:1" ht="12.75" customHeight="1">
      <c r="A1317" s="129">
        <v>1317</v>
      </c>
    </row>
    <row r="1318" spans="1:1" ht="12.75" customHeight="1">
      <c r="A1318" s="129">
        <v>1318</v>
      </c>
    </row>
    <row r="1319" spans="1:1" ht="12.75" customHeight="1">
      <c r="A1319" s="129">
        <v>1319</v>
      </c>
    </row>
    <row r="1320" spans="1:1" ht="12.75" customHeight="1">
      <c r="A1320" s="129">
        <v>1320</v>
      </c>
    </row>
    <row r="1321" spans="1:1" ht="12.75" customHeight="1">
      <c r="A1321" s="129">
        <v>1321</v>
      </c>
    </row>
    <row r="1322" spans="1:1" ht="12.75" customHeight="1">
      <c r="A1322" s="129">
        <v>1322</v>
      </c>
    </row>
    <row r="1323" spans="1:1" ht="12.75" customHeight="1">
      <c r="A1323" s="129">
        <v>1323</v>
      </c>
    </row>
    <row r="1324" spans="1:1" ht="12.75" customHeight="1">
      <c r="A1324" s="129">
        <v>1324</v>
      </c>
    </row>
    <row r="1325" spans="1:1" ht="12.75" customHeight="1">
      <c r="A1325" s="129">
        <v>1325</v>
      </c>
    </row>
    <row r="1326" spans="1:1" ht="12.75" customHeight="1">
      <c r="A1326" s="129">
        <v>1326</v>
      </c>
    </row>
    <row r="1327" spans="1:1" ht="12.75" customHeight="1">
      <c r="A1327" s="129">
        <v>1327</v>
      </c>
    </row>
    <row r="1328" spans="1:1" ht="12.75" customHeight="1">
      <c r="A1328" s="129">
        <v>1328</v>
      </c>
    </row>
    <row r="1329" spans="1:1" ht="12.75" customHeight="1">
      <c r="A1329" s="129">
        <v>1329</v>
      </c>
    </row>
    <row r="1330" spans="1:1" ht="12.75" customHeight="1">
      <c r="A1330" s="129">
        <v>1330</v>
      </c>
    </row>
    <row r="1331" spans="1:1" ht="12.75" customHeight="1">
      <c r="A1331" s="129">
        <v>1331</v>
      </c>
    </row>
    <row r="1332" spans="1:1" ht="12.75" customHeight="1">
      <c r="A1332" s="129">
        <v>1332</v>
      </c>
    </row>
    <row r="1333" spans="1:1" ht="12.75" customHeight="1">
      <c r="A1333" s="129">
        <v>1333</v>
      </c>
    </row>
    <row r="1334" spans="1:1" ht="12.75" customHeight="1">
      <c r="A1334" s="129">
        <v>1334</v>
      </c>
    </row>
    <row r="1335" spans="1:1" ht="12.75" customHeight="1">
      <c r="A1335" s="129">
        <v>1335</v>
      </c>
    </row>
    <row r="1336" spans="1:1" ht="12.75" customHeight="1">
      <c r="A1336" s="129">
        <v>1336</v>
      </c>
    </row>
    <row r="1337" spans="1:1" ht="12.75" customHeight="1">
      <c r="A1337" s="129">
        <v>1337</v>
      </c>
    </row>
    <row r="1338" spans="1:1" ht="12.75" customHeight="1">
      <c r="A1338" s="129">
        <v>1338</v>
      </c>
    </row>
    <row r="1339" spans="1:1" ht="12.75" customHeight="1">
      <c r="A1339" s="129">
        <v>1339</v>
      </c>
    </row>
    <row r="1340" spans="1:1" ht="12.75" customHeight="1">
      <c r="A1340" s="129">
        <v>1340</v>
      </c>
    </row>
    <row r="1341" spans="1:1" ht="12.75" customHeight="1">
      <c r="A1341" s="129">
        <v>1341</v>
      </c>
    </row>
    <row r="1342" spans="1:1" ht="12.75" customHeight="1">
      <c r="A1342" s="129">
        <v>1342</v>
      </c>
    </row>
    <row r="1343" spans="1:1" ht="12.75" customHeight="1">
      <c r="A1343" s="129">
        <v>1343</v>
      </c>
    </row>
    <row r="1344" spans="1:1" ht="12.75" customHeight="1">
      <c r="A1344" s="129">
        <v>1344</v>
      </c>
    </row>
    <row r="1345" spans="1:1" ht="12.75" customHeight="1">
      <c r="A1345" s="129">
        <v>1345</v>
      </c>
    </row>
    <row r="1346" spans="1:1" ht="12.75" customHeight="1">
      <c r="A1346" s="129">
        <v>1346</v>
      </c>
    </row>
    <row r="1347" spans="1:1" ht="12.75" customHeight="1">
      <c r="A1347" s="129">
        <v>1347</v>
      </c>
    </row>
    <row r="1348" spans="1:1" ht="12.75" customHeight="1">
      <c r="A1348" s="129">
        <v>1348</v>
      </c>
    </row>
    <row r="1349" spans="1:1" ht="12.75" customHeight="1">
      <c r="A1349" s="129">
        <v>1349</v>
      </c>
    </row>
    <row r="1350" spans="1:1" ht="12.75" customHeight="1">
      <c r="A1350" s="129">
        <v>1350</v>
      </c>
    </row>
    <row r="1351" spans="1:1" ht="12.75" customHeight="1">
      <c r="A1351" s="129">
        <v>1351</v>
      </c>
    </row>
    <row r="1352" spans="1:1" ht="12.75" customHeight="1">
      <c r="A1352" s="129">
        <v>1352</v>
      </c>
    </row>
    <row r="1353" spans="1:1" ht="12.75" customHeight="1">
      <c r="A1353" s="129">
        <v>1353</v>
      </c>
    </row>
    <row r="1354" spans="1:1" ht="12.75" customHeight="1">
      <c r="A1354" s="129">
        <v>1354</v>
      </c>
    </row>
    <row r="1355" spans="1:1" ht="12.75" customHeight="1">
      <c r="A1355" s="129">
        <v>1355</v>
      </c>
    </row>
    <row r="1356" spans="1:1" ht="12.75" customHeight="1">
      <c r="A1356" s="129">
        <v>1356</v>
      </c>
    </row>
    <row r="1357" spans="1:1" ht="12.75" customHeight="1">
      <c r="A1357" s="129">
        <v>1357</v>
      </c>
    </row>
    <row r="1358" spans="1:1" ht="12.75" customHeight="1">
      <c r="A1358" s="129">
        <v>1358</v>
      </c>
    </row>
    <row r="1359" spans="1:1" ht="12.75" customHeight="1">
      <c r="A1359" s="129">
        <v>1359</v>
      </c>
    </row>
    <row r="1360" spans="1:1" ht="12.75" customHeight="1">
      <c r="A1360" s="129">
        <v>1360</v>
      </c>
    </row>
    <row r="1361" spans="1:1" ht="12.75" customHeight="1">
      <c r="A1361" s="129">
        <v>1361</v>
      </c>
    </row>
    <row r="1362" spans="1:1" ht="12.75" customHeight="1">
      <c r="A1362" s="129">
        <v>1362</v>
      </c>
    </row>
    <row r="1363" spans="1:1" ht="12.75" customHeight="1">
      <c r="A1363" s="129">
        <v>1363</v>
      </c>
    </row>
    <row r="1364" spans="1:1" ht="12.75" customHeight="1">
      <c r="A1364" s="129">
        <v>1364</v>
      </c>
    </row>
    <row r="1365" spans="1:1" ht="12.75" customHeight="1">
      <c r="A1365" s="129">
        <v>1365</v>
      </c>
    </row>
    <row r="1366" spans="1:1" ht="12.75" customHeight="1">
      <c r="A1366" s="129">
        <v>1366</v>
      </c>
    </row>
    <row r="1367" spans="1:1" ht="12.75" customHeight="1">
      <c r="A1367" s="129">
        <v>1367</v>
      </c>
    </row>
    <row r="1368" spans="1:1" ht="12.75" customHeight="1">
      <c r="A1368" s="129">
        <v>1368</v>
      </c>
    </row>
    <row r="1369" spans="1:1" ht="12.75" customHeight="1">
      <c r="A1369" s="129">
        <v>1369</v>
      </c>
    </row>
    <row r="1370" spans="1:1" ht="12.75" customHeight="1">
      <c r="A1370" s="129">
        <v>1370</v>
      </c>
    </row>
    <row r="1371" spans="1:1" ht="12.75" customHeight="1">
      <c r="A1371" s="129">
        <v>1371</v>
      </c>
    </row>
    <row r="1372" spans="1:1" ht="12.75" customHeight="1">
      <c r="A1372" s="129">
        <v>1372</v>
      </c>
    </row>
    <row r="1373" spans="1:1" ht="12.75" customHeight="1">
      <c r="A1373" s="129">
        <v>1373</v>
      </c>
    </row>
    <row r="1374" spans="1:1" ht="12.75" customHeight="1">
      <c r="A1374" s="129">
        <v>1374</v>
      </c>
    </row>
    <row r="1375" spans="1:1" ht="12.75" customHeight="1">
      <c r="A1375" s="129">
        <v>1375</v>
      </c>
    </row>
    <row r="1376" spans="1:1" ht="12.75" customHeight="1">
      <c r="A1376" s="129">
        <v>1376</v>
      </c>
    </row>
    <row r="1377" spans="1:1" ht="12.75" customHeight="1">
      <c r="A1377" s="129">
        <v>1377</v>
      </c>
    </row>
    <row r="1378" spans="1:1" ht="12.75" customHeight="1">
      <c r="A1378" s="129">
        <v>1378</v>
      </c>
    </row>
    <row r="1379" spans="1:1" ht="12.75" customHeight="1">
      <c r="A1379" s="129">
        <v>1379</v>
      </c>
    </row>
    <row r="1380" spans="1:1" ht="12.75" customHeight="1">
      <c r="A1380" s="129">
        <v>1380</v>
      </c>
    </row>
    <row r="1381" spans="1:1" ht="12.75" customHeight="1">
      <c r="A1381" s="129">
        <v>1381</v>
      </c>
    </row>
    <row r="1382" spans="1:1" ht="12.75" customHeight="1">
      <c r="A1382" s="129">
        <v>1382</v>
      </c>
    </row>
    <row r="1383" spans="1:1" ht="12.75" customHeight="1">
      <c r="A1383" s="129">
        <v>1383</v>
      </c>
    </row>
    <row r="1384" spans="1:1" ht="12.75" customHeight="1">
      <c r="A1384" s="129">
        <v>1384</v>
      </c>
    </row>
    <row r="1385" spans="1:1" ht="12.75" customHeight="1">
      <c r="A1385" s="129">
        <v>1385</v>
      </c>
    </row>
    <row r="1386" spans="1:1" ht="12.75" customHeight="1">
      <c r="A1386" s="129">
        <v>1386</v>
      </c>
    </row>
    <row r="1387" spans="1:1" ht="12.75" customHeight="1">
      <c r="A1387" s="129">
        <v>1387</v>
      </c>
    </row>
    <row r="1388" spans="1:1" ht="12.75" customHeight="1">
      <c r="A1388" s="129">
        <v>1388</v>
      </c>
    </row>
    <row r="1389" spans="1:1" ht="12.75" customHeight="1">
      <c r="A1389" s="129">
        <v>1389</v>
      </c>
    </row>
    <row r="1390" spans="1:1" ht="12.75" customHeight="1">
      <c r="A1390" s="129">
        <v>1390</v>
      </c>
    </row>
    <row r="1391" spans="1:1" ht="12.75" customHeight="1">
      <c r="A1391" s="129">
        <v>1391</v>
      </c>
    </row>
    <row r="1392" spans="1:1" ht="12.75" customHeight="1">
      <c r="A1392" s="129">
        <v>1392</v>
      </c>
    </row>
    <row r="1393" spans="1:1" ht="12.75" customHeight="1">
      <c r="A1393" s="129">
        <v>1393</v>
      </c>
    </row>
    <row r="1394" spans="1:1" ht="12.75" customHeight="1">
      <c r="A1394" s="129">
        <v>1394</v>
      </c>
    </row>
    <row r="1395" spans="1:1" ht="12.75" customHeight="1">
      <c r="A1395" s="129">
        <v>1395</v>
      </c>
    </row>
    <row r="1396" spans="1:1" ht="12.75" customHeight="1">
      <c r="A1396" s="129">
        <v>1396</v>
      </c>
    </row>
    <row r="1397" spans="1:1" ht="12.75" customHeight="1">
      <c r="A1397" s="129">
        <v>1397</v>
      </c>
    </row>
    <row r="1398" spans="1:1" ht="12.75" customHeight="1">
      <c r="A1398" s="129">
        <v>1398</v>
      </c>
    </row>
    <row r="1399" spans="1:1" ht="12.75" customHeight="1">
      <c r="A1399" s="129">
        <v>1399</v>
      </c>
    </row>
    <row r="1400" spans="1:1" ht="12.75" customHeight="1">
      <c r="A1400" s="129">
        <v>1400</v>
      </c>
    </row>
    <row r="1401" spans="1:1" ht="12.75" customHeight="1">
      <c r="A1401" s="129">
        <v>1401</v>
      </c>
    </row>
    <row r="1402" spans="1:1" ht="12.75" customHeight="1">
      <c r="A1402" s="129">
        <v>1402</v>
      </c>
    </row>
    <row r="1403" spans="1:1" ht="12.75" customHeight="1">
      <c r="A1403" s="129">
        <v>1403</v>
      </c>
    </row>
    <row r="1404" spans="1:1" ht="12.75" customHeight="1">
      <c r="A1404" s="129">
        <v>1404</v>
      </c>
    </row>
    <row r="1405" spans="1:1" ht="12.75" customHeight="1">
      <c r="A1405" s="129">
        <v>1405</v>
      </c>
    </row>
    <row r="1406" spans="1:1" ht="12.75" customHeight="1">
      <c r="A1406" s="129">
        <v>1406</v>
      </c>
    </row>
    <row r="1407" spans="1:1" ht="12.75" customHeight="1">
      <c r="A1407" s="129">
        <v>1407</v>
      </c>
    </row>
    <row r="1408" spans="1:1" ht="12.75" customHeight="1">
      <c r="A1408" s="129">
        <v>1408</v>
      </c>
    </row>
    <row r="1409" spans="1:1" ht="12.75" customHeight="1">
      <c r="A1409" s="129">
        <v>1409</v>
      </c>
    </row>
    <row r="1410" spans="1:1" ht="12.75" customHeight="1">
      <c r="A1410" s="129">
        <v>1410</v>
      </c>
    </row>
    <row r="1411" spans="1:1" ht="12.75" customHeight="1">
      <c r="A1411" s="129">
        <v>1411</v>
      </c>
    </row>
    <row r="1412" spans="1:1" ht="12.75" customHeight="1">
      <c r="A1412" s="129">
        <v>1412</v>
      </c>
    </row>
    <row r="1413" spans="1:1" ht="12.75" customHeight="1">
      <c r="A1413" s="129">
        <v>1413</v>
      </c>
    </row>
    <row r="1414" spans="1:1" ht="12.75" customHeight="1">
      <c r="A1414" s="129">
        <v>1414</v>
      </c>
    </row>
    <row r="1415" spans="1:1" ht="12.75" customHeight="1">
      <c r="A1415" s="129">
        <v>1415</v>
      </c>
    </row>
    <row r="1416" spans="1:1" ht="12.75" customHeight="1">
      <c r="A1416" s="129">
        <v>1416</v>
      </c>
    </row>
    <row r="1417" spans="1:1" ht="12.75" customHeight="1">
      <c r="A1417" s="129">
        <v>1417</v>
      </c>
    </row>
    <row r="1418" spans="1:1" ht="12.75" customHeight="1">
      <c r="A1418" s="129">
        <v>1418</v>
      </c>
    </row>
    <row r="1419" spans="1:1" ht="12.75" customHeight="1">
      <c r="A1419" s="129">
        <v>1419</v>
      </c>
    </row>
    <row r="1420" spans="1:1" ht="12.75" customHeight="1">
      <c r="A1420" s="129">
        <v>1420</v>
      </c>
    </row>
    <row r="1421" spans="1:1" ht="12.75" customHeight="1">
      <c r="A1421" s="129">
        <v>1421</v>
      </c>
    </row>
    <row r="1422" spans="1:1" ht="12.75" customHeight="1">
      <c r="A1422" s="129">
        <v>1422</v>
      </c>
    </row>
    <row r="1423" spans="1:1" ht="12.75" customHeight="1">
      <c r="A1423" s="129">
        <v>1423</v>
      </c>
    </row>
    <row r="1424" spans="1:1" ht="12.75" customHeight="1">
      <c r="A1424" s="129">
        <v>1424</v>
      </c>
    </row>
    <row r="1425" spans="1:1" ht="12.75" customHeight="1">
      <c r="A1425" s="129">
        <v>1425</v>
      </c>
    </row>
    <row r="1426" spans="1:1" ht="12.75" customHeight="1">
      <c r="A1426" s="129">
        <v>1426</v>
      </c>
    </row>
    <row r="1427" spans="1:1" ht="12.75" customHeight="1">
      <c r="A1427" s="129">
        <v>1427</v>
      </c>
    </row>
    <row r="1428" spans="1:1" ht="12.75" customHeight="1">
      <c r="A1428" s="129">
        <v>1428</v>
      </c>
    </row>
    <row r="1429" spans="1:1" ht="12.75" customHeight="1">
      <c r="A1429" s="129">
        <v>1429</v>
      </c>
    </row>
    <row r="1430" spans="1:1" ht="12.75" customHeight="1">
      <c r="A1430" s="129">
        <v>1430</v>
      </c>
    </row>
    <row r="1431" spans="1:1" ht="12.75" customHeight="1">
      <c r="A1431" s="129">
        <v>1431</v>
      </c>
    </row>
    <row r="1432" spans="1:1" ht="12.75" customHeight="1">
      <c r="A1432" s="129">
        <v>1432</v>
      </c>
    </row>
    <row r="1433" spans="1:1" ht="12.75" customHeight="1">
      <c r="A1433" s="129">
        <v>1433</v>
      </c>
    </row>
    <row r="1434" spans="1:1" ht="12.75" customHeight="1">
      <c r="A1434" s="129">
        <v>1434</v>
      </c>
    </row>
    <row r="1435" spans="1:1" ht="12.75" customHeight="1">
      <c r="A1435" s="129">
        <v>1435</v>
      </c>
    </row>
    <row r="1436" spans="1:1" ht="12.75" customHeight="1">
      <c r="A1436" s="129">
        <v>1436</v>
      </c>
    </row>
    <row r="1437" spans="1:1" ht="12.75" customHeight="1">
      <c r="A1437" s="129">
        <v>1437</v>
      </c>
    </row>
    <row r="1438" spans="1:1" ht="12.75" customHeight="1">
      <c r="A1438" s="129">
        <v>1438</v>
      </c>
    </row>
    <row r="1439" spans="1:1" ht="12.75" customHeight="1">
      <c r="A1439" s="129">
        <v>1439</v>
      </c>
    </row>
    <row r="1440" spans="1:1" ht="12.75" customHeight="1">
      <c r="A1440" s="129">
        <v>1440</v>
      </c>
    </row>
    <row r="1441" spans="1:1" ht="12.75" customHeight="1">
      <c r="A1441" s="129">
        <v>1441</v>
      </c>
    </row>
    <row r="1442" spans="1:1" ht="12.75" customHeight="1">
      <c r="A1442" s="129">
        <v>1442</v>
      </c>
    </row>
    <row r="1443" spans="1:1" ht="12.75" customHeight="1">
      <c r="A1443" s="129">
        <v>1443</v>
      </c>
    </row>
    <row r="1444" spans="1:1" ht="12.75" customHeight="1">
      <c r="A1444" s="129">
        <v>1444</v>
      </c>
    </row>
    <row r="1445" spans="1:1" ht="12.75" customHeight="1">
      <c r="A1445" s="129">
        <v>1445</v>
      </c>
    </row>
    <row r="1446" spans="1:1" ht="12.75" customHeight="1">
      <c r="A1446" s="129">
        <v>1446</v>
      </c>
    </row>
    <row r="1447" spans="1:1" ht="12.75" customHeight="1">
      <c r="A1447" s="129">
        <v>1447</v>
      </c>
    </row>
    <row r="1448" spans="1:1" ht="12.75" customHeight="1">
      <c r="A1448" s="129">
        <v>1448</v>
      </c>
    </row>
    <row r="1449" spans="1:1" ht="12.75" customHeight="1">
      <c r="A1449" s="129">
        <v>1449</v>
      </c>
    </row>
    <row r="1450" spans="1:1" ht="12.75" customHeight="1">
      <c r="A1450" s="129">
        <v>1450</v>
      </c>
    </row>
    <row r="1451" spans="1:1" ht="12.75" customHeight="1">
      <c r="A1451" s="129">
        <v>1451</v>
      </c>
    </row>
    <row r="1452" spans="1:1" ht="12.75" customHeight="1">
      <c r="A1452" s="129">
        <v>1452</v>
      </c>
    </row>
    <row r="1453" spans="1:1" ht="12.75" customHeight="1">
      <c r="A1453" s="129">
        <v>1453</v>
      </c>
    </row>
    <row r="1454" spans="1:1" ht="12.75" customHeight="1">
      <c r="A1454" s="129">
        <v>1454</v>
      </c>
    </row>
    <row r="1455" spans="1:1" ht="12.75" customHeight="1">
      <c r="A1455" s="129">
        <v>1455</v>
      </c>
    </row>
    <row r="1456" spans="1:1" ht="12.75" customHeight="1">
      <c r="A1456" s="129">
        <v>1456</v>
      </c>
    </row>
    <row r="1457" spans="1:1" ht="12.75" customHeight="1">
      <c r="A1457" s="129">
        <v>1457</v>
      </c>
    </row>
    <row r="1458" spans="1:1" ht="12.75" customHeight="1">
      <c r="A1458" s="129">
        <v>1458</v>
      </c>
    </row>
    <row r="1459" spans="1:1" ht="12.75" customHeight="1">
      <c r="A1459" s="129">
        <v>1459</v>
      </c>
    </row>
    <row r="1460" spans="1:1" ht="12.75" customHeight="1">
      <c r="A1460" s="129">
        <v>1460</v>
      </c>
    </row>
    <row r="1461" spans="1:1" ht="12.75" customHeight="1">
      <c r="A1461" s="129">
        <v>1461</v>
      </c>
    </row>
    <row r="1462" spans="1:1" ht="12.75" customHeight="1">
      <c r="A1462" s="129">
        <v>1462</v>
      </c>
    </row>
    <row r="1463" spans="1:1" ht="12.75" customHeight="1">
      <c r="A1463" s="129">
        <v>1463</v>
      </c>
    </row>
    <row r="1464" spans="1:1" ht="12.75" customHeight="1">
      <c r="A1464" s="129">
        <v>1464</v>
      </c>
    </row>
    <row r="1465" spans="1:1" ht="12.75" customHeight="1">
      <c r="A1465" s="129">
        <v>1465</v>
      </c>
    </row>
    <row r="1466" spans="1:1" ht="12.75" customHeight="1">
      <c r="A1466" s="129">
        <v>1466</v>
      </c>
    </row>
    <row r="1467" spans="1:1" ht="12.75" customHeight="1">
      <c r="A1467" s="129">
        <v>1467</v>
      </c>
    </row>
    <row r="1468" spans="1:1" ht="12.75" customHeight="1">
      <c r="A1468" s="129">
        <v>1468</v>
      </c>
    </row>
    <row r="1469" spans="1:1" ht="12.75" customHeight="1">
      <c r="A1469" s="129">
        <v>1469</v>
      </c>
    </row>
    <row r="1470" spans="1:1" ht="12.75" customHeight="1">
      <c r="A1470" s="129">
        <v>1470</v>
      </c>
    </row>
    <row r="1471" spans="1:1" ht="12.75" customHeight="1">
      <c r="A1471" s="129">
        <v>1471</v>
      </c>
    </row>
    <row r="1472" spans="1:1" ht="12.75" customHeight="1">
      <c r="A1472" s="129">
        <v>1472</v>
      </c>
    </row>
    <row r="1473" spans="1:1" ht="12.75" customHeight="1">
      <c r="A1473" s="129">
        <v>1473</v>
      </c>
    </row>
    <row r="1474" spans="1:1" ht="12.75" customHeight="1">
      <c r="A1474" s="129">
        <v>1474</v>
      </c>
    </row>
    <row r="1475" spans="1:1" ht="12.75" customHeight="1">
      <c r="A1475" s="129">
        <v>1475</v>
      </c>
    </row>
    <row r="1476" spans="1:1" ht="12.75" customHeight="1">
      <c r="A1476" s="129">
        <v>1476</v>
      </c>
    </row>
    <row r="1477" spans="1:1" ht="12.75" customHeight="1">
      <c r="A1477" s="129">
        <v>1477</v>
      </c>
    </row>
    <row r="1478" spans="1:1" ht="12.75" customHeight="1">
      <c r="A1478" s="129">
        <v>1478</v>
      </c>
    </row>
    <row r="1479" spans="1:1" ht="12.75" customHeight="1">
      <c r="A1479" s="129">
        <v>1479</v>
      </c>
    </row>
    <row r="1480" spans="1:1" ht="12.75" customHeight="1">
      <c r="A1480" s="129">
        <v>1480</v>
      </c>
    </row>
    <row r="1481" spans="1:1" ht="12.75" customHeight="1">
      <c r="A1481" s="129">
        <v>1481</v>
      </c>
    </row>
    <row r="1482" spans="1:1" ht="12.75" customHeight="1">
      <c r="A1482" s="129">
        <v>1482</v>
      </c>
    </row>
    <row r="1483" spans="1:1" ht="12.75" customHeight="1">
      <c r="A1483" s="129">
        <v>1483</v>
      </c>
    </row>
    <row r="1484" spans="1:1" ht="12.75" customHeight="1">
      <c r="A1484" s="129">
        <v>1484</v>
      </c>
    </row>
    <row r="1485" spans="1:1" ht="12.75" customHeight="1">
      <c r="A1485" s="129">
        <v>1485</v>
      </c>
    </row>
    <row r="1486" spans="1:1" ht="12.75" customHeight="1">
      <c r="A1486" s="129">
        <v>1486</v>
      </c>
    </row>
    <row r="1487" spans="1:1" ht="12.75" customHeight="1">
      <c r="A1487" s="129">
        <v>1487</v>
      </c>
    </row>
    <row r="1488" spans="1:1" ht="12.75" customHeight="1">
      <c r="A1488" s="129">
        <v>1488</v>
      </c>
    </row>
    <row r="1489" spans="1:1" ht="12.75" customHeight="1">
      <c r="A1489" s="129">
        <v>1489</v>
      </c>
    </row>
    <row r="1490" spans="1:1" ht="12.75" customHeight="1">
      <c r="A1490" s="129">
        <v>1490</v>
      </c>
    </row>
    <row r="1491" spans="1:1" ht="12.75" customHeight="1">
      <c r="A1491" s="129">
        <v>1491</v>
      </c>
    </row>
    <row r="1492" spans="1:1" ht="12.75" customHeight="1">
      <c r="A1492" s="129">
        <v>1492</v>
      </c>
    </row>
    <row r="1493" spans="1:1" ht="12.75" customHeight="1">
      <c r="A1493" s="129">
        <v>1493</v>
      </c>
    </row>
    <row r="1494" spans="1:1" ht="12.75" customHeight="1">
      <c r="A1494" s="129">
        <v>1494</v>
      </c>
    </row>
    <row r="1495" spans="1:1" ht="12.75" customHeight="1">
      <c r="A1495" s="129">
        <v>1495</v>
      </c>
    </row>
    <row r="1496" spans="1:1" ht="12.75" customHeight="1">
      <c r="A1496" s="129">
        <v>1496</v>
      </c>
    </row>
    <row r="1497" spans="1:1" ht="12.75" customHeight="1">
      <c r="A1497" s="129">
        <v>1497</v>
      </c>
    </row>
    <row r="1498" spans="1:1" ht="12.75" customHeight="1">
      <c r="A1498" s="129">
        <v>1498</v>
      </c>
    </row>
    <row r="1499" spans="1:1" ht="12.75" customHeight="1">
      <c r="A1499" s="129">
        <v>1499</v>
      </c>
    </row>
    <row r="1500" spans="1:1" ht="12.75" customHeight="1">
      <c r="A1500" s="129">
        <v>1500</v>
      </c>
    </row>
    <row r="1501" spans="1:1" ht="12.75" customHeight="1">
      <c r="A1501" s="129">
        <v>1501</v>
      </c>
    </row>
    <row r="1502" spans="1:1" ht="12.75" customHeight="1">
      <c r="A1502" s="129">
        <v>1502</v>
      </c>
    </row>
    <row r="1503" spans="1:1" ht="12.75" customHeight="1">
      <c r="A1503" s="129">
        <v>1503</v>
      </c>
    </row>
    <row r="1504" spans="1:1" ht="12.75" customHeight="1">
      <c r="A1504" s="129">
        <v>1504</v>
      </c>
    </row>
    <row r="1505" spans="1:1" ht="12.75" customHeight="1">
      <c r="A1505" s="129">
        <v>1505</v>
      </c>
    </row>
    <row r="1506" spans="1:1" ht="12.75" customHeight="1">
      <c r="A1506" s="129">
        <v>1506</v>
      </c>
    </row>
    <row r="1507" spans="1:1" ht="12.75" customHeight="1">
      <c r="A1507" s="129">
        <v>1507</v>
      </c>
    </row>
    <row r="1508" spans="1:1" ht="12.75" customHeight="1">
      <c r="A1508" s="129">
        <v>1508</v>
      </c>
    </row>
    <row r="1509" spans="1:1" ht="12.75" customHeight="1">
      <c r="A1509" s="129">
        <v>1509</v>
      </c>
    </row>
    <row r="1510" spans="1:1" ht="12.75" customHeight="1">
      <c r="A1510" s="129">
        <v>1510</v>
      </c>
    </row>
    <row r="1511" spans="1:1" ht="12.75" customHeight="1">
      <c r="A1511" s="129">
        <v>1511</v>
      </c>
    </row>
    <row r="1512" spans="1:1" ht="12.75" customHeight="1">
      <c r="A1512" s="129">
        <v>1512</v>
      </c>
    </row>
    <row r="1513" spans="1:1" ht="12.75" customHeight="1">
      <c r="A1513" s="129">
        <v>1513</v>
      </c>
    </row>
    <row r="1514" spans="1:1" ht="12.75" customHeight="1">
      <c r="A1514" s="129">
        <v>1514</v>
      </c>
    </row>
    <row r="1515" spans="1:1" ht="12.75" customHeight="1">
      <c r="A1515" s="129">
        <v>1515</v>
      </c>
    </row>
    <row r="1516" spans="1:1" ht="12.75" customHeight="1">
      <c r="A1516" s="129">
        <v>1516</v>
      </c>
    </row>
    <row r="1517" spans="1:1" ht="12.75" customHeight="1">
      <c r="A1517" s="129">
        <v>1517</v>
      </c>
    </row>
    <row r="1518" spans="1:1" ht="12.75" customHeight="1">
      <c r="A1518" s="129">
        <v>1518</v>
      </c>
    </row>
    <row r="1519" spans="1:1" ht="12.75" customHeight="1">
      <c r="A1519" s="129">
        <v>1519</v>
      </c>
    </row>
    <row r="1520" spans="1:1" ht="12.75" customHeight="1">
      <c r="A1520" s="129">
        <v>1520</v>
      </c>
    </row>
    <row r="1521" spans="1:1" ht="12.75" customHeight="1">
      <c r="A1521" s="129">
        <v>1521</v>
      </c>
    </row>
    <row r="1522" spans="1:1" ht="12.75" customHeight="1">
      <c r="A1522" s="129">
        <v>1522</v>
      </c>
    </row>
    <row r="1523" spans="1:1" ht="12.75" customHeight="1">
      <c r="A1523" s="129">
        <v>1523</v>
      </c>
    </row>
    <row r="1524" spans="1:1" ht="12.75" customHeight="1">
      <c r="A1524" s="129">
        <v>1524</v>
      </c>
    </row>
    <row r="1525" spans="1:1" ht="12.75" customHeight="1">
      <c r="A1525" s="129">
        <v>1525</v>
      </c>
    </row>
    <row r="1526" spans="1:1" ht="12.75" customHeight="1">
      <c r="A1526" s="129">
        <v>1526</v>
      </c>
    </row>
    <row r="1527" spans="1:1" ht="12.75" customHeight="1">
      <c r="A1527" s="129">
        <v>1527</v>
      </c>
    </row>
    <row r="1528" spans="1:1" ht="12.75" customHeight="1">
      <c r="A1528" s="129">
        <v>1528</v>
      </c>
    </row>
    <row r="1529" spans="1:1" ht="12.75" customHeight="1">
      <c r="A1529" s="129">
        <v>1529</v>
      </c>
    </row>
    <row r="1530" spans="1:1" ht="12.75" customHeight="1">
      <c r="A1530" s="129">
        <v>1530</v>
      </c>
    </row>
    <row r="1531" spans="1:1" ht="12.75" customHeight="1">
      <c r="A1531" s="129">
        <v>1531</v>
      </c>
    </row>
    <row r="1532" spans="1:1" ht="12.75" customHeight="1">
      <c r="A1532" s="129">
        <v>1532</v>
      </c>
    </row>
    <row r="1533" spans="1:1" ht="12.75" customHeight="1">
      <c r="A1533" s="129">
        <v>1533</v>
      </c>
    </row>
    <row r="1534" spans="1:1" ht="12.75" customHeight="1">
      <c r="A1534" s="129">
        <v>1534</v>
      </c>
    </row>
    <row r="1535" spans="1:1" ht="12.75" customHeight="1">
      <c r="A1535" s="129">
        <v>1535</v>
      </c>
    </row>
    <row r="1536" spans="1:1" ht="12.75" customHeight="1">
      <c r="A1536" s="129">
        <v>1536</v>
      </c>
    </row>
    <row r="1537" spans="1:1" ht="12.75" customHeight="1">
      <c r="A1537" s="129">
        <v>1537</v>
      </c>
    </row>
    <row r="1538" spans="1:1" ht="12.75" customHeight="1">
      <c r="A1538" s="129">
        <v>1538</v>
      </c>
    </row>
    <row r="1539" spans="1:1" ht="12.75" customHeight="1">
      <c r="A1539" s="129">
        <v>1539</v>
      </c>
    </row>
    <row r="1540" spans="1:1" ht="12.75" customHeight="1">
      <c r="A1540" s="129">
        <v>1540</v>
      </c>
    </row>
    <row r="1541" spans="1:1" ht="12.75" customHeight="1">
      <c r="A1541" s="129">
        <v>1541</v>
      </c>
    </row>
    <row r="1542" spans="1:1" ht="12.75" customHeight="1">
      <c r="A1542" s="129">
        <v>1542</v>
      </c>
    </row>
    <row r="1543" spans="1:1" ht="12.75" customHeight="1">
      <c r="A1543" s="129">
        <v>1543</v>
      </c>
    </row>
    <row r="1544" spans="1:1" ht="12.75" customHeight="1">
      <c r="A1544" s="129">
        <v>1544</v>
      </c>
    </row>
    <row r="1545" spans="1:1" ht="12.75" customHeight="1">
      <c r="A1545" s="129">
        <v>1545</v>
      </c>
    </row>
    <row r="1546" spans="1:1" ht="12.75" customHeight="1">
      <c r="A1546" s="129">
        <v>1546</v>
      </c>
    </row>
    <row r="1547" spans="1:1" ht="12.75" customHeight="1">
      <c r="A1547" s="129">
        <v>1547</v>
      </c>
    </row>
    <row r="1548" spans="1:1" ht="12.75" customHeight="1">
      <c r="A1548" s="129">
        <v>1548</v>
      </c>
    </row>
    <row r="1549" spans="1:1" ht="12.75" customHeight="1">
      <c r="A1549" s="129">
        <v>1549</v>
      </c>
    </row>
    <row r="1550" spans="1:1" ht="12.75" customHeight="1">
      <c r="A1550" s="129">
        <v>1550</v>
      </c>
    </row>
    <row r="1551" spans="1:1" ht="12.75" customHeight="1">
      <c r="A1551" s="129">
        <v>1551</v>
      </c>
    </row>
    <row r="1552" spans="1:1" ht="12.75" customHeight="1">
      <c r="A1552" s="129">
        <v>1552</v>
      </c>
    </row>
    <row r="1553" spans="1:1" ht="12.75" customHeight="1">
      <c r="A1553" s="129">
        <v>1553</v>
      </c>
    </row>
    <row r="1554" spans="1:1" ht="12.75" customHeight="1">
      <c r="A1554" s="129">
        <v>1554</v>
      </c>
    </row>
    <row r="1555" spans="1:1" ht="12.75" customHeight="1">
      <c r="A1555" s="129">
        <v>1555</v>
      </c>
    </row>
    <row r="1556" spans="1:1" ht="12.75" customHeight="1">
      <c r="A1556" s="129">
        <v>1556</v>
      </c>
    </row>
    <row r="1557" spans="1:1" ht="12.75" customHeight="1">
      <c r="A1557" s="129">
        <v>1557</v>
      </c>
    </row>
    <row r="1558" spans="1:1" ht="12.75" customHeight="1">
      <c r="A1558" s="129">
        <v>1558</v>
      </c>
    </row>
    <row r="1559" spans="1:1" ht="12.75" customHeight="1">
      <c r="A1559" s="129">
        <v>1559</v>
      </c>
    </row>
    <row r="1560" spans="1:1" ht="12.75" customHeight="1">
      <c r="A1560" s="129">
        <v>1560</v>
      </c>
    </row>
    <row r="1561" spans="1:1" ht="12.75" customHeight="1">
      <c r="A1561" s="129">
        <v>1561</v>
      </c>
    </row>
    <row r="1562" spans="1:1" ht="12.75" customHeight="1">
      <c r="A1562" s="129">
        <v>1562</v>
      </c>
    </row>
    <row r="1563" spans="1:1" ht="12.75" customHeight="1">
      <c r="A1563" s="129">
        <v>1563</v>
      </c>
    </row>
    <row r="1564" spans="1:1" ht="12.75" customHeight="1">
      <c r="A1564" s="129">
        <v>1564</v>
      </c>
    </row>
    <row r="1565" spans="1:1" ht="12.75" customHeight="1">
      <c r="A1565" s="129">
        <v>1565</v>
      </c>
    </row>
    <row r="1566" spans="1:1" ht="12.75" customHeight="1">
      <c r="A1566" s="129">
        <v>1566</v>
      </c>
    </row>
    <row r="1567" spans="1:1" ht="12.75" customHeight="1">
      <c r="A1567" s="129">
        <v>1567</v>
      </c>
    </row>
    <row r="1568" spans="1:1" ht="12.75" customHeight="1">
      <c r="A1568" s="129">
        <v>1568</v>
      </c>
    </row>
    <row r="1569" spans="1:1" ht="12.75" customHeight="1">
      <c r="A1569" s="129">
        <v>1569</v>
      </c>
    </row>
    <row r="1570" spans="1:1" ht="12.75" customHeight="1">
      <c r="A1570" s="129">
        <v>1570</v>
      </c>
    </row>
    <row r="1571" spans="1:1" ht="12.75" customHeight="1">
      <c r="A1571" s="129">
        <v>1571</v>
      </c>
    </row>
    <row r="1572" spans="1:1" ht="12.75" customHeight="1">
      <c r="A1572" s="129">
        <v>1572</v>
      </c>
    </row>
    <row r="1573" spans="1:1" ht="12.75" customHeight="1">
      <c r="A1573" s="129">
        <v>1573</v>
      </c>
    </row>
    <row r="1574" spans="1:1" ht="12.75" customHeight="1">
      <c r="A1574" s="129">
        <v>1574</v>
      </c>
    </row>
    <row r="1575" spans="1:1" ht="12.75" customHeight="1">
      <c r="A1575" s="129">
        <v>1575</v>
      </c>
    </row>
    <row r="1576" spans="1:1" ht="12.75" customHeight="1">
      <c r="A1576" s="129">
        <v>1576</v>
      </c>
    </row>
    <row r="1577" spans="1:1" ht="12.75" customHeight="1">
      <c r="A1577" s="129">
        <v>1577</v>
      </c>
    </row>
    <row r="1578" spans="1:1" ht="12.75" customHeight="1">
      <c r="A1578" s="129">
        <v>1578</v>
      </c>
    </row>
    <row r="1579" spans="1:1" ht="12.75" customHeight="1">
      <c r="A1579" s="129">
        <v>1579</v>
      </c>
    </row>
    <row r="1580" spans="1:1" ht="12.75" customHeight="1">
      <c r="A1580" s="129">
        <v>1580</v>
      </c>
    </row>
    <row r="1581" spans="1:1" ht="12.75" customHeight="1">
      <c r="A1581" s="129">
        <v>1581</v>
      </c>
    </row>
    <row r="1582" spans="1:1" ht="12.75" customHeight="1">
      <c r="A1582" s="129">
        <v>1582</v>
      </c>
    </row>
    <row r="1583" spans="1:1" ht="12.75" customHeight="1">
      <c r="A1583" s="129">
        <v>1583</v>
      </c>
    </row>
    <row r="1584" spans="1:1" ht="12.75" customHeight="1">
      <c r="A1584" s="129">
        <v>1584</v>
      </c>
    </row>
    <row r="1585" spans="1:1" ht="12.75" customHeight="1">
      <c r="A1585" s="129">
        <v>1585</v>
      </c>
    </row>
    <row r="1586" spans="1:1" ht="12.75" customHeight="1">
      <c r="A1586" s="129">
        <v>1586</v>
      </c>
    </row>
    <row r="1587" spans="1:1" ht="12.75" customHeight="1">
      <c r="A1587" s="129">
        <v>1587</v>
      </c>
    </row>
    <row r="1588" spans="1:1" ht="12.75" customHeight="1">
      <c r="A1588" s="129">
        <v>1588</v>
      </c>
    </row>
    <row r="1589" spans="1:1" ht="12.75" customHeight="1">
      <c r="A1589" s="129">
        <v>1589</v>
      </c>
    </row>
    <row r="1590" spans="1:1" ht="12.75" customHeight="1">
      <c r="A1590" s="129">
        <v>1590</v>
      </c>
    </row>
    <row r="1591" spans="1:1" ht="12.75" customHeight="1">
      <c r="A1591" s="129">
        <v>1591</v>
      </c>
    </row>
    <row r="1592" spans="1:1" ht="12.75" customHeight="1">
      <c r="A1592" s="129">
        <v>1592</v>
      </c>
    </row>
    <row r="1593" spans="1:1" ht="12.75" customHeight="1">
      <c r="A1593" s="129">
        <v>1593</v>
      </c>
    </row>
    <row r="1594" spans="1:1" ht="12.75" customHeight="1">
      <c r="A1594" s="129">
        <v>1594</v>
      </c>
    </row>
    <row r="1595" spans="1:1" ht="12.75" customHeight="1">
      <c r="A1595" s="129">
        <v>1595</v>
      </c>
    </row>
    <row r="1596" spans="1:1" ht="12.75" customHeight="1">
      <c r="A1596" s="129">
        <v>1596</v>
      </c>
    </row>
    <row r="1597" spans="1:1" ht="12.75" customHeight="1">
      <c r="A1597" s="129">
        <v>1597</v>
      </c>
    </row>
    <row r="1598" spans="1:1" ht="12.75" customHeight="1">
      <c r="A1598" s="129">
        <v>1598</v>
      </c>
    </row>
    <row r="1599" spans="1:1" ht="12.75" customHeight="1">
      <c r="A1599" s="129">
        <v>1599</v>
      </c>
    </row>
    <row r="1600" spans="1:1" ht="12.75" customHeight="1">
      <c r="A1600" s="129">
        <v>1600</v>
      </c>
    </row>
    <row r="1601" spans="1:1" ht="12.75" customHeight="1">
      <c r="A1601" s="129">
        <v>1601</v>
      </c>
    </row>
    <row r="1602" spans="1:1" ht="12.75" customHeight="1">
      <c r="A1602" s="129">
        <v>1602</v>
      </c>
    </row>
    <row r="1603" spans="1:1" ht="12.75" customHeight="1">
      <c r="A1603" s="129">
        <v>1603</v>
      </c>
    </row>
    <row r="1604" spans="1:1" ht="12.75" customHeight="1">
      <c r="A1604" s="129">
        <v>1604</v>
      </c>
    </row>
    <row r="1605" spans="1:1" ht="12.75" customHeight="1">
      <c r="A1605" s="129">
        <v>1605</v>
      </c>
    </row>
    <row r="1606" spans="1:1" ht="12.75" customHeight="1">
      <c r="A1606" s="129">
        <v>1606</v>
      </c>
    </row>
    <row r="1607" spans="1:1" ht="12.75" customHeight="1">
      <c r="A1607" s="129">
        <v>1607</v>
      </c>
    </row>
    <row r="1608" spans="1:1" ht="12.75" customHeight="1">
      <c r="A1608" s="129">
        <v>1608</v>
      </c>
    </row>
    <row r="1609" spans="1:1" ht="12.75" customHeight="1">
      <c r="A1609" s="129">
        <v>1609</v>
      </c>
    </row>
    <row r="1610" spans="1:1" ht="12.75" customHeight="1">
      <c r="A1610" s="129">
        <v>1610</v>
      </c>
    </row>
    <row r="1611" spans="1:1" ht="12.75" customHeight="1">
      <c r="A1611" s="129">
        <v>1611</v>
      </c>
    </row>
    <row r="1612" spans="1:1" ht="12.75" customHeight="1">
      <c r="A1612" s="129">
        <v>1612</v>
      </c>
    </row>
    <row r="1613" spans="1:1" ht="12.75" customHeight="1">
      <c r="A1613" s="129">
        <v>1613</v>
      </c>
    </row>
    <row r="1614" spans="1:1" ht="12.75" customHeight="1">
      <c r="A1614" s="129">
        <v>1614</v>
      </c>
    </row>
    <row r="1615" spans="1:1" ht="12.75" customHeight="1">
      <c r="A1615" s="129">
        <v>1615</v>
      </c>
    </row>
    <row r="1616" spans="1:1" ht="12.75" customHeight="1">
      <c r="A1616" s="129">
        <v>1616</v>
      </c>
    </row>
    <row r="1617" spans="1:1" ht="12.75" customHeight="1">
      <c r="A1617" s="129">
        <v>1617</v>
      </c>
    </row>
    <row r="1618" spans="1:1" ht="12.75" customHeight="1">
      <c r="A1618" s="129">
        <v>1618</v>
      </c>
    </row>
    <row r="1619" spans="1:1" ht="12.75" customHeight="1">
      <c r="A1619" s="129">
        <v>1619</v>
      </c>
    </row>
    <row r="1620" spans="1:1" ht="12.75" customHeight="1">
      <c r="A1620" s="129">
        <v>1620</v>
      </c>
    </row>
    <row r="1621" spans="1:1" ht="12.75" customHeight="1">
      <c r="A1621" s="129">
        <v>1621</v>
      </c>
    </row>
    <row r="1622" spans="1:1" ht="12.75" customHeight="1">
      <c r="A1622" s="129">
        <v>1622</v>
      </c>
    </row>
    <row r="1623" spans="1:1" ht="12.75" customHeight="1">
      <c r="A1623" s="129">
        <v>1623</v>
      </c>
    </row>
    <row r="1624" spans="1:1" ht="12.75" customHeight="1">
      <c r="A1624" s="129">
        <v>1624</v>
      </c>
    </row>
    <row r="1625" spans="1:1" ht="12.75" customHeight="1">
      <c r="A1625" s="129">
        <v>1625</v>
      </c>
    </row>
    <row r="1626" spans="1:1" ht="12.75" customHeight="1">
      <c r="A1626" s="129">
        <v>1626</v>
      </c>
    </row>
    <row r="1627" spans="1:1" ht="12.75" customHeight="1">
      <c r="A1627" s="129">
        <v>1627</v>
      </c>
    </row>
    <row r="1628" spans="1:1" ht="12.75" customHeight="1">
      <c r="A1628" s="129">
        <v>1628</v>
      </c>
    </row>
    <row r="1629" spans="1:1" ht="12.75" customHeight="1">
      <c r="A1629" s="129">
        <v>1629</v>
      </c>
    </row>
    <row r="1630" spans="1:1" ht="12.75" customHeight="1">
      <c r="A1630" s="129">
        <v>1630</v>
      </c>
    </row>
    <row r="1631" spans="1:1" ht="12.75" customHeight="1">
      <c r="A1631" s="129">
        <v>1631</v>
      </c>
    </row>
    <row r="1632" spans="1:1" ht="12.75" customHeight="1">
      <c r="A1632" s="129">
        <v>1632</v>
      </c>
    </row>
    <row r="1633" spans="1:1" ht="12.75" customHeight="1">
      <c r="A1633" s="129">
        <v>1633</v>
      </c>
    </row>
    <row r="1634" spans="1:1" ht="12.75" customHeight="1">
      <c r="A1634" s="129">
        <v>1634</v>
      </c>
    </row>
    <row r="1635" spans="1:1" ht="12.75" customHeight="1">
      <c r="A1635" s="129">
        <v>1635</v>
      </c>
    </row>
    <row r="1636" spans="1:1" ht="12.75" customHeight="1">
      <c r="A1636" s="129">
        <v>1636</v>
      </c>
    </row>
    <row r="1637" spans="1:1" ht="12.75" customHeight="1">
      <c r="A1637" s="129">
        <v>1637</v>
      </c>
    </row>
    <row r="1638" spans="1:1" ht="12.75" customHeight="1">
      <c r="A1638" s="129">
        <v>1638</v>
      </c>
    </row>
    <row r="1639" spans="1:1" ht="12.75" customHeight="1">
      <c r="A1639" s="129">
        <v>1639</v>
      </c>
    </row>
    <row r="1640" spans="1:1" ht="12.75" customHeight="1">
      <c r="A1640" s="129">
        <v>1640</v>
      </c>
    </row>
    <row r="1641" spans="1:1" ht="12.75" customHeight="1">
      <c r="A1641" s="129">
        <v>1641</v>
      </c>
    </row>
    <row r="1642" spans="1:1" ht="12.75" customHeight="1">
      <c r="A1642" s="129">
        <v>1642</v>
      </c>
    </row>
    <row r="1643" spans="1:1" ht="12.75" customHeight="1">
      <c r="A1643" s="129">
        <v>1643</v>
      </c>
    </row>
    <row r="1644" spans="1:1" ht="12.75" customHeight="1">
      <c r="A1644" s="129">
        <v>1644</v>
      </c>
    </row>
    <row r="1645" spans="1:1" ht="12.75" customHeight="1">
      <c r="A1645" s="129">
        <v>1645</v>
      </c>
    </row>
    <row r="1646" spans="1:1" ht="12.75" customHeight="1">
      <c r="A1646" s="129">
        <v>1646</v>
      </c>
    </row>
    <row r="1647" spans="1:1" ht="12.75" customHeight="1">
      <c r="A1647" s="129">
        <v>1647</v>
      </c>
    </row>
    <row r="1648" spans="1:1" ht="12.75" customHeight="1">
      <c r="A1648" s="129">
        <v>1648</v>
      </c>
    </row>
    <row r="1649" spans="1:1" ht="12.75" customHeight="1">
      <c r="A1649" s="129">
        <v>1649</v>
      </c>
    </row>
    <row r="1650" spans="1:1" ht="12.75" customHeight="1">
      <c r="A1650" s="129">
        <v>1650</v>
      </c>
    </row>
    <row r="1651" spans="1:1" ht="12.75" customHeight="1">
      <c r="A1651" s="129">
        <v>1651</v>
      </c>
    </row>
    <row r="1652" spans="1:1" ht="12.75" customHeight="1">
      <c r="A1652" s="129">
        <v>1652</v>
      </c>
    </row>
    <row r="1653" spans="1:1" ht="12.75" customHeight="1">
      <c r="A1653" s="129">
        <v>1653</v>
      </c>
    </row>
    <row r="1654" spans="1:1" ht="12.75" customHeight="1">
      <c r="A1654" s="129">
        <v>1654</v>
      </c>
    </row>
    <row r="1655" spans="1:1" ht="12.75" customHeight="1">
      <c r="A1655" s="129">
        <v>1655</v>
      </c>
    </row>
    <row r="1656" spans="1:1" ht="12.75" customHeight="1">
      <c r="A1656" s="129">
        <v>1656</v>
      </c>
    </row>
    <row r="1657" spans="1:1" ht="12.75" customHeight="1">
      <c r="A1657" s="129">
        <v>1657</v>
      </c>
    </row>
    <row r="1658" spans="1:1" ht="12.75" customHeight="1">
      <c r="A1658" s="129">
        <v>1658</v>
      </c>
    </row>
    <row r="1659" spans="1:1" ht="12.75" customHeight="1">
      <c r="A1659" s="129">
        <v>1659</v>
      </c>
    </row>
    <row r="1660" spans="1:1" ht="12.75" customHeight="1">
      <c r="A1660" s="129">
        <v>1660</v>
      </c>
    </row>
    <row r="1661" spans="1:1" ht="12.75" customHeight="1">
      <c r="A1661" s="129">
        <v>1661</v>
      </c>
    </row>
    <row r="1662" spans="1:1" ht="12.75" customHeight="1">
      <c r="A1662" s="129">
        <v>1662</v>
      </c>
    </row>
    <row r="1663" spans="1:1" ht="12.75" customHeight="1">
      <c r="A1663" s="129">
        <v>1663</v>
      </c>
    </row>
    <row r="1664" spans="1:1" ht="12.75" customHeight="1">
      <c r="A1664" s="129">
        <v>1664</v>
      </c>
    </row>
    <row r="1665" spans="1:1" ht="12.75" customHeight="1">
      <c r="A1665" s="129">
        <v>1665</v>
      </c>
    </row>
    <row r="1666" spans="1:1" ht="12.75" customHeight="1">
      <c r="A1666" s="129">
        <v>1666</v>
      </c>
    </row>
    <row r="1667" spans="1:1" ht="12.75" customHeight="1">
      <c r="A1667" s="129">
        <v>1667</v>
      </c>
    </row>
    <row r="1668" spans="1:1" ht="12.75" customHeight="1">
      <c r="A1668" s="129">
        <v>1668</v>
      </c>
    </row>
    <row r="1669" spans="1:1" ht="12.75" customHeight="1">
      <c r="A1669" s="129">
        <v>1669</v>
      </c>
    </row>
    <row r="1670" spans="1:1" ht="12.75" customHeight="1">
      <c r="A1670" s="129">
        <v>1670</v>
      </c>
    </row>
    <row r="1671" spans="1:1" ht="12.75" customHeight="1">
      <c r="A1671" s="129">
        <v>1671</v>
      </c>
    </row>
    <row r="1672" spans="1:1" ht="12.75" customHeight="1">
      <c r="A1672" s="129">
        <v>1672</v>
      </c>
    </row>
    <row r="1673" spans="1:1" ht="12.75" customHeight="1">
      <c r="A1673" s="129">
        <v>1673</v>
      </c>
    </row>
    <row r="1674" spans="1:1" ht="12.75" customHeight="1">
      <c r="A1674" s="129">
        <v>1674</v>
      </c>
    </row>
    <row r="1675" spans="1:1" ht="12.75" customHeight="1">
      <c r="A1675" s="129">
        <v>1675</v>
      </c>
    </row>
    <row r="1676" spans="1:1" ht="12.75" customHeight="1">
      <c r="A1676" s="129">
        <v>1676</v>
      </c>
    </row>
    <row r="1677" spans="1:1" ht="12.75" customHeight="1">
      <c r="A1677" s="129">
        <v>1677</v>
      </c>
    </row>
    <row r="1678" spans="1:1" ht="12.75" customHeight="1">
      <c r="A1678" s="129">
        <v>1678</v>
      </c>
    </row>
    <row r="1679" spans="1:1" ht="12.75" customHeight="1">
      <c r="A1679" s="129">
        <v>1679</v>
      </c>
    </row>
    <row r="1680" spans="1:1" ht="12.75" customHeight="1">
      <c r="A1680" s="129">
        <v>1680</v>
      </c>
    </row>
    <row r="1681" spans="1:1" ht="12.75" customHeight="1">
      <c r="A1681" s="129">
        <v>1681</v>
      </c>
    </row>
    <row r="1682" spans="1:1" ht="12.75" customHeight="1">
      <c r="A1682" s="129">
        <v>1682</v>
      </c>
    </row>
    <row r="1683" spans="1:1" ht="12.75" customHeight="1">
      <c r="A1683" s="129">
        <v>1683</v>
      </c>
    </row>
    <row r="1684" spans="1:1" ht="12.75" customHeight="1">
      <c r="A1684" s="129">
        <v>1684</v>
      </c>
    </row>
    <row r="1685" spans="1:1" ht="12.75" customHeight="1">
      <c r="A1685" s="129">
        <v>1685</v>
      </c>
    </row>
    <row r="1686" spans="1:1" ht="12.75" customHeight="1">
      <c r="A1686" s="129">
        <v>1686</v>
      </c>
    </row>
    <row r="1687" spans="1:1" ht="12.75" customHeight="1">
      <c r="A1687" s="129">
        <v>1687</v>
      </c>
    </row>
    <row r="1688" spans="1:1" ht="12.75" customHeight="1">
      <c r="A1688" s="129">
        <v>1688</v>
      </c>
    </row>
    <row r="1689" spans="1:1" ht="12.75" customHeight="1">
      <c r="A1689" s="129">
        <v>1689</v>
      </c>
    </row>
    <row r="1690" spans="1:1" ht="12.75" customHeight="1">
      <c r="A1690" s="129">
        <v>1690</v>
      </c>
    </row>
    <row r="1691" spans="1:1" ht="12.75" customHeight="1">
      <c r="A1691" s="129">
        <v>1691</v>
      </c>
    </row>
    <row r="1692" spans="1:1" ht="12.75" customHeight="1">
      <c r="A1692" s="129">
        <v>1692</v>
      </c>
    </row>
    <row r="1693" spans="1:1" ht="12.75" customHeight="1">
      <c r="A1693" s="129">
        <v>1693</v>
      </c>
    </row>
    <row r="1694" spans="1:1" ht="12.75" customHeight="1">
      <c r="A1694" s="129">
        <v>1694</v>
      </c>
    </row>
    <row r="1695" spans="1:1" ht="12.75" customHeight="1">
      <c r="A1695" s="129">
        <v>1695</v>
      </c>
    </row>
    <row r="1696" spans="1:1" ht="12.75" customHeight="1">
      <c r="A1696" s="129">
        <v>1696</v>
      </c>
    </row>
    <row r="1697" spans="1:1" ht="12.75" customHeight="1">
      <c r="A1697" s="129">
        <v>1697</v>
      </c>
    </row>
    <row r="1698" spans="1:1" ht="12.75" customHeight="1">
      <c r="A1698" s="129">
        <v>1698</v>
      </c>
    </row>
    <row r="1699" spans="1:1" ht="12.75" customHeight="1">
      <c r="A1699" s="129">
        <v>1699</v>
      </c>
    </row>
    <row r="1700" spans="1:1" ht="12.75" customHeight="1">
      <c r="A1700" s="129">
        <v>1700</v>
      </c>
    </row>
    <row r="1701" spans="1:1" ht="12.75" customHeight="1">
      <c r="A1701" s="129">
        <v>1701</v>
      </c>
    </row>
    <row r="1702" spans="1:1" ht="12.75" customHeight="1">
      <c r="A1702" s="129">
        <v>1702</v>
      </c>
    </row>
    <row r="1703" spans="1:1" ht="12.75" customHeight="1">
      <c r="A1703" s="129">
        <v>1703</v>
      </c>
    </row>
    <row r="1704" spans="1:1" ht="12.75" customHeight="1">
      <c r="A1704" s="129">
        <v>1704</v>
      </c>
    </row>
    <row r="1705" spans="1:1" ht="12.75" customHeight="1">
      <c r="A1705" s="129">
        <v>1705</v>
      </c>
    </row>
    <row r="1706" spans="1:1" ht="12.75" customHeight="1">
      <c r="A1706" s="129">
        <v>1706</v>
      </c>
    </row>
    <row r="1707" spans="1:1" ht="12.75" customHeight="1">
      <c r="A1707" s="129">
        <v>1707</v>
      </c>
    </row>
    <row r="1708" spans="1:1" ht="12.75" customHeight="1">
      <c r="A1708" s="129">
        <v>1708</v>
      </c>
    </row>
    <row r="1709" spans="1:1" ht="12.75" customHeight="1">
      <c r="A1709" s="129">
        <v>1709</v>
      </c>
    </row>
    <row r="1710" spans="1:1" ht="12.75" customHeight="1">
      <c r="A1710" s="129">
        <v>1710</v>
      </c>
    </row>
    <row r="1711" spans="1:1" ht="12.75" customHeight="1">
      <c r="A1711" s="129">
        <v>1711</v>
      </c>
    </row>
    <row r="1712" spans="1:1" ht="12.75" customHeight="1">
      <c r="A1712" s="129">
        <v>1712</v>
      </c>
    </row>
    <row r="1713" spans="1:1" ht="12.75" customHeight="1">
      <c r="A1713" s="129">
        <v>1713</v>
      </c>
    </row>
    <row r="1714" spans="1:1" ht="12.75" customHeight="1">
      <c r="A1714" s="129">
        <v>1714</v>
      </c>
    </row>
    <row r="1715" spans="1:1" ht="12.75" customHeight="1">
      <c r="A1715" s="129">
        <v>1715</v>
      </c>
    </row>
    <row r="1716" spans="1:1" ht="12.75" customHeight="1">
      <c r="A1716" s="129">
        <v>1716</v>
      </c>
    </row>
    <row r="1717" spans="1:1" ht="12.75" customHeight="1">
      <c r="A1717" s="129">
        <v>1717</v>
      </c>
    </row>
    <row r="1718" spans="1:1" ht="12.75" customHeight="1">
      <c r="A1718" s="129">
        <v>1718</v>
      </c>
    </row>
    <row r="1719" spans="1:1" ht="12.75" customHeight="1">
      <c r="A1719" s="129">
        <v>1719</v>
      </c>
    </row>
    <row r="1720" spans="1:1" ht="12.75" customHeight="1">
      <c r="A1720" s="129">
        <v>1720</v>
      </c>
    </row>
    <row r="1721" spans="1:1" ht="12.75" customHeight="1">
      <c r="A1721" s="129">
        <v>1721</v>
      </c>
    </row>
    <row r="1722" spans="1:1" ht="12.75" customHeight="1">
      <c r="A1722" s="129">
        <v>1722</v>
      </c>
    </row>
    <row r="1723" spans="1:1" ht="12.75" customHeight="1">
      <c r="A1723" s="129">
        <v>1723</v>
      </c>
    </row>
    <row r="1724" spans="1:1" ht="12.75" customHeight="1">
      <c r="A1724" s="129">
        <v>1724</v>
      </c>
    </row>
    <row r="1725" spans="1:1" ht="12.75" customHeight="1">
      <c r="A1725" s="129">
        <v>1725</v>
      </c>
    </row>
    <row r="1726" spans="1:1" ht="12.75" customHeight="1">
      <c r="A1726" s="129">
        <v>1726</v>
      </c>
    </row>
    <row r="1727" spans="1:1" ht="12.75" customHeight="1">
      <c r="A1727" s="129">
        <v>1727</v>
      </c>
    </row>
    <row r="1728" spans="1:1" ht="12.75" customHeight="1">
      <c r="A1728" s="129">
        <v>1728</v>
      </c>
    </row>
    <row r="1729" spans="1:1" ht="12.75" customHeight="1">
      <c r="A1729" s="129">
        <v>1729</v>
      </c>
    </row>
    <row r="1730" spans="1:1" ht="12.75" customHeight="1">
      <c r="A1730" s="129">
        <v>1730</v>
      </c>
    </row>
    <row r="1731" spans="1:1" ht="12.75" customHeight="1">
      <c r="A1731" s="129">
        <v>1731</v>
      </c>
    </row>
    <row r="1732" spans="1:1" ht="12.75" customHeight="1">
      <c r="A1732" s="129">
        <v>1732</v>
      </c>
    </row>
    <row r="1733" spans="1:1" ht="12.75" customHeight="1">
      <c r="A1733" s="129">
        <v>1733</v>
      </c>
    </row>
    <row r="1734" spans="1:1" ht="12.75" customHeight="1">
      <c r="A1734" s="129">
        <v>1734</v>
      </c>
    </row>
    <row r="1735" spans="1:1" ht="12.75" customHeight="1">
      <c r="A1735" s="129">
        <v>1735</v>
      </c>
    </row>
    <row r="1736" spans="1:1" ht="12.75" customHeight="1">
      <c r="A1736" s="129">
        <v>1736</v>
      </c>
    </row>
    <row r="1737" spans="1:1" ht="12.75" customHeight="1">
      <c r="A1737" s="129">
        <v>1737</v>
      </c>
    </row>
    <row r="1738" spans="1:1" ht="12.75" customHeight="1">
      <c r="A1738" s="129">
        <v>1738</v>
      </c>
    </row>
    <row r="1739" spans="1:1" ht="12.75" customHeight="1">
      <c r="A1739" s="129">
        <v>1739</v>
      </c>
    </row>
    <row r="1740" spans="1:1" ht="12.75" customHeight="1">
      <c r="A1740" s="129">
        <v>1740</v>
      </c>
    </row>
    <row r="1741" spans="1:1" ht="12.75" customHeight="1">
      <c r="A1741" s="129">
        <v>1741</v>
      </c>
    </row>
    <row r="1742" spans="1:1" ht="12.75" customHeight="1">
      <c r="A1742" s="129">
        <v>1742</v>
      </c>
    </row>
    <row r="1743" spans="1:1" ht="12.75" customHeight="1">
      <c r="A1743" s="129">
        <v>1743</v>
      </c>
    </row>
    <row r="1744" spans="1:1" ht="12.75" customHeight="1">
      <c r="A1744" s="129">
        <v>1744</v>
      </c>
    </row>
    <row r="1745" spans="1:1" ht="12.75" customHeight="1">
      <c r="A1745" s="129">
        <v>1745</v>
      </c>
    </row>
    <row r="1746" spans="1:1" ht="12.75" customHeight="1">
      <c r="A1746" s="129">
        <v>1746</v>
      </c>
    </row>
    <row r="1747" spans="1:1" ht="12.75" customHeight="1">
      <c r="A1747" s="129">
        <v>1747</v>
      </c>
    </row>
    <row r="1748" spans="1:1" ht="12.75" customHeight="1">
      <c r="A1748" s="129">
        <v>1748</v>
      </c>
    </row>
    <row r="1749" spans="1:1" ht="12.75" customHeight="1">
      <c r="A1749" s="129">
        <v>1749</v>
      </c>
    </row>
    <row r="1750" spans="1:1" ht="12.75" customHeight="1">
      <c r="A1750" s="129">
        <v>1750</v>
      </c>
    </row>
    <row r="1751" spans="1:1" ht="12.75" customHeight="1">
      <c r="A1751" s="129">
        <v>1751</v>
      </c>
    </row>
    <row r="1752" spans="1:1" ht="12.75" customHeight="1">
      <c r="A1752" s="129">
        <v>1752</v>
      </c>
    </row>
    <row r="1753" spans="1:1" ht="12.75" customHeight="1">
      <c r="A1753" s="129">
        <v>1753</v>
      </c>
    </row>
    <row r="1754" spans="1:1" ht="12.75" customHeight="1">
      <c r="A1754" s="129">
        <v>1754</v>
      </c>
    </row>
    <row r="1755" spans="1:1" ht="12.75" customHeight="1">
      <c r="A1755" s="129">
        <v>1755</v>
      </c>
    </row>
    <row r="1756" spans="1:1" ht="12.75" customHeight="1">
      <c r="A1756" s="129">
        <v>1756</v>
      </c>
    </row>
    <row r="1757" spans="1:1" ht="12.75" customHeight="1">
      <c r="A1757" s="129">
        <v>1757</v>
      </c>
    </row>
    <row r="1758" spans="1:1" ht="12.75" customHeight="1">
      <c r="A1758" s="129">
        <v>1758</v>
      </c>
    </row>
    <row r="1759" spans="1:1" ht="12.75" customHeight="1">
      <c r="A1759" s="129">
        <v>1759</v>
      </c>
    </row>
    <row r="1760" spans="1:1" ht="12.75" customHeight="1">
      <c r="A1760" s="129">
        <v>1760</v>
      </c>
    </row>
    <row r="1761" spans="1:1" ht="12.75" customHeight="1">
      <c r="A1761" s="129">
        <v>1761</v>
      </c>
    </row>
    <row r="1762" spans="1:1" ht="12.75" customHeight="1">
      <c r="A1762" s="129">
        <v>1762</v>
      </c>
    </row>
    <row r="1763" spans="1:1" ht="12.75" customHeight="1">
      <c r="A1763" s="129">
        <v>1763</v>
      </c>
    </row>
    <row r="1764" spans="1:1" ht="12.75" customHeight="1">
      <c r="A1764" s="129">
        <v>1764</v>
      </c>
    </row>
    <row r="1765" spans="1:1" ht="12.75" customHeight="1">
      <c r="A1765" s="129">
        <v>1765</v>
      </c>
    </row>
    <row r="1766" spans="1:1" ht="12.75" customHeight="1">
      <c r="A1766" s="129">
        <v>1766</v>
      </c>
    </row>
    <row r="1767" spans="1:1" ht="12.75" customHeight="1">
      <c r="A1767" s="129">
        <v>1767</v>
      </c>
    </row>
    <row r="1768" spans="1:1" ht="12.75" customHeight="1">
      <c r="A1768" s="129">
        <v>1768</v>
      </c>
    </row>
    <row r="1769" spans="1:1" ht="12.75" customHeight="1">
      <c r="A1769" s="129">
        <v>1769</v>
      </c>
    </row>
    <row r="1770" spans="1:1" ht="12.75" customHeight="1">
      <c r="A1770" s="129">
        <v>1770</v>
      </c>
    </row>
    <row r="1771" spans="1:1" ht="12.75" customHeight="1">
      <c r="A1771" s="129">
        <v>1771</v>
      </c>
    </row>
    <row r="1772" spans="1:1" ht="12.75" customHeight="1">
      <c r="A1772" s="129">
        <v>1772</v>
      </c>
    </row>
    <row r="1773" spans="1:1" ht="12.75" customHeight="1">
      <c r="A1773" s="129">
        <v>1773</v>
      </c>
    </row>
    <row r="1774" spans="1:1" ht="12.75" customHeight="1">
      <c r="A1774" s="129">
        <v>1774</v>
      </c>
    </row>
    <row r="1775" spans="1:1" ht="12.75" customHeight="1">
      <c r="A1775" s="129">
        <v>1775</v>
      </c>
    </row>
    <row r="1776" spans="1:1" ht="12.75" customHeight="1">
      <c r="A1776" s="129">
        <v>1776</v>
      </c>
    </row>
    <row r="1777" spans="1:1" ht="12.75" customHeight="1">
      <c r="A1777" s="129">
        <v>1777</v>
      </c>
    </row>
    <row r="1778" spans="1:1" ht="12.75" customHeight="1">
      <c r="A1778" s="129">
        <v>1778</v>
      </c>
    </row>
    <row r="1779" spans="1:1" ht="12.75" customHeight="1">
      <c r="A1779" s="129">
        <v>1779</v>
      </c>
    </row>
    <row r="1780" spans="1:1" ht="12.75" customHeight="1">
      <c r="A1780" s="129">
        <v>1780</v>
      </c>
    </row>
    <row r="1781" spans="1:1" ht="12.75" customHeight="1">
      <c r="A1781" s="129">
        <v>1781</v>
      </c>
    </row>
    <row r="1782" spans="1:1" ht="12.75" customHeight="1">
      <c r="A1782" s="129">
        <v>1782</v>
      </c>
    </row>
    <row r="1783" spans="1:1" ht="12.75" customHeight="1">
      <c r="A1783" s="129">
        <v>1783</v>
      </c>
    </row>
    <row r="1784" spans="1:1" ht="12.75" customHeight="1">
      <c r="A1784" s="129">
        <v>1784</v>
      </c>
    </row>
    <row r="1785" spans="1:1" ht="12.75" customHeight="1">
      <c r="A1785" s="129">
        <v>1785</v>
      </c>
    </row>
    <row r="1786" spans="1:1" ht="12.75" customHeight="1">
      <c r="A1786" s="129">
        <v>1786</v>
      </c>
    </row>
    <row r="1787" spans="1:1" ht="12.75" customHeight="1">
      <c r="A1787" s="129">
        <v>1787</v>
      </c>
    </row>
    <row r="1788" spans="1:1" ht="12.75" customHeight="1">
      <c r="A1788" s="129">
        <v>1788</v>
      </c>
    </row>
    <row r="1789" spans="1:1" ht="12.75" customHeight="1">
      <c r="A1789" s="129">
        <v>1789</v>
      </c>
    </row>
    <row r="1790" spans="1:1" ht="12.75" customHeight="1">
      <c r="A1790" s="129">
        <v>1790</v>
      </c>
    </row>
    <row r="1791" spans="1:1" ht="12.75" customHeight="1">
      <c r="A1791" s="129">
        <v>1791</v>
      </c>
    </row>
    <row r="1792" spans="1:1" ht="12.75" customHeight="1">
      <c r="A1792" s="129">
        <v>1792</v>
      </c>
    </row>
    <row r="1793" spans="1:1" ht="12.75" customHeight="1">
      <c r="A1793" s="129">
        <v>1793</v>
      </c>
    </row>
    <row r="1794" spans="1:1" ht="12.75" customHeight="1">
      <c r="A1794" s="129">
        <v>1794</v>
      </c>
    </row>
    <row r="1795" spans="1:1" ht="12.75" customHeight="1">
      <c r="A1795" s="129">
        <v>1795</v>
      </c>
    </row>
    <row r="1796" spans="1:1" ht="12.75" customHeight="1">
      <c r="A1796" s="129">
        <v>1796</v>
      </c>
    </row>
    <row r="1797" spans="1:1" ht="12.75" customHeight="1">
      <c r="A1797" s="129">
        <v>1797</v>
      </c>
    </row>
    <row r="1798" spans="1:1" ht="12.75" customHeight="1">
      <c r="A1798" s="129">
        <v>1798</v>
      </c>
    </row>
    <row r="1799" spans="1:1" ht="12.75" customHeight="1">
      <c r="A1799" s="129">
        <v>1799</v>
      </c>
    </row>
    <row r="1800" spans="1:1" ht="12.75" customHeight="1">
      <c r="A1800" s="129">
        <v>1800</v>
      </c>
    </row>
    <row r="1801" spans="1:1" ht="12.75" customHeight="1">
      <c r="A1801" s="129">
        <v>1801</v>
      </c>
    </row>
    <row r="1802" spans="1:1" ht="12.75" customHeight="1">
      <c r="A1802" s="129">
        <v>1802</v>
      </c>
    </row>
    <row r="1803" spans="1:1" ht="12.75" customHeight="1">
      <c r="A1803" s="129">
        <v>1803</v>
      </c>
    </row>
    <row r="1804" spans="1:1" ht="12.75" customHeight="1">
      <c r="A1804" s="129">
        <v>1804</v>
      </c>
    </row>
    <row r="1805" spans="1:1" ht="12.75" customHeight="1">
      <c r="A1805" s="129">
        <v>1805</v>
      </c>
    </row>
    <row r="1806" spans="1:1" ht="12.75" customHeight="1">
      <c r="A1806" s="129">
        <v>1806</v>
      </c>
    </row>
    <row r="1807" spans="1:1" ht="12.75" customHeight="1">
      <c r="A1807" s="129">
        <v>1807</v>
      </c>
    </row>
    <row r="1808" spans="1:1" ht="12.75" customHeight="1">
      <c r="A1808" s="129">
        <v>1808</v>
      </c>
    </row>
    <row r="1809" spans="1:1" ht="12.75" customHeight="1">
      <c r="A1809" s="129">
        <v>1809</v>
      </c>
    </row>
    <row r="1810" spans="1:1" ht="12.75" customHeight="1">
      <c r="A1810" s="129">
        <v>1810</v>
      </c>
    </row>
    <row r="1811" spans="1:1" ht="12.75" customHeight="1">
      <c r="A1811" s="129">
        <v>1811</v>
      </c>
    </row>
    <row r="1812" spans="1:1" ht="12.75" customHeight="1">
      <c r="A1812" s="129">
        <v>1812</v>
      </c>
    </row>
    <row r="1813" spans="1:1" ht="12.75" customHeight="1">
      <c r="A1813" s="129">
        <v>1813</v>
      </c>
    </row>
    <row r="1814" spans="1:1" ht="12.75" customHeight="1">
      <c r="A1814" s="129">
        <v>1814</v>
      </c>
    </row>
    <row r="1815" spans="1:1" ht="12.75" customHeight="1">
      <c r="A1815" s="129">
        <v>1815</v>
      </c>
    </row>
    <row r="1816" spans="1:1" ht="12.75" customHeight="1">
      <c r="A1816" s="129">
        <v>1816</v>
      </c>
    </row>
    <row r="1817" spans="1:1" ht="12.75" customHeight="1">
      <c r="A1817" s="129">
        <v>1817</v>
      </c>
    </row>
    <row r="1818" spans="1:1" ht="12.75" customHeight="1">
      <c r="A1818" s="129">
        <v>1818</v>
      </c>
    </row>
    <row r="1819" spans="1:1" ht="12.75" customHeight="1">
      <c r="A1819" s="129">
        <v>1819</v>
      </c>
    </row>
    <row r="1820" spans="1:1" ht="12.75" customHeight="1">
      <c r="A1820" s="129">
        <v>1820</v>
      </c>
    </row>
    <row r="1821" spans="1:1" ht="12.75" customHeight="1">
      <c r="A1821" s="129">
        <v>1821</v>
      </c>
    </row>
    <row r="1822" spans="1:1" ht="12.75" customHeight="1">
      <c r="A1822" s="129">
        <v>1822</v>
      </c>
    </row>
    <row r="1823" spans="1:1" ht="12.75" customHeight="1">
      <c r="A1823" s="129">
        <v>1823</v>
      </c>
    </row>
    <row r="1824" spans="1:1" ht="12.75" customHeight="1">
      <c r="A1824" s="129">
        <v>1824</v>
      </c>
    </row>
    <row r="1825" spans="1:1" ht="12.75" customHeight="1">
      <c r="A1825" s="129">
        <v>1825</v>
      </c>
    </row>
    <row r="1826" spans="1:1" ht="12.75" customHeight="1">
      <c r="A1826" s="129">
        <v>1826</v>
      </c>
    </row>
    <row r="1827" spans="1:1" ht="12.75" customHeight="1">
      <c r="A1827" s="129">
        <v>1827</v>
      </c>
    </row>
    <row r="1828" spans="1:1" ht="12.75" customHeight="1">
      <c r="A1828" s="129">
        <v>1828</v>
      </c>
    </row>
    <row r="1829" spans="1:1" ht="12.75" customHeight="1">
      <c r="A1829" s="129">
        <v>1829</v>
      </c>
    </row>
    <row r="1830" spans="1:1" ht="12.75" customHeight="1">
      <c r="A1830" s="129">
        <v>1830</v>
      </c>
    </row>
    <row r="1831" spans="1:1" ht="12.75" customHeight="1">
      <c r="A1831" s="129">
        <v>1831</v>
      </c>
    </row>
    <row r="1832" spans="1:1" ht="12.75" customHeight="1">
      <c r="A1832" s="129">
        <v>1832</v>
      </c>
    </row>
    <row r="1833" spans="1:1" ht="12.75" customHeight="1">
      <c r="A1833" s="129">
        <v>1833</v>
      </c>
    </row>
    <row r="1834" spans="1:1" ht="12.75" customHeight="1">
      <c r="A1834" s="129">
        <v>1834</v>
      </c>
    </row>
    <row r="1835" spans="1:1" ht="12.75" customHeight="1">
      <c r="A1835" s="129">
        <v>1835</v>
      </c>
    </row>
    <row r="1836" spans="1:1" ht="12.75" customHeight="1">
      <c r="A1836" s="129">
        <v>1836</v>
      </c>
    </row>
    <row r="1837" spans="1:1" ht="12.75" customHeight="1">
      <c r="A1837" s="129">
        <v>1837</v>
      </c>
    </row>
    <row r="1838" spans="1:1" ht="12.75" customHeight="1">
      <c r="A1838" s="129">
        <v>1838</v>
      </c>
    </row>
    <row r="1839" spans="1:1" ht="12.75" customHeight="1">
      <c r="A1839" s="129">
        <v>1839</v>
      </c>
    </row>
    <row r="1840" spans="1:1" ht="12.75" customHeight="1">
      <c r="A1840" s="129">
        <v>1840</v>
      </c>
    </row>
    <row r="1841" spans="1:1" ht="12.75" customHeight="1">
      <c r="A1841" s="129">
        <v>1841</v>
      </c>
    </row>
    <row r="1842" spans="1:1" ht="12.75" customHeight="1">
      <c r="A1842" s="129">
        <v>1842</v>
      </c>
    </row>
    <row r="1843" spans="1:1" ht="12.75" customHeight="1">
      <c r="A1843" s="129">
        <v>1843</v>
      </c>
    </row>
    <row r="1844" spans="1:1" ht="12.75" customHeight="1">
      <c r="A1844" s="129">
        <v>1844</v>
      </c>
    </row>
    <row r="1845" spans="1:1" ht="12.75" customHeight="1">
      <c r="A1845" s="129">
        <v>1845</v>
      </c>
    </row>
    <row r="1846" spans="1:1" ht="12.75" customHeight="1">
      <c r="A1846" s="129">
        <v>1846</v>
      </c>
    </row>
    <row r="1847" spans="1:1" ht="12.75" customHeight="1">
      <c r="A1847" s="129">
        <v>1847</v>
      </c>
    </row>
    <row r="1848" spans="1:1" ht="12.75" customHeight="1">
      <c r="A1848" s="129">
        <v>1848</v>
      </c>
    </row>
    <row r="1849" spans="1:1" ht="12.75" customHeight="1">
      <c r="A1849" s="129">
        <v>1849</v>
      </c>
    </row>
    <row r="1850" spans="1:1" ht="12.75" customHeight="1">
      <c r="A1850" s="129">
        <v>1850</v>
      </c>
    </row>
    <row r="1851" spans="1:1" ht="12.75" customHeight="1">
      <c r="A1851" s="129">
        <v>1851</v>
      </c>
    </row>
    <row r="1852" spans="1:1" ht="12.75" customHeight="1">
      <c r="A1852" s="129">
        <v>1852</v>
      </c>
    </row>
    <row r="1853" spans="1:1" ht="12.75" customHeight="1">
      <c r="A1853" s="129">
        <v>1853</v>
      </c>
    </row>
    <row r="1854" spans="1:1" ht="12.75" customHeight="1">
      <c r="A1854" s="129">
        <v>1854</v>
      </c>
    </row>
    <row r="1855" spans="1:1" ht="12.75" customHeight="1">
      <c r="A1855" s="129">
        <v>1855</v>
      </c>
    </row>
    <row r="1856" spans="1:1" ht="12.75" customHeight="1">
      <c r="A1856" s="129">
        <v>1856</v>
      </c>
    </row>
    <row r="1857" spans="1:1" ht="12.75" customHeight="1">
      <c r="A1857" s="129">
        <v>1857</v>
      </c>
    </row>
    <row r="1858" spans="1:1" ht="12.75" customHeight="1">
      <c r="A1858" s="129">
        <v>1858</v>
      </c>
    </row>
    <row r="1859" spans="1:1" ht="12.75" customHeight="1">
      <c r="A1859" s="129">
        <v>1859</v>
      </c>
    </row>
    <row r="1860" spans="1:1" ht="12.75" customHeight="1">
      <c r="A1860" s="129">
        <v>1860</v>
      </c>
    </row>
    <row r="1861" spans="1:1" ht="12.75" customHeight="1">
      <c r="A1861" s="129">
        <v>1861</v>
      </c>
    </row>
    <row r="1862" spans="1:1" ht="12.75" customHeight="1">
      <c r="A1862" s="129">
        <v>1862</v>
      </c>
    </row>
    <row r="1863" spans="1:1" ht="12.75" customHeight="1">
      <c r="A1863" s="129">
        <v>1863</v>
      </c>
    </row>
    <row r="1864" spans="1:1" ht="12.75" customHeight="1">
      <c r="A1864" s="129">
        <v>1864</v>
      </c>
    </row>
    <row r="1865" spans="1:1" ht="12.75" customHeight="1">
      <c r="A1865" s="129">
        <v>1865</v>
      </c>
    </row>
    <row r="1866" spans="1:1" ht="12.75" customHeight="1">
      <c r="A1866" s="129">
        <v>1866</v>
      </c>
    </row>
    <row r="1867" spans="1:1" ht="12.75" customHeight="1">
      <c r="A1867" s="129">
        <v>1867</v>
      </c>
    </row>
    <row r="1868" spans="1:1" ht="12.75" customHeight="1">
      <c r="A1868" s="129">
        <v>1868</v>
      </c>
    </row>
    <row r="1869" spans="1:1" ht="12.75" customHeight="1">
      <c r="A1869" s="129">
        <v>1869</v>
      </c>
    </row>
    <row r="1870" spans="1:1" ht="12.75" customHeight="1">
      <c r="A1870" s="129">
        <v>1870</v>
      </c>
    </row>
    <row r="1871" spans="1:1" ht="12.75" customHeight="1">
      <c r="A1871" s="129">
        <v>1871</v>
      </c>
    </row>
    <row r="1872" spans="1:1" ht="12.75" customHeight="1">
      <c r="A1872" s="129">
        <v>1872</v>
      </c>
    </row>
    <row r="1873" spans="1:1" ht="12.75" customHeight="1">
      <c r="A1873" s="129">
        <v>1873</v>
      </c>
    </row>
    <row r="1874" spans="1:1" ht="12.75" customHeight="1">
      <c r="A1874" s="129">
        <v>1874</v>
      </c>
    </row>
    <row r="1875" spans="1:1" ht="12.75" customHeight="1">
      <c r="A1875" s="129">
        <v>1875</v>
      </c>
    </row>
    <row r="1876" spans="1:1" ht="12.75" customHeight="1">
      <c r="A1876" s="129">
        <v>1876</v>
      </c>
    </row>
    <row r="1877" spans="1:1" ht="12.75" customHeight="1">
      <c r="A1877" s="129">
        <v>1877</v>
      </c>
    </row>
    <row r="1878" spans="1:1" ht="12.75" customHeight="1">
      <c r="A1878" s="129">
        <v>1878</v>
      </c>
    </row>
    <row r="1879" spans="1:1" ht="12.75" customHeight="1">
      <c r="A1879" s="129">
        <v>1879</v>
      </c>
    </row>
    <row r="1880" spans="1:1" ht="12.75" customHeight="1">
      <c r="A1880" s="129">
        <v>1880</v>
      </c>
    </row>
    <row r="1881" spans="1:1" ht="12.75" customHeight="1">
      <c r="A1881" s="129">
        <v>1881</v>
      </c>
    </row>
    <row r="1882" spans="1:1" ht="12.75" customHeight="1">
      <c r="A1882" s="129">
        <v>1882</v>
      </c>
    </row>
    <row r="1883" spans="1:1" ht="12.75" customHeight="1">
      <c r="A1883" s="129">
        <v>1883</v>
      </c>
    </row>
    <row r="1884" spans="1:1" ht="12.75" customHeight="1">
      <c r="A1884" s="129">
        <v>1884</v>
      </c>
    </row>
    <row r="1885" spans="1:1" ht="12.75" customHeight="1">
      <c r="A1885" s="129">
        <v>1885</v>
      </c>
    </row>
    <row r="1886" spans="1:1" ht="12.75" customHeight="1">
      <c r="A1886" s="129">
        <v>1886</v>
      </c>
    </row>
    <row r="1887" spans="1:1" ht="12.75" customHeight="1">
      <c r="A1887" s="129">
        <v>1887</v>
      </c>
    </row>
    <row r="1888" spans="1:1" ht="12.75" customHeight="1">
      <c r="A1888" s="129">
        <v>1888</v>
      </c>
    </row>
    <row r="1889" spans="1:1" ht="12.75" customHeight="1">
      <c r="A1889" s="129">
        <v>1889</v>
      </c>
    </row>
    <row r="1890" spans="1:1" ht="12.75" customHeight="1">
      <c r="A1890" s="129">
        <v>1890</v>
      </c>
    </row>
    <row r="1891" spans="1:1" ht="12.75" customHeight="1">
      <c r="A1891" s="129">
        <v>1891</v>
      </c>
    </row>
    <row r="1892" spans="1:1" ht="12.75" customHeight="1">
      <c r="A1892" s="129">
        <v>1892</v>
      </c>
    </row>
    <row r="1893" spans="1:1" ht="12.75" customHeight="1">
      <c r="A1893" s="129">
        <v>1893</v>
      </c>
    </row>
    <row r="1894" spans="1:1" ht="12.75" customHeight="1">
      <c r="A1894" s="129">
        <v>1894</v>
      </c>
    </row>
    <row r="1895" spans="1:1" ht="12.75" customHeight="1">
      <c r="A1895" s="129">
        <v>1895</v>
      </c>
    </row>
    <row r="1896" spans="1:1" ht="12.75" customHeight="1">
      <c r="A1896" s="129">
        <v>1896</v>
      </c>
    </row>
    <row r="1897" spans="1:1" ht="12.75" customHeight="1">
      <c r="A1897" s="129">
        <v>1897</v>
      </c>
    </row>
    <row r="1898" spans="1:1" ht="12.75" customHeight="1">
      <c r="A1898" s="129">
        <v>1898</v>
      </c>
    </row>
    <row r="1899" spans="1:1" ht="12.75" customHeight="1">
      <c r="A1899" s="129">
        <v>1899</v>
      </c>
    </row>
    <row r="1900" spans="1:1" ht="12.75" customHeight="1">
      <c r="A1900" s="129">
        <v>1900</v>
      </c>
    </row>
    <row r="1901" spans="1:1" ht="12.75" customHeight="1">
      <c r="A1901" s="129">
        <v>1901</v>
      </c>
    </row>
    <row r="1902" spans="1:1" ht="12.75" customHeight="1">
      <c r="A1902" s="129">
        <v>1902</v>
      </c>
    </row>
    <row r="1903" spans="1:1" ht="12.75" customHeight="1">
      <c r="A1903" s="129">
        <v>1903</v>
      </c>
    </row>
    <row r="1904" spans="1:1" ht="12.75" customHeight="1">
      <c r="A1904" s="129">
        <v>1904</v>
      </c>
    </row>
    <row r="1905" spans="1:1" ht="12.75" customHeight="1">
      <c r="A1905" s="129">
        <v>1905</v>
      </c>
    </row>
    <row r="1906" spans="1:1" ht="12.75" customHeight="1">
      <c r="A1906" s="129">
        <v>1906</v>
      </c>
    </row>
    <row r="1907" spans="1:1" ht="12.75" customHeight="1">
      <c r="A1907" s="129">
        <v>1907</v>
      </c>
    </row>
    <row r="1908" spans="1:1" ht="12.75" customHeight="1">
      <c r="A1908" s="129">
        <v>1908</v>
      </c>
    </row>
    <row r="1909" spans="1:1" ht="12.75" customHeight="1">
      <c r="A1909" s="129">
        <v>1909</v>
      </c>
    </row>
    <row r="1910" spans="1:1" ht="12.75" customHeight="1">
      <c r="A1910" s="129">
        <v>1910</v>
      </c>
    </row>
    <row r="1911" spans="1:1" ht="12.75" customHeight="1">
      <c r="A1911" s="129">
        <v>1911</v>
      </c>
    </row>
    <row r="1912" spans="1:1" ht="12.75" customHeight="1">
      <c r="A1912" s="129">
        <v>1912</v>
      </c>
    </row>
    <row r="1913" spans="1:1" ht="12.75" customHeight="1">
      <c r="A1913" s="129">
        <v>1913</v>
      </c>
    </row>
    <row r="1914" spans="1:1" ht="12.75" customHeight="1">
      <c r="A1914" s="129">
        <v>1914</v>
      </c>
    </row>
    <row r="1915" spans="1:1" ht="12.75" customHeight="1">
      <c r="A1915" s="129">
        <v>1915</v>
      </c>
    </row>
    <row r="1916" spans="1:1" ht="12.75" customHeight="1">
      <c r="A1916" s="129">
        <v>1916</v>
      </c>
    </row>
    <row r="1917" spans="1:1" ht="12.75" customHeight="1">
      <c r="A1917" s="129">
        <v>1917</v>
      </c>
    </row>
    <row r="1918" spans="1:1" ht="12.75" customHeight="1">
      <c r="A1918" s="129">
        <v>1918</v>
      </c>
    </row>
    <row r="1919" spans="1:1" ht="12.75" customHeight="1">
      <c r="A1919" s="129">
        <v>1919</v>
      </c>
    </row>
    <row r="1920" spans="1:1" ht="12.75" customHeight="1">
      <c r="A1920" s="129">
        <v>1920</v>
      </c>
    </row>
    <row r="1921" spans="1:1" ht="12.75" customHeight="1">
      <c r="A1921" s="129">
        <v>1921</v>
      </c>
    </row>
    <row r="1922" spans="1:1" ht="12.75" customHeight="1">
      <c r="A1922" s="129">
        <v>1922</v>
      </c>
    </row>
    <row r="1923" spans="1:1" ht="12.75" customHeight="1">
      <c r="A1923" s="129">
        <v>1923</v>
      </c>
    </row>
    <row r="1924" spans="1:1" ht="12.75" customHeight="1">
      <c r="A1924" s="129">
        <v>1924</v>
      </c>
    </row>
    <row r="1925" spans="1:1" ht="12.75" customHeight="1">
      <c r="A1925" s="129">
        <v>1925</v>
      </c>
    </row>
    <row r="1926" spans="1:1" ht="12.75" customHeight="1">
      <c r="A1926" s="129">
        <v>1926</v>
      </c>
    </row>
    <row r="1927" spans="1:1" ht="12.75" customHeight="1">
      <c r="A1927" s="129">
        <v>1927</v>
      </c>
    </row>
    <row r="1928" spans="1:1" ht="12.75" customHeight="1">
      <c r="A1928" s="129">
        <v>1928</v>
      </c>
    </row>
    <row r="1929" spans="1:1" ht="12.75" customHeight="1">
      <c r="A1929" s="129">
        <v>1929</v>
      </c>
    </row>
    <row r="1930" spans="1:1" ht="12.75" customHeight="1">
      <c r="A1930" s="129">
        <v>1930</v>
      </c>
    </row>
    <row r="1931" spans="1:1" ht="12.75" customHeight="1">
      <c r="A1931" s="129">
        <v>1931</v>
      </c>
    </row>
    <row r="1932" spans="1:1" ht="12.75" customHeight="1">
      <c r="A1932" s="129">
        <v>1932</v>
      </c>
    </row>
    <row r="1933" spans="1:1" ht="12.75" customHeight="1">
      <c r="A1933" s="129">
        <v>1933</v>
      </c>
    </row>
    <row r="1934" spans="1:1" ht="12.75" customHeight="1">
      <c r="A1934" s="129">
        <v>1934</v>
      </c>
    </row>
    <row r="1935" spans="1:1" ht="12.75" customHeight="1">
      <c r="A1935" s="129">
        <v>1935</v>
      </c>
    </row>
    <row r="1936" spans="1:1" ht="12.75" customHeight="1">
      <c r="A1936" s="129">
        <v>1936</v>
      </c>
    </row>
    <row r="1937" spans="1:1" ht="12.75" customHeight="1">
      <c r="A1937" s="129">
        <v>1937</v>
      </c>
    </row>
    <row r="1938" spans="1:1" ht="12.75" customHeight="1">
      <c r="A1938" s="129">
        <v>1938</v>
      </c>
    </row>
    <row r="1939" spans="1:1" ht="12.75" customHeight="1">
      <c r="A1939" s="129">
        <v>1939</v>
      </c>
    </row>
    <row r="1940" spans="1:1" ht="12.75" customHeight="1">
      <c r="A1940" s="129">
        <v>1940</v>
      </c>
    </row>
    <row r="1941" spans="1:1" ht="12.75" customHeight="1">
      <c r="A1941" s="129">
        <v>1941</v>
      </c>
    </row>
    <row r="1942" spans="1:1" ht="12.75" customHeight="1">
      <c r="A1942" s="129">
        <v>1942</v>
      </c>
    </row>
    <row r="1943" spans="1:1" ht="12.75" customHeight="1">
      <c r="A1943" s="129">
        <v>1943</v>
      </c>
    </row>
    <row r="1944" spans="1:1" ht="12.75" customHeight="1">
      <c r="A1944" s="129">
        <v>1944</v>
      </c>
    </row>
    <row r="1945" spans="1:1" ht="12.75" customHeight="1">
      <c r="A1945" s="129">
        <v>1945</v>
      </c>
    </row>
    <row r="1946" spans="1:1" ht="12.75" customHeight="1">
      <c r="A1946" s="129">
        <v>1946</v>
      </c>
    </row>
    <row r="1947" spans="1:1" ht="12.75" customHeight="1">
      <c r="A1947" s="129">
        <v>1947</v>
      </c>
    </row>
    <row r="1948" spans="1:1" ht="12.75" customHeight="1">
      <c r="A1948" s="129">
        <v>1948</v>
      </c>
    </row>
    <row r="1949" spans="1:1" ht="12.75" customHeight="1">
      <c r="A1949" s="129">
        <v>1949</v>
      </c>
    </row>
    <row r="1950" spans="1:1" ht="12.75" customHeight="1">
      <c r="A1950" s="129">
        <v>1950</v>
      </c>
    </row>
    <row r="1951" spans="1:1" ht="12.75" customHeight="1">
      <c r="A1951" s="129">
        <v>1951</v>
      </c>
    </row>
    <row r="1952" spans="1:1" ht="12.75" customHeight="1">
      <c r="A1952" s="129">
        <v>1952</v>
      </c>
    </row>
    <row r="1953" spans="1:1" ht="12.75" customHeight="1">
      <c r="A1953" s="129">
        <v>1953</v>
      </c>
    </row>
    <row r="1954" spans="1:1" ht="12.75" customHeight="1">
      <c r="A1954" s="129">
        <v>1954</v>
      </c>
    </row>
    <row r="1955" spans="1:1" ht="12.75" customHeight="1">
      <c r="A1955" s="129">
        <v>1955</v>
      </c>
    </row>
    <row r="1956" spans="1:1" ht="12.75" customHeight="1">
      <c r="A1956" s="129">
        <v>1956</v>
      </c>
    </row>
    <row r="1957" spans="1:1" ht="12.75" customHeight="1">
      <c r="A1957" s="129">
        <v>1957</v>
      </c>
    </row>
    <row r="1958" spans="1:1" ht="12.75" customHeight="1">
      <c r="A1958" s="129">
        <v>1958</v>
      </c>
    </row>
    <row r="1959" spans="1:1" ht="12.75" customHeight="1">
      <c r="A1959" s="129">
        <v>1959</v>
      </c>
    </row>
    <row r="1960" spans="1:1" ht="12.75" customHeight="1">
      <c r="A1960" s="129">
        <v>1960</v>
      </c>
    </row>
    <row r="1961" spans="1:1" ht="12.75" customHeight="1">
      <c r="A1961" s="129">
        <v>1961</v>
      </c>
    </row>
    <row r="1962" spans="1:1" ht="12.75" customHeight="1">
      <c r="A1962" s="129">
        <v>1962</v>
      </c>
    </row>
    <row r="1963" spans="1:1" ht="12.75" customHeight="1">
      <c r="A1963" s="129">
        <v>1963</v>
      </c>
    </row>
    <row r="1964" spans="1:1" ht="12.75" customHeight="1">
      <c r="A1964" s="129">
        <v>1964</v>
      </c>
    </row>
    <row r="1965" spans="1:1" ht="12.75" customHeight="1">
      <c r="A1965" s="129">
        <v>1965</v>
      </c>
    </row>
    <row r="1966" spans="1:1" ht="12.75" customHeight="1">
      <c r="A1966" s="129">
        <v>1966</v>
      </c>
    </row>
    <row r="1967" spans="1:1" ht="12.75" customHeight="1">
      <c r="A1967" s="129">
        <v>1967</v>
      </c>
    </row>
    <row r="1968" spans="1:1" ht="12.75" customHeight="1">
      <c r="A1968" s="129">
        <v>1968</v>
      </c>
    </row>
    <row r="1969" spans="1:1" ht="12.75" customHeight="1">
      <c r="A1969" s="129">
        <v>1969</v>
      </c>
    </row>
    <row r="1970" spans="1:1" ht="12.75" customHeight="1">
      <c r="A1970" s="129">
        <v>1970</v>
      </c>
    </row>
    <row r="1971" spans="1:1" ht="12.75" customHeight="1">
      <c r="A1971" s="129">
        <v>1971</v>
      </c>
    </row>
    <row r="1972" spans="1:1" ht="12.75" customHeight="1">
      <c r="A1972" s="129">
        <v>1972</v>
      </c>
    </row>
    <row r="1973" spans="1:1" ht="12.75" customHeight="1">
      <c r="A1973" s="129">
        <v>1973</v>
      </c>
    </row>
    <row r="1974" spans="1:1" ht="12.75" customHeight="1">
      <c r="A1974" s="129">
        <v>1974</v>
      </c>
    </row>
    <row r="1975" spans="1:1" ht="12.75" customHeight="1">
      <c r="A1975" s="129">
        <v>1975</v>
      </c>
    </row>
    <row r="1976" spans="1:1" ht="12.75" customHeight="1">
      <c r="A1976" s="129">
        <v>1976</v>
      </c>
    </row>
    <row r="1977" spans="1:1" ht="12.75" customHeight="1">
      <c r="A1977" s="129">
        <v>1977</v>
      </c>
    </row>
    <row r="1978" spans="1:1" ht="12.75" customHeight="1">
      <c r="A1978" s="129">
        <v>1978</v>
      </c>
    </row>
    <row r="1979" spans="1:1" ht="12.75" customHeight="1">
      <c r="A1979" s="129">
        <v>1979</v>
      </c>
    </row>
    <row r="1980" spans="1:1" ht="12.75" customHeight="1">
      <c r="A1980" s="129">
        <v>1980</v>
      </c>
    </row>
    <row r="1981" spans="1:1" ht="12.75" customHeight="1">
      <c r="A1981" s="129">
        <v>1981</v>
      </c>
    </row>
    <row r="1982" spans="1:1" ht="12.75" customHeight="1">
      <c r="A1982" s="129">
        <v>1982</v>
      </c>
    </row>
    <row r="1983" spans="1:1" ht="12.75" customHeight="1">
      <c r="A1983" s="129">
        <v>1983</v>
      </c>
    </row>
    <row r="1984" spans="1:1" ht="12.75" customHeight="1">
      <c r="A1984" s="129">
        <v>1984</v>
      </c>
    </row>
    <row r="1985" spans="1:1" ht="12.75" customHeight="1">
      <c r="A1985" s="129">
        <v>1985</v>
      </c>
    </row>
    <row r="1986" spans="1:1" ht="12.75" customHeight="1">
      <c r="A1986" s="129">
        <v>1986</v>
      </c>
    </row>
    <row r="1987" spans="1:1" ht="12.75" customHeight="1">
      <c r="A1987" s="129">
        <v>1987</v>
      </c>
    </row>
    <row r="1988" spans="1:1" ht="12.75" customHeight="1">
      <c r="A1988" s="129">
        <v>1988</v>
      </c>
    </row>
    <row r="1989" spans="1:1" ht="12.75" customHeight="1">
      <c r="A1989" s="129">
        <v>1989</v>
      </c>
    </row>
    <row r="1990" spans="1:1" ht="12.75" customHeight="1">
      <c r="A1990" s="129">
        <v>1990</v>
      </c>
    </row>
    <row r="1991" spans="1:1" ht="12.75" customHeight="1">
      <c r="A1991" s="129">
        <v>1991</v>
      </c>
    </row>
    <row r="1992" spans="1:1" ht="12.75" customHeight="1">
      <c r="A1992" s="129">
        <v>1992</v>
      </c>
    </row>
    <row r="1993" spans="1:1" ht="12.75" customHeight="1">
      <c r="A1993" s="129">
        <v>1993</v>
      </c>
    </row>
    <row r="1994" spans="1:1" ht="12.75" customHeight="1">
      <c r="A1994" s="129">
        <v>1994</v>
      </c>
    </row>
    <row r="1995" spans="1:1" ht="12.75" customHeight="1">
      <c r="A1995" s="129">
        <v>1995</v>
      </c>
    </row>
    <row r="1996" spans="1:1" ht="12.75" customHeight="1">
      <c r="A1996" s="129">
        <v>1996</v>
      </c>
    </row>
    <row r="1997" spans="1:1" ht="12.75" customHeight="1">
      <c r="A1997" s="129">
        <v>1997</v>
      </c>
    </row>
    <row r="1998" spans="1:1" ht="12.75" customHeight="1">
      <c r="A1998" s="129">
        <v>1998</v>
      </c>
    </row>
    <row r="1999" spans="1:1" ht="12.75" customHeight="1">
      <c r="A1999" s="129">
        <v>1999</v>
      </c>
    </row>
    <row r="2000" spans="1:1" ht="12.75" customHeight="1">
      <c r="A2000" s="129">
        <v>2000</v>
      </c>
    </row>
    <row r="2001" spans="1:1" ht="12.75" customHeight="1">
      <c r="A2001" s="129">
        <v>2001</v>
      </c>
    </row>
    <row r="2002" spans="1:1" ht="12.75" customHeight="1">
      <c r="A2002" s="129">
        <v>2002</v>
      </c>
    </row>
    <row r="2003" spans="1:1" ht="12.75" customHeight="1">
      <c r="A2003" s="129">
        <v>2003</v>
      </c>
    </row>
    <row r="2004" spans="1:1" ht="12.75" customHeight="1">
      <c r="A2004" s="129">
        <v>2004</v>
      </c>
    </row>
    <row r="2005" spans="1:1" ht="12.75" customHeight="1">
      <c r="A2005" s="129">
        <v>2005</v>
      </c>
    </row>
    <row r="2006" spans="1:1" ht="12.75" customHeight="1">
      <c r="A2006" s="129">
        <v>2006</v>
      </c>
    </row>
    <row r="2007" spans="1:1" ht="12.75" customHeight="1">
      <c r="A2007" s="129">
        <v>2007</v>
      </c>
    </row>
    <row r="2008" spans="1:1" ht="12.75" customHeight="1">
      <c r="A2008" s="129">
        <v>2008</v>
      </c>
    </row>
    <row r="2009" spans="1:1" ht="12.75" customHeight="1">
      <c r="A2009" s="129">
        <v>2009</v>
      </c>
    </row>
    <row r="2010" spans="1:1" ht="12.75" customHeight="1">
      <c r="A2010" s="129">
        <v>2010</v>
      </c>
    </row>
    <row r="2011" spans="1:1" ht="12.75" customHeight="1">
      <c r="A2011" s="129">
        <v>2011</v>
      </c>
    </row>
    <row r="2012" spans="1:1" ht="12.75" customHeight="1">
      <c r="A2012" s="129">
        <v>2012</v>
      </c>
    </row>
    <row r="2013" spans="1:1" ht="12.75" customHeight="1">
      <c r="A2013" s="129">
        <v>2013</v>
      </c>
    </row>
    <row r="2014" spans="1:1" ht="12.75" customHeight="1">
      <c r="A2014" s="129">
        <v>2014</v>
      </c>
    </row>
    <row r="2015" spans="1:1" ht="12.75" customHeight="1">
      <c r="A2015" s="129">
        <v>2015</v>
      </c>
    </row>
    <row r="2016" spans="1:1" ht="12.75" customHeight="1">
      <c r="A2016" s="129">
        <v>2016</v>
      </c>
    </row>
    <row r="2017" spans="1:1" ht="12.75" customHeight="1">
      <c r="A2017" s="129">
        <v>2017</v>
      </c>
    </row>
    <row r="2018" spans="1:1" ht="12.75" customHeight="1">
      <c r="A2018" s="129">
        <v>2018</v>
      </c>
    </row>
    <row r="2019" spans="1:1" ht="12.75" customHeight="1">
      <c r="A2019" s="129">
        <v>2019</v>
      </c>
    </row>
    <row r="2020" spans="1:1" ht="12.75" customHeight="1">
      <c r="A2020" s="129">
        <v>2020</v>
      </c>
    </row>
    <row r="2021" spans="1:1" ht="12.75" customHeight="1">
      <c r="A2021" s="129">
        <v>2021</v>
      </c>
    </row>
    <row r="2022" spans="1:1" ht="12.75" customHeight="1">
      <c r="A2022" s="129">
        <v>2022</v>
      </c>
    </row>
    <row r="2023" spans="1:1" ht="12.75" customHeight="1">
      <c r="A2023" s="129">
        <v>2023</v>
      </c>
    </row>
    <row r="2024" spans="1:1" ht="12.75" customHeight="1">
      <c r="A2024" s="129">
        <v>2024</v>
      </c>
    </row>
    <row r="2025" spans="1:1" ht="12.75" customHeight="1">
      <c r="A2025" s="129">
        <v>2025</v>
      </c>
    </row>
    <row r="2026" spans="1:1" ht="12.75" customHeight="1">
      <c r="A2026" s="129">
        <v>2026</v>
      </c>
    </row>
    <row r="2027" spans="1:1" ht="12.75" customHeight="1">
      <c r="A2027" s="129">
        <v>2027</v>
      </c>
    </row>
    <row r="2028" spans="1:1" ht="12.75" customHeight="1">
      <c r="A2028" s="129">
        <v>2028</v>
      </c>
    </row>
    <row r="2029" spans="1:1" ht="12.75" customHeight="1">
      <c r="A2029" s="129">
        <v>2029</v>
      </c>
    </row>
    <row r="2030" spans="1:1" ht="12.75" customHeight="1">
      <c r="A2030" s="129">
        <v>2030</v>
      </c>
    </row>
    <row r="2031" spans="1:1" ht="12.75" customHeight="1">
      <c r="A2031" s="129">
        <v>2031</v>
      </c>
    </row>
    <row r="2032" spans="1:1" ht="12.75" customHeight="1">
      <c r="A2032" s="129">
        <v>2032</v>
      </c>
    </row>
    <row r="2033" spans="1:1" ht="12.75" customHeight="1">
      <c r="A2033" s="129">
        <v>2033</v>
      </c>
    </row>
    <row r="2034" spans="1:1" ht="12.75" customHeight="1">
      <c r="A2034" s="129">
        <v>2034</v>
      </c>
    </row>
    <row r="2035" spans="1:1" ht="12.75" customHeight="1">
      <c r="A2035" s="129">
        <v>2035</v>
      </c>
    </row>
    <row r="2036" spans="1:1" ht="12.75" customHeight="1">
      <c r="A2036" s="129">
        <v>2036</v>
      </c>
    </row>
    <row r="2037" spans="1:1" ht="12.75" customHeight="1">
      <c r="A2037" s="129">
        <v>2037</v>
      </c>
    </row>
    <row r="2038" spans="1:1" ht="12.75" customHeight="1">
      <c r="A2038" s="129">
        <v>2038</v>
      </c>
    </row>
    <row r="2039" spans="1:1" ht="12.75" customHeight="1">
      <c r="A2039" s="129">
        <v>2039</v>
      </c>
    </row>
    <row r="2040" spans="1:1" ht="12.75" customHeight="1">
      <c r="A2040" s="129">
        <v>2040</v>
      </c>
    </row>
    <row r="2041" spans="1:1" ht="12.75" customHeight="1">
      <c r="A2041" s="129">
        <v>2041</v>
      </c>
    </row>
    <row r="2042" spans="1:1" ht="12.75" customHeight="1">
      <c r="A2042" s="129">
        <v>2042</v>
      </c>
    </row>
    <row r="2043" spans="1:1" ht="12.75" customHeight="1">
      <c r="A2043" s="129">
        <v>2043</v>
      </c>
    </row>
    <row r="2044" spans="1:1" ht="12.75" customHeight="1">
      <c r="A2044" s="129">
        <v>2044</v>
      </c>
    </row>
    <row r="2045" spans="1:1" ht="12.75" customHeight="1">
      <c r="A2045" s="129">
        <v>2045</v>
      </c>
    </row>
    <row r="2046" spans="1:1" ht="12.75" customHeight="1">
      <c r="A2046" s="129">
        <v>2046</v>
      </c>
    </row>
    <row r="2047" spans="1:1" ht="12.75" customHeight="1">
      <c r="A2047" s="129">
        <v>2047</v>
      </c>
    </row>
    <row r="2048" spans="1:1" ht="12.75" customHeight="1">
      <c r="A2048" s="129">
        <v>2048</v>
      </c>
    </row>
    <row r="2049" spans="1:1" ht="12.75" customHeight="1">
      <c r="A2049" s="129">
        <v>2049</v>
      </c>
    </row>
    <row r="2050" spans="1:1" ht="12.75" customHeight="1">
      <c r="A2050" s="129">
        <v>2050</v>
      </c>
    </row>
    <row r="2051" spans="1:1" ht="12.75" customHeight="1">
      <c r="A2051" s="129">
        <v>2051</v>
      </c>
    </row>
    <row r="2052" spans="1:1" ht="12.75" customHeight="1">
      <c r="A2052" s="129">
        <v>2052</v>
      </c>
    </row>
    <row r="2053" spans="1:1" ht="12.75" customHeight="1">
      <c r="A2053" s="129">
        <v>2053</v>
      </c>
    </row>
    <row r="2054" spans="1:1" ht="12.75" customHeight="1">
      <c r="A2054" s="129">
        <v>2054</v>
      </c>
    </row>
    <row r="2055" spans="1:1" ht="12.75" customHeight="1">
      <c r="A2055" s="129">
        <v>2055</v>
      </c>
    </row>
    <row r="2056" spans="1:1" ht="12.75" customHeight="1">
      <c r="A2056" s="129">
        <v>2056</v>
      </c>
    </row>
    <row r="2057" spans="1:1" ht="12.75" customHeight="1">
      <c r="A2057" s="129">
        <v>2057</v>
      </c>
    </row>
    <row r="2058" spans="1:1" ht="12.75" customHeight="1">
      <c r="A2058" s="129">
        <v>2058</v>
      </c>
    </row>
    <row r="2059" spans="1:1" ht="12.75" customHeight="1">
      <c r="A2059" s="129">
        <v>2059</v>
      </c>
    </row>
    <row r="2060" spans="1:1" ht="12.75" customHeight="1">
      <c r="A2060" s="129">
        <v>2060</v>
      </c>
    </row>
    <row r="2061" spans="1:1" ht="12.75" customHeight="1">
      <c r="A2061" s="129">
        <v>2061</v>
      </c>
    </row>
    <row r="2062" spans="1:1" ht="12.75" customHeight="1">
      <c r="A2062" s="129">
        <v>2062</v>
      </c>
    </row>
    <row r="2063" spans="1:1" ht="12.75" customHeight="1">
      <c r="A2063" s="129">
        <v>2063</v>
      </c>
    </row>
    <row r="2064" spans="1:1" ht="12.75" customHeight="1">
      <c r="A2064" s="129">
        <v>2064</v>
      </c>
    </row>
    <row r="2065" spans="1:1" ht="12.75" customHeight="1">
      <c r="A2065" s="129">
        <v>2065</v>
      </c>
    </row>
    <row r="2066" spans="1:1" ht="12.75" customHeight="1">
      <c r="A2066" s="129">
        <v>2066</v>
      </c>
    </row>
    <row r="2067" spans="1:1" ht="12.75" customHeight="1">
      <c r="A2067" s="129">
        <v>2067</v>
      </c>
    </row>
    <row r="2068" spans="1:1" ht="12.75" customHeight="1">
      <c r="A2068" s="129">
        <v>2068</v>
      </c>
    </row>
    <row r="2069" spans="1:1" ht="12.75" customHeight="1">
      <c r="A2069" s="129">
        <v>2069</v>
      </c>
    </row>
    <row r="2070" spans="1:1" ht="12.75" customHeight="1">
      <c r="A2070" s="129">
        <v>2070</v>
      </c>
    </row>
    <row r="2071" spans="1:1" ht="12.75" customHeight="1">
      <c r="A2071" s="129">
        <v>2071</v>
      </c>
    </row>
    <row r="2072" spans="1:1" ht="12.75" customHeight="1">
      <c r="A2072" s="129">
        <v>2072</v>
      </c>
    </row>
    <row r="2073" spans="1:1" ht="12.75" customHeight="1">
      <c r="A2073" s="129">
        <v>2073</v>
      </c>
    </row>
    <row r="2074" spans="1:1" ht="12.75" customHeight="1">
      <c r="A2074" s="129">
        <v>2074</v>
      </c>
    </row>
    <row r="2075" spans="1:1" ht="12.75" customHeight="1">
      <c r="A2075" s="129">
        <v>2075</v>
      </c>
    </row>
    <row r="2076" spans="1:1" ht="12.75" customHeight="1">
      <c r="A2076" s="129">
        <v>2076</v>
      </c>
    </row>
    <row r="2077" spans="1:1" ht="12.75" customHeight="1">
      <c r="A2077" s="129">
        <v>2077</v>
      </c>
    </row>
    <row r="2078" spans="1:1" ht="12.75" customHeight="1">
      <c r="A2078" s="129">
        <v>2078</v>
      </c>
    </row>
    <row r="2079" spans="1:1" ht="12.75" customHeight="1">
      <c r="A2079" s="129">
        <v>2079</v>
      </c>
    </row>
    <row r="2080" spans="1:1" ht="12.75" customHeight="1">
      <c r="A2080" s="129">
        <v>2080</v>
      </c>
    </row>
    <row r="2081" spans="1:1" ht="12.75" customHeight="1">
      <c r="A2081" s="129">
        <v>2081</v>
      </c>
    </row>
    <row r="2082" spans="1:1" ht="12.75" customHeight="1">
      <c r="A2082" s="129">
        <v>2082</v>
      </c>
    </row>
    <row r="2083" spans="1:1" ht="12.75" customHeight="1">
      <c r="A2083" s="129">
        <v>2083</v>
      </c>
    </row>
    <row r="2084" spans="1:1" ht="12.75" customHeight="1">
      <c r="A2084" s="129">
        <v>2084</v>
      </c>
    </row>
    <row r="2085" spans="1:1" ht="12.75" customHeight="1">
      <c r="A2085" s="129">
        <v>2085</v>
      </c>
    </row>
    <row r="2086" spans="1:1" ht="12.75" customHeight="1">
      <c r="A2086" s="129">
        <v>2086</v>
      </c>
    </row>
    <row r="2087" spans="1:1" ht="12.75" customHeight="1">
      <c r="A2087" s="129">
        <v>2087</v>
      </c>
    </row>
    <row r="2088" spans="1:1" ht="12.75" customHeight="1">
      <c r="A2088" s="129">
        <v>2088</v>
      </c>
    </row>
    <row r="2089" spans="1:1" ht="12.75" customHeight="1">
      <c r="A2089" s="129">
        <v>2089</v>
      </c>
    </row>
    <row r="2090" spans="1:1" ht="12.75" customHeight="1">
      <c r="A2090" s="129">
        <v>2090</v>
      </c>
    </row>
    <row r="2091" spans="1:1" ht="12.75" customHeight="1">
      <c r="A2091" s="129">
        <v>2091</v>
      </c>
    </row>
    <row r="2092" spans="1:1" ht="12.75" customHeight="1">
      <c r="A2092" s="129">
        <v>2092</v>
      </c>
    </row>
    <row r="2093" spans="1:1" ht="12.75" customHeight="1">
      <c r="A2093" s="129">
        <v>2093</v>
      </c>
    </row>
    <row r="2094" spans="1:1" ht="12.75" customHeight="1">
      <c r="A2094" s="129">
        <v>2094</v>
      </c>
    </row>
    <row r="2095" spans="1:1" ht="12.75" customHeight="1">
      <c r="A2095" s="129">
        <v>2095</v>
      </c>
    </row>
    <row r="2096" spans="1:1" ht="12.75" customHeight="1">
      <c r="A2096" s="129">
        <v>2096</v>
      </c>
    </row>
    <row r="2097" spans="1:1" ht="12.75" customHeight="1">
      <c r="A2097" s="129">
        <v>2097</v>
      </c>
    </row>
    <row r="2098" spans="1:1" ht="12.75" customHeight="1">
      <c r="A2098" s="129">
        <v>2098</v>
      </c>
    </row>
    <row r="2099" spans="1:1" ht="12.75" customHeight="1">
      <c r="A2099" s="129">
        <v>2099</v>
      </c>
    </row>
    <row r="2100" spans="1:1" ht="12.75" customHeight="1">
      <c r="A2100" s="129">
        <v>2100</v>
      </c>
    </row>
    <row r="2101" spans="1:1" ht="12.75" customHeight="1">
      <c r="A2101" s="129">
        <v>2101</v>
      </c>
    </row>
    <row r="2102" spans="1:1" ht="12.75" customHeight="1">
      <c r="A2102" s="129">
        <v>2102</v>
      </c>
    </row>
    <row r="2103" spans="1:1" ht="12.75" customHeight="1">
      <c r="A2103" s="129">
        <v>2103</v>
      </c>
    </row>
    <row r="2104" spans="1:1" ht="12.75" customHeight="1">
      <c r="A2104" s="129">
        <v>2104</v>
      </c>
    </row>
    <row r="2105" spans="1:1" ht="12.75" customHeight="1">
      <c r="A2105" s="129">
        <v>2105</v>
      </c>
    </row>
    <row r="2106" spans="1:1" ht="12.75" customHeight="1">
      <c r="A2106" s="129">
        <v>2106</v>
      </c>
    </row>
    <row r="2107" spans="1:1" ht="12.75" customHeight="1">
      <c r="A2107" s="129">
        <v>2107</v>
      </c>
    </row>
    <row r="2108" spans="1:1" ht="12.75" customHeight="1">
      <c r="A2108" s="129">
        <v>2108</v>
      </c>
    </row>
    <row r="2109" spans="1:1" ht="12.75" customHeight="1">
      <c r="A2109" s="129">
        <v>2109</v>
      </c>
    </row>
    <row r="2110" spans="1:1" ht="12.75" customHeight="1">
      <c r="A2110" s="129">
        <v>2110</v>
      </c>
    </row>
    <row r="2111" spans="1:1" ht="12.75" customHeight="1">
      <c r="A2111" s="129">
        <v>2111</v>
      </c>
    </row>
    <row r="2112" spans="1:1" ht="12.75" customHeight="1">
      <c r="A2112" s="129">
        <v>2112</v>
      </c>
    </row>
    <row r="2113" spans="1:1" ht="12.75" customHeight="1">
      <c r="A2113" s="129">
        <v>2113</v>
      </c>
    </row>
    <row r="2114" spans="1:1" ht="12.75" customHeight="1">
      <c r="A2114" s="129">
        <v>2114</v>
      </c>
    </row>
    <row r="2115" spans="1:1" ht="12.75" customHeight="1">
      <c r="A2115" s="129">
        <v>2115</v>
      </c>
    </row>
    <row r="2116" spans="1:1" ht="12.75" customHeight="1">
      <c r="A2116" s="129">
        <v>2116</v>
      </c>
    </row>
    <row r="2117" spans="1:1" ht="12.75" customHeight="1">
      <c r="A2117" s="129">
        <v>2117</v>
      </c>
    </row>
    <row r="2118" spans="1:1" ht="12.75" customHeight="1">
      <c r="A2118" s="129">
        <v>2118</v>
      </c>
    </row>
    <row r="2119" spans="1:1" ht="12.75" customHeight="1">
      <c r="A2119" s="129">
        <v>2119</v>
      </c>
    </row>
    <row r="2120" spans="1:1" ht="12.75" customHeight="1">
      <c r="A2120" s="129">
        <v>2120</v>
      </c>
    </row>
    <row r="2121" spans="1:1" ht="12.75" customHeight="1">
      <c r="A2121" s="129">
        <v>2121</v>
      </c>
    </row>
    <row r="2122" spans="1:1" ht="12.75" customHeight="1">
      <c r="A2122" s="129">
        <v>2122</v>
      </c>
    </row>
    <row r="2123" spans="1:1" ht="12.75" customHeight="1">
      <c r="A2123" s="129">
        <v>2123</v>
      </c>
    </row>
    <row r="2124" spans="1:1" ht="12.75" customHeight="1">
      <c r="A2124" s="129">
        <v>2124</v>
      </c>
    </row>
    <row r="2125" spans="1:1" ht="12.75" customHeight="1">
      <c r="A2125" s="129">
        <v>2125</v>
      </c>
    </row>
    <row r="2126" spans="1:1" ht="12.75" customHeight="1">
      <c r="A2126" s="129">
        <v>2126</v>
      </c>
    </row>
    <row r="2127" spans="1:1" ht="12.75" customHeight="1">
      <c r="A2127" s="129">
        <v>2127</v>
      </c>
    </row>
    <row r="2128" spans="1:1" ht="12.75" customHeight="1">
      <c r="A2128" s="129">
        <v>2128</v>
      </c>
    </row>
    <row r="2129" spans="1:1" ht="12.75" customHeight="1">
      <c r="A2129" s="129">
        <v>2129</v>
      </c>
    </row>
    <row r="2130" spans="1:1" ht="12.75" customHeight="1">
      <c r="A2130" s="129">
        <v>2130</v>
      </c>
    </row>
    <row r="2131" spans="1:1" ht="12.75" customHeight="1">
      <c r="A2131" s="129">
        <v>2131</v>
      </c>
    </row>
    <row r="2132" spans="1:1" ht="12.75" customHeight="1">
      <c r="A2132" s="129">
        <v>2132</v>
      </c>
    </row>
    <row r="2133" spans="1:1" ht="12.75" customHeight="1">
      <c r="A2133" s="129">
        <v>2133</v>
      </c>
    </row>
    <row r="2134" spans="1:1" ht="12.75" customHeight="1">
      <c r="A2134" s="129">
        <v>2134</v>
      </c>
    </row>
    <row r="2135" spans="1:1" ht="12.75" customHeight="1">
      <c r="A2135" s="129">
        <v>2135</v>
      </c>
    </row>
    <row r="2136" spans="1:1" ht="12.75" customHeight="1">
      <c r="A2136" s="129">
        <v>2136</v>
      </c>
    </row>
    <row r="2137" spans="1:1" ht="12.75" customHeight="1">
      <c r="A2137" s="129">
        <v>2137</v>
      </c>
    </row>
    <row r="2138" spans="1:1" ht="12.75" customHeight="1">
      <c r="A2138" s="129">
        <v>2138</v>
      </c>
    </row>
    <row r="2139" spans="1:1" ht="12.75" customHeight="1">
      <c r="A2139" s="129">
        <v>2139</v>
      </c>
    </row>
    <row r="2140" spans="1:1" ht="12.75" customHeight="1">
      <c r="A2140" s="129">
        <v>2140</v>
      </c>
    </row>
    <row r="2141" spans="1:1" ht="12.75" customHeight="1">
      <c r="A2141" s="129">
        <v>2141</v>
      </c>
    </row>
    <row r="2142" spans="1:1" ht="12.75" customHeight="1">
      <c r="A2142" s="129">
        <v>2142</v>
      </c>
    </row>
    <row r="2143" spans="1:1" ht="12.75" customHeight="1">
      <c r="A2143" s="129">
        <v>2143</v>
      </c>
    </row>
    <row r="2144" spans="1:1" ht="12.75" customHeight="1">
      <c r="A2144" s="129">
        <v>2144</v>
      </c>
    </row>
    <row r="2145" spans="1:1" ht="12.75" customHeight="1">
      <c r="A2145" s="129">
        <v>2145</v>
      </c>
    </row>
    <row r="2146" spans="1:1" ht="12.75" customHeight="1">
      <c r="A2146" s="129">
        <v>2146</v>
      </c>
    </row>
    <row r="2147" spans="1:1" ht="12.75" customHeight="1">
      <c r="A2147" s="129">
        <v>2147</v>
      </c>
    </row>
    <row r="2148" spans="1:1" ht="12.75" customHeight="1">
      <c r="A2148" s="129">
        <v>2148</v>
      </c>
    </row>
    <row r="2149" spans="1:1" ht="12.75" customHeight="1">
      <c r="A2149" s="129">
        <v>2149</v>
      </c>
    </row>
    <row r="2150" spans="1:1" ht="12.75" customHeight="1">
      <c r="A2150" s="129">
        <v>2150</v>
      </c>
    </row>
    <row r="2151" spans="1:1" ht="12.75" customHeight="1">
      <c r="A2151" s="129">
        <v>2151</v>
      </c>
    </row>
    <row r="2152" spans="1:1" ht="12.75" customHeight="1">
      <c r="A2152" s="129">
        <v>2152</v>
      </c>
    </row>
    <row r="2153" spans="1:1" ht="12.75" customHeight="1">
      <c r="A2153" s="129">
        <v>2153</v>
      </c>
    </row>
    <row r="2154" spans="1:1" ht="12.75" customHeight="1">
      <c r="A2154" s="129">
        <v>2154</v>
      </c>
    </row>
    <row r="2155" spans="1:1" ht="12.75" customHeight="1">
      <c r="A2155" s="129">
        <v>2155</v>
      </c>
    </row>
    <row r="2156" spans="1:1" ht="12.75" customHeight="1">
      <c r="A2156" s="129">
        <v>2156</v>
      </c>
    </row>
    <row r="2157" spans="1:1" ht="12.75" customHeight="1">
      <c r="A2157" s="129">
        <v>2157</v>
      </c>
    </row>
    <row r="2158" spans="1:1" ht="12.75" customHeight="1">
      <c r="A2158" s="129">
        <v>2158</v>
      </c>
    </row>
    <row r="2159" spans="1:1" ht="12.75" customHeight="1">
      <c r="A2159" s="129">
        <v>2159</v>
      </c>
    </row>
    <row r="2160" spans="1:1" ht="12.75" customHeight="1">
      <c r="A2160" s="129">
        <v>2160</v>
      </c>
    </row>
    <row r="2161" spans="1:1" ht="12.75" customHeight="1">
      <c r="A2161" s="129">
        <v>2161</v>
      </c>
    </row>
    <row r="2162" spans="1:1" ht="12.75" customHeight="1">
      <c r="A2162" s="129">
        <v>2162</v>
      </c>
    </row>
    <row r="2163" spans="1:1" ht="12.75" customHeight="1">
      <c r="A2163" s="129">
        <v>2163</v>
      </c>
    </row>
    <row r="2164" spans="1:1" ht="12.75" customHeight="1">
      <c r="A2164" s="129">
        <v>2164</v>
      </c>
    </row>
    <row r="2165" spans="1:1" ht="12.75" customHeight="1">
      <c r="A2165" s="129">
        <v>2165</v>
      </c>
    </row>
    <row r="2166" spans="1:1" ht="12.75" customHeight="1">
      <c r="A2166" s="129">
        <v>2166</v>
      </c>
    </row>
    <row r="2167" spans="1:1" ht="12.75" customHeight="1">
      <c r="A2167" s="129">
        <v>2167</v>
      </c>
    </row>
    <row r="2168" spans="1:1" ht="12.75" customHeight="1">
      <c r="A2168" s="129">
        <v>2168</v>
      </c>
    </row>
    <row r="2169" spans="1:1" ht="12.75" customHeight="1">
      <c r="A2169" s="129">
        <v>2169</v>
      </c>
    </row>
    <row r="2170" spans="1:1" ht="12.75" customHeight="1">
      <c r="A2170" s="129">
        <v>2170</v>
      </c>
    </row>
    <row r="2171" spans="1:1" ht="12.75" customHeight="1">
      <c r="A2171" s="129">
        <v>2171</v>
      </c>
    </row>
    <row r="2172" spans="1:1" ht="12.75" customHeight="1">
      <c r="A2172" s="129">
        <v>2172</v>
      </c>
    </row>
    <row r="2173" spans="1:1" ht="12.75" customHeight="1">
      <c r="A2173" s="129">
        <v>2173</v>
      </c>
    </row>
    <row r="2174" spans="1:1" ht="12.75" customHeight="1">
      <c r="A2174" s="129">
        <v>2174</v>
      </c>
    </row>
    <row r="2175" spans="1:1" ht="12.75" customHeight="1">
      <c r="A2175" s="129">
        <v>2175</v>
      </c>
    </row>
    <row r="2176" spans="1:1" ht="12.75" customHeight="1">
      <c r="A2176" s="129">
        <v>2176</v>
      </c>
    </row>
    <row r="2177" spans="1:1" ht="12.75" customHeight="1">
      <c r="A2177" s="129">
        <v>2177</v>
      </c>
    </row>
    <row r="2178" spans="1:1" ht="12.75" customHeight="1">
      <c r="A2178" s="129">
        <v>2178</v>
      </c>
    </row>
    <row r="2179" spans="1:1" ht="12.75" customHeight="1">
      <c r="A2179" s="129">
        <v>2179</v>
      </c>
    </row>
    <row r="2180" spans="1:1" ht="12.75" customHeight="1">
      <c r="A2180" s="129">
        <v>2180</v>
      </c>
    </row>
    <row r="2181" spans="1:1" ht="12.75" customHeight="1">
      <c r="A2181" s="129">
        <v>2181</v>
      </c>
    </row>
    <row r="2182" spans="1:1" ht="12.75" customHeight="1">
      <c r="A2182" s="129">
        <v>2182</v>
      </c>
    </row>
    <row r="2183" spans="1:1" ht="12.75" customHeight="1">
      <c r="A2183" s="129">
        <v>2183</v>
      </c>
    </row>
    <row r="2184" spans="1:1" ht="12.75" customHeight="1">
      <c r="A2184" s="129">
        <v>2184</v>
      </c>
    </row>
    <row r="2185" spans="1:1" ht="12.75" customHeight="1">
      <c r="A2185" s="129">
        <v>2185</v>
      </c>
    </row>
    <row r="2186" spans="1:1" ht="12.75" customHeight="1">
      <c r="A2186" s="129">
        <v>2186</v>
      </c>
    </row>
    <row r="2187" spans="1:1" ht="12.75" customHeight="1">
      <c r="A2187" s="129">
        <v>2187</v>
      </c>
    </row>
    <row r="2188" spans="1:1" ht="12.75" customHeight="1">
      <c r="A2188" s="129">
        <v>2188</v>
      </c>
    </row>
    <row r="2189" spans="1:1" ht="12.75" customHeight="1">
      <c r="A2189" s="129">
        <v>2189</v>
      </c>
    </row>
    <row r="2190" spans="1:1" ht="12.75" customHeight="1">
      <c r="A2190" s="129">
        <v>2190</v>
      </c>
    </row>
    <row r="2191" spans="1:1" ht="12.75" customHeight="1">
      <c r="A2191" s="129">
        <v>2191</v>
      </c>
    </row>
    <row r="2192" spans="1:1" ht="12.75" customHeight="1">
      <c r="A2192" s="129">
        <v>2192</v>
      </c>
    </row>
    <row r="2193" spans="1:1" ht="12.75" customHeight="1">
      <c r="A2193" s="129">
        <v>2193</v>
      </c>
    </row>
    <row r="2194" spans="1:1" ht="12.75" customHeight="1">
      <c r="A2194" s="129">
        <v>2194</v>
      </c>
    </row>
    <row r="2195" spans="1:1" ht="12.75" customHeight="1">
      <c r="A2195" s="129">
        <v>2195</v>
      </c>
    </row>
    <row r="2196" spans="1:1" ht="12.75" customHeight="1">
      <c r="A2196" s="129">
        <v>2196</v>
      </c>
    </row>
    <row r="2197" spans="1:1" ht="12.75" customHeight="1">
      <c r="A2197" s="129">
        <v>2197</v>
      </c>
    </row>
    <row r="2198" spans="1:1" ht="12.75" customHeight="1">
      <c r="A2198" s="129">
        <v>2198</v>
      </c>
    </row>
    <row r="2199" spans="1:1" ht="12.75" customHeight="1">
      <c r="A2199" s="129">
        <v>2199</v>
      </c>
    </row>
    <row r="2200" spans="1:1" ht="12.75" customHeight="1">
      <c r="A2200" s="129">
        <v>2200</v>
      </c>
    </row>
    <row r="2201" spans="1:1" ht="12.75" customHeight="1">
      <c r="A2201" s="129">
        <v>2201</v>
      </c>
    </row>
    <row r="2202" spans="1:1" ht="12.75" customHeight="1">
      <c r="A2202" s="129">
        <v>2202</v>
      </c>
    </row>
    <row r="2203" spans="1:1" ht="12.75" customHeight="1">
      <c r="A2203" s="129">
        <v>2203</v>
      </c>
    </row>
    <row r="2204" spans="1:1" ht="12.75" customHeight="1">
      <c r="A2204" s="129">
        <v>2204</v>
      </c>
    </row>
    <row r="2205" spans="1:1" ht="12.75" customHeight="1">
      <c r="A2205" s="129">
        <v>2205</v>
      </c>
    </row>
    <row r="2206" spans="1:1" ht="12.75" customHeight="1">
      <c r="A2206" s="129">
        <v>2206</v>
      </c>
    </row>
    <row r="2207" spans="1:1" ht="12.75" customHeight="1">
      <c r="A2207" s="129">
        <v>2207</v>
      </c>
    </row>
    <row r="2208" spans="1:1" ht="12.75" customHeight="1">
      <c r="A2208" s="129">
        <v>2208</v>
      </c>
    </row>
    <row r="2209" spans="1:1" ht="12.75" customHeight="1">
      <c r="A2209" s="129">
        <v>2209</v>
      </c>
    </row>
    <row r="2210" spans="1:1" ht="12.75" customHeight="1">
      <c r="A2210" s="129">
        <v>2210</v>
      </c>
    </row>
    <row r="2211" spans="1:1" ht="12.75" customHeight="1">
      <c r="A2211" s="129">
        <v>2211</v>
      </c>
    </row>
    <row r="2212" spans="1:1" ht="12.75" customHeight="1">
      <c r="A2212" s="129">
        <v>2212</v>
      </c>
    </row>
    <row r="2213" spans="1:1" ht="12.75" customHeight="1">
      <c r="A2213" s="129">
        <v>2213</v>
      </c>
    </row>
    <row r="2214" spans="1:1" ht="12.75" customHeight="1">
      <c r="A2214" s="129">
        <v>2214</v>
      </c>
    </row>
    <row r="2215" spans="1:1" ht="12.75" customHeight="1">
      <c r="A2215" s="129">
        <v>2215</v>
      </c>
    </row>
    <row r="2216" spans="1:1" ht="12.75" customHeight="1">
      <c r="A2216" s="129">
        <v>2216</v>
      </c>
    </row>
    <row r="2217" spans="1:1" ht="12.75" customHeight="1">
      <c r="A2217" s="129">
        <v>2217</v>
      </c>
    </row>
    <row r="2218" spans="1:1" ht="12.75" customHeight="1">
      <c r="A2218" s="129">
        <v>2218</v>
      </c>
    </row>
    <row r="2219" spans="1:1" ht="12.75" customHeight="1">
      <c r="A2219" s="129">
        <v>2219</v>
      </c>
    </row>
    <row r="2220" spans="1:1" ht="12.75" customHeight="1">
      <c r="A2220" s="129">
        <v>2220</v>
      </c>
    </row>
    <row r="2221" spans="1:1" ht="12.75" customHeight="1">
      <c r="A2221" s="129">
        <v>2221</v>
      </c>
    </row>
    <row r="2222" spans="1:1" ht="12.75" customHeight="1">
      <c r="A2222" s="129">
        <v>2222</v>
      </c>
    </row>
    <row r="2223" spans="1:1" ht="12.75" customHeight="1">
      <c r="A2223" s="129">
        <v>2223</v>
      </c>
    </row>
    <row r="2224" spans="1:1" ht="12.75" customHeight="1">
      <c r="A2224" s="129">
        <v>2224</v>
      </c>
    </row>
    <row r="2225" spans="1:1" ht="12.75" customHeight="1">
      <c r="A2225" s="129">
        <v>2225</v>
      </c>
    </row>
    <row r="2226" spans="1:1" ht="12.75" customHeight="1">
      <c r="A2226" s="129">
        <v>2226</v>
      </c>
    </row>
    <row r="2227" spans="1:1" ht="12.75" customHeight="1">
      <c r="A2227" s="129">
        <v>2227</v>
      </c>
    </row>
    <row r="2228" spans="1:1" ht="12.75" customHeight="1">
      <c r="A2228" s="129">
        <v>2228</v>
      </c>
    </row>
    <row r="2229" spans="1:1" ht="12.75" customHeight="1">
      <c r="A2229" s="129">
        <v>2229</v>
      </c>
    </row>
    <row r="2230" spans="1:1" ht="12.75" customHeight="1">
      <c r="A2230" s="129">
        <v>2230</v>
      </c>
    </row>
    <row r="2231" spans="1:1" ht="12.75" customHeight="1">
      <c r="A2231" s="129">
        <v>2231</v>
      </c>
    </row>
    <row r="2232" spans="1:1" ht="12.75" customHeight="1">
      <c r="A2232" s="129">
        <v>2232</v>
      </c>
    </row>
    <row r="2233" spans="1:1" ht="12.75" customHeight="1">
      <c r="A2233" s="129">
        <v>2233</v>
      </c>
    </row>
    <row r="2234" spans="1:1" ht="12.75" customHeight="1">
      <c r="A2234" s="129">
        <v>2234</v>
      </c>
    </row>
    <row r="2235" spans="1:1" ht="12.75" customHeight="1">
      <c r="A2235" s="129">
        <v>2235</v>
      </c>
    </row>
    <row r="2236" spans="1:1" ht="12.75" customHeight="1">
      <c r="A2236" s="129">
        <v>2236</v>
      </c>
    </row>
    <row r="2237" spans="1:1" ht="12.75" customHeight="1">
      <c r="A2237" s="129">
        <v>2237</v>
      </c>
    </row>
    <row r="2238" spans="1:1" ht="12.75" customHeight="1">
      <c r="A2238" s="129">
        <v>2238</v>
      </c>
    </row>
    <row r="2239" spans="1:1" ht="12.75" customHeight="1">
      <c r="A2239" s="129">
        <v>2239</v>
      </c>
    </row>
    <row r="2240" spans="1:1" ht="12.75" customHeight="1">
      <c r="A2240" s="129">
        <v>2240</v>
      </c>
    </row>
    <row r="2241" spans="1:1" ht="12.75" customHeight="1">
      <c r="A2241" s="129">
        <v>2241</v>
      </c>
    </row>
    <row r="2242" spans="1:1" ht="12.75" customHeight="1">
      <c r="A2242" s="129">
        <v>2242</v>
      </c>
    </row>
    <row r="2243" spans="1:1" ht="12.75" customHeight="1">
      <c r="A2243" s="129">
        <v>2243</v>
      </c>
    </row>
    <row r="2244" spans="1:1" ht="12.75" customHeight="1">
      <c r="A2244" s="129">
        <v>2244</v>
      </c>
    </row>
    <row r="2245" spans="1:1" ht="12.75" customHeight="1">
      <c r="A2245" s="129">
        <v>2245</v>
      </c>
    </row>
    <row r="2246" spans="1:1" ht="12.75" customHeight="1">
      <c r="A2246" s="129">
        <v>2246</v>
      </c>
    </row>
    <row r="2247" spans="1:1" ht="12.75" customHeight="1">
      <c r="A2247" s="129">
        <v>2247</v>
      </c>
    </row>
    <row r="2248" spans="1:1" ht="12.75" customHeight="1">
      <c r="A2248" s="129">
        <v>2248</v>
      </c>
    </row>
    <row r="2249" spans="1:1" ht="12.75" customHeight="1">
      <c r="A2249" s="129">
        <v>2249</v>
      </c>
    </row>
    <row r="2250" spans="1:1" ht="12.75" customHeight="1">
      <c r="A2250" s="129">
        <v>2250</v>
      </c>
    </row>
    <row r="2251" spans="1:1" ht="12.75" customHeight="1">
      <c r="A2251" s="129">
        <v>2251</v>
      </c>
    </row>
    <row r="2252" spans="1:1" ht="12.75" customHeight="1">
      <c r="A2252" s="129">
        <v>2252</v>
      </c>
    </row>
    <row r="2253" spans="1:1" ht="12.75" customHeight="1">
      <c r="A2253" s="129">
        <v>2253</v>
      </c>
    </row>
    <row r="2254" spans="1:1" ht="12.75" customHeight="1">
      <c r="A2254" s="129">
        <v>2254</v>
      </c>
    </row>
    <row r="2255" spans="1:1" ht="12.75" customHeight="1">
      <c r="A2255" s="129">
        <v>2255</v>
      </c>
    </row>
    <row r="2256" spans="1:1" ht="12.75" customHeight="1">
      <c r="A2256" s="129">
        <v>2256</v>
      </c>
    </row>
    <row r="2257" spans="1:1" ht="12.75" customHeight="1">
      <c r="A2257" s="129">
        <v>2257</v>
      </c>
    </row>
    <row r="2258" spans="1:1" ht="12.75" customHeight="1">
      <c r="A2258" s="129">
        <v>2258</v>
      </c>
    </row>
    <row r="2259" spans="1:1" ht="12.75" customHeight="1">
      <c r="A2259" s="129">
        <v>2259</v>
      </c>
    </row>
    <row r="2260" spans="1:1" ht="12.75" customHeight="1">
      <c r="A2260" s="129">
        <v>2260</v>
      </c>
    </row>
    <row r="2261" spans="1:1" ht="12.75" customHeight="1">
      <c r="A2261" s="129">
        <v>2261</v>
      </c>
    </row>
    <row r="2262" spans="1:1" ht="12.75" customHeight="1">
      <c r="A2262" s="129">
        <v>2262</v>
      </c>
    </row>
    <row r="2263" spans="1:1" ht="12.75" customHeight="1">
      <c r="A2263" s="129">
        <v>2263</v>
      </c>
    </row>
    <row r="2264" spans="1:1" ht="12.75" customHeight="1">
      <c r="A2264" s="129">
        <v>2264</v>
      </c>
    </row>
    <row r="2265" spans="1:1" ht="12.75" customHeight="1">
      <c r="A2265" s="129">
        <v>2265</v>
      </c>
    </row>
    <row r="2266" spans="1:1" ht="12.75" customHeight="1">
      <c r="A2266" s="129">
        <v>2266</v>
      </c>
    </row>
    <row r="2267" spans="1:1" ht="12.75" customHeight="1">
      <c r="A2267" s="129">
        <v>2267</v>
      </c>
    </row>
    <row r="2268" spans="1:1" ht="12.75" customHeight="1">
      <c r="A2268" s="129">
        <v>2268</v>
      </c>
    </row>
    <row r="2269" spans="1:1" ht="12.75" customHeight="1">
      <c r="A2269" s="129">
        <v>2269</v>
      </c>
    </row>
    <row r="2270" spans="1:1" ht="12.75" customHeight="1">
      <c r="A2270" s="129">
        <v>2270</v>
      </c>
    </row>
    <row r="2271" spans="1:1" ht="12.75" customHeight="1">
      <c r="A2271" s="129">
        <v>2271</v>
      </c>
    </row>
    <row r="2272" spans="1:1" ht="12.75" customHeight="1">
      <c r="A2272" s="129">
        <v>2272</v>
      </c>
    </row>
    <row r="2273" spans="1:1" ht="12.75" customHeight="1">
      <c r="A2273" s="129">
        <v>2273</v>
      </c>
    </row>
    <row r="2274" spans="1:1" ht="12.75" customHeight="1">
      <c r="A2274" s="129">
        <v>2274</v>
      </c>
    </row>
    <row r="2275" spans="1:1" ht="12.75" customHeight="1">
      <c r="A2275" s="129">
        <v>2275</v>
      </c>
    </row>
    <row r="2276" spans="1:1" ht="12.75" customHeight="1">
      <c r="A2276" s="129">
        <v>2276</v>
      </c>
    </row>
    <row r="2277" spans="1:1" ht="12.75" customHeight="1">
      <c r="A2277" s="129">
        <v>2277</v>
      </c>
    </row>
    <row r="2278" spans="1:1" ht="12.75" customHeight="1">
      <c r="A2278" s="129">
        <v>2278</v>
      </c>
    </row>
    <row r="2279" spans="1:1" ht="12.75" customHeight="1">
      <c r="A2279" s="129">
        <v>2279</v>
      </c>
    </row>
    <row r="2280" spans="1:1" ht="12.75" customHeight="1">
      <c r="A2280" s="129">
        <v>2280</v>
      </c>
    </row>
    <row r="2281" spans="1:1" ht="12.75" customHeight="1">
      <c r="A2281" s="129">
        <v>2281</v>
      </c>
    </row>
    <row r="2282" spans="1:1" ht="12.75" customHeight="1">
      <c r="A2282" s="129">
        <v>2282</v>
      </c>
    </row>
    <row r="2283" spans="1:1" ht="12.75" customHeight="1">
      <c r="A2283" s="129">
        <v>2283</v>
      </c>
    </row>
    <row r="2284" spans="1:1" ht="12.75" customHeight="1">
      <c r="A2284" s="129">
        <v>2284</v>
      </c>
    </row>
    <row r="2285" spans="1:1" ht="12.75" customHeight="1">
      <c r="A2285" s="129">
        <v>2285</v>
      </c>
    </row>
    <row r="2286" spans="1:1" ht="12.75" customHeight="1">
      <c r="A2286" s="129">
        <v>2286</v>
      </c>
    </row>
    <row r="2287" spans="1:1" ht="12.75" customHeight="1">
      <c r="A2287" s="129">
        <v>2287</v>
      </c>
    </row>
    <row r="2288" spans="1:1" ht="12.75" customHeight="1">
      <c r="A2288" s="129">
        <v>2288</v>
      </c>
    </row>
    <row r="2289" spans="1:1" ht="12.75" customHeight="1">
      <c r="A2289" s="129">
        <v>2289</v>
      </c>
    </row>
    <row r="2290" spans="1:1" ht="12.75" customHeight="1">
      <c r="A2290" s="129">
        <v>2290</v>
      </c>
    </row>
    <row r="2291" spans="1:1" ht="12.75" customHeight="1">
      <c r="A2291" s="129">
        <v>2291</v>
      </c>
    </row>
    <row r="2292" spans="1:1" ht="12.75" customHeight="1">
      <c r="A2292" s="129">
        <v>2292</v>
      </c>
    </row>
    <row r="2293" spans="1:1" ht="12.75" customHeight="1">
      <c r="A2293" s="129">
        <v>2293</v>
      </c>
    </row>
    <row r="2294" spans="1:1" ht="12.75" customHeight="1">
      <c r="A2294" s="129">
        <v>2294</v>
      </c>
    </row>
    <row r="2295" spans="1:1" ht="12.75" customHeight="1">
      <c r="A2295" s="129">
        <v>2295</v>
      </c>
    </row>
    <row r="2296" spans="1:1" ht="12.75" customHeight="1">
      <c r="A2296" s="129">
        <v>2296</v>
      </c>
    </row>
    <row r="2297" spans="1:1" ht="12.75" customHeight="1">
      <c r="A2297" s="129">
        <v>2297</v>
      </c>
    </row>
    <row r="2298" spans="1:1" ht="12.75" customHeight="1">
      <c r="A2298" s="129">
        <v>2298</v>
      </c>
    </row>
    <row r="2299" spans="1:1" ht="12.75" customHeight="1">
      <c r="A2299" s="129">
        <v>2299</v>
      </c>
    </row>
    <row r="2300" spans="1:1" ht="12.75" customHeight="1">
      <c r="A2300" s="129">
        <v>2300</v>
      </c>
    </row>
    <row r="2301" spans="1:1" ht="12.75" customHeight="1">
      <c r="A2301" s="129">
        <v>2301</v>
      </c>
    </row>
    <row r="2302" spans="1:1" ht="12.75" customHeight="1">
      <c r="A2302" s="129">
        <v>2302</v>
      </c>
    </row>
    <row r="2303" spans="1:1" ht="12.75" customHeight="1">
      <c r="A2303" s="129">
        <v>2303</v>
      </c>
    </row>
    <row r="2304" spans="1:1" ht="12.75" customHeight="1">
      <c r="A2304" s="129">
        <v>2304</v>
      </c>
    </row>
    <row r="2305" spans="1:1" ht="12.75" customHeight="1">
      <c r="A2305" s="129">
        <v>2305</v>
      </c>
    </row>
    <row r="2306" spans="1:1" ht="12.75" customHeight="1">
      <c r="A2306" s="129">
        <v>2306</v>
      </c>
    </row>
    <row r="2307" spans="1:1" ht="12.75" customHeight="1">
      <c r="A2307" s="129">
        <v>2307</v>
      </c>
    </row>
    <row r="2308" spans="1:1" ht="12.75" customHeight="1">
      <c r="A2308" s="129">
        <v>2308</v>
      </c>
    </row>
    <row r="2309" spans="1:1" ht="12.75" customHeight="1">
      <c r="A2309" s="129">
        <v>2309</v>
      </c>
    </row>
    <row r="2310" spans="1:1" ht="12.75" customHeight="1">
      <c r="A2310" s="129">
        <v>2310</v>
      </c>
    </row>
    <row r="2311" spans="1:1" ht="12.75" customHeight="1">
      <c r="A2311" s="129">
        <v>2311</v>
      </c>
    </row>
    <row r="2312" spans="1:1" ht="12.75" customHeight="1">
      <c r="A2312" s="129">
        <v>2312</v>
      </c>
    </row>
    <row r="2313" spans="1:1" ht="12.75" customHeight="1">
      <c r="A2313" s="129">
        <v>2313</v>
      </c>
    </row>
    <row r="2314" spans="1:1" ht="12.75" customHeight="1">
      <c r="A2314" s="129">
        <v>2314</v>
      </c>
    </row>
    <row r="2315" spans="1:1" ht="12.75" customHeight="1">
      <c r="A2315" s="129">
        <v>2315</v>
      </c>
    </row>
    <row r="2316" spans="1:1" ht="12.75" customHeight="1">
      <c r="A2316" s="129">
        <v>2316</v>
      </c>
    </row>
    <row r="2317" spans="1:1" ht="12.75" customHeight="1">
      <c r="A2317" s="129">
        <v>2317</v>
      </c>
    </row>
    <row r="2318" spans="1:1" ht="12.75" customHeight="1">
      <c r="A2318" s="129">
        <v>2318</v>
      </c>
    </row>
    <row r="2319" spans="1:1" ht="12.75" customHeight="1">
      <c r="A2319" s="129">
        <v>2319</v>
      </c>
    </row>
    <row r="2320" spans="1:1" ht="12.75" customHeight="1">
      <c r="A2320" s="129">
        <v>2320</v>
      </c>
    </row>
    <row r="2321" spans="1:1" ht="12.75" customHeight="1">
      <c r="A2321" s="129">
        <v>2321</v>
      </c>
    </row>
    <row r="2322" spans="1:1" ht="12.75" customHeight="1">
      <c r="A2322" s="129">
        <v>2322</v>
      </c>
    </row>
    <row r="2323" spans="1:1" ht="12.75" customHeight="1">
      <c r="A2323" s="129">
        <v>2323</v>
      </c>
    </row>
    <row r="2324" spans="1:1" ht="12.75" customHeight="1">
      <c r="A2324" s="129">
        <v>2324</v>
      </c>
    </row>
    <row r="2325" spans="1:1" ht="12.75" customHeight="1">
      <c r="A2325" s="129">
        <v>2325</v>
      </c>
    </row>
    <row r="2326" spans="1:1" ht="12.75" customHeight="1">
      <c r="A2326" s="129">
        <v>2326</v>
      </c>
    </row>
    <row r="2327" spans="1:1" ht="12.75" customHeight="1">
      <c r="A2327" s="129">
        <v>2327</v>
      </c>
    </row>
    <row r="2328" spans="1:1" ht="12.75" customHeight="1">
      <c r="A2328" s="129">
        <v>2328</v>
      </c>
    </row>
    <row r="2329" spans="1:1" ht="12.75" customHeight="1">
      <c r="A2329" s="129">
        <v>2329</v>
      </c>
    </row>
    <row r="2330" spans="1:1" ht="12.75" customHeight="1">
      <c r="A2330" s="129">
        <v>2330</v>
      </c>
    </row>
    <row r="2331" spans="1:1" ht="12.75" customHeight="1">
      <c r="A2331" s="129">
        <v>2331</v>
      </c>
    </row>
    <row r="2332" spans="1:1" ht="12.75" customHeight="1">
      <c r="A2332" s="129">
        <v>2332</v>
      </c>
    </row>
    <row r="2333" spans="1:1" ht="12.75" customHeight="1">
      <c r="A2333" s="129">
        <v>2333</v>
      </c>
    </row>
    <row r="2334" spans="1:1" ht="12.75" customHeight="1">
      <c r="A2334" s="129">
        <v>2334</v>
      </c>
    </row>
    <row r="2335" spans="1:1" ht="12.75" customHeight="1">
      <c r="A2335" s="129">
        <v>2335</v>
      </c>
    </row>
    <row r="2336" spans="1:1" ht="12.75" customHeight="1">
      <c r="A2336" s="129">
        <v>2336</v>
      </c>
    </row>
    <row r="2337" spans="1:1" ht="12.75" customHeight="1">
      <c r="A2337" s="129">
        <v>2337</v>
      </c>
    </row>
    <row r="2338" spans="1:1" ht="12.75" customHeight="1">
      <c r="A2338" s="129">
        <v>2338</v>
      </c>
    </row>
    <row r="2339" spans="1:1" ht="12.75" customHeight="1">
      <c r="A2339" s="129">
        <v>2339</v>
      </c>
    </row>
    <row r="2340" spans="1:1" ht="12.75" customHeight="1">
      <c r="A2340" s="129">
        <v>2340</v>
      </c>
    </row>
    <row r="2341" spans="1:1" ht="12.75" customHeight="1">
      <c r="A2341" s="129">
        <v>2341</v>
      </c>
    </row>
    <row r="2342" spans="1:1" ht="12.75" customHeight="1">
      <c r="A2342" s="129">
        <v>2342</v>
      </c>
    </row>
    <row r="2343" spans="1:1" ht="12.75" customHeight="1">
      <c r="A2343" s="129">
        <v>2343</v>
      </c>
    </row>
    <row r="2344" spans="1:1" ht="12.75" customHeight="1">
      <c r="A2344" s="129">
        <v>2344</v>
      </c>
    </row>
    <row r="2345" spans="1:1" ht="12.75" customHeight="1">
      <c r="A2345" s="129">
        <v>2345</v>
      </c>
    </row>
    <row r="2346" spans="1:1" ht="12.75" customHeight="1">
      <c r="A2346" s="129">
        <v>2346</v>
      </c>
    </row>
    <row r="2347" spans="1:1" ht="12.75" customHeight="1">
      <c r="A2347" s="129">
        <v>2347</v>
      </c>
    </row>
    <row r="2348" spans="1:1" ht="12.75" customHeight="1">
      <c r="A2348" s="129">
        <v>2348</v>
      </c>
    </row>
    <row r="2349" spans="1:1" ht="12.75" customHeight="1">
      <c r="A2349" s="129">
        <v>2349</v>
      </c>
    </row>
    <row r="2350" spans="1:1" ht="12.75" customHeight="1">
      <c r="A2350" s="129">
        <v>2350</v>
      </c>
    </row>
    <row r="2351" spans="1:1" ht="12.75" customHeight="1">
      <c r="A2351" s="129">
        <v>2351</v>
      </c>
    </row>
    <row r="2352" spans="1:1" ht="12.75" customHeight="1">
      <c r="A2352" s="129">
        <v>2352</v>
      </c>
    </row>
    <row r="2353" spans="1:1" ht="12.75" customHeight="1">
      <c r="A2353" s="129">
        <v>2353</v>
      </c>
    </row>
    <row r="2354" spans="1:1" ht="12.75" customHeight="1">
      <c r="A2354" s="129">
        <v>2354</v>
      </c>
    </row>
    <row r="2355" spans="1:1" ht="12.75" customHeight="1">
      <c r="A2355" s="129">
        <v>2355</v>
      </c>
    </row>
    <row r="2356" spans="1:1" ht="12.75" customHeight="1">
      <c r="A2356" s="129">
        <v>2356</v>
      </c>
    </row>
    <row r="2357" spans="1:1" ht="12.75" customHeight="1">
      <c r="A2357" s="129">
        <v>2357</v>
      </c>
    </row>
    <row r="2358" spans="1:1" ht="12.75" customHeight="1">
      <c r="A2358" s="129">
        <v>2358</v>
      </c>
    </row>
    <row r="2359" spans="1:1" ht="12.75" customHeight="1">
      <c r="A2359" s="129">
        <v>2359</v>
      </c>
    </row>
    <row r="2360" spans="1:1" ht="12.75" customHeight="1">
      <c r="A2360" s="129">
        <v>2360</v>
      </c>
    </row>
    <row r="2361" spans="1:1" ht="12.75" customHeight="1">
      <c r="A2361" s="129">
        <v>2361</v>
      </c>
    </row>
    <row r="2362" spans="1:1" ht="12.75" customHeight="1">
      <c r="A2362" s="129">
        <v>2362</v>
      </c>
    </row>
    <row r="2363" spans="1:1" ht="12.75" customHeight="1">
      <c r="A2363" s="129">
        <v>2363</v>
      </c>
    </row>
    <row r="2364" spans="1:1" ht="12.75" customHeight="1">
      <c r="A2364" s="129">
        <v>2364</v>
      </c>
    </row>
    <row r="2365" spans="1:1" ht="12.75" customHeight="1">
      <c r="A2365" s="129">
        <v>2365</v>
      </c>
    </row>
    <row r="2366" spans="1:1" ht="12.75" customHeight="1">
      <c r="A2366" s="129">
        <v>2366</v>
      </c>
    </row>
    <row r="2367" spans="1:1" ht="12.75" customHeight="1">
      <c r="A2367" s="129">
        <v>2367</v>
      </c>
    </row>
    <row r="2368" spans="1:1" ht="12.75" customHeight="1">
      <c r="A2368" s="129">
        <v>2368</v>
      </c>
    </row>
    <row r="2369" spans="1:1" ht="12.75" customHeight="1">
      <c r="A2369" s="129">
        <v>2369</v>
      </c>
    </row>
    <row r="2370" spans="1:1" ht="12.75" customHeight="1">
      <c r="A2370" s="129">
        <v>2370</v>
      </c>
    </row>
    <row r="2371" spans="1:1" ht="12.75" customHeight="1">
      <c r="A2371" s="129">
        <v>2371</v>
      </c>
    </row>
    <row r="2372" spans="1:1" ht="12.75" customHeight="1">
      <c r="A2372" s="129">
        <v>2372</v>
      </c>
    </row>
    <row r="2373" spans="1:1" ht="12.75" customHeight="1">
      <c r="A2373" s="129">
        <v>2373</v>
      </c>
    </row>
    <row r="2374" spans="1:1" ht="12.75" customHeight="1">
      <c r="A2374" s="129">
        <v>2374</v>
      </c>
    </row>
    <row r="2375" spans="1:1" ht="12.75" customHeight="1">
      <c r="A2375" s="129">
        <v>2375</v>
      </c>
    </row>
    <row r="2376" spans="1:1" ht="12.75" customHeight="1">
      <c r="A2376" s="129">
        <v>2376</v>
      </c>
    </row>
    <row r="2377" spans="1:1" ht="12.75" customHeight="1">
      <c r="A2377" s="129">
        <v>2377</v>
      </c>
    </row>
    <row r="2378" spans="1:1" ht="12.75" customHeight="1">
      <c r="A2378" s="129">
        <v>2378</v>
      </c>
    </row>
    <row r="2379" spans="1:1" ht="12.75" customHeight="1">
      <c r="A2379" s="129">
        <v>2379</v>
      </c>
    </row>
    <row r="2380" spans="1:1" ht="12.75" customHeight="1">
      <c r="A2380" s="129">
        <v>2380</v>
      </c>
    </row>
    <row r="2381" spans="1:1" ht="12.75" customHeight="1">
      <c r="A2381" s="129">
        <v>2381</v>
      </c>
    </row>
    <row r="2382" spans="1:1" ht="12.75" customHeight="1">
      <c r="A2382" s="129">
        <v>2382</v>
      </c>
    </row>
    <row r="2383" spans="1:1" ht="12.75" customHeight="1">
      <c r="A2383" s="129">
        <v>2383</v>
      </c>
    </row>
    <row r="2384" spans="1:1" ht="12.75" customHeight="1">
      <c r="A2384" s="129">
        <v>2384</v>
      </c>
    </row>
    <row r="2385" spans="1:1" ht="12.75" customHeight="1">
      <c r="A2385" s="129">
        <v>2385</v>
      </c>
    </row>
    <row r="2386" spans="1:1" ht="12.75" customHeight="1">
      <c r="A2386" s="129">
        <v>2386</v>
      </c>
    </row>
    <row r="2387" spans="1:1" ht="12.75" customHeight="1">
      <c r="A2387" s="129">
        <v>2387</v>
      </c>
    </row>
    <row r="2388" spans="1:1" ht="12.75" customHeight="1">
      <c r="A2388" s="129">
        <v>2388</v>
      </c>
    </row>
    <row r="2389" spans="1:1" ht="12.75" customHeight="1">
      <c r="A2389" s="129">
        <v>2389</v>
      </c>
    </row>
    <row r="2390" spans="1:1" ht="12.75" customHeight="1">
      <c r="A2390" s="129">
        <v>2390</v>
      </c>
    </row>
    <row r="2391" spans="1:1" ht="12.75" customHeight="1">
      <c r="A2391" s="129">
        <v>2391</v>
      </c>
    </row>
    <row r="2392" spans="1:1" ht="12.75" customHeight="1">
      <c r="A2392" s="129">
        <v>2392</v>
      </c>
    </row>
    <row r="2393" spans="1:1" ht="12.75" customHeight="1">
      <c r="A2393" s="129">
        <v>2393</v>
      </c>
    </row>
    <row r="2394" spans="1:1" ht="12.75" customHeight="1">
      <c r="A2394" s="129">
        <v>2394</v>
      </c>
    </row>
    <row r="2395" spans="1:1" ht="12.75" customHeight="1">
      <c r="A2395" s="129">
        <v>2395</v>
      </c>
    </row>
    <row r="2396" spans="1:1" ht="12.75" customHeight="1">
      <c r="A2396" s="129">
        <v>2396</v>
      </c>
    </row>
    <row r="2397" spans="1:1" ht="12.75" customHeight="1">
      <c r="A2397" s="129">
        <v>2397</v>
      </c>
    </row>
    <row r="2398" spans="1:1" ht="12.75" customHeight="1">
      <c r="A2398" s="129">
        <v>2398</v>
      </c>
    </row>
    <row r="2399" spans="1:1" ht="12.75" customHeight="1">
      <c r="A2399" s="129">
        <v>2399</v>
      </c>
    </row>
    <row r="2400" spans="1:1" ht="12.75" customHeight="1">
      <c r="A2400" s="129">
        <v>2400</v>
      </c>
    </row>
    <row r="2401" spans="1:1" ht="12.75" customHeight="1">
      <c r="A2401" s="129">
        <v>2401</v>
      </c>
    </row>
    <row r="2402" spans="1:1" ht="12.75" customHeight="1">
      <c r="A2402" s="129">
        <v>2402</v>
      </c>
    </row>
    <row r="2403" spans="1:1" ht="12.75" customHeight="1">
      <c r="A2403" s="129">
        <v>2403</v>
      </c>
    </row>
    <row r="2404" spans="1:1" ht="12.75" customHeight="1">
      <c r="A2404" s="129">
        <v>2404</v>
      </c>
    </row>
    <row r="2405" spans="1:1" ht="12.75" customHeight="1">
      <c r="A2405" s="129">
        <v>2405</v>
      </c>
    </row>
    <row r="2406" spans="1:1" ht="12.75" customHeight="1">
      <c r="A2406" s="129">
        <v>2406</v>
      </c>
    </row>
    <row r="2407" spans="1:1" ht="12.75" customHeight="1">
      <c r="A2407" s="129">
        <v>2407</v>
      </c>
    </row>
    <row r="2408" spans="1:1" ht="12.75" customHeight="1">
      <c r="A2408" s="129">
        <v>2408</v>
      </c>
    </row>
    <row r="2409" spans="1:1" ht="12.75" customHeight="1">
      <c r="A2409" s="129">
        <v>2409</v>
      </c>
    </row>
    <row r="2410" spans="1:1" ht="12.75" customHeight="1">
      <c r="A2410" s="129">
        <v>2410</v>
      </c>
    </row>
    <row r="2411" spans="1:1" ht="12.75" customHeight="1">
      <c r="A2411" s="129">
        <v>2411</v>
      </c>
    </row>
    <row r="2412" spans="1:1" ht="12.75" customHeight="1">
      <c r="A2412" s="129">
        <v>2412</v>
      </c>
    </row>
    <row r="2413" spans="1:1" ht="12.75" customHeight="1">
      <c r="A2413" s="129">
        <v>2413</v>
      </c>
    </row>
    <row r="2414" spans="1:1" ht="12.75" customHeight="1">
      <c r="A2414" s="129">
        <v>2414</v>
      </c>
    </row>
    <row r="2415" spans="1:1" ht="12.75" customHeight="1">
      <c r="A2415" s="129">
        <v>2415</v>
      </c>
    </row>
    <row r="2416" spans="1:1" ht="12.75" customHeight="1">
      <c r="A2416" s="129">
        <v>2416</v>
      </c>
    </row>
    <row r="2417" spans="1:1" ht="12.75" customHeight="1">
      <c r="A2417" s="129">
        <v>2417</v>
      </c>
    </row>
    <row r="2418" spans="1:1" ht="12.75" customHeight="1">
      <c r="A2418" s="129">
        <v>2418</v>
      </c>
    </row>
    <row r="2419" spans="1:1" ht="12.75" customHeight="1">
      <c r="A2419" s="129">
        <v>2419</v>
      </c>
    </row>
    <row r="2420" spans="1:1" ht="12.75" customHeight="1">
      <c r="A2420" s="129">
        <v>2420</v>
      </c>
    </row>
    <row r="2421" spans="1:1" ht="12.75" customHeight="1">
      <c r="A2421" s="129">
        <v>2421</v>
      </c>
    </row>
    <row r="2422" spans="1:1" ht="12.75" customHeight="1">
      <c r="A2422" s="129">
        <v>2422</v>
      </c>
    </row>
    <row r="2423" spans="1:1" ht="12.75" customHeight="1">
      <c r="A2423" s="129">
        <v>2423</v>
      </c>
    </row>
    <row r="2424" spans="1:1" ht="12.75" customHeight="1">
      <c r="A2424" s="129">
        <v>2424</v>
      </c>
    </row>
    <row r="2425" spans="1:1" ht="12.75" customHeight="1">
      <c r="A2425" s="129">
        <v>2425</v>
      </c>
    </row>
    <row r="2426" spans="1:1" ht="12.75" customHeight="1">
      <c r="A2426" s="129">
        <v>2426</v>
      </c>
    </row>
    <row r="2427" spans="1:1" ht="12.75" customHeight="1">
      <c r="A2427" s="129">
        <v>2427</v>
      </c>
    </row>
    <row r="2428" spans="1:1" ht="12.75" customHeight="1">
      <c r="A2428" s="129">
        <v>2428</v>
      </c>
    </row>
    <row r="2429" spans="1:1" ht="12.75" customHeight="1">
      <c r="A2429" s="129">
        <v>2429</v>
      </c>
    </row>
    <row r="2430" spans="1:1" ht="12.75" customHeight="1">
      <c r="A2430" s="129">
        <v>2430</v>
      </c>
    </row>
    <row r="2431" spans="1:1" ht="12.75" customHeight="1">
      <c r="A2431" s="129">
        <v>2431</v>
      </c>
    </row>
    <row r="2432" spans="1:1" ht="12.75" customHeight="1">
      <c r="A2432" s="129">
        <v>2432</v>
      </c>
    </row>
    <row r="2433" spans="1:1" ht="12.75" customHeight="1">
      <c r="A2433" s="129">
        <v>2433</v>
      </c>
    </row>
    <row r="2434" spans="1:1" ht="12.75" customHeight="1">
      <c r="A2434" s="129">
        <v>2434</v>
      </c>
    </row>
    <row r="2435" spans="1:1" ht="12.75" customHeight="1">
      <c r="A2435" s="129">
        <v>2435</v>
      </c>
    </row>
    <row r="2436" spans="1:1" ht="12.75" customHeight="1">
      <c r="A2436" s="129">
        <v>2436</v>
      </c>
    </row>
    <row r="2437" spans="1:1" ht="12.75" customHeight="1">
      <c r="A2437" s="129">
        <v>2437</v>
      </c>
    </row>
    <row r="2438" spans="1:1" ht="12.75" customHeight="1">
      <c r="A2438" s="129">
        <v>2438</v>
      </c>
    </row>
    <row r="2439" spans="1:1" ht="12.75" customHeight="1">
      <c r="A2439" s="129">
        <v>2439</v>
      </c>
    </row>
    <row r="2440" spans="1:1" ht="12.75" customHeight="1">
      <c r="A2440" s="129">
        <v>2440</v>
      </c>
    </row>
    <row r="2441" spans="1:1" ht="12.75" customHeight="1">
      <c r="A2441" s="129">
        <v>2441</v>
      </c>
    </row>
    <row r="2442" spans="1:1" ht="12.75" customHeight="1">
      <c r="A2442" s="129">
        <v>2442</v>
      </c>
    </row>
    <row r="2443" spans="1:1" ht="12.75" customHeight="1">
      <c r="A2443" s="129">
        <v>2443</v>
      </c>
    </row>
    <row r="2444" spans="1:1" ht="12.75" customHeight="1">
      <c r="A2444" s="129">
        <v>2444</v>
      </c>
    </row>
    <row r="2445" spans="1:1" ht="12.75" customHeight="1">
      <c r="A2445" s="129">
        <v>2445</v>
      </c>
    </row>
    <row r="2446" spans="1:1" ht="12.75" customHeight="1">
      <c r="A2446" s="129">
        <v>2446</v>
      </c>
    </row>
    <row r="2447" spans="1:1" ht="12.75" customHeight="1">
      <c r="A2447" s="129">
        <v>2447</v>
      </c>
    </row>
    <row r="2448" spans="1:1" ht="12.75" customHeight="1">
      <c r="A2448" s="129">
        <v>2448</v>
      </c>
    </row>
    <row r="2449" spans="1:1" ht="12.75" customHeight="1">
      <c r="A2449" s="129">
        <v>2449</v>
      </c>
    </row>
    <row r="2450" spans="1:1" ht="12.75" customHeight="1">
      <c r="A2450" s="129">
        <v>2450</v>
      </c>
    </row>
    <row r="2451" spans="1:1" ht="12.75" customHeight="1">
      <c r="A2451" s="129">
        <v>2451</v>
      </c>
    </row>
    <row r="2452" spans="1:1" ht="12.75" customHeight="1">
      <c r="A2452" s="129">
        <v>2452</v>
      </c>
    </row>
    <row r="2453" spans="1:1" ht="12.75" customHeight="1">
      <c r="A2453" s="129">
        <v>2453</v>
      </c>
    </row>
    <row r="2454" spans="1:1" ht="12.75" customHeight="1">
      <c r="A2454" s="129">
        <v>2454</v>
      </c>
    </row>
    <row r="2455" spans="1:1" ht="12.75" customHeight="1">
      <c r="A2455" s="129">
        <v>2455</v>
      </c>
    </row>
    <row r="2456" spans="1:1" ht="12.75" customHeight="1">
      <c r="A2456" s="129">
        <v>2456</v>
      </c>
    </row>
    <row r="2457" spans="1:1" ht="12.75" customHeight="1">
      <c r="A2457" s="129">
        <v>2457</v>
      </c>
    </row>
    <row r="2458" spans="1:1" ht="12.75" customHeight="1">
      <c r="A2458" s="129">
        <v>2458</v>
      </c>
    </row>
    <row r="2459" spans="1:1" ht="12.75" customHeight="1">
      <c r="A2459" s="129">
        <v>2459</v>
      </c>
    </row>
    <row r="2460" spans="1:1" ht="12.75" customHeight="1">
      <c r="A2460" s="129">
        <v>2460</v>
      </c>
    </row>
    <row r="2461" spans="1:1" ht="12.75" customHeight="1">
      <c r="A2461" s="129">
        <v>2461</v>
      </c>
    </row>
    <row r="2462" spans="1:1" ht="12.75" customHeight="1">
      <c r="A2462" s="129">
        <v>2462</v>
      </c>
    </row>
    <row r="2463" spans="1:1" ht="12.75" customHeight="1">
      <c r="A2463" s="129">
        <v>2463</v>
      </c>
    </row>
    <row r="2464" spans="1:1" ht="12.75" customHeight="1">
      <c r="A2464" s="129">
        <v>2464</v>
      </c>
    </row>
    <row r="2465" spans="1:1" ht="12.75" customHeight="1">
      <c r="A2465" s="129">
        <v>2465</v>
      </c>
    </row>
    <row r="2466" spans="1:1" ht="12.75" customHeight="1">
      <c r="A2466" s="129">
        <v>2466</v>
      </c>
    </row>
    <row r="2467" spans="1:1" ht="12.75" customHeight="1">
      <c r="A2467" s="129">
        <v>2467</v>
      </c>
    </row>
    <row r="2468" spans="1:1" ht="12.75" customHeight="1">
      <c r="A2468" s="129">
        <v>2468</v>
      </c>
    </row>
    <row r="2469" spans="1:1" ht="12.75" customHeight="1">
      <c r="A2469" s="129">
        <v>2469</v>
      </c>
    </row>
    <row r="2470" spans="1:1" ht="12.75" customHeight="1">
      <c r="A2470" s="129">
        <v>2470</v>
      </c>
    </row>
    <row r="2471" spans="1:1" ht="12.75" customHeight="1">
      <c r="A2471" s="129">
        <v>2471</v>
      </c>
    </row>
    <row r="2472" spans="1:1" ht="12.75" customHeight="1">
      <c r="A2472" s="129">
        <v>2472</v>
      </c>
    </row>
    <row r="2473" spans="1:1" ht="12.75" customHeight="1">
      <c r="A2473" s="129">
        <v>2473</v>
      </c>
    </row>
    <row r="2474" spans="1:1" ht="12.75" customHeight="1">
      <c r="A2474" s="129">
        <v>2474</v>
      </c>
    </row>
    <row r="2475" spans="1:1" ht="12.75" customHeight="1">
      <c r="A2475" s="129">
        <v>2475</v>
      </c>
    </row>
    <row r="2476" spans="1:1" ht="12.75" customHeight="1">
      <c r="A2476" s="129">
        <v>2476</v>
      </c>
    </row>
    <row r="2477" spans="1:1" ht="12.75" customHeight="1">
      <c r="A2477" s="129">
        <v>2477</v>
      </c>
    </row>
    <row r="2478" spans="1:1" ht="12.75" customHeight="1">
      <c r="A2478" s="129">
        <v>2478</v>
      </c>
    </row>
    <row r="2479" spans="1:1" ht="12.75" customHeight="1">
      <c r="A2479" s="129">
        <v>2479</v>
      </c>
    </row>
    <row r="2480" spans="1:1" ht="12.75" customHeight="1">
      <c r="A2480" s="129">
        <v>2480</v>
      </c>
    </row>
    <row r="2481" spans="1:1" ht="12.75" customHeight="1">
      <c r="A2481" s="129">
        <v>2481</v>
      </c>
    </row>
    <row r="2482" spans="1:1" ht="12.75" customHeight="1">
      <c r="A2482" s="129">
        <v>2482</v>
      </c>
    </row>
    <row r="2483" spans="1:1" ht="12.75" customHeight="1">
      <c r="A2483" s="129">
        <v>2483</v>
      </c>
    </row>
    <row r="2484" spans="1:1" ht="12.75" customHeight="1">
      <c r="A2484" s="129">
        <v>2484</v>
      </c>
    </row>
    <row r="2485" spans="1:1" ht="12.75" customHeight="1">
      <c r="A2485" s="129">
        <v>2485</v>
      </c>
    </row>
    <row r="2486" spans="1:1" ht="12.75" customHeight="1">
      <c r="A2486" s="129">
        <v>2486</v>
      </c>
    </row>
    <row r="2487" spans="1:1" ht="12.75" customHeight="1">
      <c r="A2487" s="129">
        <v>2487</v>
      </c>
    </row>
    <row r="2488" spans="1:1" ht="12.75" customHeight="1">
      <c r="A2488" s="129">
        <v>2488</v>
      </c>
    </row>
    <row r="2489" spans="1:1" ht="12.75" customHeight="1">
      <c r="A2489" s="129">
        <v>2489</v>
      </c>
    </row>
    <row r="2490" spans="1:1" ht="12.75" customHeight="1">
      <c r="A2490" s="129">
        <v>2490</v>
      </c>
    </row>
    <row r="2491" spans="1:1" ht="12.75" customHeight="1">
      <c r="A2491" s="129">
        <v>2491</v>
      </c>
    </row>
    <row r="2492" spans="1:1" ht="12.75" customHeight="1">
      <c r="A2492" s="129">
        <v>2492</v>
      </c>
    </row>
    <row r="2493" spans="1:1" ht="12.75" customHeight="1">
      <c r="A2493" s="129">
        <v>2493</v>
      </c>
    </row>
    <row r="2494" spans="1:1" ht="12.75" customHeight="1">
      <c r="A2494" s="129">
        <v>2494</v>
      </c>
    </row>
    <row r="2495" spans="1:1" ht="12.75" customHeight="1">
      <c r="A2495" s="129">
        <v>2495</v>
      </c>
    </row>
    <row r="2496" spans="1:1" ht="12.75" customHeight="1">
      <c r="A2496" s="129">
        <v>2496</v>
      </c>
    </row>
    <row r="2497" spans="1:1" ht="12.75" customHeight="1">
      <c r="A2497" s="129">
        <v>2497</v>
      </c>
    </row>
    <row r="2498" spans="1:1" ht="12.75" customHeight="1">
      <c r="A2498" s="129">
        <v>2498</v>
      </c>
    </row>
    <row r="2499" spans="1:1" ht="12.75" customHeight="1">
      <c r="A2499" s="129">
        <v>2499</v>
      </c>
    </row>
    <row r="2500" spans="1:1" ht="12.75" customHeight="1">
      <c r="A2500" s="129">
        <v>2500</v>
      </c>
    </row>
    <row r="2501" spans="1:1" ht="12.75" customHeight="1">
      <c r="A2501" s="129">
        <v>2501</v>
      </c>
    </row>
    <row r="2502" spans="1:1" ht="12.75" customHeight="1">
      <c r="A2502" s="129">
        <v>2502</v>
      </c>
    </row>
    <row r="2503" spans="1:1" ht="12.75" customHeight="1">
      <c r="A2503" s="129">
        <v>2503</v>
      </c>
    </row>
    <row r="2504" spans="1:1" ht="12.75" customHeight="1">
      <c r="A2504" s="129">
        <v>2504</v>
      </c>
    </row>
    <row r="2505" spans="1:1" ht="12.75" customHeight="1">
      <c r="A2505" s="129">
        <v>2505</v>
      </c>
    </row>
    <row r="2506" spans="1:1" ht="12.75" customHeight="1">
      <c r="A2506" s="129">
        <v>2506</v>
      </c>
    </row>
    <row r="2507" spans="1:1" ht="12.75" customHeight="1">
      <c r="A2507" s="129">
        <v>2507</v>
      </c>
    </row>
    <row r="2508" spans="1:1" ht="12.75" customHeight="1">
      <c r="A2508" s="129">
        <v>2508</v>
      </c>
    </row>
    <row r="2509" spans="1:1" ht="12.75" customHeight="1">
      <c r="A2509" s="129">
        <v>2509</v>
      </c>
    </row>
    <row r="2510" spans="1:1" ht="12.75" customHeight="1">
      <c r="A2510" s="129">
        <v>2510</v>
      </c>
    </row>
    <row r="2511" spans="1:1" ht="12.75" customHeight="1">
      <c r="A2511" s="129">
        <v>2511</v>
      </c>
    </row>
    <row r="2512" spans="1:1" ht="12.75" customHeight="1">
      <c r="A2512" s="129">
        <v>2512</v>
      </c>
    </row>
    <row r="2513" spans="1:1" ht="12.75" customHeight="1">
      <c r="A2513" s="129">
        <v>2513</v>
      </c>
    </row>
    <row r="2514" spans="1:1" ht="12.75" customHeight="1">
      <c r="A2514" s="129">
        <v>2514</v>
      </c>
    </row>
    <row r="2515" spans="1:1" ht="12.75" customHeight="1">
      <c r="A2515" s="129">
        <v>2515</v>
      </c>
    </row>
    <row r="2516" spans="1:1" ht="12.75" customHeight="1">
      <c r="A2516" s="129">
        <v>2516</v>
      </c>
    </row>
    <row r="2517" spans="1:1" ht="12.75" customHeight="1">
      <c r="A2517" s="129">
        <v>2517</v>
      </c>
    </row>
    <row r="2518" spans="1:1" ht="12.75" customHeight="1">
      <c r="A2518" s="129">
        <v>2518</v>
      </c>
    </row>
    <row r="2519" spans="1:1" ht="12.75" customHeight="1">
      <c r="A2519" s="129">
        <v>2519</v>
      </c>
    </row>
    <row r="2520" spans="1:1" ht="12.75" customHeight="1">
      <c r="A2520" s="129">
        <v>2520</v>
      </c>
    </row>
    <row r="2521" spans="1:1" ht="12.75" customHeight="1">
      <c r="A2521" s="129">
        <v>2521</v>
      </c>
    </row>
    <row r="2522" spans="1:1" ht="12.75" customHeight="1">
      <c r="A2522" s="129">
        <v>2522</v>
      </c>
    </row>
    <row r="2523" spans="1:1" ht="12.75" customHeight="1">
      <c r="A2523" s="129">
        <v>2523</v>
      </c>
    </row>
    <row r="2524" spans="1:1" ht="12.75" customHeight="1">
      <c r="A2524" s="129">
        <v>2524</v>
      </c>
    </row>
    <row r="2525" spans="1:1" ht="12.75" customHeight="1">
      <c r="A2525" s="129">
        <v>2525</v>
      </c>
    </row>
    <row r="2526" spans="1:1" ht="12.75" customHeight="1">
      <c r="A2526" s="129">
        <v>2526</v>
      </c>
    </row>
    <row r="2527" spans="1:1" ht="12.75" customHeight="1">
      <c r="A2527" s="129">
        <v>2527</v>
      </c>
    </row>
    <row r="2528" spans="1:1" ht="12.75" customHeight="1">
      <c r="A2528" s="129">
        <v>2528</v>
      </c>
    </row>
    <row r="2529" spans="1:1" ht="12.75" customHeight="1">
      <c r="A2529" s="129">
        <v>2529</v>
      </c>
    </row>
    <row r="2530" spans="1:1" ht="12.75" customHeight="1">
      <c r="A2530" s="129">
        <v>2530</v>
      </c>
    </row>
    <row r="2531" spans="1:1" ht="12.75" customHeight="1">
      <c r="A2531" s="129">
        <v>2531</v>
      </c>
    </row>
    <row r="2532" spans="1:1" ht="12.75" customHeight="1">
      <c r="A2532" s="129">
        <v>2532</v>
      </c>
    </row>
    <row r="2533" spans="1:1" ht="12.75" customHeight="1">
      <c r="A2533" s="129">
        <v>2533</v>
      </c>
    </row>
    <row r="2534" spans="1:1" ht="12.75" customHeight="1">
      <c r="A2534" s="129">
        <v>2534</v>
      </c>
    </row>
    <row r="2535" spans="1:1" ht="12.75" customHeight="1">
      <c r="A2535" s="129">
        <v>2535</v>
      </c>
    </row>
    <row r="2536" spans="1:1" ht="12.75" customHeight="1">
      <c r="A2536" s="129">
        <v>2536</v>
      </c>
    </row>
    <row r="2537" spans="1:1" ht="12.75" customHeight="1">
      <c r="A2537" s="129">
        <v>2537</v>
      </c>
    </row>
    <row r="2538" spans="1:1" ht="12.75" customHeight="1">
      <c r="A2538" s="129">
        <v>2538</v>
      </c>
    </row>
    <row r="2539" spans="1:1" ht="12.75" customHeight="1">
      <c r="A2539" s="129">
        <v>2539</v>
      </c>
    </row>
    <row r="2540" spans="1:1" ht="12.75" customHeight="1">
      <c r="A2540" s="129">
        <v>2540</v>
      </c>
    </row>
    <row r="2541" spans="1:1" ht="12.75" customHeight="1">
      <c r="A2541" s="129">
        <v>2541</v>
      </c>
    </row>
    <row r="2542" spans="1:1" ht="12.75" customHeight="1">
      <c r="A2542" s="129">
        <v>2542</v>
      </c>
    </row>
    <row r="2543" spans="1:1" ht="12.75" customHeight="1">
      <c r="A2543" s="129">
        <v>2543</v>
      </c>
    </row>
    <row r="2544" spans="1:1" ht="12.75" customHeight="1">
      <c r="A2544" s="129">
        <v>2544</v>
      </c>
    </row>
    <row r="2545" spans="1:1" ht="12.75" customHeight="1">
      <c r="A2545" s="129">
        <v>2545</v>
      </c>
    </row>
    <row r="2546" spans="1:1" ht="12.75" customHeight="1">
      <c r="A2546" s="129">
        <v>2546</v>
      </c>
    </row>
    <row r="2547" spans="1:1" ht="12.75" customHeight="1">
      <c r="A2547" s="129">
        <v>2547</v>
      </c>
    </row>
    <row r="2548" spans="1:1" ht="12.75" customHeight="1">
      <c r="A2548" s="129">
        <v>2548</v>
      </c>
    </row>
    <row r="2549" spans="1:1" ht="12.75" customHeight="1">
      <c r="A2549" s="129">
        <v>2549</v>
      </c>
    </row>
    <row r="2550" spans="1:1" ht="12.75" customHeight="1">
      <c r="A2550" s="129">
        <v>2550</v>
      </c>
    </row>
    <row r="2551" spans="1:1" ht="12.75" customHeight="1">
      <c r="A2551" s="129">
        <v>2551</v>
      </c>
    </row>
    <row r="2552" spans="1:1" ht="12.75" customHeight="1">
      <c r="A2552" s="129">
        <v>2552</v>
      </c>
    </row>
    <row r="2553" spans="1:1" ht="12.75" customHeight="1">
      <c r="A2553" s="129">
        <v>2553</v>
      </c>
    </row>
    <row r="2554" spans="1:1" ht="12.75" customHeight="1">
      <c r="A2554" s="129">
        <v>2554</v>
      </c>
    </row>
    <row r="2555" spans="1:1" ht="12.75" customHeight="1">
      <c r="A2555" s="129">
        <v>2555</v>
      </c>
    </row>
    <row r="2556" spans="1:1" ht="12.75" customHeight="1">
      <c r="A2556" s="129">
        <v>2556</v>
      </c>
    </row>
    <row r="2557" spans="1:1" ht="12.75" customHeight="1">
      <c r="A2557" s="129">
        <v>2557</v>
      </c>
    </row>
    <row r="2558" spans="1:1" ht="12.75" customHeight="1">
      <c r="A2558" s="129">
        <v>2558</v>
      </c>
    </row>
    <row r="2559" spans="1:1" ht="12.75" customHeight="1">
      <c r="A2559" s="129">
        <v>2559</v>
      </c>
    </row>
    <row r="2560" spans="1:1" ht="12.75" customHeight="1">
      <c r="A2560" s="129">
        <v>2560</v>
      </c>
    </row>
    <row r="2561" spans="1:1" ht="12.75" customHeight="1">
      <c r="A2561" s="129">
        <v>2561</v>
      </c>
    </row>
    <row r="2562" spans="1:1" ht="12.75" customHeight="1">
      <c r="A2562" s="129">
        <v>2562</v>
      </c>
    </row>
    <row r="2563" spans="1:1" ht="12.75" customHeight="1">
      <c r="A2563" s="129">
        <v>2563</v>
      </c>
    </row>
    <row r="2564" spans="1:1" ht="12.75" customHeight="1">
      <c r="A2564" s="129">
        <v>2564</v>
      </c>
    </row>
    <row r="2565" spans="1:1" ht="12.75" customHeight="1">
      <c r="A2565" s="129">
        <v>2565</v>
      </c>
    </row>
    <row r="2566" spans="1:1" ht="12.75" customHeight="1">
      <c r="A2566" s="129">
        <v>2566</v>
      </c>
    </row>
    <row r="2567" spans="1:1" ht="12.75" customHeight="1">
      <c r="A2567" s="129">
        <v>2567</v>
      </c>
    </row>
    <row r="2568" spans="1:1" ht="12.75" customHeight="1">
      <c r="A2568" s="129">
        <v>2568</v>
      </c>
    </row>
    <row r="2569" spans="1:1" ht="12.75" customHeight="1">
      <c r="A2569" s="129">
        <v>2569</v>
      </c>
    </row>
    <row r="2570" spans="1:1" ht="12.75" customHeight="1">
      <c r="A2570" s="129">
        <v>2570</v>
      </c>
    </row>
    <row r="2571" spans="1:1" ht="12.75" customHeight="1">
      <c r="A2571" s="129">
        <v>2571</v>
      </c>
    </row>
    <row r="2572" spans="1:1" ht="12.75" customHeight="1">
      <c r="A2572" s="129">
        <v>2572</v>
      </c>
    </row>
    <row r="2573" spans="1:1" ht="12.75" customHeight="1">
      <c r="A2573" s="129">
        <v>2573</v>
      </c>
    </row>
    <row r="2574" spans="1:1" ht="12.75" customHeight="1">
      <c r="A2574" s="129">
        <v>2574</v>
      </c>
    </row>
    <row r="2575" spans="1:1" ht="12.75" customHeight="1">
      <c r="A2575" s="129">
        <v>2575</v>
      </c>
    </row>
    <row r="2576" spans="1:1" ht="12.75" customHeight="1">
      <c r="A2576" s="129">
        <v>2576</v>
      </c>
    </row>
    <row r="2577" spans="1:1" ht="12.75" customHeight="1">
      <c r="A2577" s="129">
        <v>2577</v>
      </c>
    </row>
    <row r="2578" spans="1:1" ht="12.75" customHeight="1">
      <c r="A2578" s="129">
        <v>2578</v>
      </c>
    </row>
    <row r="2579" spans="1:1" ht="12.75" customHeight="1">
      <c r="A2579" s="129">
        <v>2579</v>
      </c>
    </row>
    <row r="2580" spans="1:1" ht="12.75" customHeight="1">
      <c r="A2580" s="129">
        <v>2580</v>
      </c>
    </row>
    <row r="2581" spans="1:1" ht="12.75" customHeight="1">
      <c r="A2581" s="129">
        <v>2581</v>
      </c>
    </row>
    <row r="2582" spans="1:1" ht="12.75" customHeight="1">
      <c r="A2582" s="129">
        <v>2582</v>
      </c>
    </row>
    <row r="2583" spans="1:1" ht="12.75" customHeight="1">
      <c r="A2583" s="129">
        <v>2583</v>
      </c>
    </row>
    <row r="2584" spans="1:1" ht="12.75" customHeight="1">
      <c r="A2584" s="129">
        <v>2584</v>
      </c>
    </row>
    <row r="2585" spans="1:1" ht="12.75" customHeight="1">
      <c r="A2585" s="129">
        <v>2585</v>
      </c>
    </row>
    <row r="2586" spans="1:1" ht="12.75" customHeight="1">
      <c r="A2586" s="129">
        <v>2586</v>
      </c>
    </row>
    <row r="2587" spans="1:1" ht="12.75" customHeight="1">
      <c r="A2587" s="129">
        <v>2587</v>
      </c>
    </row>
    <row r="2588" spans="1:1" ht="12.75" customHeight="1">
      <c r="A2588" s="129">
        <v>2588</v>
      </c>
    </row>
    <row r="2589" spans="1:1" ht="12.75" customHeight="1">
      <c r="A2589" s="129">
        <v>2589</v>
      </c>
    </row>
    <row r="2590" spans="1:1" ht="12.75" customHeight="1">
      <c r="A2590" s="129">
        <v>2590</v>
      </c>
    </row>
    <row r="2591" spans="1:1" ht="12.75" customHeight="1">
      <c r="A2591" s="129">
        <v>2591</v>
      </c>
    </row>
    <row r="2592" spans="1:1" ht="12.75" customHeight="1">
      <c r="A2592" s="129">
        <v>2592</v>
      </c>
    </row>
    <row r="2593" spans="1:1" ht="12.75" customHeight="1">
      <c r="A2593" s="129">
        <v>2593</v>
      </c>
    </row>
    <row r="2594" spans="1:1" ht="12.75" customHeight="1">
      <c r="A2594" s="129">
        <v>2594</v>
      </c>
    </row>
    <row r="2595" spans="1:1" ht="12.75" customHeight="1">
      <c r="A2595" s="129">
        <v>2595</v>
      </c>
    </row>
    <row r="2596" spans="1:1" ht="12.75" customHeight="1">
      <c r="A2596" s="129">
        <v>2596</v>
      </c>
    </row>
    <row r="2597" spans="1:1" ht="12.75" customHeight="1">
      <c r="A2597" s="129">
        <v>2597</v>
      </c>
    </row>
    <row r="2598" spans="1:1" ht="12.75" customHeight="1">
      <c r="A2598" s="129">
        <v>2598</v>
      </c>
    </row>
    <row r="2599" spans="1:1" ht="12.75" customHeight="1">
      <c r="A2599" s="129">
        <v>2599</v>
      </c>
    </row>
    <row r="2600" spans="1:1" ht="12.75" customHeight="1">
      <c r="A2600" s="129">
        <v>2600</v>
      </c>
    </row>
    <row r="2601" spans="1:1" ht="12.75" customHeight="1">
      <c r="A2601" s="129">
        <v>2601</v>
      </c>
    </row>
    <row r="2602" spans="1:1" ht="12.75" customHeight="1">
      <c r="A2602" s="129">
        <v>2602</v>
      </c>
    </row>
    <row r="2603" spans="1:1" ht="12.75" customHeight="1">
      <c r="A2603" s="129">
        <v>2603</v>
      </c>
    </row>
    <row r="2604" spans="1:1" ht="12.75" customHeight="1">
      <c r="A2604" s="129">
        <v>2604</v>
      </c>
    </row>
    <row r="2605" spans="1:1" ht="12.75" customHeight="1">
      <c r="A2605" s="129">
        <v>2605</v>
      </c>
    </row>
    <row r="2606" spans="1:1" ht="12.75" customHeight="1">
      <c r="A2606" s="129">
        <v>2606</v>
      </c>
    </row>
    <row r="2607" spans="1:1" ht="12.75" customHeight="1">
      <c r="A2607" s="129">
        <v>2607</v>
      </c>
    </row>
    <row r="2608" spans="1:1" ht="12.75" customHeight="1">
      <c r="A2608" s="129">
        <v>2608</v>
      </c>
    </row>
    <row r="2609" spans="1:1" ht="12.75" customHeight="1">
      <c r="A2609" s="129">
        <v>2609</v>
      </c>
    </row>
    <row r="2610" spans="1:1" ht="12.75" customHeight="1">
      <c r="A2610" s="129">
        <v>2610</v>
      </c>
    </row>
    <row r="2611" spans="1:1" ht="12.75" customHeight="1">
      <c r="A2611" s="129">
        <v>2611</v>
      </c>
    </row>
    <row r="2612" spans="1:1" ht="12.75" customHeight="1">
      <c r="A2612" s="129">
        <v>2612</v>
      </c>
    </row>
    <row r="2613" spans="1:1" ht="12.75" customHeight="1">
      <c r="A2613" s="129">
        <v>2613</v>
      </c>
    </row>
    <row r="2614" spans="1:1" ht="12.75" customHeight="1">
      <c r="A2614" s="129">
        <v>2614</v>
      </c>
    </row>
    <row r="2615" spans="1:1" ht="12.75" customHeight="1">
      <c r="A2615" s="129">
        <v>2615</v>
      </c>
    </row>
    <row r="2616" spans="1:1" ht="12.75" customHeight="1">
      <c r="A2616" s="129">
        <v>2616</v>
      </c>
    </row>
    <row r="2617" spans="1:1" ht="12.75" customHeight="1">
      <c r="A2617" s="129">
        <v>2617</v>
      </c>
    </row>
    <row r="2618" spans="1:1" ht="12.75" customHeight="1">
      <c r="A2618" s="129">
        <v>2618</v>
      </c>
    </row>
    <row r="2619" spans="1:1" ht="12.75" customHeight="1">
      <c r="A2619" s="129">
        <v>2619</v>
      </c>
    </row>
    <row r="2620" spans="1:1" ht="12.75" customHeight="1">
      <c r="A2620" s="129">
        <v>2620</v>
      </c>
    </row>
    <row r="2621" spans="1:1" ht="12.75" customHeight="1">
      <c r="A2621" s="129">
        <v>2621</v>
      </c>
    </row>
    <row r="2622" spans="1:1" ht="12.75" customHeight="1">
      <c r="A2622" s="129">
        <v>2622</v>
      </c>
    </row>
    <row r="2623" spans="1:1" ht="12.75" customHeight="1">
      <c r="A2623" s="129">
        <v>2623</v>
      </c>
    </row>
    <row r="2624" spans="1:1" ht="12.75" customHeight="1">
      <c r="A2624" s="129">
        <v>2624</v>
      </c>
    </row>
    <row r="2625" spans="1:1" ht="12.75" customHeight="1">
      <c r="A2625" s="129">
        <v>2625</v>
      </c>
    </row>
    <row r="2626" spans="1:1" ht="12.75" customHeight="1">
      <c r="A2626" s="129">
        <v>2626</v>
      </c>
    </row>
    <row r="2627" spans="1:1" ht="12.75" customHeight="1">
      <c r="A2627" s="129">
        <v>2627</v>
      </c>
    </row>
    <row r="2628" spans="1:1" ht="12.75" customHeight="1">
      <c r="A2628" s="129">
        <v>2628</v>
      </c>
    </row>
    <row r="2629" spans="1:1" ht="12.75" customHeight="1">
      <c r="A2629" s="129">
        <v>2629</v>
      </c>
    </row>
    <row r="2630" spans="1:1" ht="12.75" customHeight="1">
      <c r="A2630" s="129">
        <v>2630</v>
      </c>
    </row>
    <row r="2631" spans="1:1" ht="12.75" customHeight="1">
      <c r="A2631" s="129">
        <v>2631</v>
      </c>
    </row>
    <row r="2632" spans="1:1" ht="12.75" customHeight="1">
      <c r="A2632" s="129">
        <v>2632</v>
      </c>
    </row>
    <row r="2633" spans="1:1" ht="12.75" customHeight="1">
      <c r="A2633" s="129">
        <v>2633</v>
      </c>
    </row>
    <row r="2634" spans="1:1" ht="12.75" customHeight="1">
      <c r="A2634" s="129">
        <v>2634</v>
      </c>
    </row>
    <row r="2635" spans="1:1" ht="12.75" customHeight="1">
      <c r="A2635" s="129">
        <v>2635</v>
      </c>
    </row>
    <row r="2636" spans="1:1" ht="12.75" customHeight="1">
      <c r="A2636" s="129">
        <v>2636</v>
      </c>
    </row>
    <row r="2637" spans="1:1" ht="12.75" customHeight="1">
      <c r="A2637" s="129">
        <v>2637</v>
      </c>
    </row>
    <row r="2638" spans="1:1" ht="12.75" customHeight="1">
      <c r="A2638" s="129">
        <v>2638</v>
      </c>
    </row>
    <row r="2639" spans="1:1" ht="12.75" customHeight="1">
      <c r="A2639" s="129">
        <v>2639</v>
      </c>
    </row>
    <row r="2640" spans="1:1" ht="12.75" customHeight="1">
      <c r="A2640" s="129">
        <v>2640</v>
      </c>
    </row>
    <row r="2641" spans="1:1" ht="12.75" customHeight="1">
      <c r="A2641" s="129">
        <v>2641</v>
      </c>
    </row>
    <row r="2642" spans="1:1" ht="12.75" customHeight="1">
      <c r="A2642" s="129">
        <v>2642</v>
      </c>
    </row>
    <row r="2643" spans="1:1" ht="12.75" customHeight="1">
      <c r="A2643" s="129">
        <v>2643</v>
      </c>
    </row>
    <row r="2644" spans="1:1" ht="12.75" customHeight="1">
      <c r="A2644" s="129">
        <v>2644</v>
      </c>
    </row>
    <row r="2645" spans="1:1" ht="12.75" customHeight="1">
      <c r="A2645" s="129">
        <v>2645</v>
      </c>
    </row>
    <row r="2646" spans="1:1" ht="12.75" customHeight="1">
      <c r="A2646" s="129">
        <v>2646</v>
      </c>
    </row>
    <row r="2647" spans="1:1" ht="12.75" customHeight="1">
      <c r="A2647" s="129">
        <v>2647</v>
      </c>
    </row>
    <row r="2648" spans="1:1" ht="12.75" customHeight="1">
      <c r="A2648" s="129">
        <v>2648</v>
      </c>
    </row>
    <row r="2649" spans="1:1" ht="12.75" customHeight="1">
      <c r="A2649" s="129">
        <v>2649</v>
      </c>
    </row>
    <row r="2650" spans="1:1" ht="12.75" customHeight="1">
      <c r="A2650" s="129">
        <v>2650</v>
      </c>
    </row>
    <row r="2651" spans="1:1" ht="12.75" customHeight="1">
      <c r="A2651" s="129">
        <v>2651</v>
      </c>
    </row>
    <row r="2652" spans="1:1" ht="12.75" customHeight="1">
      <c r="A2652" s="129">
        <v>2652</v>
      </c>
    </row>
    <row r="2653" spans="1:1" ht="12.75" customHeight="1">
      <c r="A2653" s="129">
        <v>2653</v>
      </c>
    </row>
    <row r="2654" spans="1:1" ht="12.75" customHeight="1">
      <c r="A2654" s="129">
        <v>2654</v>
      </c>
    </row>
    <row r="2655" spans="1:1" ht="12.75" customHeight="1">
      <c r="A2655" s="129">
        <v>2655</v>
      </c>
    </row>
    <row r="2656" spans="1:1" ht="12.75" customHeight="1">
      <c r="A2656" s="129">
        <v>2656</v>
      </c>
    </row>
    <row r="2657" spans="1:1" ht="12.75" customHeight="1">
      <c r="A2657" s="129">
        <v>2657</v>
      </c>
    </row>
    <row r="2658" spans="1:1" ht="12.75" customHeight="1">
      <c r="A2658" s="129">
        <v>2658</v>
      </c>
    </row>
    <row r="2659" spans="1:1" ht="12.75" customHeight="1">
      <c r="A2659" s="129">
        <v>2659</v>
      </c>
    </row>
    <row r="2660" spans="1:1" ht="12.75" customHeight="1">
      <c r="A2660" s="129">
        <v>2660</v>
      </c>
    </row>
    <row r="2661" spans="1:1" ht="12.75" customHeight="1">
      <c r="A2661" s="129">
        <v>2661</v>
      </c>
    </row>
    <row r="2662" spans="1:1" ht="12.75" customHeight="1">
      <c r="A2662" s="129">
        <v>2662</v>
      </c>
    </row>
    <row r="2663" spans="1:1" ht="12.75" customHeight="1">
      <c r="A2663" s="129">
        <v>2663</v>
      </c>
    </row>
    <row r="2664" spans="1:1" ht="12.75" customHeight="1">
      <c r="A2664" s="129">
        <v>2664</v>
      </c>
    </row>
    <row r="2665" spans="1:1" ht="12.75" customHeight="1">
      <c r="A2665" s="129">
        <v>2665</v>
      </c>
    </row>
    <row r="2666" spans="1:1" ht="12.75" customHeight="1">
      <c r="A2666" s="129">
        <v>2666</v>
      </c>
    </row>
    <row r="2667" spans="1:1" ht="12.75" customHeight="1">
      <c r="A2667" s="129">
        <v>2667</v>
      </c>
    </row>
    <row r="2668" spans="1:1" ht="12.75" customHeight="1">
      <c r="A2668" s="129">
        <v>2668</v>
      </c>
    </row>
    <row r="2669" spans="1:1" ht="12.75" customHeight="1">
      <c r="A2669" s="129">
        <v>2669</v>
      </c>
    </row>
    <row r="2670" spans="1:1" ht="12.75" customHeight="1">
      <c r="A2670" s="129">
        <v>2670</v>
      </c>
    </row>
    <row r="2671" spans="1:1" ht="12.75" customHeight="1">
      <c r="A2671" s="129">
        <v>2671</v>
      </c>
    </row>
    <row r="2672" spans="1:1" ht="12.75" customHeight="1">
      <c r="A2672" s="129">
        <v>2672</v>
      </c>
    </row>
    <row r="2673" spans="1:1" ht="12.75" customHeight="1">
      <c r="A2673" s="129">
        <v>2673</v>
      </c>
    </row>
    <row r="2674" spans="1:1" ht="12.75" customHeight="1">
      <c r="A2674" s="129">
        <v>2674</v>
      </c>
    </row>
    <row r="2675" spans="1:1" ht="12.75" customHeight="1">
      <c r="A2675" s="129">
        <v>2675</v>
      </c>
    </row>
    <row r="2676" spans="1:1" ht="12.75" customHeight="1">
      <c r="A2676" s="129">
        <v>2676</v>
      </c>
    </row>
    <row r="2677" spans="1:1" ht="12.75" customHeight="1">
      <c r="A2677" s="129">
        <v>2677</v>
      </c>
    </row>
    <row r="2678" spans="1:1" ht="12.75" customHeight="1">
      <c r="A2678" s="129">
        <v>2678</v>
      </c>
    </row>
    <row r="2679" spans="1:1" ht="12.75" customHeight="1">
      <c r="A2679" s="129">
        <v>2679</v>
      </c>
    </row>
    <row r="2680" spans="1:1" ht="12.75" customHeight="1">
      <c r="A2680" s="129">
        <v>2680</v>
      </c>
    </row>
    <row r="2681" spans="1:1" ht="12.75" customHeight="1">
      <c r="A2681" s="129">
        <v>2681</v>
      </c>
    </row>
    <row r="2682" spans="1:1" ht="12.75" customHeight="1">
      <c r="A2682" s="129">
        <v>2682</v>
      </c>
    </row>
    <row r="2683" spans="1:1" ht="12.75" customHeight="1">
      <c r="A2683" s="129">
        <v>2683</v>
      </c>
    </row>
    <row r="2684" spans="1:1" ht="12.75" customHeight="1">
      <c r="A2684" s="129">
        <v>2684</v>
      </c>
    </row>
    <row r="2685" spans="1:1" ht="12.75" customHeight="1">
      <c r="A2685" s="129">
        <v>2685</v>
      </c>
    </row>
    <row r="2686" spans="1:1" ht="12.75" customHeight="1">
      <c r="A2686" s="129">
        <v>2686</v>
      </c>
    </row>
    <row r="2687" spans="1:1" ht="12.75" customHeight="1">
      <c r="A2687" s="129">
        <v>2687</v>
      </c>
    </row>
    <row r="2688" spans="1:1" ht="12.75" customHeight="1">
      <c r="A2688" s="129">
        <v>2688</v>
      </c>
    </row>
    <row r="2689" spans="1:1" ht="12.75" customHeight="1">
      <c r="A2689" s="129">
        <v>2689</v>
      </c>
    </row>
    <row r="2690" spans="1:1" ht="12.75" customHeight="1">
      <c r="A2690" s="129">
        <v>2690</v>
      </c>
    </row>
    <row r="2691" spans="1:1" ht="12.75" customHeight="1">
      <c r="A2691" s="129">
        <v>2691</v>
      </c>
    </row>
    <row r="2692" spans="1:1" ht="12.75" customHeight="1">
      <c r="A2692" s="129">
        <v>2692</v>
      </c>
    </row>
    <row r="2693" spans="1:1" ht="12.75" customHeight="1">
      <c r="A2693" s="129">
        <v>2693</v>
      </c>
    </row>
    <row r="2694" spans="1:1" ht="12.75" customHeight="1">
      <c r="A2694" s="129">
        <v>2694</v>
      </c>
    </row>
    <row r="2695" spans="1:1" ht="12.75" customHeight="1">
      <c r="A2695" s="129">
        <v>2695</v>
      </c>
    </row>
    <row r="2696" spans="1:1" ht="12.75" customHeight="1">
      <c r="A2696" s="129">
        <v>2696</v>
      </c>
    </row>
    <row r="2697" spans="1:1" ht="12.75" customHeight="1">
      <c r="A2697" s="129">
        <v>2697</v>
      </c>
    </row>
    <row r="2698" spans="1:1" ht="12.75" customHeight="1">
      <c r="A2698" s="129">
        <v>2698</v>
      </c>
    </row>
    <row r="2699" spans="1:1" ht="12.75" customHeight="1">
      <c r="A2699" s="129">
        <v>2699</v>
      </c>
    </row>
    <row r="2700" spans="1:1" ht="12.75" customHeight="1">
      <c r="A2700" s="129">
        <v>2700</v>
      </c>
    </row>
    <row r="2701" spans="1:1" ht="12.75" customHeight="1">
      <c r="A2701" s="129">
        <v>2701</v>
      </c>
    </row>
    <row r="2702" spans="1:1" ht="12.75" customHeight="1">
      <c r="A2702" s="129">
        <v>2702</v>
      </c>
    </row>
    <row r="2703" spans="1:1" ht="12.75" customHeight="1">
      <c r="A2703" s="129">
        <v>2703</v>
      </c>
    </row>
    <row r="2704" spans="1:1" ht="12.75" customHeight="1">
      <c r="A2704" s="129">
        <v>2704</v>
      </c>
    </row>
    <row r="2705" spans="1:1" ht="12.75" customHeight="1">
      <c r="A2705" s="129">
        <v>2705</v>
      </c>
    </row>
    <row r="2706" spans="1:1" ht="12.75" customHeight="1">
      <c r="A2706" s="129">
        <v>2706</v>
      </c>
    </row>
    <row r="2707" spans="1:1" ht="12.75" customHeight="1">
      <c r="A2707" s="129">
        <v>2707</v>
      </c>
    </row>
    <row r="2708" spans="1:1" ht="12.75" customHeight="1">
      <c r="A2708" s="129">
        <v>2708</v>
      </c>
    </row>
    <row r="2709" spans="1:1" ht="12.75" customHeight="1">
      <c r="A2709" s="129">
        <v>2709</v>
      </c>
    </row>
    <row r="2710" spans="1:1" ht="12.75" customHeight="1">
      <c r="A2710" s="129">
        <v>2710</v>
      </c>
    </row>
    <row r="2711" spans="1:1" ht="12.75" customHeight="1">
      <c r="A2711" s="129">
        <v>2711</v>
      </c>
    </row>
    <row r="2712" spans="1:1" ht="12.75" customHeight="1">
      <c r="A2712" s="129">
        <v>2712</v>
      </c>
    </row>
    <row r="2713" spans="1:1" ht="12.75" customHeight="1">
      <c r="A2713" s="129">
        <v>2713</v>
      </c>
    </row>
    <row r="2714" spans="1:1" ht="12.75" customHeight="1">
      <c r="A2714" s="129">
        <v>2714</v>
      </c>
    </row>
    <row r="2715" spans="1:1" ht="12.75" customHeight="1">
      <c r="A2715" s="129">
        <v>2715</v>
      </c>
    </row>
    <row r="2716" spans="1:1" ht="12.75" customHeight="1">
      <c r="A2716" s="129">
        <v>2716</v>
      </c>
    </row>
    <row r="2717" spans="1:1" ht="12.75" customHeight="1">
      <c r="A2717" s="129">
        <v>2717</v>
      </c>
    </row>
    <row r="2718" spans="1:1" ht="12.75" customHeight="1">
      <c r="A2718" s="129">
        <v>2718</v>
      </c>
    </row>
    <row r="2719" spans="1:1" ht="12.75" customHeight="1">
      <c r="A2719" s="129">
        <v>2719</v>
      </c>
    </row>
    <row r="2720" spans="1:1" ht="12.75" customHeight="1">
      <c r="A2720" s="129">
        <v>2720</v>
      </c>
    </row>
    <row r="2721" spans="1:1" ht="12.75" customHeight="1">
      <c r="A2721" s="129">
        <v>2721</v>
      </c>
    </row>
    <row r="2722" spans="1:1" ht="12.75" customHeight="1">
      <c r="A2722" s="129">
        <v>2722</v>
      </c>
    </row>
    <row r="2723" spans="1:1" ht="12.75" customHeight="1">
      <c r="A2723" s="129">
        <v>2723</v>
      </c>
    </row>
    <row r="2724" spans="1:1" ht="12.75" customHeight="1">
      <c r="A2724" s="129">
        <v>2724</v>
      </c>
    </row>
    <row r="2725" spans="1:1" ht="12.75" customHeight="1">
      <c r="A2725" s="129">
        <v>2725</v>
      </c>
    </row>
    <row r="2726" spans="1:1" ht="12.75" customHeight="1">
      <c r="A2726" s="129">
        <v>2726</v>
      </c>
    </row>
    <row r="2727" spans="1:1" ht="12.75" customHeight="1">
      <c r="A2727" s="129">
        <v>2727</v>
      </c>
    </row>
    <row r="2728" spans="1:1" ht="12.75" customHeight="1">
      <c r="A2728" s="129">
        <v>2728</v>
      </c>
    </row>
    <row r="2729" spans="1:1" ht="12.75" customHeight="1">
      <c r="A2729" s="129">
        <v>2729</v>
      </c>
    </row>
    <row r="2730" spans="1:1" ht="12.75" customHeight="1">
      <c r="A2730" s="129">
        <v>2730</v>
      </c>
    </row>
    <row r="2731" spans="1:1" ht="12.75" customHeight="1">
      <c r="A2731" s="129">
        <v>2731</v>
      </c>
    </row>
    <row r="2732" spans="1:1" ht="12.75" customHeight="1">
      <c r="A2732" s="129">
        <v>2732</v>
      </c>
    </row>
    <row r="2733" spans="1:1" ht="12.75" customHeight="1">
      <c r="A2733" s="129">
        <v>2733</v>
      </c>
    </row>
    <row r="2734" spans="1:1" ht="12.75" customHeight="1">
      <c r="A2734" s="129">
        <v>2734</v>
      </c>
    </row>
    <row r="2735" spans="1:1" ht="12.75" customHeight="1">
      <c r="A2735" s="129">
        <v>2735</v>
      </c>
    </row>
    <row r="2736" spans="1:1" ht="12.75" customHeight="1">
      <c r="A2736" s="129">
        <v>2736</v>
      </c>
    </row>
    <row r="2737" spans="1:1" ht="12.75" customHeight="1">
      <c r="A2737" s="129">
        <v>2737</v>
      </c>
    </row>
    <row r="2738" spans="1:1" ht="12.75" customHeight="1">
      <c r="A2738" s="129">
        <v>2738</v>
      </c>
    </row>
    <row r="2739" spans="1:1" ht="12.75" customHeight="1">
      <c r="A2739" s="129">
        <v>2739</v>
      </c>
    </row>
    <row r="2740" spans="1:1" ht="12.75" customHeight="1">
      <c r="A2740" s="129">
        <v>2740</v>
      </c>
    </row>
    <row r="2741" spans="1:1" ht="12.75" customHeight="1">
      <c r="A2741" s="129">
        <v>2741</v>
      </c>
    </row>
    <row r="2742" spans="1:1" ht="12.75" customHeight="1">
      <c r="A2742" s="129">
        <v>2742</v>
      </c>
    </row>
    <row r="2743" spans="1:1" ht="12.75" customHeight="1">
      <c r="A2743" s="129">
        <v>2743</v>
      </c>
    </row>
    <row r="2744" spans="1:1" ht="12.75" customHeight="1">
      <c r="A2744" s="129">
        <v>2744</v>
      </c>
    </row>
    <row r="2745" spans="1:1" ht="12.75" customHeight="1">
      <c r="A2745" s="129">
        <v>2745</v>
      </c>
    </row>
    <row r="2746" spans="1:1" ht="12.75" customHeight="1">
      <c r="A2746" s="129">
        <v>2746</v>
      </c>
    </row>
    <row r="2747" spans="1:1" ht="12.75" customHeight="1">
      <c r="A2747" s="129">
        <v>2747</v>
      </c>
    </row>
    <row r="2748" spans="1:1" ht="12.75" customHeight="1">
      <c r="A2748" s="129">
        <v>2748</v>
      </c>
    </row>
    <row r="2749" spans="1:1" ht="12.75" customHeight="1">
      <c r="A2749" s="129">
        <v>2749</v>
      </c>
    </row>
    <row r="2750" spans="1:1" ht="12.75" customHeight="1">
      <c r="A2750" s="129">
        <v>2750</v>
      </c>
    </row>
    <row r="2751" spans="1:1" ht="12.75" customHeight="1">
      <c r="A2751" s="129">
        <v>2751</v>
      </c>
    </row>
    <row r="2752" spans="1:1" ht="12.75" customHeight="1">
      <c r="A2752" s="129">
        <v>2752</v>
      </c>
    </row>
    <row r="2753" spans="1:1" ht="12.75" customHeight="1">
      <c r="A2753" s="129">
        <v>2753</v>
      </c>
    </row>
    <row r="2754" spans="1:1" ht="12.75" customHeight="1">
      <c r="A2754" s="129">
        <v>2754</v>
      </c>
    </row>
    <row r="2755" spans="1:1" ht="12.75" customHeight="1">
      <c r="A2755" s="129">
        <v>2755</v>
      </c>
    </row>
    <row r="2756" spans="1:1" ht="12.75" customHeight="1">
      <c r="A2756" s="129">
        <v>2756</v>
      </c>
    </row>
    <row r="2757" spans="1:1" ht="12.75" customHeight="1">
      <c r="A2757" s="129">
        <v>2757</v>
      </c>
    </row>
    <row r="2758" spans="1:1" ht="12.75" customHeight="1">
      <c r="A2758" s="129">
        <v>2758</v>
      </c>
    </row>
    <row r="2759" spans="1:1" ht="12.75" customHeight="1">
      <c r="A2759" s="129">
        <v>2759</v>
      </c>
    </row>
    <row r="2760" spans="1:1" ht="12.75" customHeight="1">
      <c r="A2760" s="129">
        <v>2760</v>
      </c>
    </row>
    <row r="2761" spans="1:1" ht="12.75" customHeight="1">
      <c r="A2761" s="129">
        <v>2761</v>
      </c>
    </row>
    <row r="2762" spans="1:1" ht="12.75" customHeight="1">
      <c r="A2762" s="129">
        <v>2762</v>
      </c>
    </row>
    <row r="2763" spans="1:1" ht="12.75" customHeight="1">
      <c r="A2763" s="129">
        <v>2763</v>
      </c>
    </row>
    <row r="2764" spans="1:1" ht="12.75" customHeight="1">
      <c r="A2764" s="129">
        <v>2764</v>
      </c>
    </row>
    <row r="2765" spans="1:1" ht="12.75" customHeight="1">
      <c r="A2765" s="129">
        <v>2765</v>
      </c>
    </row>
    <row r="2766" spans="1:1" ht="12.75" customHeight="1">
      <c r="A2766" s="129">
        <v>2766</v>
      </c>
    </row>
    <row r="2767" spans="1:1" ht="12.75" customHeight="1">
      <c r="A2767" s="129">
        <v>2767</v>
      </c>
    </row>
    <row r="2768" spans="1:1" ht="12.75" customHeight="1">
      <c r="A2768" s="129">
        <v>2768</v>
      </c>
    </row>
    <row r="2769" spans="1:1" ht="12.75" customHeight="1">
      <c r="A2769" s="129">
        <v>2769</v>
      </c>
    </row>
    <row r="2770" spans="1:1" ht="12.75" customHeight="1">
      <c r="A2770" s="129">
        <v>2770</v>
      </c>
    </row>
    <row r="2771" spans="1:1" ht="12.75" customHeight="1">
      <c r="A2771" s="129">
        <v>2771</v>
      </c>
    </row>
    <row r="2772" spans="1:1" ht="12.75" customHeight="1">
      <c r="A2772" s="129">
        <v>2772</v>
      </c>
    </row>
    <row r="2773" spans="1:1" ht="12.75" customHeight="1">
      <c r="A2773" s="129">
        <v>2773</v>
      </c>
    </row>
    <row r="2774" spans="1:1" ht="12.75" customHeight="1">
      <c r="A2774" s="129">
        <v>2774</v>
      </c>
    </row>
    <row r="2775" spans="1:1" ht="12.75" customHeight="1">
      <c r="A2775" s="129">
        <v>2775</v>
      </c>
    </row>
    <row r="2776" spans="1:1" ht="12.75" customHeight="1">
      <c r="A2776" s="129">
        <v>2776</v>
      </c>
    </row>
    <row r="2777" spans="1:1" ht="12.75" customHeight="1">
      <c r="A2777" s="129">
        <v>2777</v>
      </c>
    </row>
    <row r="2778" spans="1:1" ht="12.75" customHeight="1">
      <c r="A2778" s="129">
        <v>2778</v>
      </c>
    </row>
    <row r="2779" spans="1:1" ht="12.75" customHeight="1">
      <c r="A2779" s="129">
        <v>2779</v>
      </c>
    </row>
    <row r="2780" spans="1:1" ht="12.75" customHeight="1">
      <c r="A2780" s="129">
        <v>2780</v>
      </c>
    </row>
    <row r="2781" spans="1:1" ht="12.75" customHeight="1">
      <c r="A2781" s="129">
        <v>2781</v>
      </c>
    </row>
    <row r="2782" spans="1:1" ht="12.75" customHeight="1">
      <c r="A2782" s="129">
        <v>2782</v>
      </c>
    </row>
    <row r="2783" spans="1:1" ht="12.75" customHeight="1">
      <c r="A2783" s="129">
        <v>2783</v>
      </c>
    </row>
    <row r="2784" spans="1:1" ht="12.75" customHeight="1">
      <c r="A2784" s="129">
        <v>2784</v>
      </c>
    </row>
    <row r="2785" spans="1:1" ht="12.75" customHeight="1">
      <c r="A2785" s="129">
        <v>2785</v>
      </c>
    </row>
    <row r="2786" spans="1:1" ht="12.75" customHeight="1">
      <c r="A2786" s="129">
        <v>2786</v>
      </c>
    </row>
    <row r="2787" spans="1:1" ht="12.75" customHeight="1">
      <c r="A2787" s="129">
        <v>2787</v>
      </c>
    </row>
    <row r="2788" spans="1:1" ht="12.75" customHeight="1">
      <c r="A2788" s="129">
        <v>2788</v>
      </c>
    </row>
    <row r="2789" spans="1:1" ht="12.75" customHeight="1">
      <c r="A2789" s="129">
        <v>2789</v>
      </c>
    </row>
    <row r="2790" spans="1:1" ht="12.75" customHeight="1">
      <c r="A2790" s="129">
        <v>2790</v>
      </c>
    </row>
    <row r="2791" spans="1:1" ht="12.75" customHeight="1">
      <c r="A2791" s="129">
        <v>2791</v>
      </c>
    </row>
    <row r="2792" spans="1:1" ht="12.75" customHeight="1">
      <c r="A2792" s="129">
        <v>2792</v>
      </c>
    </row>
    <row r="2793" spans="1:1" ht="12.75" customHeight="1">
      <c r="A2793" s="129">
        <v>2793</v>
      </c>
    </row>
    <row r="2794" spans="1:1" ht="12.75" customHeight="1">
      <c r="A2794" s="129">
        <v>2794</v>
      </c>
    </row>
    <row r="2795" spans="1:1" ht="12.75" customHeight="1">
      <c r="A2795" s="129">
        <v>2795</v>
      </c>
    </row>
    <row r="2796" spans="1:1" ht="12.75" customHeight="1">
      <c r="A2796" s="129">
        <v>2796</v>
      </c>
    </row>
    <row r="2797" spans="1:1" ht="12.75" customHeight="1">
      <c r="A2797" s="129">
        <v>2797</v>
      </c>
    </row>
    <row r="2798" spans="1:1" ht="12.75" customHeight="1">
      <c r="A2798" s="129">
        <v>2798</v>
      </c>
    </row>
    <row r="2799" spans="1:1" ht="12.75" customHeight="1">
      <c r="A2799" s="129">
        <v>2799</v>
      </c>
    </row>
    <row r="2800" spans="1:1" ht="12.75" customHeight="1">
      <c r="A2800" s="129">
        <v>2800</v>
      </c>
    </row>
    <row r="2801" spans="1:1" ht="12.75" customHeight="1">
      <c r="A2801" s="129">
        <v>2801</v>
      </c>
    </row>
    <row r="2802" spans="1:1" ht="12.75" customHeight="1">
      <c r="A2802" s="129">
        <v>2802</v>
      </c>
    </row>
    <row r="2803" spans="1:1" ht="12.75" customHeight="1">
      <c r="A2803" s="129">
        <v>2803</v>
      </c>
    </row>
    <row r="2804" spans="1:1" ht="12.75" customHeight="1">
      <c r="A2804" s="129">
        <v>2804</v>
      </c>
    </row>
    <row r="2805" spans="1:1" ht="12.75" customHeight="1">
      <c r="A2805" s="129">
        <v>2805</v>
      </c>
    </row>
    <row r="2806" spans="1:1" ht="12.75" customHeight="1">
      <c r="A2806" s="129">
        <v>2806</v>
      </c>
    </row>
    <row r="2807" spans="1:1" ht="12.75" customHeight="1">
      <c r="A2807" s="129">
        <v>2807</v>
      </c>
    </row>
    <row r="2808" spans="1:1" ht="12.75" customHeight="1">
      <c r="A2808" s="129">
        <v>2808</v>
      </c>
    </row>
    <row r="2809" spans="1:1" ht="12.75" customHeight="1">
      <c r="A2809" s="129">
        <v>2809</v>
      </c>
    </row>
    <row r="2810" spans="1:1" ht="12.75" customHeight="1">
      <c r="A2810" s="129">
        <v>2810</v>
      </c>
    </row>
    <row r="2811" spans="1:1" ht="12.75" customHeight="1">
      <c r="A2811" s="129">
        <v>2811</v>
      </c>
    </row>
    <row r="2812" spans="1:1" ht="12.75" customHeight="1">
      <c r="A2812" s="129">
        <v>2812</v>
      </c>
    </row>
    <row r="2813" spans="1:1" ht="12.75" customHeight="1">
      <c r="A2813" s="129">
        <v>2813</v>
      </c>
    </row>
    <row r="2814" spans="1:1" ht="12.75" customHeight="1">
      <c r="A2814" s="129">
        <v>2814</v>
      </c>
    </row>
    <row r="2815" spans="1:1" ht="12.75" customHeight="1">
      <c r="A2815" s="129">
        <v>2815</v>
      </c>
    </row>
    <row r="2816" spans="1:1" ht="12.75" customHeight="1">
      <c r="A2816" s="129">
        <v>2816</v>
      </c>
    </row>
    <row r="2817" spans="1:1" ht="12.75" customHeight="1">
      <c r="A2817" s="129">
        <v>2817</v>
      </c>
    </row>
    <row r="2818" spans="1:1" ht="12.75" customHeight="1">
      <c r="A2818" s="129">
        <v>2818</v>
      </c>
    </row>
    <row r="2819" spans="1:1" ht="12.75" customHeight="1">
      <c r="A2819" s="129">
        <v>2819</v>
      </c>
    </row>
    <row r="2820" spans="1:1" ht="12.75" customHeight="1">
      <c r="A2820" s="129">
        <v>2820</v>
      </c>
    </row>
    <row r="2821" spans="1:1" ht="12.75" customHeight="1">
      <c r="A2821" s="129">
        <v>2821</v>
      </c>
    </row>
    <row r="2822" spans="1:1" ht="12.75" customHeight="1">
      <c r="A2822" s="129">
        <v>2822</v>
      </c>
    </row>
    <row r="2823" spans="1:1" ht="12.75" customHeight="1">
      <c r="A2823" s="129">
        <v>2823</v>
      </c>
    </row>
    <row r="2824" spans="1:1" ht="12.75" customHeight="1">
      <c r="A2824" s="129">
        <v>2824</v>
      </c>
    </row>
    <row r="2825" spans="1:1" ht="12.75" customHeight="1">
      <c r="A2825" s="129">
        <v>2825</v>
      </c>
    </row>
    <row r="2826" spans="1:1" ht="12.75" customHeight="1">
      <c r="A2826" s="129">
        <v>2826</v>
      </c>
    </row>
    <row r="2827" spans="1:1" ht="12.75" customHeight="1">
      <c r="A2827" s="129">
        <v>2827</v>
      </c>
    </row>
    <row r="2828" spans="1:1" ht="12.75" customHeight="1">
      <c r="A2828" s="129">
        <v>2828</v>
      </c>
    </row>
    <row r="2829" spans="1:1" ht="12.75" customHeight="1">
      <c r="A2829" s="129">
        <v>2829</v>
      </c>
    </row>
    <row r="2830" spans="1:1" ht="12.75" customHeight="1">
      <c r="A2830" s="129">
        <v>2830</v>
      </c>
    </row>
    <row r="2831" spans="1:1" ht="12.75" customHeight="1">
      <c r="A2831" s="129">
        <v>2831</v>
      </c>
    </row>
    <row r="2832" spans="1:1" ht="12.75" customHeight="1">
      <c r="A2832" s="129">
        <v>2832</v>
      </c>
    </row>
    <row r="2833" spans="1:1" ht="12.75" customHeight="1">
      <c r="A2833" s="129">
        <v>2833</v>
      </c>
    </row>
    <row r="2834" spans="1:1" ht="12.75" customHeight="1">
      <c r="A2834" s="129">
        <v>2834</v>
      </c>
    </row>
    <row r="2835" spans="1:1" ht="12.75" customHeight="1">
      <c r="A2835" s="129">
        <v>2835</v>
      </c>
    </row>
    <row r="2836" spans="1:1" ht="12.75" customHeight="1">
      <c r="A2836" s="129">
        <v>2836</v>
      </c>
    </row>
    <row r="2837" spans="1:1" ht="12.75" customHeight="1">
      <c r="A2837" s="129">
        <v>2837</v>
      </c>
    </row>
    <row r="2838" spans="1:1" ht="12.75" customHeight="1">
      <c r="A2838" s="129">
        <v>2838</v>
      </c>
    </row>
    <row r="2839" spans="1:1" ht="12.75" customHeight="1">
      <c r="A2839" s="129">
        <v>2839</v>
      </c>
    </row>
    <row r="2840" spans="1:1" ht="12.75" customHeight="1">
      <c r="A2840" s="129">
        <v>2840</v>
      </c>
    </row>
    <row r="2841" spans="1:1" ht="12.75" customHeight="1">
      <c r="A2841" s="129">
        <v>2841</v>
      </c>
    </row>
    <row r="2842" spans="1:1" ht="12.75" customHeight="1">
      <c r="A2842" s="129">
        <v>2842</v>
      </c>
    </row>
    <row r="2843" spans="1:1" ht="12.75" customHeight="1">
      <c r="A2843" s="129">
        <v>2843</v>
      </c>
    </row>
    <row r="2844" spans="1:1" ht="12.75" customHeight="1">
      <c r="A2844" s="129">
        <v>2844</v>
      </c>
    </row>
    <row r="2845" spans="1:1" ht="12.75" customHeight="1">
      <c r="A2845" s="129">
        <v>2845</v>
      </c>
    </row>
    <row r="2846" spans="1:1" ht="12.75" customHeight="1">
      <c r="A2846" s="129">
        <v>2846</v>
      </c>
    </row>
    <row r="2847" spans="1:1" ht="12.75" customHeight="1">
      <c r="A2847" s="129">
        <v>2847</v>
      </c>
    </row>
    <row r="2848" spans="1:1" ht="12.75" customHeight="1">
      <c r="A2848" s="129">
        <v>2848</v>
      </c>
    </row>
    <row r="2849" spans="1:1" ht="12.75" customHeight="1">
      <c r="A2849" s="129">
        <v>2849</v>
      </c>
    </row>
    <row r="2850" spans="1:1" ht="12.75" customHeight="1">
      <c r="A2850" s="129">
        <v>2850</v>
      </c>
    </row>
    <row r="2851" spans="1:1" ht="12.75" customHeight="1">
      <c r="A2851" s="129">
        <v>2851</v>
      </c>
    </row>
    <row r="2852" spans="1:1" ht="12.75" customHeight="1">
      <c r="A2852" s="129">
        <v>2852</v>
      </c>
    </row>
    <row r="2853" spans="1:1" ht="12.75" customHeight="1">
      <c r="A2853" s="129">
        <v>2853</v>
      </c>
    </row>
    <row r="2854" spans="1:1" ht="12.75" customHeight="1">
      <c r="A2854" s="129">
        <v>2854</v>
      </c>
    </row>
    <row r="2855" spans="1:1" ht="12.75" customHeight="1">
      <c r="A2855" s="129">
        <v>2855</v>
      </c>
    </row>
    <row r="2856" spans="1:1" ht="12.75" customHeight="1">
      <c r="A2856" s="129">
        <v>2856</v>
      </c>
    </row>
    <row r="2857" spans="1:1" ht="12.75" customHeight="1">
      <c r="A2857" s="129">
        <v>2857</v>
      </c>
    </row>
    <row r="2858" spans="1:1" ht="12.75" customHeight="1">
      <c r="A2858" s="129">
        <v>2858</v>
      </c>
    </row>
    <row r="2859" spans="1:1" ht="12.75" customHeight="1">
      <c r="A2859" s="129">
        <v>2859</v>
      </c>
    </row>
    <row r="2860" spans="1:1" ht="12.75" customHeight="1">
      <c r="A2860" s="129">
        <v>2860</v>
      </c>
    </row>
    <row r="2861" spans="1:1" ht="12.75" customHeight="1">
      <c r="A2861" s="129">
        <v>2861</v>
      </c>
    </row>
    <row r="2862" spans="1:1" ht="12.75" customHeight="1">
      <c r="A2862" s="129">
        <v>2862</v>
      </c>
    </row>
    <row r="2863" spans="1:1" ht="12.75" customHeight="1">
      <c r="A2863" s="129">
        <v>2863</v>
      </c>
    </row>
    <row r="2864" spans="1:1" ht="12.75" customHeight="1">
      <c r="A2864" s="129">
        <v>2864</v>
      </c>
    </row>
    <row r="2865" spans="1:1" ht="12.75" customHeight="1">
      <c r="A2865" s="129">
        <v>2865</v>
      </c>
    </row>
    <row r="2866" spans="1:1" ht="12.75" customHeight="1">
      <c r="A2866" s="129">
        <v>2866</v>
      </c>
    </row>
    <row r="2867" spans="1:1" ht="12.75" customHeight="1">
      <c r="A2867" s="129">
        <v>2867</v>
      </c>
    </row>
    <row r="2868" spans="1:1" ht="12.75" customHeight="1">
      <c r="A2868" s="129">
        <v>2868</v>
      </c>
    </row>
    <row r="2869" spans="1:1" ht="12.75" customHeight="1">
      <c r="A2869" s="129">
        <v>2869</v>
      </c>
    </row>
    <row r="2870" spans="1:1" ht="12.75" customHeight="1">
      <c r="A2870" s="129">
        <v>2870</v>
      </c>
    </row>
    <row r="2871" spans="1:1" ht="12.75" customHeight="1">
      <c r="A2871" s="129">
        <v>2871</v>
      </c>
    </row>
    <row r="2872" spans="1:1" ht="12.75" customHeight="1">
      <c r="A2872" s="129">
        <v>2872</v>
      </c>
    </row>
    <row r="2873" spans="1:1" ht="12.75" customHeight="1">
      <c r="A2873" s="129">
        <v>2873</v>
      </c>
    </row>
    <row r="2874" spans="1:1" ht="12.75" customHeight="1">
      <c r="A2874" s="129">
        <v>2874</v>
      </c>
    </row>
    <row r="2875" spans="1:1" ht="12.75" customHeight="1">
      <c r="A2875" s="129">
        <v>2875</v>
      </c>
    </row>
    <row r="2876" spans="1:1" ht="12.75" customHeight="1">
      <c r="A2876" s="129">
        <v>2876</v>
      </c>
    </row>
    <row r="2877" spans="1:1" ht="12.75" customHeight="1">
      <c r="A2877" s="129">
        <v>2877</v>
      </c>
    </row>
    <row r="2878" spans="1:1" ht="12.75" customHeight="1">
      <c r="A2878" s="129">
        <v>2878</v>
      </c>
    </row>
    <row r="2879" spans="1:1" ht="12.75" customHeight="1">
      <c r="A2879" s="129">
        <v>2879</v>
      </c>
    </row>
    <row r="2880" spans="1:1" ht="12.75" customHeight="1">
      <c r="A2880" s="129">
        <v>2880</v>
      </c>
    </row>
    <row r="2881" spans="1:1" ht="12.75" customHeight="1">
      <c r="A2881" s="129">
        <v>2881</v>
      </c>
    </row>
    <row r="2882" spans="1:1" ht="12.75" customHeight="1">
      <c r="A2882" s="129">
        <v>2882</v>
      </c>
    </row>
    <row r="2883" spans="1:1" ht="12.75" customHeight="1">
      <c r="A2883" s="129">
        <v>2883</v>
      </c>
    </row>
    <row r="2884" spans="1:1" ht="12.75" customHeight="1">
      <c r="A2884" s="129">
        <v>2884</v>
      </c>
    </row>
    <row r="2885" spans="1:1" ht="12.75" customHeight="1">
      <c r="A2885" s="129">
        <v>2885</v>
      </c>
    </row>
    <row r="2886" spans="1:1" ht="12.75" customHeight="1">
      <c r="A2886" s="129">
        <v>2886</v>
      </c>
    </row>
    <row r="2887" spans="1:1" ht="12.75" customHeight="1">
      <c r="A2887" s="129">
        <v>2887</v>
      </c>
    </row>
    <row r="2888" spans="1:1" ht="12.75" customHeight="1">
      <c r="A2888" s="129">
        <v>2888</v>
      </c>
    </row>
    <row r="2889" spans="1:1" ht="12.75" customHeight="1">
      <c r="A2889" s="129">
        <v>2889</v>
      </c>
    </row>
    <row r="2890" spans="1:1" ht="12.75" customHeight="1">
      <c r="A2890" s="129">
        <v>2890</v>
      </c>
    </row>
    <row r="2891" spans="1:1" ht="12.75" customHeight="1">
      <c r="A2891" s="129">
        <v>2891</v>
      </c>
    </row>
    <row r="2892" spans="1:1" ht="12.75" customHeight="1">
      <c r="A2892" s="129">
        <v>2892</v>
      </c>
    </row>
    <row r="2893" spans="1:1" ht="12.75" customHeight="1">
      <c r="A2893" s="129">
        <v>2893</v>
      </c>
    </row>
    <row r="2894" spans="1:1" ht="12.75" customHeight="1">
      <c r="A2894" s="129">
        <v>2894</v>
      </c>
    </row>
    <row r="2895" spans="1:1" ht="12.75" customHeight="1">
      <c r="A2895" s="129">
        <v>2895</v>
      </c>
    </row>
    <row r="2896" spans="1:1" ht="12.75" customHeight="1">
      <c r="A2896" s="129">
        <v>2896</v>
      </c>
    </row>
    <row r="2897" spans="1:1" ht="12.75" customHeight="1">
      <c r="A2897" s="129">
        <v>2897</v>
      </c>
    </row>
    <row r="2898" spans="1:1" ht="12.75" customHeight="1">
      <c r="A2898" s="129">
        <v>2898</v>
      </c>
    </row>
    <row r="2899" spans="1:1" ht="12.75" customHeight="1">
      <c r="A2899" s="129">
        <v>2899</v>
      </c>
    </row>
    <row r="2900" spans="1:1" ht="12.75" customHeight="1">
      <c r="A2900" s="129">
        <v>2900</v>
      </c>
    </row>
    <row r="2901" spans="1:1" ht="12.75" customHeight="1">
      <c r="A2901" s="129">
        <v>2901</v>
      </c>
    </row>
    <row r="2902" spans="1:1" ht="12.75" customHeight="1">
      <c r="A2902" s="129">
        <v>2902</v>
      </c>
    </row>
    <row r="2903" spans="1:1" ht="12.75" customHeight="1">
      <c r="A2903" s="129">
        <v>2903</v>
      </c>
    </row>
    <row r="2904" spans="1:1" ht="12.75" customHeight="1">
      <c r="A2904" s="129">
        <v>2904</v>
      </c>
    </row>
    <row r="2905" spans="1:1" ht="12.75" customHeight="1">
      <c r="A2905" s="129">
        <v>2905</v>
      </c>
    </row>
    <row r="2906" spans="1:1" ht="12.75" customHeight="1">
      <c r="A2906" s="129">
        <v>2906</v>
      </c>
    </row>
    <row r="2907" spans="1:1" ht="12.75" customHeight="1">
      <c r="A2907" s="129">
        <v>2907</v>
      </c>
    </row>
    <row r="2908" spans="1:1" ht="12.75" customHeight="1">
      <c r="A2908" s="129">
        <v>2908</v>
      </c>
    </row>
    <row r="2909" spans="1:1" ht="12.75" customHeight="1">
      <c r="A2909" s="129">
        <v>2909</v>
      </c>
    </row>
    <row r="2910" spans="1:1" ht="12.75" customHeight="1">
      <c r="A2910" s="129">
        <v>2910</v>
      </c>
    </row>
    <row r="2911" spans="1:1" ht="12.75" customHeight="1">
      <c r="A2911" s="129">
        <v>2911</v>
      </c>
    </row>
    <row r="2912" spans="1:1" ht="12.75" customHeight="1">
      <c r="A2912" s="129">
        <v>2912</v>
      </c>
    </row>
    <row r="2913" spans="1:1" ht="12.75" customHeight="1">
      <c r="A2913" s="129">
        <v>2913</v>
      </c>
    </row>
    <row r="2914" spans="1:1" ht="12.75" customHeight="1">
      <c r="A2914" s="129">
        <v>2914</v>
      </c>
    </row>
    <row r="2915" spans="1:1" ht="12.75" customHeight="1">
      <c r="A2915" s="129">
        <v>2915</v>
      </c>
    </row>
    <row r="2916" spans="1:1" ht="12.75" customHeight="1">
      <c r="A2916" s="129">
        <v>2916</v>
      </c>
    </row>
    <row r="2917" spans="1:1" ht="12.75" customHeight="1">
      <c r="A2917" s="129">
        <v>2917</v>
      </c>
    </row>
    <row r="2918" spans="1:1" ht="12.75" customHeight="1">
      <c r="A2918" s="129">
        <v>2918</v>
      </c>
    </row>
    <row r="2919" spans="1:1" ht="12.75" customHeight="1">
      <c r="A2919" s="129">
        <v>2919</v>
      </c>
    </row>
    <row r="2920" spans="1:1" ht="12.75" customHeight="1">
      <c r="A2920" s="129">
        <v>2920</v>
      </c>
    </row>
    <row r="2921" spans="1:1" ht="12.75" customHeight="1">
      <c r="A2921" s="129">
        <v>2921</v>
      </c>
    </row>
    <row r="2922" spans="1:1" ht="12.75" customHeight="1">
      <c r="A2922" s="129">
        <v>2922</v>
      </c>
    </row>
    <row r="2923" spans="1:1" ht="12.75" customHeight="1">
      <c r="A2923" s="129">
        <v>2923</v>
      </c>
    </row>
    <row r="2924" spans="1:1" ht="12.75" customHeight="1">
      <c r="A2924" s="129">
        <v>2924</v>
      </c>
    </row>
    <row r="2925" spans="1:1" ht="12.75" customHeight="1">
      <c r="A2925" s="129">
        <v>2925</v>
      </c>
    </row>
    <row r="2926" spans="1:1" ht="12.75" customHeight="1">
      <c r="A2926" s="129">
        <v>2926</v>
      </c>
    </row>
    <row r="2927" spans="1:1" ht="12.75" customHeight="1">
      <c r="A2927" s="129">
        <v>2927</v>
      </c>
    </row>
    <row r="2928" spans="1:1" ht="12.75" customHeight="1">
      <c r="A2928" s="129">
        <v>2928</v>
      </c>
    </row>
    <row r="2929" spans="1:1" ht="12.75" customHeight="1">
      <c r="A2929" s="129">
        <v>2929</v>
      </c>
    </row>
    <row r="2930" spans="1:1" ht="12.75" customHeight="1">
      <c r="A2930" s="129">
        <v>2930</v>
      </c>
    </row>
    <row r="2931" spans="1:1" ht="12.75" customHeight="1">
      <c r="A2931" s="129">
        <v>2931</v>
      </c>
    </row>
    <row r="2932" spans="1:1" ht="12.75" customHeight="1">
      <c r="A2932" s="129">
        <v>2932</v>
      </c>
    </row>
    <row r="2933" spans="1:1" ht="12.75" customHeight="1">
      <c r="A2933" s="129">
        <v>2933</v>
      </c>
    </row>
    <row r="2934" spans="1:1" ht="12.75" customHeight="1">
      <c r="A2934" s="129">
        <v>2934</v>
      </c>
    </row>
    <row r="2935" spans="1:1" ht="12.75" customHeight="1">
      <c r="A2935" s="129">
        <v>2935</v>
      </c>
    </row>
    <row r="2936" spans="1:1" ht="12.75" customHeight="1">
      <c r="A2936" s="129">
        <v>2936</v>
      </c>
    </row>
    <row r="2937" spans="1:1" ht="12.75" customHeight="1">
      <c r="A2937" s="129">
        <v>2937</v>
      </c>
    </row>
    <row r="2938" spans="1:1" ht="12.75" customHeight="1">
      <c r="A2938" s="129">
        <v>2938</v>
      </c>
    </row>
    <row r="2939" spans="1:1" ht="12.75" customHeight="1">
      <c r="A2939" s="129">
        <v>2939</v>
      </c>
    </row>
    <row r="2940" spans="1:1" ht="12.75" customHeight="1">
      <c r="A2940" s="129">
        <v>2940</v>
      </c>
    </row>
    <row r="2941" spans="1:1" ht="12.75" customHeight="1">
      <c r="A2941" s="129">
        <v>2941</v>
      </c>
    </row>
    <row r="2942" spans="1:1" ht="12.75" customHeight="1">
      <c r="A2942" s="129">
        <v>2942</v>
      </c>
    </row>
    <row r="2943" spans="1:1" ht="12.75" customHeight="1">
      <c r="A2943" s="129">
        <v>2943</v>
      </c>
    </row>
    <row r="2944" spans="1:1" ht="12.75" customHeight="1">
      <c r="A2944" s="129">
        <v>2944</v>
      </c>
    </row>
    <row r="2945" spans="1:1" ht="12.75" customHeight="1">
      <c r="A2945" s="129">
        <v>2945</v>
      </c>
    </row>
    <row r="2946" spans="1:1" ht="12.75" customHeight="1">
      <c r="A2946" s="129">
        <v>2946</v>
      </c>
    </row>
    <row r="2947" spans="1:1" ht="12.75" customHeight="1">
      <c r="A2947" s="129">
        <v>2947</v>
      </c>
    </row>
    <row r="2948" spans="1:1" ht="12.75" customHeight="1">
      <c r="A2948" s="129">
        <v>2948</v>
      </c>
    </row>
    <row r="2949" spans="1:1" ht="12.75" customHeight="1">
      <c r="A2949" s="129">
        <v>2949</v>
      </c>
    </row>
    <row r="2950" spans="1:1" ht="12.75" customHeight="1">
      <c r="A2950" s="129">
        <v>2950</v>
      </c>
    </row>
    <row r="2951" spans="1:1" ht="12.75" customHeight="1">
      <c r="A2951" s="129">
        <v>2951</v>
      </c>
    </row>
    <row r="2952" spans="1:1" ht="12.75" customHeight="1">
      <c r="A2952" s="129">
        <v>2952</v>
      </c>
    </row>
    <row r="2953" spans="1:1" ht="12.75" customHeight="1">
      <c r="A2953" s="129">
        <v>2953</v>
      </c>
    </row>
    <row r="2954" spans="1:1" ht="12.75" customHeight="1">
      <c r="A2954" s="129">
        <v>2954</v>
      </c>
    </row>
    <row r="2955" spans="1:1" ht="12.75" customHeight="1">
      <c r="A2955" s="129">
        <v>2955</v>
      </c>
    </row>
    <row r="2956" spans="1:1" ht="12.75" customHeight="1">
      <c r="A2956" s="129">
        <v>2956</v>
      </c>
    </row>
    <row r="2957" spans="1:1" ht="12.75" customHeight="1">
      <c r="A2957" s="129">
        <v>2957</v>
      </c>
    </row>
    <row r="2958" spans="1:1" ht="12.75" customHeight="1">
      <c r="A2958" s="129">
        <v>2958</v>
      </c>
    </row>
    <row r="2959" spans="1:1" ht="12.75" customHeight="1">
      <c r="A2959" s="129">
        <v>2959</v>
      </c>
    </row>
    <row r="2960" spans="1:1" ht="12.75" customHeight="1">
      <c r="A2960" s="129">
        <v>2960</v>
      </c>
    </row>
    <row r="2961" spans="1:1" ht="12.75" customHeight="1">
      <c r="A2961" s="129">
        <v>2961</v>
      </c>
    </row>
    <row r="2962" spans="1:1" ht="12.75" customHeight="1">
      <c r="A2962" s="129">
        <v>2962</v>
      </c>
    </row>
    <row r="2963" spans="1:1" ht="12.75" customHeight="1">
      <c r="A2963" s="129">
        <v>2963</v>
      </c>
    </row>
    <row r="2964" spans="1:1" ht="12.75" customHeight="1">
      <c r="A2964" s="129">
        <v>2964</v>
      </c>
    </row>
    <row r="2965" spans="1:1" ht="12.75" customHeight="1">
      <c r="A2965" s="129">
        <v>2965</v>
      </c>
    </row>
    <row r="2966" spans="1:1" ht="12.75" customHeight="1">
      <c r="A2966" s="129">
        <v>2966</v>
      </c>
    </row>
    <row r="2967" spans="1:1" ht="12.75" customHeight="1">
      <c r="A2967" s="129">
        <v>2967</v>
      </c>
    </row>
    <row r="2968" spans="1:1" ht="12.75" customHeight="1">
      <c r="A2968" s="129">
        <v>2968</v>
      </c>
    </row>
    <row r="2969" spans="1:1" ht="12.75" customHeight="1">
      <c r="A2969" s="129">
        <v>2969</v>
      </c>
    </row>
    <row r="2970" spans="1:1" ht="12.75" customHeight="1">
      <c r="A2970" s="129">
        <v>2970</v>
      </c>
    </row>
    <row r="2971" spans="1:1" ht="12.75" customHeight="1">
      <c r="A2971" s="129">
        <v>2971</v>
      </c>
    </row>
    <row r="2972" spans="1:1" ht="12.75" customHeight="1">
      <c r="A2972" s="129">
        <v>2972</v>
      </c>
    </row>
    <row r="2973" spans="1:1" ht="12.75" customHeight="1">
      <c r="A2973" s="129">
        <v>2973</v>
      </c>
    </row>
    <row r="2974" spans="1:1" ht="12.75" customHeight="1">
      <c r="A2974" s="129">
        <v>2974</v>
      </c>
    </row>
    <row r="2975" spans="1:1" ht="12.75" customHeight="1">
      <c r="A2975" s="129">
        <v>2975</v>
      </c>
    </row>
    <row r="2976" spans="1:1" ht="12.75" customHeight="1">
      <c r="A2976" s="129">
        <v>2976</v>
      </c>
    </row>
    <row r="2977" spans="1:1" ht="12.75" customHeight="1">
      <c r="A2977" s="129">
        <v>2977</v>
      </c>
    </row>
    <row r="2978" spans="1:1" ht="12.75" customHeight="1">
      <c r="A2978" s="129">
        <v>2978</v>
      </c>
    </row>
    <row r="2979" spans="1:1" ht="12.75" customHeight="1">
      <c r="A2979" s="129">
        <v>2979</v>
      </c>
    </row>
    <row r="2980" spans="1:1" ht="12.75" customHeight="1">
      <c r="A2980" s="129">
        <v>2980</v>
      </c>
    </row>
    <row r="2981" spans="1:1" ht="12.75" customHeight="1">
      <c r="A2981" s="129">
        <v>2981</v>
      </c>
    </row>
    <row r="2982" spans="1:1" ht="12.75" customHeight="1">
      <c r="A2982" s="129">
        <v>2982</v>
      </c>
    </row>
    <row r="2983" spans="1:1" ht="12.75" customHeight="1">
      <c r="A2983" s="129">
        <v>2983</v>
      </c>
    </row>
    <row r="2984" spans="1:1" ht="12.75" customHeight="1">
      <c r="A2984" s="129">
        <v>2984</v>
      </c>
    </row>
    <row r="2985" spans="1:1" ht="12.75" customHeight="1">
      <c r="A2985" s="129">
        <v>2985</v>
      </c>
    </row>
    <row r="2986" spans="1:1" ht="12.75" customHeight="1">
      <c r="A2986" s="129">
        <v>2986</v>
      </c>
    </row>
    <row r="2987" spans="1:1" ht="12.75" customHeight="1">
      <c r="A2987" s="129">
        <v>2987</v>
      </c>
    </row>
    <row r="2988" spans="1:1" ht="12.75" customHeight="1">
      <c r="A2988" s="129">
        <v>2988</v>
      </c>
    </row>
    <row r="2989" spans="1:1" ht="12.75" customHeight="1">
      <c r="A2989" s="129">
        <v>2989</v>
      </c>
    </row>
    <row r="2990" spans="1:1" ht="12.75" customHeight="1">
      <c r="A2990" s="129">
        <v>2990</v>
      </c>
    </row>
    <row r="2991" spans="1:1" ht="12.75" customHeight="1">
      <c r="A2991" s="129">
        <v>2991</v>
      </c>
    </row>
    <row r="2992" spans="1:1" ht="12.75" customHeight="1">
      <c r="A2992" s="129">
        <v>2992</v>
      </c>
    </row>
    <row r="2993" spans="1:1" ht="12.75" customHeight="1">
      <c r="A2993" s="129">
        <v>2993</v>
      </c>
    </row>
    <row r="2994" spans="1:1" ht="12.75" customHeight="1">
      <c r="A2994" s="129">
        <v>2994</v>
      </c>
    </row>
    <row r="2995" spans="1:1" ht="12.75" customHeight="1">
      <c r="A2995" s="129">
        <v>2995</v>
      </c>
    </row>
    <row r="2996" spans="1:1" ht="12.75" customHeight="1">
      <c r="A2996" s="129">
        <v>2996</v>
      </c>
    </row>
    <row r="2997" spans="1:1" ht="12.75" customHeight="1">
      <c r="A2997" s="129">
        <v>2997</v>
      </c>
    </row>
    <row r="2998" spans="1:1" ht="12.75" customHeight="1">
      <c r="A2998" s="129">
        <v>2998</v>
      </c>
    </row>
    <row r="2999" spans="1:1" ht="12.75" customHeight="1">
      <c r="A2999" s="129">
        <v>2999</v>
      </c>
    </row>
    <row r="3000" spans="1:1" ht="12.75" customHeight="1">
      <c r="A3000" s="129">
        <v>3000</v>
      </c>
    </row>
    <row r="3001" spans="1:1" ht="12.75" customHeight="1">
      <c r="A3001" s="129">
        <v>3001</v>
      </c>
    </row>
    <row r="3002" spans="1:1" ht="12.75" customHeight="1">
      <c r="A3002" s="129">
        <v>3002</v>
      </c>
    </row>
    <row r="3003" spans="1:1" ht="12.75" customHeight="1">
      <c r="A3003" s="129">
        <v>3003</v>
      </c>
    </row>
    <row r="3004" spans="1:1" ht="12.75" customHeight="1">
      <c r="A3004" s="129">
        <v>3004</v>
      </c>
    </row>
    <row r="3005" spans="1:1" ht="12.75" customHeight="1">
      <c r="A3005" s="129">
        <v>3005</v>
      </c>
    </row>
    <row r="3006" spans="1:1" ht="12.75" customHeight="1">
      <c r="A3006" s="129">
        <v>3006</v>
      </c>
    </row>
    <row r="3007" spans="1:1" ht="12.75" customHeight="1">
      <c r="A3007" s="129">
        <v>3007</v>
      </c>
    </row>
    <row r="3008" spans="1:1" ht="12.75" customHeight="1">
      <c r="A3008" s="129">
        <v>3008</v>
      </c>
    </row>
    <row r="3009" spans="1:1" ht="12.75" customHeight="1">
      <c r="A3009" s="129">
        <v>3009</v>
      </c>
    </row>
    <row r="3010" spans="1:1" ht="12.75" customHeight="1">
      <c r="A3010" s="129">
        <v>3010</v>
      </c>
    </row>
    <row r="3011" spans="1:1" ht="12.75" customHeight="1">
      <c r="A3011" s="129">
        <v>3011</v>
      </c>
    </row>
    <row r="3012" spans="1:1" ht="12.75" customHeight="1">
      <c r="A3012" s="129">
        <v>3012</v>
      </c>
    </row>
    <row r="3013" spans="1:1" ht="12.75" customHeight="1">
      <c r="A3013" s="129">
        <v>3013</v>
      </c>
    </row>
    <row r="3014" spans="1:1" ht="12.75" customHeight="1">
      <c r="A3014" s="129">
        <v>3014</v>
      </c>
    </row>
    <row r="3015" spans="1:1" ht="12.75" customHeight="1">
      <c r="A3015" s="129">
        <v>3015</v>
      </c>
    </row>
    <row r="3016" spans="1:1" ht="12.75" customHeight="1">
      <c r="A3016" s="129">
        <v>3016</v>
      </c>
    </row>
    <row r="3017" spans="1:1" ht="12.75" customHeight="1">
      <c r="A3017" s="129">
        <v>3017</v>
      </c>
    </row>
    <row r="3018" spans="1:1" ht="12.75" customHeight="1">
      <c r="A3018" s="129">
        <v>3018</v>
      </c>
    </row>
    <row r="3019" spans="1:1" ht="12.75" customHeight="1">
      <c r="A3019" s="129">
        <v>3019</v>
      </c>
    </row>
    <row r="3020" spans="1:1" ht="12.75" customHeight="1">
      <c r="A3020" s="129">
        <v>3020</v>
      </c>
    </row>
    <row r="3021" spans="1:1" ht="12.75" customHeight="1">
      <c r="A3021" s="129">
        <v>3021</v>
      </c>
    </row>
    <row r="3022" spans="1:1" ht="12.75" customHeight="1">
      <c r="A3022" s="129">
        <v>3022</v>
      </c>
    </row>
    <row r="3023" spans="1:1" ht="12.75" customHeight="1">
      <c r="A3023" s="129">
        <v>3023</v>
      </c>
    </row>
    <row r="3024" spans="1:1" ht="12.75" customHeight="1">
      <c r="A3024" s="129">
        <v>3024</v>
      </c>
    </row>
    <row r="3025" spans="1:1" ht="12.75" customHeight="1">
      <c r="A3025" s="129">
        <v>3025</v>
      </c>
    </row>
    <row r="3026" spans="1:1" ht="12.75" customHeight="1">
      <c r="A3026" s="129">
        <v>3026</v>
      </c>
    </row>
    <row r="3027" spans="1:1" ht="12.75" customHeight="1">
      <c r="A3027" s="129">
        <v>3027</v>
      </c>
    </row>
    <row r="3028" spans="1:1" ht="12.75" customHeight="1">
      <c r="A3028" s="129">
        <v>3028</v>
      </c>
    </row>
    <row r="3029" spans="1:1" ht="12.75" customHeight="1">
      <c r="A3029" s="129">
        <v>3029</v>
      </c>
    </row>
    <row r="3030" spans="1:1" ht="12.75" customHeight="1">
      <c r="A3030" s="129">
        <v>3030</v>
      </c>
    </row>
    <row r="3031" spans="1:1" ht="12.75" customHeight="1">
      <c r="A3031" s="129">
        <v>3031</v>
      </c>
    </row>
    <row r="3032" spans="1:1" ht="12.75" customHeight="1">
      <c r="A3032" s="129">
        <v>3032</v>
      </c>
    </row>
    <row r="3033" spans="1:1" ht="12.75" customHeight="1">
      <c r="A3033" s="129">
        <v>3033</v>
      </c>
    </row>
    <row r="3034" spans="1:1" ht="12.75" customHeight="1">
      <c r="A3034" s="129">
        <v>3034</v>
      </c>
    </row>
    <row r="3035" spans="1:1" ht="12.75" customHeight="1">
      <c r="A3035" s="129">
        <v>3035</v>
      </c>
    </row>
    <row r="3036" spans="1:1" ht="12.75" customHeight="1">
      <c r="A3036" s="129">
        <v>3036</v>
      </c>
    </row>
    <row r="3037" spans="1:1" ht="12.75" customHeight="1">
      <c r="A3037" s="129">
        <v>3037</v>
      </c>
    </row>
    <row r="3038" spans="1:1" ht="12.75" customHeight="1">
      <c r="A3038" s="129">
        <v>3038</v>
      </c>
    </row>
    <row r="3039" spans="1:1" ht="12.75" customHeight="1">
      <c r="A3039" s="129">
        <v>3039</v>
      </c>
    </row>
    <row r="3040" spans="1:1" ht="12.75" customHeight="1">
      <c r="A3040" s="129">
        <v>3040</v>
      </c>
    </row>
    <row r="3041" spans="1:1" ht="12.75" customHeight="1">
      <c r="A3041" s="129">
        <v>3041</v>
      </c>
    </row>
    <row r="3042" spans="1:1" ht="12.75" customHeight="1">
      <c r="A3042" s="129">
        <v>3042</v>
      </c>
    </row>
    <row r="3043" spans="1:1" ht="12.75" customHeight="1">
      <c r="A3043" s="129">
        <v>3043</v>
      </c>
    </row>
    <row r="3044" spans="1:1" ht="12.75" customHeight="1">
      <c r="A3044" s="129">
        <v>3044</v>
      </c>
    </row>
    <row r="3045" spans="1:1" ht="12.75" customHeight="1">
      <c r="A3045" s="129">
        <v>3045</v>
      </c>
    </row>
    <row r="3046" spans="1:1" ht="12.75" customHeight="1">
      <c r="A3046" s="129">
        <v>3046</v>
      </c>
    </row>
    <row r="3047" spans="1:1" ht="12.75" customHeight="1">
      <c r="A3047" s="129">
        <v>3047</v>
      </c>
    </row>
    <row r="3048" spans="1:1" ht="12.75" customHeight="1">
      <c r="A3048" s="129">
        <v>3048</v>
      </c>
    </row>
    <row r="3049" spans="1:1" ht="12.75" customHeight="1">
      <c r="A3049" s="129">
        <v>3049</v>
      </c>
    </row>
    <row r="3050" spans="1:1" ht="12.75" customHeight="1">
      <c r="A3050" s="129">
        <v>3050</v>
      </c>
    </row>
    <row r="3051" spans="1:1" ht="12.75" customHeight="1">
      <c r="A3051" s="129">
        <v>3051</v>
      </c>
    </row>
    <row r="3052" spans="1:1" ht="12.75" customHeight="1">
      <c r="A3052" s="129">
        <v>3052</v>
      </c>
    </row>
    <row r="3053" spans="1:1" ht="12.75" customHeight="1">
      <c r="A3053" s="129">
        <v>3053</v>
      </c>
    </row>
    <row r="3054" spans="1:1" ht="12.75" customHeight="1">
      <c r="A3054" s="129">
        <v>3054</v>
      </c>
    </row>
    <row r="3055" spans="1:1" ht="12.75" customHeight="1">
      <c r="A3055" s="129">
        <v>3055</v>
      </c>
    </row>
    <row r="3056" spans="1:1" ht="12.75" customHeight="1">
      <c r="A3056" s="129">
        <v>3056</v>
      </c>
    </row>
    <row r="3057" spans="1:1" ht="12.75" customHeight="1">
      <c r="A3057" s="129">
        <v>3057</v>
      </c>
    </row>
    <row r="3058" spans="1:1" ht="12.75" customHeight="1">
      <c r="A3058" s="129">
        <v>3058</v>
      </c>
    </row>
    <row r="3059" spans="1:1" ht="12.75" customHeight="1">
      <c r="A3059" s="129">
        <v>3059</v>
      </c>
    </row>
    <row r="3060" spans="1:1" ht="12.75" customHeight="1">
      <c r="A3060" s="129">
        <v>3060</v>
      </c>
    </row>
    <row r="3061" spans="1:1" ht="12.75" customHeight="1">
      <c r="A3061" s="129">
        <v>3061</v>
      </c>
    </row>
    <row r="3062" spans="1:1" ht="12.75" customHeight="1">
      <c r="A3062" s="129">
        <v>3062</v>
      </c>
    </row>
    <row r="3063" spans="1:1" ht="12.75" customHeight="1">
      <c r="A3063" s="129">
        <v>3063</v>
      </c>
    </row>
    <row r="3064" spans="1:1" ht="12.75" customHeight="1">
      <c r="A3064" s="129">
        <v>3064</v>
      </c>
    </row>
    <row r="3065" spans="1:1" ht="12.75" customHeight="1">
      <c r="A3065" s="129">
        <v>3065</v>
      </c>
    </row>
    <row r="3066" spans="1:1" ht="12.75" customHeight="1">
      <c r="A3066" s="129">
        <v>3066</v>
      </c>
    </row>
    <row r="3067" spans="1:1" ht="12.75" customHeight="1">
      <c r="A3067" s="129">
        <v>3067</v>
      </c>
    </row>
    <row r="3068" spans="1:1" ht="12.75" customHeight="1">
      <c r="A3068" s="129">
        <v>3068</v>
      </c>
    </row>
    <row r="3069" spans="1:1" ht="12.75" customHeight="1">
      <c r="A3069" s="129">
        <v>3069</v>
      </c>
    </row>
    <row r="3070" spans="1:1" ht="12.75" customHeight="1">
      <c r="A3070" s="129">
        <v>3070</v>
      </c>
    </row>
    <row r="3071" spans="1:1" ht="12.75" customHeight="1">
      <c r="A3071" s="129">
        <v>3071</v>
      </c>
    </row>
    <row r="3072" spans="1:1" ht="12.75" customHeight="1">
      <c r="A3072" s="129">
        <v>3072</v>
      </c>
    </row>
    <row r="3073" spans="1:1" ht="12.75" customHeight="1">
      <c r="A3073" s="129">
        <v>3073</v>
      </c>
    </row>
    <row r="3074" spans="1:1" ht="12.75" customHeight="1">
      <c r="A3074" s="129">
        <v>3074</v>
      </c>
    </row>
    <row r="3075" spans="1:1" ht="12.75" customHeight="1">
      <c r="A3075" s="129">
        <v>3075</v>
      </c>
    </row>
    <row r="3076" spans="1:1" ht="12.75" customHeight="1">
      <c r="A3076" s="129">
        <v>3076</v>
      </c>
    </row>
    <row r="3077" spans="1:1" ht="12.75" customHeight="1">
      <c r="A3077" s="129">
        <v>3077</v>
      </c>
    </row>
    <row r="3078" spans="1:1" ht="12.75" customHeight="1">
      <c r="A3078" s="129">
        <v>3078</v>
      </c>
    </row>
    <row r="3079" spans="1:1" ht="12.75" customHeight="1">
      <c r="A3079" s="129">
        <v>3079</v>
      </c>
    </row>
    <row r="3080" spans="1:1" ht="12.75" customHeight="1">
      <c r="A3080" s="129">
        <v>3080</v>
      </c>
    </row>
    <row r="3081" spans="1:1" ht="12.75" customHeight="1">
      <c r="A3081" s="129">
        <v>3081</v>
      </c>
    </row>
    <row r="3082" spans="1:1" ht="12.75" customHeight="1">
      <c r="A3082" s="129">
        <v>3082</v>
      </c>
    </row>
    <row r="3083" spans="1:1" ht="12.75" customHeight="1">
      <c r="A3083" s="129">
        <v>3083</v>
      </c>
    </row>
    <row r="3084" spans="1:1" ht="12.75" customHeight="1">
      <c r="A3084" s="129">
        <v>3084</v>
      </c>
    </row>
    <row r="3085" spans="1:1" ht="12.75" customHeight="1">
      <c r="A3085" s="129">
        <v>3085</v>
      </c>
    </row>
    <row r="3086" spans="1:1" ht="12.75" customHeight="1">
      <c r="A3086" s="129">
        <v>3086</v>
      </c>
    </row>
    <row r="3087" spans="1:1" ht="12.75" customHeight="1">
      <c r="A3087" s="129">
        <v>3087</v>
      </c>
    </row>
    <row r="3088" spans="1:1" ht="12.75" customHeight="1">
      <c r="A3088" s="129">
        <v>3088</v>
      </c>
    </row>
    <row r="3089" spans="1:1" ht="12.75" customHeight="1">
      <c r="A3089" s="129">
        <v>3089</v>
      </c>
    </row>
    <row r="3090" spans="1:1" ht="12.75" customHeight="1">
      <c r="A3090" s="129">
        <v>3090</v>
      </c>
    </row>
    <row r="3091" spans="1:1" ht="12.75" customHeight="1">
      <c r="A3091" s="129">
        <v>3091</v>
      </c>
    </row>
    <row r="3092" spans="1:1" ht="12.75" customHeight="1">
      <c r="A3092" s="129">
        <v>3092</v>
      </c>
    </row>
    <row r="3093" spans="1:1" ht="12.75" customHeight="1">
      <c r="A3093" s="129">
        <v>3093</v>
      </c>
    </row>
    <row r="3094" spans="1:1" ht="12.75" customHeight="1">
      <c r="A3094" s="129">
        <v>3094</v>
      </c>
    </row>
    <row r="3095" spans="1:1" ht="12.75" customHeight="1">
      <c r="A3095" s="129">
        <v>3095</v>
      </c>
    </row>
    <row r="3096" spans="1:1" ht="12.75" customHeight="1">
      <c r="A3096" s="129">
        <v>3096</v>
      </c>
    </row>
    <row r="3097" spans="1:1" ht="12.75" customHeight="1">
      <c r="A3097" s="129">
        <v>3097</v>
      </c>
    </row>
    <row r="3098" spans="1:1" ht="12.75" customHeight="1">
      <c r="A3098" s="129">
        <v>3098</v>
      </c>
    </row>
    <row r="3099" spans="1:1" ht="12.75" customHeight="1">
      <c r="A3099" s="129">
        <v>3099</v>
      </c>
    </row>
    <row r="3100" spans="1:1" ht="12.75" customHeight="1">
      <c r="A3100" s="129">
        <v>3100</v>
      </c>
    </row>
    <row r="3101" spans="1:1" ht="12.75" customHeight="1">
      <c r="A3101" s="129">
        <v>3101</v>
      </c>
    </row>
    <row r="3102" spans="1:1" ht="12.75" customHeight="1">
      <c r="A3102" s="129">
        <v>3102</v>
      </c>
    </row>
    <row r="3103" spans="1:1" ht="12.75" customHeight="1">
      <c r="A3103" s="129">
        <v>3103</v>
      </c>
    </row>
    <row r="3104" spans="1:1" ht="12.75" customHeight="1">
      <c r="A3104" s="129">
        <v>3104</v>
      </c>
    </row>
    <row r="3105" spans="1:1" ht="12.75" customHeight="1">
      <c r="A3105" s="129">
        <v>3105</v>
      </c>
    </row>
    <row r="3106" spans="1:1" ht="12.75" customHeight="1">
      <c r="A3106" s="129">
        <v>3106</v>
      </c>
    </row>
    <row r="3107" spans="1:1" ht="12.75" customHeight="1">
      <c r="A3107" s="129">
        <v>3107</v>
      </c>
    </row>
    <row r="3108" spans="1:1" ht="12.75" customHeight="1">
      <c r="A3108" s="129">
        <v>3108</v>
      </c>
    </row>
    <row r="3109" spans="1:1" ht="12.75" customHeight="1">
      <c r="A3109" s="129">
        <v>3109</v>
      </c>
    </row>
    <row r="3110" spans="1:1" ht="12.75" customHeight="1">
      <c r="A3110" s="129">
        <v>3110</v>
      </c>
    </row>
    <row r="3111" spans="1:1" ht="12.75" customHeight="1">
      <c r="A3111" s="129">
        <v>3111</v>
      </c>
    </row>
    <row r="3112" spans="1:1" ht="12.75" customHeight="1">
      <c r="A3112" s="129">
        <v>3112</v>
      </c>
    </row>
    <row r="3113" spans="1:1" ht="12.75" customHeight="1">
      <c r="A3113" s="129">
        <v>3113</v>
      </c>
    </row>
    <row r="3114" spans="1:1" ht="12.75" customHeight="1">
      <c r="A3114" s="129">
        <v>3114</v>
      </c>
    </row>
    <row r="3115" spans="1:1" ht="12.75" customHeight="1">
      <c r="A3115" s="129">
        <v>3115</v>
      </c>
    </row>
    <row r="3116" spans="1:1" ht="12.75" customHeight="1">
      <c r="A3116" s="129">
        <v>3116</v>
      </c>
    </row>
    <row r="3117" spans="1:1" ht="12.75" customHeight="1">
      <c r="A3117" s="129">
        <v>3117</v>
      </c>
    </row>
    <row r="3118" spans="1:1" ht="12.75" customHeight="1">
      <c r="A3118" s="129">
        <v>3118</v>
      </c>
    </row>
    <row r="3119" spans="1:1" ht="12.75" customHeight="1">
      <c r="A3119" s="129">
        <v>3119</v>
      </c>
    </row>
    <row r="3120" spans="1:1" ht="12.75" customHeight="1">
      <c r="A3120" s="129">
        <v>3120</v>
      </c>
    </row>
    <row r="3121" spans="1:1" ht="12.75" customHeight="1">
      <c r="A3121" s="129">
        <v>3121</v>
      </c>
    </row>
    <row r="3122" spans="1:1" ht="12.75" customHeight="1">
      <c r="A3122" s="129">
        <v>3122</v>
      </c>
    </row>
    <row r="3123" spans="1:1" ht="12.75" customHeight="1">
      <c r="A3123" s="129">
        <v>3123</v>
      </c>
    </row>
    <row r="3124" spans="1:1" ht="12.75" customHeight="1">
      <c r="A3124" s="129">
        <v>3124</v>
      </c>
    </row>
    <row r="3125" spans="1:1" ht="12.75" customHeight="1">
      <c r="A3125" s="129">
        <v>3125</v>
      </c>
    </row>
    <row r="3126" spans="1:1" ht="12.75" customHeight="1">
      <c r="A3126" s="129">
        <v>3126</v>
      </c>
    </row>
    <row r="3127" spans="1:1" ht="12.75" customHeight="1">
      <c r="A3127" s="129">
        <v>3127</v>
      </c>
    </row>
    <row r="3128" spans="1:1" ht="12.75" customHeight="1">
      <c r="A3128" s="129">
        <v>3128</v>
      </c>
    </row>
    <row r="3129" spans="1:1" ht="12.75" customHeight="1">
      <c r="A3129" s="129">
        <v>3129</v>
      </c>
    </row>
    <row r="3130" spans="1:1" ht="12.75" customHeight="1">
      <c r="A3130" s="129">
        <v>3130</v>
      </c>
    </row>
    <row r="3131" spans="1:1" ht="12.75" customHeight="1">
      <c r="A3131" s="129">
        <v>3131</v>
      </c>
    </row>
    <row r="3132" spans="1:1" ht="12.75" customHeight="1">
      <c r="A3132" s="129">
        <v>3132</v>
      </c>
    </row>
    <row r="3133" spans="1:1" ht="12.75" customHeight="1">
      <c r="A3133" s="129">
        <v>3133</v>
      </c>
    </row>
    <row r="3134" spans="1:1" ht="12.75" customHeight="1">
      <c r="A3134" s="129">
        <v>3134</v>
      </c>
    </row>
    <row r="3135" spans="1:1" ht="12.75" customHeight="1">
      <c r="A3135" s="129">
        <v>3135</v>
      </c>
    </row>
    <row r="3136" spans="1:1" ht="12.75" customHeight="1">
      <c r="A3136" s="129">
        <v>3136</v>
      </c>
    </row>
    <row r="3137" spans="1:1" ht="12.75" customHeight="1">
      <c r="A3137" s="129">
        <v>3137</v>
      </c>
    </row>
    <row r="3138" spans="1:1" ht="12.75" customHeight="1">
      <c r="A3138" s="129">
        <v>3138</v>
      </c>
    </row>
    <row r="3139" spans="1:1" ht="12.75" customHeight="1">
      <c r="A3139" s="129">
        <v>3139</v>
      </c>
    </row>
    <row r="3140" spans="1:1" ht="12.75" customHeight="1">
      <c r="A3140" s="129">
        <v>3140</v>
      </c>
    </row>
    <row r="3141" spans="1:1" ht="12.75" customHeight="1">
      <c r="A3141" s="129">
        <v>3141</v>
      </c>
    </row>
    <row r="3142" spans="1:1" ht="12.75" customHeight="1">
      <c r="A3142" s="129">
        <v>3142</v>
      </c>
    </row>
    <row r="3143" spans="1:1" ht="12.75" customHeight="1">
      <c r="A3143" s="129">
        <v>3143</v>
      </c>
    </row>
    <row r="3144" spans="1:1" ht="12.75" customHeight="1">
      <c r="A3144" s="129">
        <v>3144</v>
      </c>
    </row>
    <row r="3145" spans="1:1" ht="12.75" customHeight="1">
      <c r="A3145" s="129">
        <v>3145</v>
      </c>
    </row>
    <row r="3146" spans="1:1" ht="12.75" customHeight="1">
      <c r="A3146" s="129">
        <v>3146</v>
      </c>
    </row>
    <row r="3147" spans="1:1" ht="12.75" customHeight="1">
      <c r="A3147" s="129">
        <v>3147</v>
      </c>
    </row>
    <row r="3148" spans="1:1" ht="12.75" customHeight="1">
      <c r="A3148" s="129">
        <v>3148</v>
      </c>
    </row>
    <row r="3149" spans="1:1" ht="12.75" customHeight="1">
      <c r="A3149" s="129">
        <v>3149</v>
      </c>
    </row>
    <row r="3150" spans="1:1" ht="12.75" customHeight="1">
      <c r="A3150" s="129">
        <v>3150</v>
      </c>
    </row>
    <row r="3151" spans="1:1" ht="12.75" customHeight="1">
      <c r="A3151" s="129">
        <v>3151</v>
      </c>
    </row>
    <row r="3152" spans="1:1" ht="12.75" customHeight="1">
      <c r="A3152" s="129">
        <v>3152</v>
      </c>
    </row>
    <row r="3153" spans="1:1" ht="12.75" customHeight="1">
      <c r="A3153" s="129">
        <v>3153</v>
      </c>
    </row>
    <row r="3154" spans="1:1" ht="12.75" customHeight="1">
      <c r="A3154" s="129">
        <v>3154</v>
      </c>
    </row>
    <row r="3155" spans="1:1" ht="12.75" customHeight="1">
      <c r="A3155" s="129">
        <v>3155</v>
      </c>
    </row>
    <row r="3156" spans="1:1" ht="12.75" customHeight="1">
      <c r="A3156" s="129">
        <v>3156</v>
      </c>
    </row>
    <row r="3157" spans="1:1" ht="12.75" customHeight="1">
      <c r="A3157" s="129">
        <v>3157</v>
      </c>
    </row>
    <row r="3158" spans="1:1" ht="12.75" customHeight="1">
      <c r="A3158" s="129">
        <v>3158</v>
      </c>
    </row>
    <row r="3159" spans="1:1" ht="12.75" customHeight="1">
      <c r="A3159" s="129">
        <v>3159</v>
      </c>
    </row>
    <row r="3160" spans="1:1" ht="12.75" customHeight="1">
      <c r="A3160" s="129">
        <v>3160</v>
      </c>
    </row>
    <row r="3161" spans="1:1" ht="12.75" customHeight="1">
      <c r="A3161" s="129">
        <v>3161</v>
      </c>
    </row>
    <row r="3162" spans="1:1" ht="12.75" customHeight="1">
      <c r="A3162" s="129">
        <v>3162</v>
      </c>
    </row>
    <row r="3163" spans="1:1" ht="12.75" customHeight="1">
      <c r="A3163" s="129">
        <v>3163</v>
      </c>
    </row>
    <row r="3164" spans="1:1" ht="12.75" customHeight="1">
      <c r="A3164" s="129">
        <v>3164</v>
      </c>
    </row>
    <row r="3165" spans="1:1" ht="12.75" customHeight="1">
      <c r="A3165" s="129">
        <v>3165</v>
      </c>
    </row>
    <row r="3166" spans="1:1" ht="12.75" customHeight="1">
      <c r="A3166" s="129">
        <v>3166</v>
      </c>
    </row>
    <row r="3167" spans="1:1" ht="12.75" customHeight="1">
      <c r="A3167" s="129">
        <v>3167</v>
      </c>
    </row>
    <row r="3168" spans="1:1" ht="12.75" customHeight="1">
      <c r="A3168" s="129">
        <v>3168</v>
      </c>
    </row>
    <row r="3169" spans="1:1" ht="12.75" customHeight="1">
      <c r="A3169" s="129">
        <v>3169</v>
      </c>
    </row>
    <row r="3170" spans="1:1" ht="12.75" customHeight="1">
      <c r="A3170" s="129">
        <v>3170</v>
      </c>
    </row>
    <row r="3171" spans="1:1" ht="12.75" customHeight="1">
      <c r="A3171" s="129">
        <v>3171</v>
      </c>
    </row>
    <row r="3172" spans="1:1" ht="12.75" customHeight="1">
      <c r="A3172" s="129">
        <v>3172</v>
      </c>
    </row>
    <row r="3173" spans="1:1" ht="12.75" customHeight="1">
      <c r="A3173" s="129">
        <v>3173</v>
      </c>
    </row>
    <row r="3174" spans="1:1" ht="12.75" customHeight="1">
      <c r="A3174" s="129">
        <v>3174</v>
      </c>
    </row>
    <row r="3175" spans="1:1" ht="12.75" customHeight="1">
      <c r="A3175" s="129">
        <v>3175</v>
      </c>
    </row>
    <row r="3176" spans="1:1" ht="12.75" customHeight="1">
      <c r="A3176" s="129">
        <v>3176</v>
      </c>
    </row>
    <row r="3177" spans="1:1" ht="12.75" customHeight="1">
      <c r="A3177" s="129">
        <v>3177</v>
      </c>
    </row>
    <row r="3178" spans="1:1" ht="12.75" customHeight="1">
      <c r="A3178" s="129">
        <v>3178</v>
      </c>
    </row>
    <row r="3179" spans="1:1" ht="12.75" customHeight="1">
      <c r="A3179" s="129">
        <v>3179</v>
      </c>
    </row>
    <row r="3180" spans="1:1" ht="12.75" customHeight="1">
      <c r="A3180" s="129">
        <v>3180</v>
      </c>
    </row>
    <row r="3181" spans="1:1" ht="12.75" customHeight="1">
      <c r="A3181" s="129">
        <v>3181</v>
      </c>
    </row>
    <row r="3182" spans="1:1" ht="12.75" customHeight="1">
      <c r="A3182" s="129">
        <v>3182</v>
      </c>
    </row>
    <row r="3183" spans="1:1" ht="12.75" customHeight="1">
      <c r="A3183" s="129">
        <v>3183</v>
      </c>
    </row>
    <row r="3184" spans="1:1" ht="12.75" customHeight="1">
      <c r="A3184" s="129">
        <v>3184</v>
      </c>
    </row>
    <row r="3185" spans="1:1" ht="12.75" customHeight="1">
      <c r="A3185" s="129">
        <v>3185</v>
      </c>
    </row>
    <row r="3186" spans="1:1" ht="12.75" customHeight="1">
      <c r="A3186" s="129">
        <v>3186</v>
      </c>
    </row>
    <row r="3187" spans="1:1" ht="12.75" customHeight="1">
      <c r="A3187" s="129">
        <v>3187</v>
      </c>
    </row>
    <row r="3188" spans="1:1" ht="12.75" customHeight="1">
      <c r="A3188" s="129">
        <v>3188</v>
      </c>
    </row>
    <row r="3189" spans="1:1" ht="12.75" customHeight="1">
      <c r="A3189" s="129">
        <v>3189</v>
      </c>
    </row>
    <row r="3190" spans="1:1" ht="12.75" customHeight="1">
      <c r="A3190" s="129">
        <v>3190</v>
      </c>
    </row>
    <row r="3191" spans="1:1" ht="12.75" customHeight="1">
      <c r="A3191" s="129">
        <v>3191</v>
      </c>
    </row>
    <row r="3192" spans="1:1" ht="12.75" customHeight="1">
      <c r="A3192" s="129">
        <v>3192</v>
      </c>
    </row>
    <row r="3193" spans="1:1" ht="12.75" customHeight="1">
      <c r="A3193" s="129">
        <v>3193</v>
      </c>
    </row>
    <row r="3194" spans="1:1" ht="12.75" customHeight="1">
      <c r="A3194" s="129">
        <v>3194</v>
      </c>
    </row>
    <row r="3195" spans="1:1" ht="12.75" customHeight="1">
      <c r="A3195" s="129">
        <v>3195</v>
      </c>
    </row>
    <row r="3196" spans="1:1" ht="12.75" customHeight="1">
      <c r="A3196" s="129">
        <v>3196</v>
      </c>
    </row>
    <row r="3197" spans="1:1" ht="12.75" customHeight="1">
      <c r="A3197" s="129">
        <v>3197</v>
      </c>
    </row>
    <row r="3198" spans="1:1" ht="12.75" customHeight="1">
      <c r="A3198" s="129">
        <v>3198</v>
      </c>
    </row>
    <row r="3199" spans="1:1" ht="12.75" customHeight="1">
      <c r="A3199" s="129">
        <v>3199</v>
      </c>
    </row>
    <row r="3200" spans="1:1" ht="12.75" customHeight="1">
      <c r="A3200" s="129">
        <v>3200</v>
      </c>
    </row>
    <row r="3201" spans="1:1" ht="12.75" customHeight="1">
      <c r="A3201" s="129">
        <v>3201</v>
      </c>
    </row>
    <row r="3202" spans="1:1" ht="12.75" customHeight="1">
      <c r="A3202" s="129">
        <v>3202</v>
      </c>
    </row>
    <row r="3203" spans="1:1" ht="12.75" customHeight="1">
      <c r="A3203" s="129">
        <v>3203</v>
      </c>
    </row>
    <row r="3204" spans="1:1" ht="12.75" customHeight="1">
      <c r="A3204" s="129">
        <v>3204</v>
      </c>
    </row>
    <row r="3205" spans="1:1" ht="12.75" customHeight="1">
      <c r="A3205" s="129">
        <v>3205</v>
      </c>
    </row>
    <row r="3206" spans="1:1" ht="12.75" customHeight="1">
      <c r="A3206" s="129">
        <v>3206</v>
      </c>
    </row>
    <row r="3207" spans="1:1" ht="12.75" customHeight="1">
      <c r="A3207" s="129">
        <v>3207</v>
      </c>
    </row>
    <row r="3208" spans="1:1" ht="12.75" customHeight="1">
      <c r="A3208" s="129">
        <v>3208</v>
      </c>
    </row>
    <row r="3209" spans="1:1" ht="12.75" customHeight="1">
      <c r="A3209" s="129">
        <v>3209</v>
      </c>
    </row>
    <row r="3210" spans="1:1" ht="12.75" customHeight="1">
      <c r="A3210" s="129">
        <v>3210</v>
      </c>
    </row>
    <row r="3211" spans="1:1" ht="12.75" customHeight="1">
      <c r="A3211" s="129">
        <v>3211</v>
      </c>
    </row>
    <row r="3212" spans="1:1" ht="12.75" customHeight="1">
      <c r="A3212" s="129">
        <v>3212</v>
      </c>
    </row>
    <row r="3213" spans="1:1" ht="12.75" customHeight="1">
      <c r="A3213" s="129">
        <v>3213</v>
      </c>
    </row>
    <row r="3214" spans="1:1" ht="12.75" customHeight="1">
      <c r="A3214" s="129">
        <v>3214</v>
      </c>
    </row>
    <row r="3215" spans="1:1" ht="12.75" customHeight="1">
      <c r="A3215" s="129">
        <v>3215</v>
      </c>
    </row>
    <row r="3216" spans="1:1" ht="12.75" customHeight="1">
      <c r="A3216" s="129">
        <v>3216</v>
      </c>
    </row>
    <row r="3217" spans="1:1" ht="12.75" customHeight="1">
      <c r="A3217" s="129">
        <v>3217</v>
      </c>
    </row>
    <row r="3218" spans="1:1" ht="12.75" customHeight="1">
      <c r="A3218" s="129">
        <v>3218</v>
      </c>
    </row>
    <row r="3219" spans="1:1" ht="12.75" customHeight="1">
      <c r="A3219" s="129">
        <v>3219</v>
      </c>
    </row>
    <row r="3220" spans="1:1" ht="12.75" customHeight="1">
      <c r="A3220" s="129">
        <v>3220</v>
      </c>
    </row>
    <row r="3221" spans="1:1" ht="12.75" customHeight="1">
      <c r="A3221" s="129">
        <v>3221</v>
      </c>
    </row>
    <row r="3222" spans="1:1" ht="12.75" customHeight="1">
      <c r="A3222" s="129">
        <v>3222</v>
      </c>
    </row>
    <row r="3223" spans="1:1" ht="12.75" customHeight="1">
      <c r="A3223" s="129">
        <v>3223</v>
      </c>
    </row>
    <row r="3224" spans="1:1" ht="12.75" customHeight="1">
      <c r="A3224" s="129">
        <v>3224</v>
      </c>
    </row>
    <row r="3225" spans="1:1" ht="12.75" customHeight="1">
      <c r="A3225" s="129">
        <v>3225</v>
      </c>
    </row>
    <row r="3226" spans="1:1" ht="12.75" customHeight="1">
      <c r="A3226" s="129">
        <v>3226</v>
      </c>
    </row>
    <row r="3227" spans="1:1" ht="12.75" customHeight="1">
      <c r="A3227" s="129">
        <v>3227</v>
      </c>
    </row>
    <row r="3228" spans="1:1" ht="12.75" customHeight="1">
      <c r="A3228" s="129">
        <v>3228</v>
      </c>
    </row>
    <row r="3229" spans="1:1" ht="12.75" customHeight="1">
      <c r="A3229" s="129">
        <v>3229</v>
      </c>
    </row>
    <row r="3230" spans="1:1" ht="12.75" customHeight="1">
      <c r="A3230" s="129">
        <v>3230</v>
      </c>
    </row>
    <row r="3231" spans="1:1" ht="12.75" customHeight="1">
      <c r="A3231" s="129">
        <v>3231</v>
      </c>
    </row>
    <row r="3232" spans="1:1" ht="12.75" customHeight="1">
      <c r="A3232" s="129">
        <v>3232</v>
      </c>
    </row>
    <row r="3233" spans="1:1" ht="12.75" customHeight="1">
      <c r="A3233" s="129">
        <v>3233</v>
      </c>
    </row>
    <row r="3234" spans="1:1" ht="12.75" customHeight="1">
      <c r="A3234" s="129">
        <v>3234</v>
      </c>
    </row>
    <row r="3235" spans="1:1" ht="12.75" customHeight="1">
      <c r="A3235" s="129">
        <v>3235</v>
      </c>
    </row>
    <row r="3236" spans="1:1" ht="12.75" customHeight="1">
      <c r="A3236" s="129">
        <v>3236</v>
      </c>
    </row>
    <row r="3237" spans="1:1" ht="12.75" customHeight="1">
      <c r="A3237" s="129">
        <v>3237</v>
      </c>
    </row>
    <row r="3238" spans="1:1" ht="12.75" customHeight="1">
      <c r="A3238" s="129">
        <v>3238</v>
      </c>
    </row>
    <row r="3239" spans="1:1" ht="12.75" customHeight="1">
      <c r="A3239" s="129">
        <v>3239</v>
      </c>
    </row>
    <row r="3240" spans="1:1" ht="12.75" customHeight="1">
      <c r="A3240" s="129">
        <v>3240</v>
      </c>
    </row>
    <row r="3241" spans="1:1" ht="12.75" customHeight="1">
      <c r="A3241" s="129">
        <v>3241</v>
      </c>
    </row>
    <row r="3242" spans="1:1" ht="12.75" customHeight="1">
      <c r="A3242" s="129">
        <v>3242</v>
      </c>
    </row>
    <row r="3243" spans="1:1" ht="12.75" customHeight="1">
      <c r="A3243" s="129">
        <v>3243</v>
      </c>
    </row>
    <row r="3244" spans="1:1" ht="12.75" customHeight="1">
      <c r="A3244" s="129">
        <v>3244</v>
      </c>
    </row>
    <row r="3245" spans="1:1" ht="12.75" customHeight="1">
      <c r="A3245" s="129">
        <v>3245</v>
      </c>
    </row>
    <row r="3246" spans="1:1" ht="12.75" customHeight="1">
      <c r="A3246" s="129">
        <v>3246</v>
      </c>
    </row>
    <row r="3247" spans="1:1" ht="12.75" customHeight="1">
      <c r="A3247" s="129">
        <v>3247</v>
      </c>
    </row>
    <row r="3248" spans="1:1" ht="12.75" customHeight="1">
      <c r="A3248" s="129">
        <v>3248</v>
      </c>
    </row>
    <row r="3249" spans="1:1" ht="12.75" customHeight="1">
      <c r="A3249" s="129">
        <v>3249</v>
      </c>
    </row>
    <row r="3250" spans="1:1" ht="12.75" customHeight="1">
      <c r="A3250" s="129">
        <v>3250</v>
      </c>
    </row>
    <row r="3251" spans="1:1" ht="12.75" customHeight="1">
      <c r="A3251" s="129">
        <v>3251</v>
      </c>
    </row>
    <row r="3252" spans="1:1" ht="12.75" customHeight="1">
      <c r="A3252" s="129">
        <v>3252</v>
      </c>
    </row>
    <row r="3253" spans="1:1" ht="12.75" customHeight="1">
      <c r="A3253" s="129">
        <v>3253</v>
      </c>
    </row>
    <row r="3254" spans="1:1" ht="12.75" customHeight="1">
      <c r="A3254" s="129">
        <v>3254</v>
      </c>
    </row>
    <row r="3255" spans="1:1" ht="12.75" customHeight="1">
      <c r="A3255" s="129">
        <v>3255</v>
      </c>
    </row>
    <row r="3256" spans="1:1" ht="12.75" customHeight="1">
      <c r="A3256" s="129">
        <v>3256</v>
      </c>
    </row>
    <row r="3257" spans="1:1" ht="12.75" customHeight="1">
      <c r="A3257" s="129">
        <v>3257</v>
      </c>
    </row>
    <row r="3258" spans="1:1" ht="12.75" customHeight="1">
      <c r="A3258" s="129">
        <v>3258</v>
      </c>
    </row>
    <row r="3259" spans="1:1" ht="12.75" customHeight="1">
      <c r="A3259" s="129">
        <v>3259</v>
      </c>
    </row>
    <row r="3260" spans="1:1" ht="12.75" customHeight="1">
      <c r="A3260" s="129">
        <v>3260</v>
      </c>
    </row>
    <row r="3261" spans="1:1" ht="12.75" customHeight="1">
      <c r="A3261" s="129">
        <v>3261</v>
      </c>
    </row>
    <row r="3262" spans="1:1" ht="12.75" customHeight="1">
      <c r="A3262" s="129">
        <v>3262</v>
      </c>
    </row>
    <row r="3263" spans="1:1" ht="12.75" customHeight="1">
      <c r="A3263" s="129">
        <v>3263</v>
      </c>
    </row>
    <row r="3264" spans="1:1" ht="12.75" customHeight="1">
      <c r="A3264" s="129">
        <v>3264</v>
      </c>
    </row>
    <row r="3265" spans="1:1" ht="12.75" customHeight="1">
      <c r="A3265" s="129">
        <v>3265</v>
      </c>
    </row>
    <row r="3266" spans="1:1" ht="12.75" customHeight="1">
      <c r="A3266" s="129">
        <v>3266</v>
      </c>
    </row>
    <row r="3267" spans="1:1" ht="12.75" customHeight="1">
      <c r="A3267" s="129">
        <v>3267</v>
      </c>
    </row>
    <row r="3268" spans="1:1" ht="12.75" customHeight="1">
      <c r="A3268" s="129">
        <v>3268</v>
      </c>
    </row>
    <row r="3269" spans="1:1" ht="12.75" customHeight="1">
      <c r="A3269" s="129">
        <v>3269</v>
      </c>
    </row>
    <row r="3270" spans="1:1" ht="12.75" customHeight="1">
      <c r="A3270" s="129">
        <v>3270</v>
      </c>
    </row>
    <row r="3271" spans="1:1" ht="12.75" customHeight="1">
      <c r="A3271" s="129">
        <v>3271</v>
      </c>
    </row>
    <row r="3272" spans="1:1" ht="12.75" customHeight="1">
      <c r="A3272" s="129">
        <v>3272</v>
      </c>
    </row>
    <row r="3273" spans="1:1" ht="12.75" customHeight="1">
      <c r="A3273" s="129">
        <v>3273</v>
      </c>
    </row>
    <row r="3274" spans="1:1" ht="12.75" customHeight="1">
      <c r="A3274" s="129">
        <v>3274</v>
      </c>
    </row>
    <row r="3275" spans="1:1" ht="12.75" customHeight="1">
      <c r="A3275" s="129">
        <v>3275</v>
      </c>
    </row>
    <row r="3276" spans="1:1" ht="12.75" customHeight="1">
      <c r="A3276" s="129">
        <v>3276</v>
      </c>
    </row>
    <row r="3277" spans="1:1" ht="12.75" customHeight="1">
      <c r="A3277" s="129">
        <v>3277</v>
      </c>
    </row>
    <row r="3278" spans="1:1" ht="12.75" customHeight="1">
      <c r="A3278" s="129">
        <v>3278</v>
      </c>
    </row>
    <row r="3279" spans="1:1" ht="12.75" customHeight="1">
      <c r="A3279" s="129">
        <v>3279</v>
      </c>
    </row>
    <row r="3280" spans="1:1" ht="12.75" customHeight="1">
      <c r="A3280" s="129">
        <v>3280</v>
      </c>
    </row>
    <row r="3281" spans="1:1" ht="12.75" customHeight="1">
      <c r="A3281" s="129">
        <v>3281</v>
      </c>
    </row>
    <row r="3282" spans="1:1" ht="12.75" customHeight="1">
      <c r="A3282" s="129">
        <v>3282</v>
      </c>
    </row>
    <row r="3283" spans="1:1" ht="12.75" customHeight="1">
      <c r="A3283" s="129">
        <v>3283</v>
      </c>
    </row>
    <row r="3284" spans="1:1" ht="12.75" customHeight="1">
      <c r="A3284" s="129">
        <v>3284</v>
      </c>
    </row>
    <row r="3285" spans="1:1" ht="12.75" customHeight="1">
      <c r="A3285" s="129">
        <v>3285</v>
      </c>
    </row>
    <row r="3286" spans="1:1" ht="12.75" customHeight="1">
      <c r="A3286" s="129">
        <v>3286</v>
      </c>
    </row>
    <row r="3287" spans="1:1" ht="12.75" customHeight="1">
      <c r="A3287" s="129">
        <v>3287</v>
      </c>
    </row>
    <row r="3288" spans="1:1" ht="12.75" customHeight="1">
      <c r="A3288" s="129">
        <v>3288</v>
      </c>
    </row>
    <row r="3289" spans="1:1" ht="12.75" customHeight="1">
      <c r="A3289" s="129">
        <v>3289</v>
      </c>
    </row>
    <row r="3290" spans="1:1" ht="12.75" customHeight="1">
      <c r="A3290" s="129">
        <v>3290</v>
      </c>
    </row>
    <row r="3291" spans="1:1" ht="12.75" customHeight="1">
      <c r="A3291" s="129">
        <v>3291</v>
      </c>
    </row>
    <row r="3292" spans="1:1" ht="12.75" customHeight="1">
      <c r="A3292" s="129">
        <v>3292</v>
      </c>
    </row>
    <row r="3293" spans="1:1" ht="12.75" customHeight="1">
      <c r="A3293" s="129">
        <v>3293</v>
      </c>
    </row>
    <row r="3294" spans="1:1" ht="12.75" customHeight="1">
      <c r="A3294" s="129">
        <v>3294</v>
      </c>
    </row>
    <row r="3295" spans="1:1" ht="12.75" customHeight="1">
      <c r="A3295" s="129">
        <v>3295</v>
      </c>
    </row>
    <row r="3296" spans="1:1" ht="12.75" customHeight="1">
      <c r="A3296" s="129">
        <v>3296</v>
      </c>
    </row>
    <row r="3297" spans="1:1" ht="12.75" customHeight="1">
      <c r="A3297" s="129">
        <v>3297</v>
      </c>
    </row>
    <row r="3298" spans="1:1" ht="12.75" customHeight="1">
      <c r="A3298" s="129">
        <v>3298</v>
      </c>
    </row>
    <row r="3299" spans="1:1" ht="12.75" customHeight="1">
      <c r="A3299" s="129">
        <v>3299</v>
      </c>
    </row>
    <row r="3300" spans="1:1" ht="12.75" customHeight="1">
      <c r="A3300" s="129">
        <v>3300</v>
      </c>
    </row>
    <row r="3301" spans="1:1" ht="12.75" customHeight="1">
      <c r="A3301" s="129">
        <v>3301</v>
      </c>
    </row>
    <row r="3302" spans="1:1" ht="12.75" customHeight="1">
      <c r="A3302" s="129">
        <v>3302</v>
      </c>
    </row>
    <row r="3303" spans="1:1" ht="12.75" customHeight="1">
      <c r="A3303" s="129">
        <v>3303</v>
      </c>
    </row>
    <row r="3304" spans="1:1" ht="12.75" customHeight="1">
      <c r="A3304" s="129">
        <v>3304</v>
      </c>
    </row>
    <row r="3305" spans="1:1" ht="12.75" customHeight="1">
      <c r="A3305" s="129">
        <v>3305</v>
      </c>
    </row>
    <row r="3306" spans="1:1" ht="12.75" customHeight="1">
      <c r="A3306" s="129">
        <v>3306</v>
      </c>
    </row>
    <row r="3307" spans="1:1" ht="12.75" customHeight="1">
      <c r="A3307" s="129">
        <v>3307</v>
      </c>
    </row>
    <row r="3308" spans="1:1" ht="12.75" customHeight="1">
      <c r="A3308" s="129">
        <v>3308</v>
      </c>
    </row>
    <row r="3309" spans="1:1" ht="12.75" customHeight="1">
      <c r="A3309" s="129">
        <v>3309</v>
      </c>
    </row>
    <row r="3310" spans="1:1" ht="12.75" customHeight="1">
      <c r="A3310" s="129">
        <v>3310</v>
      </c>
    </row>
    <row r="3311" spans="1:1" ht="12.75" customHeight="1">
      <c r="A3311" s="129">
        <v>3311</v>
      </c>
    </row>
    <row r="3312" spans="1:1" ht="12.75" customHeight="1">
      <c r="A3312" s="129">
        <v>3312</v>
      </c>
    </row>
    <row r="3313" spans="1:1" ht="12.75" customHeight="1">
      <c r="A3313" s="129">
        <v>3313</v>
      </c>
    </row>
    <row r="3314" spans="1:1" ht="12.75" customHeight="1">
      <c r="A3314" s="129">
        <v>3314</v>
      </c>
    </row>
    <row r="3315" spans="1:1" ht="12.75" customHeight="1">
      <c r="A3315" s="129">
        <v>3315</v>
      </c>
    </row>
    <row r="3316" spans="1:1" ht="12.75" customHeight="1">
      <c r="A3316" s="129">
        <v>3316</v>
      </c>
    </row>
    <row r="3317" spans="1:1" ht="12.75" customHeight="1">
      <c r="A3317" s="129">
        <v>3317</v>
      </c>
    </row>
    <row r="3318" spans="1:1" ht="12.75" customHeight="1">
      <c r="A3318" s="129">
        <v>3318</v>
      </c>
    </row>
    <row r="3319" spans="1:1" ht="12.75" customHeight="1">
      <c r="A3319" s="129">
        <v>3319</v>
      </c>
    </row>
    <row r="3320" spans="1:1" ht="12.75" customHeight="1">
      <c r="A3320" s="129">
        <v>3320</v>
      </c>
    </row>
    <row r="3321" spans="1:1" ht="12.75" customHeight="1">
      <c r="A3321" s="129">
        <v>3321</v>
      </c>
    </row>
    <row r="3322" spans="1:1" ht="12.75" customHeight="1">
      <c r="A3322" s="129">
        <v>3322</v>
      </c>
    </row>
    <row r="3323" spans="1:1" ht="12.75" customHeight="1">
      <c r="A3323" s="129">
        <v>3323</v>
      </c>
    </row>
    <row r="3324" spans="1:1" ht="12.75" customHeight="1">
      <c r="A3324" s="129">
        <v>3324</v>
      </c>
    </row>
    <row r="3325" spans="1:1" ht="12.75" customHeight="1">
      <c r="A3325" s="129">
        <v>3325</v>
      </c>
    </row>
    <row r="3326" spans="1:1" ht="12.75" customHeight="1">
      <c r="A3326" s="129">
        <v>3326</v>
      </c>
    </row>
    <row r="3327" spans="1:1" ht="12.75" customHeight="1">
      <c r="A3327" s="129">
        <v>3327</v>
      </c>
    </row>
    <row r="3328" spans="1:1" ht="12.75" customHeight="1">
      <c r="A3328" s="129">
        <v>3328</v>
      </c>
    </row>
    <row r="3329" spans="1:1" ht="12.75" customHeight="1">
      <c r="A3329" s="129">
        <v>3329</v>
      </c>
    </row>
    <row r="3330" spans="1:1" ht="12.75" customHeight="1">
      <c r="A3330" s="129">
        <v>3330</v>
      </c>
    </row>
    <row r="3331" spans="1:1" ht="12.75" customHeight="1">
      <c r="A3331" s="129">
        <v>3331</v>
      </c>
    </row>
    <row r="3332" spans="1:1" ht="12.75" customHeight="1">
      <c r="A3332" s="129">
        <v>3332</v>
      </c>
    </row>
    <row r="3333" spans="1:1" ht="12.75" customHeight="1">
      <c r="A3333" s="129">
        <v>3333</v>
      </c>
    </row>
    <row r="3334" spans="1:1" ht="12.75" customHeight="1">
      <c r="A3334" s="129">
        <v>3334</v>
      </c>
    </row>
    <row r="3335" spans="1:1" ht="12.75" customHeight="1">
      <c r="A3335" s="129">
        <v>3335</v>
      </c>
    </row>
    <row r="3336" spans="1:1" ht="12.75" customHeight="1">
      <c r="A3336" s="129">
        <v>3336</v>
      </c>
    </row>
    <row r="3337" spans="1:1" ht="12.75" customHeight="1">
      <c r="A3337" s="129">
        <v>3337</v>
      </c>
    </row>
    <row r="3338" spans="1:1" ht="12.75" customHeight="1">
      <c r="A3338" s="129">
        <v>3338</v>
      </c>
    </row>
    <row r="3339" spans="1:1" ht="12.75" customHeight="1">
      <c r="A3339" s="129">
        <v>3339</v>
      </c>
    </row>
    <row r="3340" spans="1:1" ht="12.75" customHeight="1">
      <c r="A3340" s="129">
        <v>3340</v>
      </c>
    </row>
    <row r="3341" spans="1:1" ht="12.75" customHeight="1">
      <c r="A3341" s="129">
        <v>3341</v>
      </c>
    </row>
    <row r="3342" spans="1:1" ht="12.75" customHeight="1">
      <c r="A3342" s="129">
        <v>3342</v>
      </c>
    </row>
    <row r="3343" spans="1:1" ht="12.75" customHeight="1">
      <c r="A3343" s="129">
        <v>3343</v>
      </c>
    </row>
    <row r="3344" spans="1:1" ht="12.75" customHeight="1">
      <c r="A3344" s="129">
        <v>3344</v>
      </c>
    </row>
    <row r="3345" spans="1:1" ht="12.75" customHeight="1">
      <c r="A3345" s="129">
        <v>3345</v>
      </c>
    </row>
    <row r="3346" spans="1:1" ht="12.75" customHeight="1">
      <c r="A3346" s="129">
        <v>3346</v>
      </c>
    </row>
    <row r="3347" spans="1:1" ht="12.75" customHeight="1">
      <c r="A3347" s="129">
        <v>3347</v>
      </c>
    </row>
    <row r="3348" spans="1:1" ht="12.75" customHeight="1">
      <c r="A3348" s="129">
        <v>3348</v>
      </c>
    </row>
    <row r="3349" spans="1:1" ht="12.75" customHeight="1">
      <c r="A3349" s="129">
        <v>3349</v>
      </c>
    </row>
    <row r="3350" spans="1:1" ht="12.75" customHeight="1">
      <c r="A3350" s="129">
        <v>3350</v>
      </c>
    </row>
    <row r="3351" spans="1:1" ht="12.75" customHeight="1">
      <c r="A3351" s="129">
        <v>3351</v>
      </c>
    </row>
    <row r="3352" spans="1:1" ht="12.75" customHeight="1">
      <c r="A3352" s="129">
        <v>3352</v>
      </c>
    </row>
    <row r="3353" spans="1:1" ht="12.75" customHeight="1">
      <c r="A3353" s="129">
        <v>3353</v>
      </c>
    </row>
    <row r="3354" spans="1:1" ht="12.75" customHeight="1">
      <c r="A3354" s="129">
        <v>3354</v>
      </c>
    </row>
    <row r="3355" spans="1:1" ht="12.75" customHeight="1">
      <c r="A3355" s="129">
        <v>3355</v>
      </c>
    </row>
    <row r="3356" spans="1:1" ht="12.75" customHeight="1">
      <c r="A3356" s="129">
        <v>3356</v>
      </c>
    </row>
    <row r="3357" spans="1:1" ht="12.75" customHeight="1">
      <c r="A3357" s="129">
        <v>3357</v>
      </c>
    </row>
    <row r="3358" spans="1:1" ht="12.75" customHeight="1">
      <c r="A3358" s="129">
        <v>3358</v>
      </c>
    </row>
    <row r="3359" spans="1:1" ht="12.75" customHeight="1">
      <c r="A3359" s="129">
        <v>3359</v>
      </c>
    </row>
    <row r="3360" spans="1:1" ht="12.75" customHeight="1">
      <c r="A3360" s="129">
        <v>3360</v>
      </c>
    </row>
    <row r="3361" spans="1:1" ht="12.75" customHeight="1">
      <c r="A3361" s="129">
        <v>3361</v>
      </c>
    </row>
    <row r="3362" spans="1:1" ht="12.75" customHeight="1">
      <c r="A3362" s="129">
        <v>3362</v>
      </c>
    </row>
    <row r="3363" spans="1:1" ht="12.75" customHeight="1">
      <c r="A3363" s="129">
        <v>3363</v>
      </c>
    </row>
    <row r="3364" spans="1:1" ht="12.75" customHeight="1">
      <c r="A3364" s="129">
        <v>3364</v>
      </c>
    </row>
    <row r="3365" spans="1:1" ht="12.75" customHeight="1">
      <c r="A3365" s="129">
        <v>3365</v>
      </c>
    </row>
    <row r="3366" spans="1:1" ht="12.75" customHeight="1">
      <c r="A3366" s="129">
        <v>3366</v>
      </c>
    </row>
    <row r="3367" spans="1:1" ht="12.75" customHeight="1">
      <c r="A3367" s="129">
        <v>3367</v>
      </c>
    </row>
    <row r="3368" spans="1:1" ht="12.75" customHeight="1">
      <c r="A3368" s="129">
        <v>3368</v>
      </c>
    </row>
    <row r="3369" spans="1:1" ht="12.75" customHeight="1">
      <c r="A3369" s="129">
        <v>3369</v>
      </c>
    </row>
    <row r="3370" spans="1:1" ht="12.75" customHeight="1">
      <c r="A3370" s="129">
        <v>3370</v>
      </c>
    </row>
    <row r="3371" spans="1:1" ht="12.75" customHeight="1">
      <c r="A3371" s="129">
        <v>3371</v>
      </c>
    </row>
    <row r="3372" spans="1:1" ht="12.75" customHeight="1">
      <c r="A3372" s="129">
        <v>3372</v>
      </c>
    </row>
    <row r="3373" spans="1:1" ht="12.75" customHeight="1">
      <c r="A3373" s="129">
        <v>3373</v>
      </c>
    </row>
    <row r="3374" spans="1:1" ht="12.75" customHeight="1">
      <c r="A3374" s="129">
        <v>3374</v>
      </c>
    </row>
    <row r="3375" spans="1:1" ht="12.75" customHeight="1">
      <c r="A3375" s="129">
        <v>3375</v>
      </c>
    </row>
    <row r="3376" spans="1:1" ht="12.75" customHeight="1">
      <c r="A3376" s="129">
        <v>3376</v>
      </c>
    </row>
    <row r="3377" spans="1:1" ht="12.75" customHeight="1">
      <c r="A3377" s="129">
        <v>3377</v>
      </c>
    </row>
    <row r="3378" spans="1:1" ht="12.75" customHeight="1">
      <c r="A3378" s="129">
        <v>3378</v>
      </c>
    </row>
    <row r="3379" spans="1:1" ht="12.75" customHeight="1">
      <c r="A3379" s="129">
        <v>3379</v>
      </c>
    </row>
    <row r="3380" spans="1:1" ht="12.75" customHeight="1">
      <c r="A3380" s="129">
        <v>3380</v>
      </c>
    </row>
    <row r="3381" spans="1:1" ht="12.75" customHeight="1">
      <c r="A3381" s="129">
        <v>3381</v>
      </c>
    </row>
    <row r="3382" spans="1:1" ht="12.75" customHeight="1">
      <c r="A3382" s="129">
        <v>3382</v>
      </c>
    </row>
    <row r="3383" spans="1:1" ht="12.75" customHeight="1">
      <c r="A3383" s="129">
        <v>3383</v>
      </c>
    </row>
    <row r="3384" spans="1:1" ht="12.75" customHeight="1">
      <c r="A3384" s="129">
        <v>3384</v>
      </c>
    </row>
    <row r="3385" spans="1:1" ht="12.75" customHeight="1">
      <c r="A3385" s="129">
        <v>3385</v>
      </c>
    </row>
    <row r="3386" spans="1:1" ht="12.75" customHeight="1">
      <c r="A3386" s="129">
        <v>3386</v>
      </c>
    </row>
    <row r="3387" spans="1:1" ht="12.75" customHeight="1">
      <c r="A3387" s="129">
        <v>3387</v>
      </c>
    </row>
    <row r="3388" spans="1:1" ht="12.75" customHeight="1">
      <c r="A3388" s="129">
        <v>3388</v>
      </c>
    </row>
    <row r="3389" spans="1:1" ht="12.75" customHeight="1">
      <c r="A3389" s="129">
        <v>3389</v>
      </c>
    </row>
    <row r="3390" spans="1:1" ht="12.75" customHeight="1">
      <c r="A3390" s="129">
        <v>3390</v>
      </c>
    </row>
    <row r="3391" spans="1:1" ht="12.75" customHeight="1">
      <c r="A3391" s="129">
        <v>3391</v>
      </c>
    </row>
    <row r="3392" spans="1:1" ht="12.75" customHeight="1">
      <c r="A3392" s="129">
        <v>3392</v>
      </c>
    </row>
    <row r="3393" spans="1:1" ht="12.75" customHeight="1">
      <c r="A3393" s="129">
        <v>3393</v>
      </c>
    </row>
    <row r="3394" spans="1:1" ht="12.75" customHeight="1">
      <c r="A3394" s="129">
        <v>3394</v>
      </c>
    </row>
    <row r="3395" spans="1:1" ht="12.75" customHeight="1">
      <c r="A3395" s="129">
        <v>3395</v>
      </c>
    </row>
    <row r="3396" spans="1:1" ht="12.75" customHeight="1">
      <c r="A3396" s="129">
        <v>3396</v>
      </c>
    </row>
    <row r="3397" spans="1:1" ht="12.75" customHeight="1">
      <c r="A3397" s="129">
        <v>3397</v>
      </c>
    </row>
    <row r="3398" spans="1:1" ht="12.75" customHeight="1">
      <c r="A3398" s="129">
        <v>3398</v>
      </c>
    </row>
    <row r="3399" spans="1:1" ht="12.75" customHeight="1">
      <c r="A3399" s="129">
        <v>3399</v>
      </c>
    </row>
    <row r="3400" spans="1:1" ht="12.75" customHeight="1">
      <c r="A3400" s="129">
        <v>3400</v>
      </c>
    </row>
    <row r="3401" spans="1:1" ht="12.75" customHeight="1">
      <c r="A3401" s="129">
        <v>3401</v>
      </c>
    </row>
    <row r="3402" spans="1:1" ht="12.75" customHeight="1">
      <c r="A3402" s="129">
        <v>3402</v>
      </c>
    </row>
    <row r="3403" spans="1:1" ht="12.75" customHeight="1">
      <c r="A3403" s="129">
        <v>3403</v>
      </c>
    </row>
    <row r="3404" spans="1:1" ht="12.75" customHeight="1">
      <c r="A3404" s="129">
        <v>3404</v>
      </c>
    </row>
    <row r="3405" spans="1:1" ht="12.75" customHeight="1">
      <c r="A3405" s="129">
        <v>3405</v>
      </c>
    </row>
    <row r="3406" spans="1:1" ht="12.75" customHeight="1">
      <c r="A3406" s="129">
        <v>3406</v>
      </c>
    </row>
    <row r="3407" spans="1:1" ht="12.75" customHeight="1">
      <c r="A3407" s="129">
        <v>3407</v>
      </c>
    </row>
    <row r="3408" spans="1:1" ht="12.75" customHeight="1">
      <c r="A3408" s="129">
        <v>3408</v>
      </c>
    </row>
    <row r="3409" spans="1:1" ht="12.75" customHeight="1">
      <c r="A3409" s="129">
        <v>3409</v>
      </c>
    </row>
    <row r="3410" spans="1:1" ht="12.75" customHeight="1">
      <c r="A3410" s="129">
        <v>3410</v>
      </c>
    </row>
    <row r="3411" spans="1:1" ht="12.75" customHeight="1">
      <c r="A3411" s="129">
        <v>3411</v>
      </c>
    </row>
    <row r="3412" spans="1:1" ht="12.75" customHeight="1">
      <c r="A3412" s="129">
        <v>3412</v>
      </c>
    </row>
    <row r="3413" spans="1:1" ht="12.75" customHeight="1">
      <c r="A3413" s="129">
        <v>3413</v>
      </c>
    </row>
    <row r="3414" spans="1:1" ht="12.75" customHeight="1">
      <c r="A3414" s="129">
        <v>3414</v>
      </c>
    </row>
    <row r="3415" spans="1:1" ht="12.75" customHeight="1">
      <c r="A3415" s="129">
        <v>3415</v>
      </c>
    </row>
    <row r="3416" spans="1:1" ht="12.75" customHeight="1">
      <c r="A3416" s="129">
        <v>3416</v>
      </c>
    </row>
    <row r="3417" spans="1:1" ht="12.75" customHeight="1">
      <c r="A3417" s="129">
        <v>3417</v>
      </c>
    </row>
    <row r="3418" spans="1:1" ht="12.75" customHeight="1">
      <c r="A3418" s="129">
        <v>3418</v>
      </c>
    </row>
    <row r="3419" spans="1:1" ht="12.75" customHeight="1">
      <c r="A3419" s="129">
        <v>3419</v>
      </c>
    </row>
    <row r="3420" spans="1:1" ht="12.75" customHeight="1">
      <c r="A3420" s="129">
        <v>3420</v>
      </c>
    </row>
    <row r="3421" spans="1:1" ht="12.75" customHeight="1">
      <c r="A3421" s="129">
        <v>3421</v>
      </c>
    </row>
    <row r="3422" spans="1:1" ht="12.75" customHeight="1">
      <c r="A3422" s="129">
        <v>3422</v>
      </c>
    </row>
    <row r="3423" spans="1:1" ht="12.75" customHeight="1">
      <c r="A3423" s="129">
        <v>3423</v>
      </c>
    </row>
    <row r="3424" spans="1:1" ht="12.75" customHeight="1">
      <c r="A3424" s="129">
        <v>3424</v>
      </c>
    </row>
    <row r="3425" spans="1:1" ht="12.75" customHeight="1">
      <c r="A3425" s="129">
        <v>3425</v>
      </c>
    </row>
    <row r="3426" spans="1:1" ht="12.75" customHeight="1">
      <c r="A3426" s="129">
        <v>3426</v>
      </c>
    </row>
    <row r="3427" spans="1:1" ht="12.75" customHeight="1">
      <c r="A3427" s="129">
        <v>3427</v>
      </c>
    </row>
    <row r="3428" spans="1:1" ht="12.75" customHeight="1">
      <c r="A3428" s="129">
        <v>3428</v>
      </c>
    </row>
    <row r="3429" spans="1:1" ht="12.75" customHeight="1">
      <c r="A3429" s="129">
        <v>3429</v>
      </c>
    </row>
    <row r="3430" spans="1:1" ht="12.75" customHeight="1">
      <c r="A3430" s="129">
        <v>3430</v>
      </c>
    </row>
    <row r="3431" spans="1:1" ht="12.75" customHeight="1">
      <c r="A3431" s="129">
        <v>3431</v>
      </c>
    </row>
    <row r="3432" spans="1:1" ht="12.75" customHeight="1">
      <c r="A3432" s="129">
        <v>3432</v>
      </c>
    </row>
    <row r="3433" spans="1:1" ht="12.75" customHeight="1">
      <c r="A3433" s="129">
        <v>3433</v>
      </c>
    </row>
    <row r="3434" spans="1:1" ht="12.75" customHeight="1">
      <c r="A3434" s="129">
        <v>3434</v>
      </c>
    </row>
    <row r="3435" spans="1:1" ht="12.75" customHeight="1">
      <c r="A3435" s="129">
        <v>3435</v>
      </c>
    </row>
    <row r="3436" spans="1:1" ht="12.75" customHeight="1">
      <c r="A3436" s="129">
        <v>3436</v>
      </c>
    </row>
    <row r="3437" spans="1:1" ht="12.75" customHeight="1">
      <c r="A3437" s="129">
        <v>3437</v>
      </c>
    </row>
    <row r="3438" spans="1:1" ht="12.75" customHeight="1">
      <c r="A3438" s="129">
        <v>3438</v>
      </c>
    </row>
    <row r="3439" spans="1:1" ht="12.75" customHeight="1">
      <c r="A3439" s="129">
        <v>3439</v>
      </c>
    </row>
    <row r="3440" spans="1:1" ht="12.75" customHeight="1">
      <c r="A3440" s="129">
        <v>3440</v>
      </c>
    </row>
    <row r="3441" spans="1:1" ht="12.75" customHeight="1">
      <c r="A3441" s="129">
        <v>3441</v>
      </c>
    </row>
    <row r="3442" spans="1:1" ht="12.75" customHeight="1">
      <c r="A3442" s="129">
        <v>3442</v>
      </c>
    </row>
    <row r="3443" spans="1:1" ht="12.75" customHeight="1">
      <c r="A3443" s="129">
        <v>3443</v>
      </c>
    </row>
    <row r="3444" spans="1:1" ht="12.75" customHeight="1">
      <c r="A3444" s="129">
        <v>3444</v>
      </c>
    </row>
    <row r="3445" spans="1:1" ht="12.75" customHeight="1">
      <c r="A3445" s="129">
        <v>3445</v>
      </c>
    </row>
    <row r="3446" spans="1:1" ht="12.75" customHeight="1">
      <c r="A3446" s="129">
        <v>3446</v>
      </c>
    </row>
    <row r="3447" spans="1:1" ht="12.75" customHeight="1">
      <c r="A3447" s="129">
        <v>3447</v>
      </c>
    </row>
    <row r="3448" spans="1:1" ht="12.75" customHeight="1">
      <c r="A3448" s="129">
        <v>3448</v>
      </c>
    </row>
    <row r="3449" spans="1:1" ht="12.75" customHeight="1">
      <c r="A3449" s="129">
        <v>3449</v>
      </c>
    </row>
    <row r="3450" spans="1:1" ht="12.75" customHeight="1">
      <c r="A3450" s="129">
        <v>3450</v>
      </c>
    </row>
    <row r="3451" spans="1:1" ht="12.75" customHeight="1">
      <c r="A3451" s="129">
        <v>3451</v>
      </c>
    </row>
    <row r="3452" spans="1:1" ht="12.75" customHeight="1">
      <c r="A3452" s="129">
        <v>3452</v>
      </c>
    </row>
    <row r="3453" spans="1:1" ht="12.75" customHeight="1">
      <c r="A3453" s="129">
        <v>3453</v>
      </c>
    </row>
    <row r="3454" spans="1:1" ht="12.75" customHeight="1">
      <c r="A3454" s="129">
        <v>3454</v>
      </c>
    </row>
    <row r="3455" spans="1:1" ht="12.75" customHeight="1">
      <c r="A3455" s="129">
        <v>3455</v>
      </c>
    </row>
    <row r="3456" spans="1:1" ht="12.75" customHeight="1">
      <c r="A3456" s="129">
        <v>3456</v>
      </c>
    </row>
    <row r="3457" spans="1:1" ht="12.75" customHeight="1">
      <c r="A3457" s="129">
        <v>3457</v>
      </c>
    </row>
    <row r="3458" spans="1:1" ht="12.75" customHeight="1">
      <c r="A3458" s="129">
        <v>3458</v>
      </c>
    </row>
    <row r="3459" spans="1:1" ht="12.75" customHeight="1">
      <c r="A3459" s="129">
        <v>3459</v>
      </c>
    </row>
    <row r="3460" spans="1:1" ht="12.75" customHeight="1">
      <c r="A3460" s="129">
        <v>3460</v>
      </c>
    </row>
    <row r="3461" spans="1:1" ht="12.75" customHeight="1">
      <c r="A3461" s="129">
        <v>3461</v>
      </c>
    </row>
    <row r="3462" spans="1:1" ht="12.75" customHeight="1">
      <c r="A3462" s="129">
        <v>3462</v>
      </c>
    </row>
    <row r="3463" spans="1:1" ht="12.75" customHeight="1">
      <c r="A3463" s="129">
        <v>3463</v>
      </c>
    </row>
    <row r="3464" spans="1:1" ht="12.75" customHeight="1">
      <c r="A3464" s="129">
        <v>3464</v>
      </c>
    </row>
    <row r="3465" spans="1:1" ht="12.75" customHeight="1">
      <c r="A3465" s="129">
        <v>3465</v>
      </c>
    </row>
    <row r="3466" spans="1:1" ht="12.75" customHeight="1">
      <c r="A3466" s="129">
        <v>3466</v>
      </c>
    </row>
    <row r="3467" spans="1:1" ht="12.75" customHeight="1">
      <c r="A3467" s="129">
        <v>3467</v>
      </c>
    </row>
    <row r="3468" spans="1:1" ht="12.75" customHeight="1">
      <c r="A3468" s="129">
        <v>3468</v>
      </c>
    </row>
    <row r="3469" spans="1:1" ht="12.75" customHeight="1">
      <c r="A3469" s="129">
        <v>3469</v>
      </c>
    </row>
    <row r="3470" spans="1:1" ht="12.75" customHeight="1">
      <c r="A3470" s="129">
        <v>3470</v>
      </c>
    </row>
    <row r="3471" spans="1:1" ht="12.75" customHeight="1">
      <c r="A3471" s="129">
        <v>3471</v>
      </c>
    </row>
    <row r="3472" spans="1:1" ht="12.75" customHeight="1">
      <c r="A3472" s="129">
        <v>3472</v>
      </c>
    </row>
    <row r="3473" spans="1:1" ht="12.75" customHeight="1">
      <c r="A3473" s="129">
        <v>3473</v>
      </c>
    </row>
    <row r="3474" spans="1:1" ht="12.75" customHeight="1">
      <c r="A3474" s="129">
        <v>3474</v>
      </c>
    </row>
    <row r="3475" spans="1:1" ht="12.75" customHeight="1">
      <c r="A3475" s="129">
        <v>3475</v>
      </c>
    </row>
    <row r="3476" spans="1:1" ht="12.75" customHeight="1">
      <c r="A3476" s="129">
        <v>3476</v>
      </c>
    </row>
    <row r="3477" spans="1:1" ht="12.75" customHeight="1">
      <c r="A3477" s="129">
        <v>3477</v>
      </c>
    </row>
    <row r="3478" spans="1:1" ht="12.75" customHeight="1">
      <c r="A3478" s="129">
        <v>3478</v>
      </c>
    </row>
    <row r="3479" spans="1:1" ht="12.75" customHeight="1">
      <c r="A3479" s="129">
        <v>3479</v>
      </c>
    </row>
    <row r="3480" spans="1:1" ht="12.75" customHeight="1">
      <c r="A3480" s="129">
        <v>3480</v>
      </c>
    </row>
    <row r="3481" spans="1:1" ht="12.75" customHeight="1">
      <c r="A3481" s="129">
        <v>3481</v>
      </c>
    </row>
    <row r="3482" spans="1:1" ht="12.75" customHeight="1">
      <c r="A3482" s="129">
        <v>3482</v>
      </c>
    </row>
    <row r="3483" spans="1:1" ht="12.75" customHeight="1">
      <c r="A3483" s="129">
        <v>3483</v>
      </c>
    </row>
    <row r="3484" spans="1:1" ht="12.75" customHeight="1">
      <c r="A3484" s="129">
        <v>3484</v>
      </c>
    </row>
    <row r="3485" spans="1:1" ht="12.75" customHeight="1">
      <c r="A3485" s="129">
        <v>3485</v>
      </c>
    </row>
    <row r="3486" spans="1:1" ht="12.75" customHeight="1">
      <c r="A3486" s="129">
        <v>3486</v>
      </c>
    </row>
    <row r="3487" spans="1:1" ht="12.75" customHeight="1">
      <c r="A3487" s="129">
        <v>3487</v>
      </c>
    </row>
    <row r="3488" spans="1:1" ht="12.75" customHeight="1">
      <c r="A3488" s="129">
        <v>3488</v>
      </c>
    </row>
    <row r="3489" spans="1:1" ht="12.75" customHeight="1">
      <c r="A3489" s="129">
        <v>3489</v>
      </c>
    </row>
    <row r="3490" spans="1:1" ht="12.75" customHeight="1">
      <c r="A3490" s="129">
        <v>3490</v>
      </c>
    </row>
    <row r="3491" spans="1:1" ht="12.75" customHeight="1">
      <c r="A3491" s="129">
        <v>3491</v>
      </c>
    </row>
    <row r="3492" spans="1:1" ht="12.75" customHeight="1">
      <c r="A3492" s="129">
        <v>3492</v>
      </c>
    </row>
    <row r="3493" spans="1:1" ht="12.75" customHeight="1">
      <c r="A3493" s="129">
        <v>3493</v>
      </c>
    </row>
    <row r="3494" spans="1:1" ht="12.75" customHeight="1">
      <c r="A3494" s="129">
        <v>3494</v>
      </c>
    </row>
    <row r="3495" spans="1:1" ht="12.75" customHeight="1">
      <c r="A3495" s="129">
        <v>3495</v>
      </c>
    </row>
    <row r="3496" spans="1:1" ht="12.75" customHeight="1">
      <c r="A3496" s="129">
        <v>3496</v>
      </c>
    </row>
    <row r="3497" spans="1:1" ht="12.75" customHeight="1">
      <c r="A3497" s="129">
        <v>3497</v>
      </c>
    </row>
    <row r="3498" spans="1:1" ht="12.75" customHeight="1">
      <c r="A3498" s="129">
        <v>3498</v>
      </c>
    </row>
    <row r="3499" spans="1:1" ht="12.75" customHeight="1">
      <c r="A3499" s="129">
        <v>3499</v>
      </c>
    </row>
    <row r="3500" spans="1:1" ht="12.75" customHeight="1">
      <c r="A3500" s="129">
        <v>3500</v>
      </c>
    </row>
    <row r="3501" spans="1:1" ht="12.75" customHeight="1">
      <c r="A3501" s="129">
        <v>3501</v>
      </c>
    </row>
    <row r="3502" spans="1:1" ht="12.75" customHeight="1">
      <c r="A3502" s="129">
        <v>3502</v>
      </c>
    </row>
    <row r="3503" spans="1:1" ht="12.75" customHeight="1">
      <c r="A3503" s="129">
        <v>3503</v>
      </c>
    </row>
    <row r="3504" spans="1:1" ht="12.75" customHeight="1">
      <c r="A3504" s="129">
        <v>3504</v>
      </c>
    </row>
    <row r="3505" spans="1:1" ht="12.75" customHeight="1">
      <c r="A3505" s="129">
        <v>3505</v>
      </c>
    </row>
    <row r="3506" spans="1:1" ht="12.75" customHeight="1">
      <c r="A3506" s="129">
        <v>3506</v>
      </c>
    </row>
    <row r="3507" spans="1:1" ht="12.75" customHeight="1">
      <c r="A3507" s="129">
        <v>3507</v>
      </c>
    </row>
    <row r="3508" spans="1:1" ht="12.75" customHeight="1">
      <c r="A3508" s="129">
        <v>3508</v>
      </c>
    </row>
    <row r="3509" spans="1:1" ht="12.75" customHeight="1">
      <c r="A3509" s="129">
        <v>3509</v>
      </c>
    </row>
    <row r="3510" spans="1:1" ht="12.75" customHeight="1">
      <c r="A3510" s="129">
        <v>3510</v>
      </c>
    </row>
    <row r="3511" spans="1:1" ht="12.75" customHeight="1">
      <c r="A3511" s="129">
        <v>3511</v>
      </c>
    </row>
    <row r="3512" spans="1:1" ht="12.75" customHeight="1">
      <c r="A3512" s="129">
        <v>3512</v>
      </c>
    </row>
    <row r="3513" spans="1:1" ht="12.75" customHeight="1">
      <c r="A3513" s="129">
        <v>3513</v>
      </c>
    </row>
    <row r="3514" spans="1:1" ht="12.75" customHeight="1">
      <c r="A3514" s="129">
        <v>3514</v>
      </c>
    </row>
    <row r="3515" spans="1:1" ht="12.75" customHeight="1">
      <c r="A3515" s="129">
        <v>3515</v>
      </c>
    </row>
    <row r="3516" spans="1:1" ht="12.75" customHeight="1">
      <c r="A3516" s="129">
        <v>3516</v>
      </c>
    </row>
    <row r="3517" spans="1:1" ht="12.75" customHeight="1">
      <c r="A3517" s="129">
        <v>3517</v>
      </c>
    </row>
    <row r="3518" spans="1:1" ht="12.75" customHeight="1">
      <c r="A3518" s="129">
        <v>3518</v>
      </c>
    </row>
    <row r="3519" spans="1:1" ht="12.75" customHeight="1">
      <c r="A3519" s="129">
        <v>3519</v>
      </c>
    </row>
    <row r="3520" spans="1:1" ht="12.75" customHeight="1">
      <c r="A3520" s="129">
        <v>3520</v>
      </c>
    </row>
    <row r="3521" spans="1:1" ht="12.75" customHeight="1">
      <c r="A3521" s="129">
        <v>3521</v>
      </c>
    </row>
    <row r="3522" spans="1:1" ht="12.75" customHeight="1">
      <c r="A3522" s="129">
        <v>3522</v>
      </c>
    </row>
    <row r="3523" spans="1:1" ht="12.75" customHeight="1">
      <c r="A3523" s="129">
        <v>3523</v>
      </c>
    </row>
    <row r="3524" spans="1:1" ht="12.75" customHeight="1">
      <c r="A3524" s="129">
        <v>3524</v>
      </c>
    </row>
    <row r="3525" spans="1:1" ht="12.75" customHeight="1">
      <c r="A3525" s="129">
        <v>3525</v>
      </c>
    </row>
    <row r="3526" spans="1:1" ht="12.75" customHeight="1">
      <c r="A3526" s="129">
        <v>3526</v>
      </c>
    </row>
    <row r="3527" spans="1:1" ht="12.75" customHeight="1">
      <c r="A3527" s="129">
        <v>3527</v>
      </c>
    </row>
    <row r="3528" spans="1:1" ht="12.75" customHeight="1">
      <c r="A3528" s="129">
        <v>3528</v>
      </c>
    </row>
    <row r="3529" spans="1:1" ht="12.75" customHeight="1">
      <c r="A3529" s="129">
        <v>3529</v>
      </c>
    </row>
    <row r="3530" spans="1:1" ht="12.75" customHeight="1">
      <c r="A3530" s="129">
        <v>3530</v>
      </c>
    </row>
    <row r="3531" spans="1:1" ht="12.75" customHeight="1">
      <c r="A3531" s="129">
        <v>3531</v>
      </c>
    </row>
    <row r="3532" spans="1:1" ht="12.75" customHeight="1">
      <c r="A3532" s="129">
        <v>3532</v>
      </c>
    </row>
    <row r="3533" spans="1:1" ht="12.75" customHeight="1">
      <c r="A3533" s="129">
        <v>3533</v>
      </c>
    </row>
    <row r="3534" spans="1:1" ht="12.75" customHeight="1">
      <c r="A3534" s="129">
        <v>3534</v>
      </c>
    </row>
    <row r="3535" spans="1:1" ht="12.75" customHeight="1">
      <c r="A3535" s="129">
        <v>3535</v>
      </c>
    </row>
    <row r="3536" spans="1:1" ht="12.75" customHeight="1">
      <c r="A3536" s="129">
        <v>3536</v>
      </c>
    </row>
    <row r="3537" spans="1:1" ht="12.75" customHeight="1">
      <c r="A3537" s="129">
        <v>3537</v>
      </c>
    </row>
    <row r="3538" spans="1:1" ht="12.75" customHeight="1">
      <c r="A3538" s="129">
        <v>3538</v>
      </c>
    </row>
    <row r="3539" spans="1:1" ht="12.75" customHeight="1">
      <c r="A3539" s="129">
        <v>3539</v>
      </c>
    </row>
    <row r="3540" spans="1:1" ht="12.75" customHeight="1">
      <c r="A3540" s="129">
        <v>3540</v>
      </c>
    </row>
    <row r="3541" spans="1:1" ht="12.75" customHeight="1">
      <c r="A3541" s="129">
        <v>3541</v>
      </c>
    </row>
    <row r="3542" spans="1:1" ht="12.75" customHeight="1">
      <c r="A3542" s="129">
        <v>3542</v>
      </c>
    </row>
    <row r="3543" spans="1:1" ht="12.75" customHeight="1">
      <c r="A3543" s="129">
        <v>3543</v>
      </c>
    </row>
    <row r="3544" spans="1:1" ht="12.75" customHeight="1">
      <c r="A3544" s="129">
        <v>3544</v>
      </c>
    </row>
    <row r="3545" spans="1:1" ht="12.75" customHeight="1">
      <c r="A3545" s="129">
        <v>3545</v>
      </c>
    </row>
    <row r="3546" spans="1:1" ht="12.75" customHeight="1">
      <c r="A3546" s="129">
        <v>3546</v>
      </c>
    </row>
    <row r="3547" spans="1:1" ht="12.75" customHeight="1">
      <c r="A3547" s="129">
        <v>3547</v>
      </c>
    </row>
    <row r="3548" spans="1:1" ht="12.75" customHeight="1">
      <c r="A3548" s="129">
        <v>3548</v>
      </c>
    </row>
    <row r="3549" spans="1:1" ht="12.75" customHeight="1">
      <c r="A3549" s="129">
        <v>3549</v>
      </c>
    </row>
    <row r="3550" spans="1:1" ht="12.75" customHeight="1">
      <c r="A3550" s="129">
        <v>3550</v>
      </c>
    </row>
    <row r="3551" spans="1:1" ht="12.75" customHeight="1">
      <c r="A3551" s="129">
        <v>3551</v>
      </c>
    </row>
    <row r="3552" spans="1:1" ht="12.75" customHeight="1">
      <c r="A3552" s="129">
        <v>3552</v>
      </c>
    </row>
    <row r="3553" spans="1:1" ht="12.75" customHeight="1">
      <c r="A3553" s="129">
        <v>3553</v>
      </c>
    </row>
    <row r="3554" spans="1:1" ht="12.75" customHeight="1">
      <c r="A3554" s="129">
        <v>3554</v>
      </c>
    </row>
    <row r="3555" spans="1:1" ht="12.75" customHeight="1">
      <c r="A3555" s="129">
        <v>3555</v>
      </c>
    </row>
    <row r="3556" spans="1:1" ht="12.75" customHeight="1">
      <c r="A3556" s="129">
        <v>3556</v>
      </c>
    </row>
    <row r="3557" spans="1:1" ht="12.75" customHeight="1">
      <c r="A3557" s="129">
        <v>3557</v>
      </c>
    </row>
    <row r="3558" spans="1:1" ht="12.75" customHeight="1">
      <c r="A3558" s="129">
        <v>3558</v>
      </c>
    </row>
    <row r="3559" spans="1:1" ht="12.75" customHeight="1">
      <c r="A3559" s="129">
        <v>3559</v>
      </c>
    </row>
    <row r="3560" spans="1:1" ht="12.75" customHeight="1">
      <c r="A3560" s="129">
        <v>3560</v>
      </c>
    </row>
    <row r="3561" spans="1:1" ht="12.75" customHeight="1">
      <c r="A3561" s="129">
        <v>3561</v>
      </c>
    </row>
    <row r="3562" spans="1:1" ht="12.75" customHeight="1">
      <c r="A3562" s="129">
        <v>3562</v>
      </c>
    </row>
    <row r="3563" spans="1:1" ht="12.75" customHeight="1">
      <c r="A3563" s="129">
        <v>3563</v>
      </c>
    </row>
    <row r="3564" spans="1:1" ht="12.75" customHeight="1">
      <c r="A3564" s="129">
        <v>3564</v>
      </c>
    </row>
    <row r="3565" spans="1:1" ht="12.75" customHeight="1">
      <c r="A3565" s="129">
        <v>3565</v>
      </c>
    </row>
    <row r="3566" spans="1:1" ht="12.75" customHeight="1">
      <c r="A3566" s="129">
        <v>3566</v>
      </c>
    </row>
    <row r="3567" spans="1:1" ht="12.75" customHeight="1">
      <c r="A3567" s="129">
        <v>3567</v>
      </c>
    </row>
    <row r="3568" spans="1:1" ht="12.75" customHeight="1">
      <c r="A3568" s="129">
        <v>3568</v>
      </c>
    </row>
    <row r="3569" spans="1:1" ht="12.75" customHeight="1">
      <c r="A3569" s="129">
        <v>3569</v>
      </c>
    </row>
    <row r="3570" spans="1:1" ht="12.75" customHeight="1">
      <c r="A3570" s="129">
        <v>3570</v>
      </c>
    </row>
    <row r="3571" spans="1:1" ht="12.75" customHeight="1">
      <c r="A3571" s="129">
        <v>3571</v>
      </c>
    </row>
    <row r="3572" spans="1:1" ht="12.75" customHeight="1">
      <c r="A3572" s="129">
        <v>3572</v>
      </c>
    </row>
    <row r="3573" spans="1:1" ht="12.75" customHeight="1">
      <c r="A3573" s="129">
        <v>3573</v>
      </c>
    </row>
    <row r="3574" spans="1:1" ht="12.75" customHeight="1">
      <c r="A3574" s="129">
        <v>3574</v>
      </c>
    </row>
    <row r="3575" spans="1:1" ht="12.75" customHeight="1">
      <c r="A3575" s="129">
        <v>3575</v>
      </c>
    </row>
    <row r="3576" spans="1:1" ht="12.75" customHeight="1">
      <c r="A3576" s="129">
        <v>3576</v>
      </c>
    </row>
    <row r="3577" spans="1:1" ht="12.75" customHeight="1">
      <c r="A3577" s="129">
        <v>3577</v>
      </c>
    </row>
    <row r="3578" spans="1:1" ht="12.75" customHeight="1">
      <c r="A3578" s="129">
        <v>3578</v>
      </c>
    </row>
    <row r="3579" spans="1:1" ht="12.75" customHeight="1">
      <c r="A3579" s="129">
        <v>3579</v>
      </c>
    </row>
    <row r="3580" spans="1:1" ht="12.75" customHeight="1">
      <c r="A3580" s="129">
        <v>3580</v>
      </c>
    </row>
    <row r="3581" spans="1:1" ht="12.75" customHeight="1">
      <c r="A3581" s="129">
        <v>3581</v>
      </c>
    </row>
    <row r="3582" spans="1:1" ht="12.75" customHeight="1">
      <c r="A3582" s="129">
        <v>3582</v>
      </c>
    </row>
    <row r="3583" spans="1:1" ht="12.75" customHeight="1">
      <c r="A3583" s="129">
        <v>3583</v>
      </c>
    </row>
    <row r="3584" spans="1:1" ht="12.75" customHeight="1">
      <c r="A3584" s="129">
        <v>3584</v>
      </c>
    </row>
    <row r="3585" spans="1:1" ht="12.75" customHeight="1">
      <c r="A3585" s="129">
        <v>3585</v>
      </c>
    </row>
    <row r="3586" spans="1:1" ht="12.75" customHeight="1">
      <c r="A3586" s="129">
        <v>3586</v>
      </c>
    </row>
    <row r="3587" spans="1:1" ht="12.75" customHeight="1">
      <c r="A3587" s="129">
        <v>3587</v>
      </c>
    </row>
    <row r="3588" spans="1:1" ht="12.75" customHeight="1">
      <c r="A3588" s="129">
        <v>3588</v>
      </c>
    </row>
    <row r="3589" spans="1:1" ht="12.75" customHeight="1">
      <c r="A3589" s="129">
        <v>3589</v>
      </c>
    </row>
    <row r="3590" spans="1:1" ht="12.75" customHeight="1">
      <c r="A3590" s="129">
        <v>3590</v>
      </c>
    </row>
    <row r="3591" spans="1:1" ht="12.75" customHeight="1">
      <c r="A3591" s="129">
        <v>3591</v>
      </c>
    </row>
    <row r="3592" spans="1:1" ht="12.75" customHeight="1">
      <c r="A3592" s="129">
        <v>3592</v>
      </c>
    </row>
    <row r="3593" spans="1:1" ht="12.75" customHeight="1">
      <c r="A3593" s="129">
        <v>3593</v>
      </c>
    </row>
    <row r="3594" spans="1:1" ht="12.75" customHeight="1">
      <c r="A3594" s="129">
        <v>3594</v>
      </c>
    </row>
    <row r="3595" spans="1:1" ht="12.75" customHeight="1">
      <c r="A3595" s="129">
        <v>3595</v>
      </c>
    </row>
    <row r="3596" spans="1:1" ht="12.75" customHeight="1">
      <c r="A3596" s="129">
        <v>3596</v>
      </c>
    </row>
    <row r="3597" spans="1:1" ht="12.75" customHeight="1">
      <c r="A3597" s="129">
        <v>3597</v>
      </c>
    </row>
    <row r="3598" spans="1:1" ht="12.75" customHeight="1">
      <c r="A3598" s="129">
        <v>3598</v>
      </c>
    </row>
    <row r="3599" spans="1:1" ht="12.75" customHeight="1">
      <c r="A3599" s="129">
        <v>3599</v>
      </c>
    </row>
    <row r="3600" spans="1:1" ht="12.75" customHeight="1">
      <c r="A3600" s="129">
        <v>3600</v>
      </c>
    </row>
    <row r="3601" spans="1:1" ht="12.75" customHeight="1">
      <c r="A3601" s="129">
        <v>3601</v>
      </c>
    </row>
    <row r="3602" spans="1:1" ht="12.75" customHeight="1">
      <c r="A3602" s="129">
        <v>3602</v>
      </c>
    </row>
    <row r="3603" spans="1:1" ht="12.75" customHeight="1">
      <c r="A3603" s="129">
        <v>3603</v>
      </c>
    </row>
    <row r="3604" spans="1:1" ht="12.75" customHeight="1">
      <c r="A3604" s="129">
        <v>3604</v>
      </c>
    </row>
    <row r="3605" spans="1:1" ht="12.75" customHeight="1">
      <c r="A3605" s="129">
        <v>3605</v>
      </c>
    </row>
    <row r="3606" spans="1:1" ht="12.75" customHeight="1">
      <c r="A3606" s="129">
        <v>3606</v>
      </c>
    </row>
    <row r="3607" spans="1:1" ht="12.75" customHeight="1">
      <c r="A3607" s="129">
        <v>3607</v>
      </c>
    </row>
    <row r="3608" spans="1:1" ht="12.75" customHeight="1">
      <c r="A3608" s="129">
        <v>3608</v>
      </c>
    </row>
    <row r="3609" spans="1:1" ht="12.75" customHeight="1">
      <c r="A3609" s="129">
        <v>3609</v>
      </c>
    </row>
    <row r="3610" spans="1:1" ht="12.75" customHeight="1">
      <c r="A3610" s="129">
        <v>3610</v>
      </c>
    </row>
    <row r="3611" spans="1:1" ht="12.75" customHeight="1">
      <c r="A3611" s="129">
        <v>3611</v>
      </c>
    </row>
    <row r="3612" spans="1:1" ht="12.75" customHeight="1">
      <c r="A3612" s="129">
        <v>3612</v>
      </c>
    </row>
    <row r="3613" spans="1:1" ht="12.75" customHeight="1">
      <c r="A3613" s="129">
        <v>3613</v>
      </c>
    </row>
    <row r="3614" spans="1:1" ht="12.75" customHeight="1">
      <c r="A3614" s="129">
        <v>3614</v>
      </c>
    </row>
    <row r="3615" spans="1:1" ht="12.75" customHeight="1">
      <c r="A3615" s="129">
        <v>3615</v>
      </c>
    </row>
    <row r="3616" spans="1:1" ht="12.75" customHeight="1">
      <c r="A3616" s="129">
        <v>3616</v>
      </c>
    </row>
    <row r="3617" spans="1:1" ht="12.75" customHeight="1">
      <c r="A3617" s="129">
        <v>3617</v>
      </c>
    </row>
    <row r="3618" spans="1:1" ht="12.75" customHeight="1">
      <c r="A3618" s="129">
        <v>3618</v>
      </c>
    </row>
    <row r="3619" spans="1:1" ht="12.75" customHeight="1">
      <c r="A3619" s="129">
        <v>3619</v>
      </c>
    </row>
    <row r="3620" spans="1:1" ht="12.75" customHeight="1">
      <c r="A3620" s="129">
        <v>3620</v>
      </c>
    </row>
    <row r="3621" spans="1:1" ht="12.75" customHeight="1">
      <c r="A3621" s="129">
        <v>3621</v>
      </c>
    </row>
    <row r="3622" spans="1:1" ht="12.75" customHeight="1">
      <c r="A3622" s="129">
        <v>3622</v>
      </c>
    </row>
    <row r="3623" spans="1:1" ht="12.75" customHeight="1">
      <c r="A3623" s="129">
        <v>3623</v>
      </c>
    </row>
    <row r="3624" spans="1:1" ht="12.75" customHeight="1">
      <c r="A3624" s="129">
        <v>3624</v>
      </c>
    </row>
    <row r="3625" spans="1:1" ht="12.75" customHeight="1">
      <c r="A3625" s="129">
        <v>3625</v>
      </c>
    </row>
    <row r="3626" spans="1:1" ht="12.75" customHeight="1">
      <c r="A3626" s="129">
        <v>3626</v>
      </c>
    </row>
    <row r="3627" spans="1:1" ht="12.75" customHeight="1">
      <c r="A3627" s="129">
        <v>3627</v>
      </c>
    </row>
    <row r="3628" spans="1:1" ht="12.75" customHeight="1">
      <c r="A3628" s="129">
        <v>3628</v>
      </c>
    </row>
    <row r="3629" spans="1:1" ht="12.75" customHeight="1">
      <c r="A3629" s="129">
        <v>3629</v>
      </c>
    </row>
    <row r="3630" spans="1:1" ht="12.75" customHeight="1">
      <c r="A3630" s="129">
        <v>3630</v>
      </c>
    </row>
    <row r="3631" spans="1:1" ht="12.75" customHeight="1">
      <c r="A3631" s="129">
        <v>3631</v>
      </c>
    </row>
    <row r="3632" spans="1:1" ht="12.75" customHeight="1">
      <c r="A3632" s="129">
        <v>3632</v>
      </c>
    </row>
    <row r="3633" spans="1:1" ht="12.75" customHeight="1">
      <c r="A3633" s="129">
        <v>3633</v>
      </c>
    </row>
    <row r="3634" spans="1:1" ht="12.75" customHeight="1">
      <c r="A3634" s="129">
        <v>3634</v>
      </c>
    </row>
    <row r="3635" spans="1:1" ht="12.75" customHeight="1">
      <c r="A3635" s="129">
        <v>3635</v>
      </c>
    </row>
    <row r="3636" spans="1:1" ht="12.75" customHeight="1">
      <c r="A3636" s="129">
        <v>3636</v>
      </c>
    </row>
    <row r="3637" spans="1:1" ht="12.75" customHeight="1">
      <c r="A3637" s="129">
        <v>3637</v>
      </c>
    </row>
    <row r="3638" spans="1:1" ht="12.75" customHeight="1">
      <c r="A3638" s="129">
        <v>3638</v>
      </c>
    </row>
    <row r="3639" spans="1:1" ht="12.75" customHeight="1">
      <c r="A3639" s="129">
        <v>3639</v>
      </c>
    </row>
    <row r="3640" spans="1:1" ht="12.75" customHeight="1">
      <c r="A3640" s="129">
        <v>3640</v>
      </c>
    </row>
    <row r="3641" spans="1:1" ht="12.75" customHeight="1">
      <c r="A3641" s="129">
        <v>3641</v>
      </c>
    </row>
    <row r="3642" spans="1:1" ht="12.75" customHeight="1">
      <c r="A3642" s="129">
        <v>3642</v>
      </c>
    </row>
    <row r="3643" spans="1:1" ht="12.75" customHeight="1">
      <c r="A3643" s="129">
        <v>3643</v>
      </c>
    </row>
    <row r="3644" spans="1:1" ht="12.75" customHeight="1">
      <c r="A3644" s="129">
        <v>3644</v>
      </c>
    </row>
    <row r="3645" spans="1:1" ht="12.75" customHeight="1">
      <c r="A3645" s="129">
        <v>3645</v>
      </c>
    </row>
    <row r="3646" spans="1:1" ht="12.75" customHeight="1">
      <c r="A3646" s="129">
        <v>3646</v>
      </c>
    </row>
    <row r="3647" spans="1:1" ht="12.75" customHeight="1">
      <c r="A3647" s="129">
        <v>3647</v>
      </c>
    </row>
    <row r="3648" spans="1:1" ht="12.75" customHeight="1">
      <c r="A3648" s="129">
        <v>3648</v>
      </c>
    </row>
    <row r="3649" spans="1:1" ht="12.75" customHeight="1">
      <c r="A3649" s="129">
        <v>3649</v>
      </c>
    </row>
    <row r="3650" spans="1:1" ht="12.75" customHeight="1">
      <c r="A3650" s="129">
        <v>3650</v>
      </c>
    </row>
    <row r="3651" spans="1:1" ht="12.75" customHeight="1">
      <c r="A3651" s="129">
        <v>3651</v>
      </c>
    </row>
    <row r="3652" spans="1:1" ht="12.75" customHeight="1">
      <c r="A3652" s="129">
        <v>3652</v>
      </c>
    </row>
    <row r="3653" spans="1:1" ht="12.75" customHeight="1">
      <c r="A3653" s="129">
        <v>3653</v>
      </c>
    </row>
    <row r="3654" spans="1:1" ht="12.75" customHeight="1">
      <c r="A3654" s="129">
        <v>3654</v>
      </c>
    </row>
    <row r="3655" spans="1:1" ht="12.75" customHeight="1">
      <c r="A3655" s="129">
        <v>3655</v>
      </c>
    </row>
    <row r="3656" spans="1:1" ht="12.75" customHeight="1">
      <c r="A3656" s="129">
        <v>3656</v>
      </c>
    </row>
    <row r="3657" spans="1:1" ht="12.75" customHeight="1">
      <c r="A3657" s="129">
        <v>3657</v>
      </c>
    </row>
    <row r="3658" spans="1:1" ht="12.75" customHeight="1">
      <c r="A3658" s="129">
        <v>3658</v>
      </c>
    </row>
    <row r="3659" spans="1:1" ht="12.75" customHeight="1">
      <c r="A3659" s="129">
        <v>3659</v>
      </c>
    </row>
    <row r="3660" spans="1:1" ht="12.75" customHeight="1">
      <c r="A3660" s="129">
        <v>3660</v>
      </c>
    </row>
    <row r="3661" spans="1:1" ht="12.75" customHeight="1">
      <c r="A3661" s="129">
        <v>3661</v>
      </c>
    </row>
    <row r="3662" spans="1:1" ht="12.75" customHeight="1">
      <c r="A3662" s="129">
        <v>3662</v>
      </c>
    </row>
    <row r="3663" spans="1:1" ht="12.75" customHeight="1">
      <c r="A3663" s="129">
        <v>3663</v>
      </c>
    </row>
    <row r="3664" spans="1:1" ht="12.75" customHeight="1">
      <c r="A3664" s="129">
        <v>3664</v>
      </c>
    </row>
    <row r="3665" spans="1:1" ht="12.75" customHeight="1">
      <c r="A3665" s="129">
        <v>3665</v>
      </c>
    </row>
    <row r="3666" spans="1:1" ht="12.75" customHeight="1">
      <c r="A3666" s="129">
        <v>3666</v>
      </c>
    </row>
    <row r="3667" spans="1:1" ht="12.75" customHeight="1">
      <c r="A3667" s="129">
        <v>3667</v>
      </c>
    </row>
    <row r="3668" spans="1:1" ht="12.75" customHeight="1">
      <c r="A3668" s="129">
        <v>3668</v>
      </c>
    </row>
    <row r="3669" spans="1:1" ht="12.75" customHeight="1">
      <c r="A3669" s="129">
        <v>3669</v>
      </c>
    </row>
    <row r="3670" spans="1:1" ht="12.75" customHeight="1">
      <c r="A3670" s="129">
        <v>3670</v>
      </c>
    </row>
    <row r="3671" spans="1:1" ht="12.75" customHeight="1">
      <c r="A3671" s="129">
        <v>3671</v>
      </c>
    </row>
    <row r="3672" spans="1:1" ht="12.75" customHeight="1">
      <c r="A3672" s="129">
        <v>3672</v>
      </c>
    </row>
    <row r="3673" spans="1:1" ht="12.75" customHeight="1">
      <c r="A3673" s="129">
        <v>3673</v>
      </c>
    </row>
    <row r="3674" spans="1:1" ht="12.75" customHeight="1">
      <c r="A3674" s="129">
        <v>3674</v>
      </c>
    </row>
    <row r="3675" spans="1:1" ht="12.75" customHeight="1">
      <c r="A3675" s="129">
        <v>3675</v>
      </c>
    </row>
    <row r="3676" spans="1:1" ht="12.75" customHeight="1">
      <c r="A3676" s="129">
        <v>3676</v>
      </c>
    </row>
    <row r="3677" spans="1:1" ht="12.75" customHeight="1">
      <c r="A3677" s="129">
        <v>3677</v>
      </c>
    </row>
    <row r="3678" spans="1:1" ht="12.75" customHeight="1">
      <c r="A3678" s="129">
        <v>3678</v>
      </c>
    </row>
    <row r="3679" spans="1:1" ht="12.75" customHeight="1">
      <c r="A3679" s="129">
        <v>3679</v>
      </c>
    </row>
    <row r="3680" spans="1:1" ht="12.75" customHeight="1">
      <c r="A3680" s="129">
        <v>3680</v>
      </c>
    </row>
    <row r="3681" spans="1:1" ht="12.75" customHeight="1">
      <c r="A3681" s="129">
        <v>3681</v>
      </c>
    </row>
    <row r="3682" spans="1:1" ht="12.75" customHeight="1">
      <c r="A3682" s="129">
        <v>3682</v>
      </c>
    </row>
    <row r="3683" spans="1:1" ht="12.75" customHeight="1">
      <c r="A3683" s="129">
        <v>3683</v>
      </c>
    </row>
    <row r="3684" spans="1:1" ht="12.75" customHeight="1">
      <c r="A3684" s="129">
        <v>3684</v>
      </c>
    </row>
    <row r="3685" spans="1:1" ht="12.75" customHeight="1">
      <c r="A3685" s="129">
        <v>3685</v>
      </c>
    </row>
    <row r="3686" spans="1:1" ht="12.75" customHeight="1">
      <c r="A3686" s="129">
        <v>3686</v>
      </c>
    </row>
    <row r="3687" spans="1:1" ht="12.75" customHeight="1">
      <c r="A3687" s="129">
        <v>3687</v>
      </c>
    </row>
    <row r="3688" spans="1:1" ht="12.75" customHeight="1">
      <c r="A3688" s="129">
        <v>3688</v>
      </c>
    </row>
    <row r="3689" spans="1:1" ht="12.75" customHeight="1">
      <c r="A3689" s="129">
        <v>3689</v>
      </c>
    </row>
    <row r="3690" spans="1:1" ht="12.75" customHeight="1">
      <c r="A3690" s="129">
        <v>3690</v>
      </c>
    </row>
    <row r="3691" spans="1:1" ht="12.75" customHeight="1">
      <c r="A3691" s="129">
        <v>3691</v>
      </c>
    </row>
    <row r="3692" spans="1:1" ht="12.75" customHeight="1">
      <c r="A3692" s="129">
        <v>3692</v>
      </c>
    </row>
    <row r="3693" spans="1:1" ht="12.75" customHeight="1">
      <c r="A3693" s="129">
        <v>3693</v>
      </c>
    </row>
    <row r="3694" spans="1:1" ht="12.75" customHeight="1">
      <c r="A3694" s="129">
        <v>3694</v>
      </c>
    </row>
    <row r="3695" spans="1:1" ht="12.75" customHeight="1">
      <c r="A3695" s="129">
        <v>3695</v>
      </c>
    </row>
    <row r="3696" spans="1:1" ht="12.75" customHeight="1">
      <c r="A3696" s="129">
        <v>3696</v>
      </c>
    </row>
    <row r="3697" spans="1:1" ht="12.75" customHeight="1">
      <c r="A3697" s="129">
        <v>3697</v>
      </c>
    </row>
    <row r="3698" spans="1:1" ht="12.75" customHeight="1">
      <c r="A3698" s="129">
        <v>3698</v>
      </c>
    </row>
    <row r="3699" spans="1:1" ht="12.75" customHeight="1">
      <c r="A3699" s="129">
        <v>3699</v>
      </c>
    </row>
    <row r="3700" spans="1:1" ht="12.75" customHeight="1">
      <c r="A3700" s="129">
        <v>3700</v>
      </c>
    </row>
    <row r="3701" spans="1:1" ht="12.75" customHeight="1">
      <c r="A3701" s="129">
        <v>3701</v>
      </c>
    </row>
    <row r="3702" spans="1:1" ht="12.75" customHeight="1">
      <c r="A3702" s="129">
        <v>3702</v>
      </c>
    </row>
    <row r="3703" spans="1:1" ht="12.75" customHeight="1">
      <c r="A3703" s="129">
        <v>3703</v>
      </c>
    </row>
    <row r="3704" spans="1:1" ht="12.75" customHeight="1">
      <c r="A3704" s="129">
        <v>3704</v>
      </c>
    </row>
    <row r="3705" spans="1:1" ht="12.75" customHeight="1">
      <c r="A3705" s="129">
        <v>3705</v>
      </c>
    </row>
    <row r="3706" spans="1:1" ht="12.75" customHeight="1">
      <c r="A3706" s="129">
        <v>3706</v>
      </c>
    </row>
    <row r="3707" spans="1:1" ht="12.75" customHeight="1">
      <c r="A3707" s="129">
        <v>3707</v>
      </c>
    </row>
    <row r="3708" spans="1:1" ht="12.75" customHeight="1">
      <c r="A3708" s="129">
        <v>3708</v>
      </c>
    </row>
    <row r="3709" spans="1:1" ht="12.75" customHeight="1">
      <c r="A3709" s="129">
        <v>3709</v>
      </c>
    </row>
    <row r="3710" spans="1:1" ht="12.75" customHeight="1">
      <c r="A3710" s="129">
        <v>3710</v>
      </c>
    </row>
    <row r="3711" spans="1:1" ht="12.75" customHeight="1">
      <c r="A3711" s="129">
        <v>3711</v>
      </c>
    </row>
    <row r="3712" spans="1:1" ht="12.75" customHeight="1">
      <c r="A3712" s="129">
        <v>3712</v>
      </c>
    </row>
    <row r="3713" spans="1:1" ht="12.75" customHeight="1">
      <c r="A3713" s="129">
        <v>3713</v>
      </c>
    </row>
    <row r="3714" spans="1:1" ht="12.75" customHeight="1">
      <c r="A3714" s="129">
        <v>3714</v>
      </c>
    </row>
    <row r="3715" spans="1:1" ht="12.75" customHeight="1">
      <c r="A3715" s="129">
        <v>3715</v>
      </c>
    </row>
    <row r="3716" spans="1:1" ht="12.75" customHeight="1">
      <c r="A3716" s="129">
        <v>3716</v>
      </c>
    </row>
    <row r="3717" spans="1:1" ht="12.75" customHeight="1">
      <c r="A3717" s="129">
        <v>3717</v>
      </c>
    </row>
    <row r="3718" spans="1:1" ht="12.75" customHeight="1">
      <c r="A3718" s="129">
        <v>3718</v>
      </c>
    </row>
    <row r="3719" spans="1:1" ht="12.75" customHeight="1">
      <c r="A3719" s="129">
        <v>3719</v>
      </c>
    </row>
    <row r="3720" spans="1:1" ht="12.75" customHeight="1">
      <c r="A3720" s="129">
        <v>3720</v>
      </c>
    </row>
    <row r="3721" spans="1:1" ht="12.75" customHeight="1">
      <c r="A3721" s="129">
        <v>3721</v>
      </c>
    </row>
    <row r="3722" spans="1:1" ht="12.75" customHeight="1">
      <c r="A3722" s="129">
        <v>3722</v>
      </c>
    </row>
    <row r="3723" spans="1:1" ht="12.75" customHeight="1">
      <c r="A3723" s="129">
        <v>3723</v>
      </c>
    </row>
    <row r="3724" spans="1:1" ht="12.75" customHeight="1">
      <c r="A3724" s="129">
        <v>3724</v>
      </c>
    </row>
    <row r="3725" spans="1:1" ht="12.75" customHeight="1">
      <c r="A3725" s="129">
        <v>3725</v>
      </c>
    </row>
    <row r="3726" spans="1:1" ht="12.75" customHeight="1">
      <c r="A3726" s="129">
        <v>3726</v>
      </c>
    </row>
    <row r="3727" spans="1:1" ht="12.75" customHeight="1">
      <c r="A3727" s="129">
        <v>3727</v>
      </c>
    </row>
    <row r="3728" spans="1:1" ht="12.75" customHeight="1">
      <c r="A3728" s="129">
        <v>3728</v>
      </c>
    </row>
    <row r="3729" spans="1:1" ht="12.75" customHeight="1">
      <c r="A3729" s="129">
        <v>3729</v>
      </c>
    </row>
    <row r="3730" spans="1:1" ht="12.75" customHeight="1">
      <c r="A3730" s="129">
        <v>3730</v>
      </c>
    </row>
    <row r="3731" spans="1:1" ht="12.75" customHeight="1">
      <c r="A3731" s="129">
        <v>3731</v>
      </c>
    </row>
    <row r="3732" spans="1:1" ht="12.75" customHeight="1">
      <c r="A3732" s="129">
        <v>3732</v>
      </c>
    </row>
    <row r="3733" spans="1:1" ht="12.75" customHeight="1">
      <c r="A3733" s="129">
        <v>3733</v>
      </c>
    </row>
    <row r="3734" spans="1:1" ht="12.75" customHeight="1">
      <c r="A3734" s="129">
        <v>3734</v>
      </c>
    </row>
    <row r="3735" spans="1:1" ht="12.75" customHeight="1">
      <c r="A3735" s="129">
        <v>3735</v>
      </c>
    </row>
    <row r="3736" spans="1:1" ht="12.75" customHeight="1">
      <c r="A3736" s="129">
        <v>3736</v>
      </c>
    </row>
    <row r="3737" spans="1:1" ht="12.75" customHeight="1">
      <c r="A3737" s="129">
        <v>3737</v>
      </c>
    </row>
    <row r="3738" spans="1:1" ht="12.75" customHeight="1">
      <c r="A3738" s="129">
        <v>3738</v>
      </c>
    </row>
    <row r="3739" spans="1:1" ht="12.75" customHeight="1">
      <c r="A3739" s="129">
        <v>3739</v>
      </c>
    </row>
    <row r="3740" spans="1:1" ht="12.75" customHeight="1">
      <c r="A3740" s="129">
        <v>3740</v>
      </c>
    </row>
    <row r="3741" spans="1:1" ht="12.75" customHeight="1">
      <c r="A3741" s="129">
        <v>3741</v>
      </c>
    </row>
    <row r="3742" spans="1:1" ht="12.75" customHeight="1">
      <c r="A3742" s="129">
        <v>3742</v>
      </c>
    </row>
    <row r="3743" spans="1:1" ht="12.75" customHeight="1">
      <c r="A3743" s="129">
        <v>3743</v>
      </c>
    </row>
    <row r="3744" spans="1:1" ht="12.75" customHeight="1">
      <c r="A3744" s="129">
        <v>3744</v>
      </c>
    </row>
    <row r="3745" spans="1:1" ht="12.75" customHeight="1">
      <c r="A3745" s="129">
        <v>3745</v>
      </c>
    </row>
    <row r="3746" spans="1:1" ht="12.75" customHeight="1">
      <c r="A3746" s="129">
        <v>3746</v>
      </c>
    </row>
    <row r="3747" spans="1:1" ht="12.75" customHeight="1">
      <c r="A3747" s="129">
        <v>3747</v>
      </c>
    </row>
    <row r="3748" spans="1:1" ht="12.75" customHeight="1">
      <c r="A3748" s="129">
        <v>3748</v>
      </c>
    </row>
    <row r="3749" spans="1:1" ht="12.75" customHeight="1">
      <c r="A3749" s="129">
        <v>3749</v>
      </c>
    </row>
    <row r="3750" spans="1:1" ht="12.75" customHeight="1">
      <c r="A3750" s="129">
        <v>3750</v>
      </c>
    </row>
    <row r="3751" spans="1:1" ht="12.75" customHeight="1">
      <c r="A3751" s="129">
        <v>3751</v>
      </c>
    </row>
    <row r="3752" spans="1:1" ht="12.75" customHeight="1">
      <c r="A3752" s="129">
        <v>3752</v>
      </c>
    </row>
    <row r="3753" spans="1:1" ht="12.75" customHeight="1">
      <c r="A3753" s="129">
        <v>3753</v>
      </c>
    </row>
    <row r="3754" spans="1:1" ht="12.75" customHeight="1">
      <c r="A3754" s="129">
        <v>3754</v>
      </c>
    </row>
    <row r="3755" spans="1:1" ht="12.75" customHeight="1">
      <c r="A3755" s="129">
        <v>3755</v>
      </c>
    </row>
    <row r="3756" spans="1:1" ht="12.75" customHeight="1">
      <c r="A3756" s="129">
        <v>3756</v>
      </c>
    </row>
    <row r="3757" spans="1:1" ht="12.75" customHeight="1">
      <c r="A3757" s="129">
        <v>3757</v>
      </c>
    </row>
    <row r="3758" spans="1:1" ht="12.75" customHeight="1">
      <c r="A3758" s="129">
        <v>3758</v>
      </c>
    </row>
    <row r="3759" spans="1:1" ht="12.75" customHeight="1">
      <c r="A3759" s="129">
        <v>3759</v>
      </c>
    </row>
    <row r="3760" spans="1:1" ht="12.75" customHeight="1">
      <c r="A3760" s="129">
        <v>3760</v>
      </c>
    </row>
    <row r="3761" spans="1:1" ht="12.75" customHeight="1">
      <c r="A3761" s="129">
        <v>3761</v>
      </c>
    </row>
    <row r="3762" spans="1:1" ht="12.75" customHeight="1">
      <c r="A3762" s="129">
        <v>3762</v>
      </c>
    </row>
    <row r="3763" spans="1:1" ht="12.75" customHeight="1">
      <c r="A3763" s="129">
        <v>3763</v>
      </c>
    </row>
    <row r="3764" spans="1:1" ht="12.75" customHeight="1">
      <c r="A3764" s="129">
        <v>3764</v>
      </c>
    </row>
    <row r="3765" spans="1:1" ht="12.75" customHeight="1">
      <c r="A3765" s="129">
        <v>3765</v>
      </c>
    </row>
    <row r="3766" spans="1:1" ht="12.75" customHeight="1">
      <c r="A3766" s="129">
        <v>3766</v>
      </c>
    </row>
    <row r="3767" spans="1:1" ht="12.75" customHeight="1">
      <c r="A3767" s="129">
        <v>3767</v>
      </c>
    </row>
    <row r="3768" spans="1:1" ht="12.75" customHeight="1">
      <c r="A3768" s="129">
        <v>3768</v>
      </c>
    </row>
    <row r="3769" spans="1:1" ht="12.75" customHeight="1">
      <c r="A3769" s="129">
        <v>3769</v>
      </c>
    </row>
    <row r="3770" spans="1:1" ht="12.75" customHeight="1">
      <c r="A3770" s="129">
        <v>3770</v>
      </c>
    </row>
    <row r="3771" spans="1:1" ht="12.75" customHeight="1">
      <c r="A3771" s="129">
        <v>3771</v>
      </c>
    </row>
    <row r="3772" spans="1:1" ht="12.75" customHeight="1">
      <c r="A3772" s="129">
        <v>3772</v>
      </c>
    </row>
    <row r="3773" spans="1:1" ht="12.75" customHeight="1">
      <c r="A3773" s="129">
        <v>3773</v>
      </c>
    </row>
    <row r="3774" spans="1:1" ht="12.75" customHeight="1">
      <c r="A3774" s="129">
        <v>3774</v>
      </c>
    </row>
    <row r="3775" spans="1:1" ht="12.75" customHeight="1">
      <c r="A3775" s="129">
        <v>3775</v>
      </c>
    </row>
    <row r="3776" spans="1:1" ht="12.75" customHeight="1">
      <c r="A3776" s="129">
        <v>3776</v>
      </c>
    </row>
    <row r="3777" spans="1:1" ht="12.75" customHeight="1">
      <c r="A3777" s="129">
        <v>3777</v>
      </c>
    </row>
    <row r="3778" spans="1:1" ht="12.75" customHeight="1">
      <c r="A3778" s="129">
        <v>3778</v>
      </c>
    </row>
    <row r="3779" spans="1:1" ht="12.75" customHeight="1">
      <c r="A3779" s="129">
        <v>3779</v>
      </c>
    </row>
    <row r="3780" spans="1:1" ht="12.75" customHeight="1">
      <c r="A3780" s="129">
        <v>3780</v>
      </c>
    </row>
    <row r="3781" spans="1:1" ht="12.75" customHeight="1">
      <c r="A3781" s="129">
        <v>3781</v>
      </c>
    </row>
    <row r="3782" spans="1:1" ht="12.75" customHeight="1">
      <c r="A3782" s="129">
        <v>3782</v>
      </c>
    </row>
    <row r="3783" spans="1:1" ht="12.75" customHeight="1">
      <c r="A3783" s="129">
        <v>3783</v>
      </c>
    </row>
    <row r="3784" spans="1:1" ht="12.75" customHeight="1">
      <c r="A3784" s="129">
        <v>3784</v>
      </c>
    </row>
    <row r="3785" spans="1:1" ht="12.75" customHeight="1">
      <c r="A3785" s="129">
        <v>3785</v>
      </c>
    </row>
    <row r="3786" spans="1:1" ht="12.75" customHeight="1">
      <c r="A3786" s="129">
        <v>3786</v>
      </c>
    </row>
    <row r="3787" spans="1:1" ht="12.75" customHeight="1">
      <c r="A3787" s="129">
        <v>3787</v>
      </c>
    </row>
    <row r="3788" spans="1:1" ht="12.75" customHeight="1">
      <c r="A3788" s="129">
        <v>3788</v>
      </c>
    </row>
    <row r="3789" spans="1:1" ht="12.75" customHeight="1">
      <c r="A3789" s="129">
        <v>3789</v>
      </c>
    </row>
    <row r="3790" spans="1:1" ht="12.75" customHeight="1">
      <c r="A3790" s="129">
        <v>3790</v>
      </c>
    </row>
    <row r="3791" spans="1:1" ht="12.75" customHeight="1">
      <c r="A3791" s="129">
        <v>3791</v>
      </c>
    </row>
    <row r="3792" spans="1:1" ht="12.75" customHeight="1">
      <c r="A3792" s="129">
        <v>3792</v>
      </c>
    </row>
    <row r="3793" spans="1:1" ht="12.75" customHeight="1">
      <c r="A3793" s="129">
        <v>3793</v>
      </c>
    </row>
    <row r="3794" spans="1:1" ht="12.75" customHeight="1">
      <c r="A3794" s="129">
        <v>3794</v>
      </c>
    </row>
    <row r="3795" spans="1:1" ht="12.75" customHeight="1">
      <c r="A3795" s="129">
        <v>3795</v>
      </c>
    </row>
    <row r="3796" spans="1:1" ht="12.75" customHeight="1">
      <c r="A3796" s="129">
        <v>3796</v>
      </c>
    </row>
    <row r="3797" spans="1:1" ht="12.75" customHeight="1">
      <c r="A3797" s="129">
        <v>3797</v>
      </c>
    </row>
    <row r="3798" spans="1:1" ht="12.75" customHeight="1">
      <c r="A3798" s="129">
        <v>3798</v>
      </c>
    </row>
    <row r="3799" spans="1:1" ht="12.75" customHeight="1">
      <c r="A3799" s="129">
        <v>3799</v>
      </c>
    </row>
    <row r="3800" spans="1:1" ht="12.75" customHeight="1">
      <c r="A3800" s="129">
        <v>3800</v>
      </c>
    </row>
    <row r="3801" spans="1:1" ht="12.75" customHeight="1">
      <c r="A3801" s="129">
        <v>3801</v>
      </c>
    </row>
    <row r="3802" spans="1:1" ht="12.75" customHeight="1">
      <c r="A3802" s="129">
        <v>3802</v>
      </c>
    </row>
    <row r="3803" spans="1:1" ht="12.75" customHeight="1">
      <c r="A3803" s="129">
        <v>3803</v>
      </c>
    </row>
    <row r="3804" spans="1:1" ht="12.75" customHeight="1">
      <c r="A3804" s="129">
        <v>3804</v>
      </c>
    </row>
    <row r="3805" spans="1:1" ht="12.75" customHeight="1">
      <c r="A3805" s="129">
        <v>3805</v>
      </c>
    </row>
    <row r="3806" spans="1:1" ht="12.75" customHeight="1">
      <c r="A3806" s="129">
        <v>3806</v>
      </c>
    </row>
    <row r="3807" spans="1:1" ht="12.75" customHeight="1">
      <c r="A3807" s="129">
        <v>3807</v>
      </c>
    </row>
    <row r="3808" spans="1:1" ht="12.75" customHeight="1">
      <c r="A3808" s="129">
        <v>3808</v>
      </c>
    </row>
    <row r="3809" spans="1:1" ht="12.75" customHeight="1">
      <c r="A3809" s="129">
        <v>3809</v>
      </c>
    </row>
    <row r="3810" spans="1:1" ht="12.75" customHeight="1">
      <c r="A3810" s="129">
        <v>3810</v>
      </c>
    </row>
    <row r="3811" spans="1:1" ht="12.75" customHeight="1">
      <c r="A3811" s="129">
        <v>3811</v>
      </c>
    </row>
    <row r="3812" spans="1:1" ht="12.75" customHeight="1">
      <c r="A3812" s="129">
        <v>3812</v>
      </c>
    </row>
    <row r="3813" spans="1:1" ht="12.75" customHeight="1">
      <c r="A3813" s="129">
        <v>3813</v>
      </c>
    </row>
    <row r="3814" spans="1:1" ht="12.75" customHeight="1">
      <c r="A3814" s="129">
        <v>3814</v>
      </c>
    </row>
    <row r="3815" spans="1:1" ht="12.75" customHeight="1">
      <c r="A3815" s="129">
        <v>3815</v>
      </c>
    </row>
    <row r="3816" spans="1:1" ht="12.75" customHeight="1">
      <c r="A3816" s="129">
        <v>3816</v>
      </c>
    </row>
    <row r="3817" spans="1:1" ht="12.75" customHeight="1">
      <c r="A3817" s="129">
        <v>3817</v>
      </c>
    </row>
    <row r="3818" spans="1:1" ht="12.75" customHeight="1">
      <c r="A3818" s="129">
        <v>3818</v>
      </c>
    </row>
    <row r="3819" spans="1:1" ht="12.75" customHeight="1">
      <c r="A3819" s="129">
        <v>3819</v>
      </c>
    </row>
    <row r="3820" spans="1:1" ht="12.75" customHeight="1">
      <c r="A3820" s="129">
        <v>3820</v>
      </c>
    </row>
    <row r="3821" spans="1:1" ht="12.75" customHeight="1">
      <c r="A3821" s="129">
        <v>3821</v>
      </c>
    </row>
    <row r="3822" spans="1:1" ht="12.75" customHeight="1">
      <c r="A3822" s="129">
        <v>3822</v>
      </c>
    </row>
    <row r="3823" spans="1:1" ht="12.75" customHeight="1">
      <c r="A3823" s="129">
        <v>3823</v>
      </c>
    </row>
    <row r="3824" spans="1:1" ht="12.75" customHeight="1">
      <c r="A3824" s="129">
        <v>3824</v>
      </c>
    </row>
    <row r="3825" spans="1:1" ht="12.75" customHeight="1">
      <c r="A3825" s="129">
        <v>3825</v>
      </c>
    </row>
    <row r="3826" spans="1:1" ht="12.75" customHeight="1">
      <c r="A3826" s="129">
        <v>3826</v>
      </c>
    </row>
    <row r="3827" spans="1:1" ht="12.75" customHeight="1">
      <c r="A3827" s="129">
        <v>3827</v>
      </c>
    </row>
    <row r="3828" spans="1:1" ht="12.75" customHeight="1">
      <c r="A3828" s="129">
        <v>3828</v>
      </c>
    </row>
    <row r="3829" spans="1:1" ht="12.75" customHeight="1">
      <c r="A3829" s="129">
        <v>3829</v>
      </c>
    </row>
    <row r="3830" spans="1:1" ht="12.75" customHeight="1">
      <c r="A3830" s="129">
        <v>3830</v>
      </c>
    </row>
    <row r="3831" spans="1:1" ht="12.75" customHeight="1">
      <c r="A3831" s="129">
        <v>3831</v>
      </c>
    </row>
    <row r="3832" spans="1:1" ht="12.75" customHeight="1">
      <c r="A3832" s="129">
        <v>3832</v>
      </c>
    </row>
    <row r="3833" spans="1:1" ht="12.75" customHeight="1">
      <c r="A3833" s="129">
        <v>3833</v>
      </c>
    </row>
    <row r="3834" spans="1:1" ht="12.75" customHeight="1">
      <c r="A3834" s="129">
        <v>3834</v>
      </c>
    </row>
    <row r="3835" spans="1:1" ht="12.75" customHeight="1">
      <c r="A3835" s="129">
        <v>3835</v>
      </c>
    </row>
    <row r="3836" spans="1:1" ht="12.75" customHeight="1">
      <c r="A3836" s="129">
        <v>3836</v>
      </c>
    </row>
    <row r="3837" spans="1:1" ht="12.75" customHeight="1">
      <c r="A3837" s="129">
        <v>3837</v>
      </c>
    </row>
    <row r="3838" spans="1:1" ht="12.75" customHeight="1">
      <c r="A3838" s="129">
        <v>3838</v>
      </c>
    </row>
    <row r="3839" spans="1:1" ht="12.75" customHeight="1">
      <c r="A3839" s="129">
        <v>3839</v>
      </c>
    </row>
    <row r="3840" spans="1:1" ht="12.75" customHeight="1">
      <c r="A3840" s="129">
        <v>3840</v>
      </c>
    </row>
    <row r="3841" spans="1:1" ht="12.75" customHeight="1">
      <c r="A3841" s="129">
        <v>3841</v>
      </c>
    </row>
    <row r="3842" spans="1:1" ht="12.75" customHeight="1">
      <c r="A3842" s="129">
        <v>3842</v>
      </c>
    </row>
    <row r="3843" spans="1:1" ht="12.75" customHeight="1">
      <c r="A3843" s="129">
        <v>3843</v>
      </c>
    </row>
    <row r="3844" spans="1:1" ht="12.75" customHeight="1">
      <c r="A3844" s="129">
        <v>3844</v>
      </c>
    </row>
    <row r="3845" spans="1:1" ht="12.75" customHeight="1">
      <c r="A3845" s="129">
        <v>3845</v>
      </c>
    </row>
    <row r="3846" spans="1:1" ht="12.75" customHeight="1">
      <c r="A3846" s="129">
        <v>3846</v>
      </c>
    </row>
    <row r="3847" spans="1:1" ht="12.75" customHeight="1">
      <c r="A3847" s="129">
        <v>3847</v>
      </c>
    </row>
    <row r="3848" spans="1:1" ht="12.75" customHeight="1">
      <c r="A3848" s="129">
        <v>3848</v>
      </c>
    </row>
    <row r="3849" spans="1:1" ht="12.75" customHeight="1">
      <c r="A3849" s="129">
        <v>3849</v>
      </c>
    </row>
    <row r="3850" spans="1:1" ht="12.75" customHeight="1">
      <c r="A3850" s="129">
        <v>3850</v>
      </c>
    </row>
    <row r="3851" spans="1:1" ht="12.75" customHeight="1">
      <c r="A3851" s="129">
        <v>3851</v>
      </c>
    </row>
    <row r="3852" spans="1:1" ht="12.75" customHeight="1">
      <c r="A3852" s="129">
        <v>3852</v>
      </c>
    </row>
    <row r="3853" spans="1:1" ht="12.75" customHeight="1">
      <c r="A3853" s="129">
        <v>3853</v>
      </c>
    </row>
    <row r="3854" spans="1:1" ht="12.75" customHeight="1">
      <c r="A3854" s="129">
        <v>3854</v>
      </c>
    </row>
    <row r="3855" spans="1:1" ht="12.75" customHeight="1">
      <c r="A3855" s="129">
        <v>3855</v>
      </c>
    </row>
    <row r="3856" spans="1:1" ht="12.75" customHeight="1">
      <c r="A3856" s="129">
        <v>3856</v>
      </c>
    </row>
    <row r="3857" spans="1:1" ht="12.75" customHeight="1">
      <c r="A3857" s="129">
        <v>3857</v>
      </c>
    </row>
    <row r="3858" spans="1:1" ht="12.75" customHeight="1">
      <c r="A3858" s="129">
        <v>3858</v>
      </c>
    </row>
    <row r="3859" spans="1:1" ht="12.75" customHeight="1">
      <c r="A3859" s="129">
        <v>3859</v>
      </c>
    </row>
    <row r="3860" spans="1:1" ht="12.75" customHeight="1">
      <c r="A3860" s="129">
        <v>3860</v>
      </c>
    </row>
    <row r="3861" spans="1:1" ht="12.75" customHeight="1">
      <c r="A3861" s="129">
        <v>3861</v>
      </c>
    </row>
    <row r="3862" spans="1:1" ht="12.75" customHeight="1">
      <c r="A3862" s="129">
        <v>3862</v>
      </c>
    </row>
    <row r="3863" spans="1:1" ht="12.75" customHeight="1">
      <c r="A3863" s="129">
        <v>3863</v>
      </c>
    </row>
    <row r="3864" spans="1:1" ht="12.75" customHeight="1">
      <c r="A3864" s="129">
        <v>3864</v>
      </c>
    </row>
    <row r="3865" spans="1:1" ht="12.75" customHeight="1">
      <c r="A3865" s="129">
        <v>3865</v>
      </c>
    </row>
    <row r="3866" spans="1:1" ht="12.75" customHeight="1">
      <c r="A3866" s="129">
        <v>3866</v>
      </c>
    </row>
    <row r="3867" spans="1:1" ht="12.75" customHeight="1">
      <c r="A3867" s="129">
        <v>3867</v>
      </c>
    </row>
    <row r="3868" spans="1:1" ht="12.75" customHeight="1">
      <c r="A3868" s="129">
        <v>3868</v>
      </c>
    </row>
    <row r="3869" spans="1:1" ht="12.75" customHeight="1">
      <c r="A3869" s="129">
        <v>3869</v>
      </c>
    </row>
    <row r="3870" spans="1:1" ht="12.75" customHeight="1">
      <c r="A3870" s="129">
        <v>3870</v>
      </c>
    </row>
    <row r="3871" spans="1:1" ht="12.75" customHeight="1">
      <c r="A3871" s="129">
        <v>3871</v>
      </c>
    </row>
    <row r="3872" spans="1:1" ht="12.75" customHeight="1">
      <c r="A3872" s="129">
        <v>3872</v>
      </c>
    </row>
    <row r="3873" spans="1:1" ht="12.75" customHeight="1">
      <c r="A3873" s="129">
        <v>3873</v>
      </c>
    </row>
    <row r="3874" spans="1:1" ht="12.75" customHeight="1">
      <c r="A3874" s="129">
        <v>3874</v>
      </c>
    </row>
    <row r="3875" spans="1:1" ht="12.75" customHeight="1">
      <c r="A3875" s="129">
        <v>3875</v>
      </c>
    </row>
    <row r="3876" spans="1:1" ht="12.75" customHeight="1">
      <c r="A3876" s="129">
        <v>3876</v>
      </c>
    </row>
    <row r="3877" spans="1:1" ht="12.75" customHeight="1">
      <c r="A3877" s="129">
        <v>3877</v>
      </c>
    </row>
    <row r="3878" spans="1:1" ht="12.75" customHeight="1">
      <c r="A3878" s="129">
        <v>3878</v>
      </c>
    </row>
    <row r="3879" spans="1:1" ht="12.75" customHeight="1">
      <c r="A3879" s="129">
        <v>3879</v>
      </c>
    </row>
    <row r="3880" spans="1:1" ht="12.75" customHeight="1">
      <c r="A3880" s="129">
        <v>3880</v>
      </c>
    </row>
    <row r="3881" spans="1:1" ht="12.75" customHeight="1">
      <c r="A3881" s="129">
        <v>3881</v>
      </c>
    </row>
    <row r="3882" spans="1:1" ht="12.75" customHeight="1">
      <c r="A3882" s="129">
        <v>3882</v>
      </c>
    </row>
    <row r="3883" spans="1:1" ht="12.75" customHeight="1">
      <c r="A3883" s="129">
        <v>3883</v>
      </c>
    </row>
    <row r="3884" spans="1:1" ht="12.75" customHeight="1">
      <c r="A3884" s="129">
        <v>3884</v>
      </c>
    </row>
    <row r="3885" spans="1:1" ht="12.75" customHeight="1">
      <c r="A3885" s="129">
        <v>3885</v>
      </c>
    </row>
    <row r="3886" spans="1:1" ht="12.75" customHeight="1">
      <c r="A3886" s="129">
        <v>3886</v>
      </c>
    </row>
    <row r="3887" spans="1:1" ht="12.75" customHeight="1">
      <c r="A3887" s="129">
        <v>3887</v>
      </c>
    </row>
    <row r="3888" spans="1:1" ht="12.75" customHeight="1">
      <c r="A3888" s="129">
        <v>3888</v>
      </c>
    </row>
    <row r="3889" spans="1:1" ht="12.75" customHeight="1">
      <c r="A3889" s="129">
        <v>3889</v>
      </c>
    </row>
    <row r="3890" spans="1:1" ht="12.75" customHeight="1">
      <c r="A3890" s="129">
        <v>3890</v>
      </c>
    </row>
    <row r="3891" spans="1:1" ht="12.75" customHeight="1">
      <c r="A3891" s="129">
        <v>3891</v>
      </c>
    </row>
    <row r="3892" spans="1:1" ht="12.75" customHeight="1">
      <c r="A3892" s="129">
        <v>3892</v>
      </c>
    </row>
    <row r="3893" spans="1:1" ht="12.75" customHeight="1">
      <c r="A3893" s="129">
        <v>3893</v>
      </c>
    </row>
    <row r="3894" spans="1:1" ht="12.75" customHeight="1">
      <c r="A3894" s="129">
        <v>3894</v>
      </c>
    </row>
    <row r="3895" spans="1:1" ht="12.75" customHeight="1">
      <c r="A3895" s="129">
        <v>3895</v>
      </c>
    </row>
    <row r="3896" spans="1:1" ht="12.75" customHeight="1">
      <c r="A3896" s="129">
        <v>3896</v>
      </c>
    </row>
    <row r="3897" spans="1:1" ht="12.75" customHeight="1">
      <c r="A3897" s="129">
        <v>3897</v>
      </c>
    </row>
    <row r="3898" spans="1:1" ht="12.75" customHeight="1">
      <c r="A3898" s="129">
        <v>3898</v>
      </c>
    </row>
    <row r="3899" spans="1:1" ht="12.75" customHeight="1">
      <c r="A3899" s="129">
        <v>3899</v>
      </c>
    </row>
    <row r="3900" spans="1:1" ht="12.75" customHeight="1">
      <c r="A3900" s="129">
        <v>3900</v>
      </c>
    </row>
    <row r="3901" spans="1:1" ht="12.75" customHeight="1">
      <c r="A3901" s="129">
        <v>3901</v>
      </c>
    </row>
    <row r="3902" spans="1:1" ht="12.75" customHeight="1">
      <c r="A3902" s="129">
        <v>3902</v>
      </c>
    </row>
    <row r="3903" spans="1:1" ht="12.75" customHeight="1">
      <c r="A3903" s="129">
        <v>3903</v>
      </c>
    </row>
    <row r="3904" spans="1:1" ht="12.75" customHeight="1">
      <c r="A3904" s="129">
        <v>3904</v>
      </c>
    </row>
    <row r="3905" spans="1:1" ht="12.75" customHeight="1">
      <c r="A3905" s="129">
        <v>3905</v>
      </c>
    </row>
    <row r="3906" spans="1:1" ht="12.75" customHeight="1">
      <c r="A3906" s="129">
        <v>3906</v>
      </c>
    </row>
    <row r="3907" spans="1:1" ht="12.75" customHeight="1">
      <c r="A3907" s="129">
        <v>3907</v>
      </c>
    </row>
    <row r="3908" spans="1:1" ht="12.75" customHeight="1">
      <c r="A3908" s="129">
        <v>3908</v>
      </c>
    </row>
    <row r="3909" spans="1:1" ht="12.75" customHeight="1">
      <c r="A3909" s="129">
        <v>3909</v>
      </c>
    </row>
    <row r="3910" spans="1:1" ht="12.75" customHeight="1">
      <c r="A3910" s="129">
        <v>3910</v>
      </c>
    </row>
    <row r="3911" spans="1:1" ht="12.75" customHeight="1">
      <c r="A3911" s="129">
        <v>3911</v>
      </c>
    </row>
    <row r="3912" spans="1:1" ht="12.75" customHeight="1">
      <c r="A3912" s="129">
        <v>3912</v>
      </c>
    </row>
    <row r="3913" spans="1:1" ht="12.75" customHeight="1">
      <c r="A3913" s="129">
        <v>3913</v>
      </c>
    </row>
    <row r="3914" spans="1:1" ht="12.75" customHeight="1">
      <c r="A3914" s="129">
        <v>3914</v>
      </c>
    </row>
    <row r="3915" spans="1:1" ht="12.75" customHeight="1">
      <c r="A3915" s="129">
        <v>3915</v>
      </c>
    </row>
    <row r="3916" spans="1:1" ht="12.75" customHeight="1">
      <c r="A3916" s="129">
        <v>3916</v>
      </c>
    </row>
    <row r="3917" spans="1:1" ht="12.75" customHeight="1">
      <c r="A3917" s="129">
        <v>3917</v>
      </c>
    </row>
    <row r="3918" spans="1:1" ht="12.75" customHeight="1">
      <c r="A3918" s="129">
        <v>3918</v>
      </c>
    </row>
    <row r="3919" spans="1:1" ht="12.75" customHeight="1">
      <c r="A3919" s="129">
        <v>3919</v>
      </c>
    </row>
    <row r="3920" spans="1:1" ht="12.75" customHeight="1">
      <c r="A3920" s="129">
        <v>3920</v>
      </c>
    </row>
    <row r="3921" spans="1:1" ht="12.75" customHeight="1">
      <c r="A3921" s="129">
        <v>3921</v>
      </c>
    </row>
    <row r="3922" spans="1:1" ht="12.75" customHeight="1">
      <c r="A3922" s="129">
        <v>3922</v>
      </c>
    </row>
    <row r="3923" spans="1:1" ht="12.75" customHeight="1">
      <c r="A3923" s="129">
        <v>3923</v>
      </c>
    </row>
    <row r="3924" spans="1:1" ht="12.75" customHeight="1">
      <c r="A3924" s="129">
        <v>3924</v>
      </c>
    </row>
    <row r="3925" spans="1:1" ht="12.75" customHeight="1">
      <c r="A3925" s="129">
        <v>3925</v>
      </c>
    </row>
    <row r="3926" spans="1:1" ht="12.75" customHeight="1">
      <c r="A3926" s="129">
        <v>3926</v>
      </c>
    </row>
    <row r="3927" spans="1:1" ht="12.75" customHeight="1">
      <c r="A3927" s="129">
        <v>3927</v>
      </c>
    </row>
    <row r="3928" spans="1:1" ht="12.75" customHeight="1">
      <c r="A3928" s="129">
        <v>3928</v>
      </c>
    </row>
    <row r="3929" spans="1:1" ht="12.75" customHeight="1">
      <c r="A3929" s="129">
        <v>3929</v>
      </c>
    </row>
    <row r="3930" spans="1:1" ht="12.75" customHeight="1">
      <c r="A3930" s="129">
        <v>3930</v>
      </c>
    </row>
    <row r="3931" spans="1:1" ht="12.75" customHeight="1">
      <c r="A3931" s="129">
        <v>3931</v>
      </c>
    </row>
    <row r="3932" spans="1:1" ht="12.75" customHeight="1">
      <c r="A3932" s="129">
        <v>3932</v>
      </c>
    </row>
    <row r="3933" spans="1:1" ht="12.75" customHeight="1">
      <c r="A3933" s="129">
        <v>3933</v>
      </c>
    </row>
    <row r="3934" spans="1:1" ht="12.75" customHeight="1">
      <c r="A3934" s="129">
        <v>3934</v>
      </c>
    </row>
    <row r="3935" spans="1:1" ht="12.75" customHeight="1">
      <c r="A3935" s="129">
        <v>3935</v>
      </c>
    </row>
    <row r="3936" spans="1:1" ht="12.75" customHeight="1">
      <c r="A3936" s="129">
        <v>3936</v>
      </c>
    </row>
    <row r="3937" spans="1:1" ht="12.75" customHeight="1">
      <c r="A3937" s="129">
        <v>3937</v>
      </c>
    </row>
    <row r="3938" spans="1:1" ht="12.75" customHeight="1">
      <c r="A3938" s="129">
        <v>3938</v>
      </c>
    </row>
    <row r="3939" spans="1:1" ht="12.75" customHeight="1">
      <c r="A3939" s="129">
        <v>3939</v>
      </c>
    </row>
    <row r="3940" spans="1:1" ht="12.75" customHeight="1">
      <c r="A3940" s="129">
        <v>3940</v>
      </c>
    </row>
    <row r="3941" spans="1:1" ht="12.75" customHeight="1">
      <c r="A3941" s="129">
        <v>3941</v>
      </c>
    </row>
    <row r="3942" spans="1:1" ht="12.75" customHeight="1">
      <c r="A3942" s="129">
        <v>3942</v>
      </c>
    </row>
    <row r="3943" spans="1:1" ht="12.75" customHeight="1">
      <c r="A3943" s="129">
        <v>3943</v>
      </c>
    </row>
    <row r="3944" spans="1:1" ht="12.75" customHeight="1">
      <c r="A3944" s="129">
        <v>3944</v>
      </c>
    </row>
    <row r="3945" spans="1:1" ht="12.75" customHeight="1">
      <c r="A3945" s="129">
        <v>3945</v>
      </c>
    </row>
    <row r="3946" spans="1:1" ht="12.75" customHeight="1">
      <c r="A3946" s="129">
        <v>3946</v>
      </c>
    </row>
    <row r="3947" spans="1:1" ht="12.75" customHeight="1">
      <c r="A3947" s="129">
        <v>3947</v>
      </c>
    </row>
    <row r="3948" spans="1:1" ht="12.75" customHeight="1">
      <c r="A3948" s="129">
        <v>3948</v>
      </c>
    </row>
    <row r="3949" spans="1:1" ht="12.75" customHeight="1">
      <c r="A3949" s="129">
        <v>3949</v>
      </c>
    </row>
    <row r="3950" spans="1:1" ht="12.75" customHeight="1">
      <c r="A3950" s="129">
        <v>3950</v>
      </c>
    </row>
    <row r="3951" spans="1:1" ht="12.75" customHeight="1">
      <c r="A3951" s="129">
        <v>3951</v>
      </c>
    </row>
    <row r="3952" spans="1:1" ht="12.75" customHeight="1">
      <c r="A3952" s="129">
        <v>3952</v>
      </c>
    </row>
    <row r="3953" spans="1:1" ht="12.75" customHeight="1">
      <c r="A3953" s="129">
        <v>3953</v>
      </c>
    </row>
    <row r="3954" spans="1:1" ht="12.75" customHeight="1">
      <c r="A3954" s="129">
        <v>3954</v>
      </c>
    </row>
    <row r="3955" spans="1:1" ht="12.75" customHeight="1">
      <c r="A3955" s="129">
        <v>3955</v>
      </c>
    </row>
    <row r="3956" spans="1:1" ht="12.75" customHeight="1">
      <c r="A3956" s="129">
        <v>3956</v>
      </c>
    </row>
    <row r="3957" spans="1:1" ht="12.75" customHeight="1">
      <c r="A3957" s="129">
        <v>3957</v>
      </c>
    </row>
    <row r="3958" spans="1:1" ht="12.75" customHeight="1">
      <c r="A3958" s="129">
        <v>3958</v>
      </c>
    </row>
    <row r="3959" spans="1:1" ht="12.75" customHeight="1">
      <c r="A3959" s="129">
        <v>3959</v>
      </c>
    </row>
    <row r="3960" spans="1:1" ht="12.75" customHeight="1">
      <c r="A3960" s="129">
        <v>3960</v>
      </c>
    </row>
    <row r="3961" spans="1:1" ht="12.75" customHeight="1">
      <c r="A3961" s="129">
        <v>3961</v>
      </c>
    </row>
    <row r="3962" spans="1:1" ht="12.75" customHeight="1">
      <c r="A3962" s="129">
        <v>3962</v>
      </c>
    </row>
    <row r="3963" spans="1:1" ht="12.75" customHeight="1">
      <c r="A3963" s="129">
        <v>3963</v>
      </c>
    </row>
    <row r="3964" spans="1:1" ht="12.75" customHeight="1">
      <c r="A3964" s="129">
        <v>3964</v>
      </c>
    </row>
    <row r="3965" spans="1:1" ht="12.75" customHeight="1">
      <c r="A3965" s="129">
        <v>3965</v>
      </c>
    </row>
    <row r="3966" spans="1:1" ht="12.75" customHeight="1">
      <c r="A3966" s="129">
        <v>3966</v>
      </c>
    </row>
    <row r="3967" spans="1:1" ht="12.75" customHeight="1">
      <c r="A3967" s="129">
        <v>3967</v>
      </c>
    </row>
    <row r="3968" spans="1:1" ht="12.75" customHeight="1">
      <c r="A3968" s="129">
        <v>3968</v>
      </c>
    </row>
    <row r="3969" spans="1:1" ht="12.75" customHeight="1">
      <c r="A3969" s="129">
        <v>3969</v>
      </c>
    </row>
    <row r="3970" spans="1:1" ht="12.75" customHeight="1">
      <c r="A3970" s="129">
        <v>3970</v>
      </c>
    </row>
    <row r="3971" spans="1:1" ht="12.75" customHeight="1">
      <c r="A3971" s="129">
        <v>3971</v>
      </c>
    </row>
    <row r="3972" spans="1:1" ht="12.75" customHeight="1">
      <c r="A3972" s="129">
        <v>3972</v>
      </c>
    </row>
    <row r="3973" spans="1:1" ht="12.75" customHeight="1">
      <c r="A3973" s="129">
        <v>3973</v>
      </c>
    </row>
    <row r="3974" spans="1:1" ht="12.75" customHeight="1">
      <c r="A3974" s="129">
        <v>3974</v>
      </c>
    </row>
    <row r="3975" spans="1:1" ht="12.75" customHeight="1">
      <c r="A3975" s="129">
        <v>3975</v>
      </c>
    </row>
    <row r="3976" spans="1:1" ht="12.75" customHeight="1">
      <c r="A3976" s="129">
        <v>3976</v>
      </c>
    </row>
    <row r="3977" spans="1:1" ht="12.75" customHeight="1">
      <c r="A3977" s="129">
        <v>3977</v>
      </c>
    </row>
    <row r="3978" spans="1:1" ht="12.75" customHeight="1">
      <c r="A3978" s="129">
        <v>3978</v>
      </c>
    </row>
    <row r="3979" spans="1:1" ht="12.75" customHeight="1">
      <c r="A3979" s="129">
        <v>3979</v>
      </c>
    </row>
    <row r="3980" spans="1:1" ht="12.75" customHeight="1">
      <c r="A3980" s="129">
        <v>3980</v>
      </c>
    </row>
    <row r="3981" spans="1:1" ht="12.75" customHeight="1">
      <c r="A3981" s="129">
        <v>3981</v>
      </c>
    </row>
    <row r="3982" spans="1:1" ht="12.75" customHeight="1">
      <c r="A3982" s="129">
        <v>3982</v>
      </c>
    </row>
    <row r="3983" spans="1:1" ht="12.75" customHeight="1">
      <c r="A3983" s="129">
        <v>3983</v>
      </c>
    </row>
    <row r="3984" spans="1:1" ht="12.75" customHeight="1">
      <c r="A3984" s="129">
        <v>3984</v>
      </c>
    </row>
    <row r="3985" spans="1:1" ht="12.75" customHeight="1">
      <c r="A3985" s="129">
        <v>3985</v>
      </c>
    </row>
    <row r="3986" spans="1:1" ht="12.75" customHeight="1">
      <c r="A3986" s="129">
        <v>3986</v>
      </c>
    </row>
    <row r="3987" spans="1:1" ht="12.75" customHeight="1">
      <c r="A3987" s="129">
        <v>3987</v>
      </c>
    </row>
    <row r="3988" spans="1:1" ht="12.75" customHeight="1">
      <c r="A3988" s="129">
        <v>3988</v>
      </c>
    </row>
    <row r="3989" spans="1:1" ht="12.75" customHeight="1">
      <c r="A3989" s="129">
        <v>3989</v>
      </c>
    </row>
    <row r="3990" spans="1:1" ht="12.75" customHeight="1">
      <c r="A3990" s="129">
        <v>3990</v>
      </c>
    </row>
    <row r="3991" spans="1:1" ht="12.75" customHeight="1">
      <c r="A3991" s="129">
        <v>3991</v>
      </c>
    </row>
    <row r="3992" spans="1:1" ht="12.75" customHeight="1">
      <c r="A3992" s="129">
        <v>3992</v>
      </c>
    </row>
    <row r="3993" spans="1:1" ht="12.75" customHeight="1">
      <c r="A3993" s="129">
        <v>3993</v>
      </c>
    </row>
    <row r="3994" spans="1:1" ht="12.75" customHeight="1">
      <c r="A3994" s="129">
        <v>3994</v>
      </c>
    </row>
    <row r="3995" spans="1:1" ht="12.75" customHeight="1">
      <c r="A3995" s="129">
        <v>3995</v>
      </c>
    </row>
    <row r="3996" spans="1:1" ht="12.75" customHeight="1">
      <c r="A3996" s="129">
        <v>3996</v>
      </c>
    </row>
    <row r="3997" spans="1:1" ht="12.75" customHeight="1">
      <c r="A3997" s="129">
        <v>3997</v>
      </c>
    </row>
    <row r="3998" spans="1:1" ht="12.75" customHeight="1">
      <c r="A3998" s="129">
        <v>3998</v>
      </c>
    </row>
    <row r="3999" spans="1:1" ht="12.75" customHeight="1">
      <c r="A3999" s="129">
        <v>3999</v>
      </c>
    </row>
    <row r="4000" spans="1:1" ht="12.75" customHeight="1">
      <c r="A4000" s="129">
        <v>4000</v>
      </c>
    </row>
    <row r="4001" spans="1:1" ht="12.75" customHeight="1">
      <c r="A4001" s="129">
        <v>4001</v>
      </c>
    </row>
    <row r="4002" spans="1:1" ht="12.75" customHeight="1">
      <c r="A4002" s="129">
        <v>4002</v>
      </c>
    </row>
    <row r="4003" spans="1:1" ht="12.75" customHeight="1">
      <c r="A4003" s="129">
        <v>4003</v>
      </c>
    </row>
    <row r="4004" spans="1:1" ht="12.75" customHeight="1">
      <c r="A4004" s="129">
        <v>4004</v>
      </c>
    </row>
    <row r="4005" spans="1:1" ht="12.75" customHeight="1">
      <c r="A4005" s="129">
        <v>4005</v>
      </c>
    </row>
    <row r="4006" spans="1:1" ht="12.75" customHeight="1">
      <c r="A4006" s="129">
        <v>4006</v>
      </c>
    </row>
    <row r="4007" spans="1:1" ht="12.75" customHeight="1">
      <c r="A4007" s="129">
        <v>4007</v>
      </c>
    </row>
    <row r="4008" spans="1:1" ht="12.75" customHeight="1">
      <c r="A4008" s="129">
        <v>4008</v>
      </c>
    </row>
    <row r="4009" spans="1:1" ht="12.75" customHeight="1">
      <c r="A4009" s="129">
        <v>4009</v>
      </c>
    </row>
    <row r="4010" spans="1:1" ht="12.75" customHeight="1">
      <c r="A4010" s="129">
        <v>4010</v>
      </c>
    </row>
    <row r="4011" spans="1:1" ht="12.75" customHeight="1">
      <c r="A4011" s="129">
        <v>4011</v>
      </c>
    </row>
    <row r="4012" spans="1:1" ht="12.75" customHeight="1">
      <c r="A4012" s="129">
        <v>4012</v>
      </c>
    </row>
    <row r="4013" spans="1:1" ht="12.75" customHeight="1">
      <c r="A4013" s="129">
        <v>4013</v>
      </c>
    </row>
    <row r="4014" spans="1:1" ht="12.75" customHeight="1">
      <c r="A4014" s="129">
        <v>4014</v>
      </c>
    </row>
    <row r="4015" spans="1:1" ht="12.75" customHeight="1">
      <c r="A4015" s="129">
        <v>4015</v>
      </c>
    </row>
    <row r="4016" spans="1:1" ht="12.75" customHeight="1">
      <c r="A4016" s="129">
        <v>4016</v>
      </c>
    </row>
    <row r="4017" spans="1:1" ht="12.75" customHeight="1">
      <c r="A4017" s="129">
        <v>4017</v>
      </c>
    </row>
    <row r="4018" spans="1:1" ht="12.75" customHeight="1">
      <c r="A4018" s="129">
        <v>4018</v>
      </c>
    </row>
    <row r="4019" spans="1:1" ht="12.75" customHeight="1">
      <c r="A4019" s="129">
        <v>4019</v>
      </c>
    </row>
    <row r="4020" spans="1:1" ht="12.75" customHeight="1">
      <c r="A4020" s="129">
        <v>4020</v>
      </c>
    </row>
    <row r="4021" spans="1:1" ht="12.75" customHeight="1">
      <c r="A4021" s="129">
        <v>4021</v>
      </c>
    </row>
    <row r="4022" spans="1:1" ht="12.75" customHeight="1">
      <c r="A4022" s="129">
        <v>4022</v>
      </c>
    </row>
    <row r="4023" spans="1:1" ht="12.75" customHeight="1">
      <c r="A4023" s="129">
        <v>4023</v>
      </c>
    </row>
    <row r="4024" spans="1:1" ht="12.75" customHeight="1">
      <c r="A4024" s="129">
        <v>4024</v>
      </c>
    </row>
    <row r="4025" spans="1:1" ht="12.75" customHeight="1">
      <c r="A4025" s="129">
        <v>4025</v>
      </c>
    </row>
    <row r="4026" spans="1:1" ht="12.75" customHeight="1">
      <c r="A4026" s="129">
        <v>4026</v>
      </c>
    </row>
    <row r="4027" spans="1:1" ht="12.75" customHeight="1">
      <c r="A4027" s="129">
        <v>4027</v>
      </c>
    </row>
    <row r="4028" spans="1:1" ht="12.75" customHeight="1">
      <c r="A4028" s="129">
        <v>4028</v>
      </c>
    </row>
    <row r="4029" spans="1:1" ht="12.75" customHeight="1">
      <c r="A4029" s="129">
        <v>4029</v>
      </c>
    </row>
    <row r="4030" spans="1:1" ht="12.75" customHeight="1">
      <c r="A4030" s="129">
        <v>4030</v>
      </c>
    </row>
    <row r="4031" spans="1:1" ht="12.75" customHeight="1">
      <c r="A4031" s="129">
        <v>4031</v>
      </c>
    </row>
    <row r="4032" spans="1:1" ht="12.75" customHeight="1">
      <c r="A4032" s="129">
        <v>4032</v>
      </c>
    </row>
    <row r="4033" spans="1:1" ht="12.75" customHeight="1">
      <c r="A4033" s="129">
        <v>4033</v>
      </c>
    </row>
    <row r="4034" spans="1:1" ht="12.75" customHeight="1">
      <c r="A4034" s="129">
        <v>4034</v>
      </c>
    </row>
    <row r="4035" spans="1:1" ht="12.75" customHeight="1">
      <c r="A4035" s="129">
        <v>4035</v>
      </c>
    </row>
    <row r="4036" spans="1:1" ht="12.75" customHeight="1">
      <c r="A4036" s="129">
        <v>4036</v>
      </c>
    </row>
    <row r="4037" spans="1:1" ht="12.75" customHeight="1">
      <c r="A4037" s="129">
        <v>4037</v>
      </c>
    </row>
    <row r="4038" spans="1:1" ht="12.75" customHeight="1">
      <c r="A4038" s="129">
        <v>4038</v>
      </c>
    </row>
    <row r="4039" spans="1:1" ht="12.75" customHeight="1">
      <c r="A4039" s="129">
        <v>4039</v>
      </c>
    </row>
    <row r="4040" spans="1:1" ht="12.75" customHeight="1">
      <c r="A4040" s="129">
        <v>4040</v>
      </c>
    </row>
    <row r="4041" spans="1:1" ht="12.75" customHeight="1">
      <c r="A4041" s="129">
        <v>4041</v>
      </c>
    </row>
    <row r="4042" spans="1:1" ht="12.75" customHeight="1">
      <c r="A4042" s="129">
        <v>4042</v>
      </c>
    </row>
    <row r="4043" spans="1:1" ht="12.75" customHeight="1">
      <c r="A4043" s="129">
        <v>4043</v>
      </c>
    </row>
    <row r="4044" spans="1:1" ht="12.75" customHeight="1">
      <c r="A4044" s="129">
        <v>4044</v>
      </c>
    </row>
    <row r="4045" spans="1:1" ht="12.75" customHeight="1">
      <c r="A4045" s="129">
        <v>4045</v>
      </c>
    </row>
    <row r="4046" spans="1:1" ht="12.75" customHeight="1">
      <c r="A4046" s="129">
        <v>4046</v>
      </c>
    </row>
    <row r="4047" spans="1:1" ht="12.75" customHeight="1">
      <c r="A4047" s="129">
        <v>4047</v>
      </c>
    </row>
    <row r="4048" spans="1:1" ht="12.75" customHeight="1">
      <c r="A4048" s="129">
        <v>4048</v>
      </c>
    </row>
    <row r="4049" spans="1:1" ht="12.75" customHeight="1">
      <c r="A4049" s="129">
        <v>4049</v>
      </c>
    </row>
    <row r="4050" spans="1:1" ht="12.75" customHeight="1">
      <c r="A4050" s="129">
        <v>4050</v>
      </c>
    </row>
    <row r="4051" spans="1:1" ht="12.75" customHeight="1">
      <c r="A4051" s="129">
        <v>4051</v>
      </c>
    </row>
    <row r="4052" spans="1:1" ht="12.75" customHeight="1">
      <c r="A4052" s="129">
        <v>4052</v>
      </c>
    </row>
    <row r="4053" spans="1:1" ht="12.75" customHeight="1">
      <c r="A4053" s="129">
        <v>4053</v>
      </c>
    </row>
    <row r="4054" spans="1:1" ht="12.75" customHeight="1">
      <c r="A4054" s="129">
        <v>4054</v>
      </c>
    </row>
    <row r="4055" spans="1:1" ht="12.75" customHeight="1">
      <c r="A4055" s="129">
        <v>4055</v>
      </c>
    </row>
    <row r="4056" spans="1:1" ht="12.75" customHeight="1">
      <c r="A4056" s="129">
        <v>4056</v>
      </c>
    </row>
    <row r="4057" spans="1:1" ht="12.75" customHeight="1">
      <c r="A4057" s="129">
        <v>4057</v>
      </c>
    </row>
    <row r="4058" spans="1:1" ht="12.75" customHeight="1">
      <c r="A4058" s="129">
        <v>4058</v>
      </c>
    </row>
    <row r="4059" spans="1:1" ht="12.75" customHeight="1">
      <c r="A4059" s="129">
        <v>4059</v>
      </c>
    </row>
    <row r="4060" spans="1:1" ht="12.75" customHeight="1">
      <c r="A4060" s="129">
        <v>4060</v>
      </c>
    </row>
    <row r="4061" spans="1:1" ht="12.75" customHeight="1">
      <c r="A4061" s="129">
        <v>4061</v>
      </c>
    </row>
    <row r="4062" spans="1:1" ht="12.75" customHeight="1">
      <c r="A4062" s="129">
        <v>4062</v>
      </c>
    </row>
    <row r="4063" spans="1:1" ht="12.75" customHeight="1">
      <c r="A4063" s="129">
        <v>4063</v>
      </c>
    </row>
    <row r="4064" spans="1:1" ht="12.75" customHeight="1">
      <c r="A4064" s="129">
        <v>4064</v>
      </c>
    </row>
    <row r="4065" spans="1:1" ht="12.75" customHeight="1">
      <c r="A4065" s="129">
        <v>4065</v>
      </c>
    </row>
    <row r="4066" spans="1:1" ht="12.75" customHeight="1">
      <c r="A4066" s="129">
        <v>4066</v>
      </c>
    </row>
    <row r="4067" spans="1:1" ht="12.75" customHeight="1">
      <c r="A4067" s="129">
        <v>4067</v>
      </c>
    </row>
    <row r="4068" spans="1:1" ht="12.75" customHeight="1">
      <c r="A4068" s="129">
        <v>4068</v>
      </c>
    </row>
    <row r="4069" spans="1:1" ht="12.75" customHeight="1">
      <c r="A4069" s="129">
        <v>4069</v>
      </c>
    </row>
    <row r="4070" spans="1:1" ht="12.75" customHeight="1">
      <c r="A4070" s="129">
        <v>4070</v>
      </c>
    </row>
    <row r="4071" spans="1:1" ht="12.75" customHeight="1">
      <c r="A4071" s="129">
        <v>4071</v>
      </c>
    </row>
    <row r="4072" spans="1:1" ht="12.75" customHeight="1">
      <c r="A4072" s="129">
        <v>4072</v>
      </c>
    </row>
    <row r="4073" spans="1:1" ht="12.75" customHeight="1">
      <c r="A4073" s="129">
        <v>4073</v>
      </c>
    </row>
    <row r="4074" spans="1:1" ht="12.75" customHeight="1">
      <c r="A4074" s="129">
        <v>4074</v>
      </c>
    </row>
    <row r="4075" spans="1:1" ht="12.75" customHeight="1">
      <c r="A4075" s="129">
        <v>4075</v>
      </c>
    </row>
    <row r="4076" spans="1:1" ht="12.75" customHeight="1">
      <c r="A4076" s="129">
        <v>4076</v>
      </c>
    </row>
    <row r="4077" spans="1:1" ht="12.75" customHeight="1">
      <c r="A4077" s="129">
        <v>4077</v>
      </c>
    </row>
    <row r="4078" spans="1:1" ht="12.75" customHeight="1">
      <c r="A4078" s="129">
        <v>4078</v>
      </c>
    </row>
    <row r="4079" spans="1:1" ht="12.75" customHeight="1">
      <c r="A4079" s="129">
        <v>4079</v>
      </c>
    </row>
    <row r="4080" spans="1:1" ht="12.75" customHeight="1">
      <c r="A4080" s="129">
        <v>4080</v>
      </c>
    </row>
    <row r="4081" spans="1:1" ht="12.75" customHeight="1">
      <c r="A4081" s="129">
        <v>4081</v>
      </c>
    </row>
    <row r="4082" spans="1:1" ht="12.75" customHeight="1">
      <c r="A4082" s="129">
        <v>4082</v>
      </c>
    </row>
    <row r="4083" spans="1:1" ht="12.75" customHeight="1">
      <c r="A4083" s="129">
        <v>4083</v>
      </c>
    </row>
    <row r="4084" spans="1:1" ht="12.75" customHeight="1">
      <c r="A4084" s="129">
        <v>4084</v>
      </c>
    </row>
    <row r="4085" spans="1:1" ht="12.75" customHeight="1">
      <c r="A4085" s="129">
        <v>4085</v>
      </c>
    </row>
    <row r="4086" spans="1:1" ht="12.75" customHeight="1">
      <c r="A4086" s="129">
        <v>4086</v>
      </c>
    </row>
    <row r="4087" spans="1:1" ht="12.75" customHeight="1">
      <c r="A4087" s="129">
        <v>4087</v>
      </c>
    </row>
    <row r="4088" spans="1:1" ht="12.75" customHeight="1">
      <c r="A4088" s="129">
        <v>4088</v>
      </c>
    </row>
    <row r="4089" spans="1:1" ht="12.75" customHeight="1">
      <c r="A4089" s="129">
        <v>4089</v>
      </c>
    </row>
    <row r="4090" spans="1:1" ht="12.75" customHeight="1">
      <c r="A4090" s="129">
        <v>4090</v>
      </c>
    </row>
    <row r="4091" spans="1:1" ht="12.75" customHeight="1">
      <c r="A4091" s="129">
        <v>4091</v>
      </c>
    </row>
    <row r="4092" spans="1:1" ht="12.75" customHeight="1">
      <c r="A4092" s="129">
        <v>4092</v>
      </c>
    </row>
    <row r="4093" spans="1:1" ht="12.75" customHeight="1">
      <c r="A4093" s="129">
        <v>4093</v>
      </c>
    </row>
    <row r="4094" spans="1:1" ht="12.75" customHeight="1">
      <c r="A4094" s="129">
        <v>4094</v>
      </c>
    </row>
    <row r="4095" spans="1:1" ht="12.75" customHeight="1">
      <c r="A4095" s="129">
        <v>4095</v>
      </c>
    </row>
    <row r="4096" spans="1:1" ht="12.75" customHeight="1">
      <c r="A4096" s="129">
        <v>4096</v>
      </c>
    </row>
    <row r="4097" spans="1:1" ht="12.75" customHeight="1">
      <c r="A4097" s="129">
        <v>4097</v>
      </c>
    </row>
    <row r="4098" spans="1:1" ht="12.75" customHeight="1">
      <c r="A4098" s="129">
        <v>4098</v>
      </c>
    </row>
    <row r="4099" spans="1:1" ht="12.75" customHeight="1">
      <c r="A4099" s="129">
        <v>4099</v>
      </c>
    </row>
    <row r="4100" spans="1:1" ht="12.75" customHeight="1">
      <c r="A4100" s="129">
        <v>4100</v>
      </c>
    </row>
    <row r="4101" spans="1:1" ht="12.75" customHeight="1">
      <c r="A4101" s="129">
        <v>4101</v>
      </c>
    </row>
    <row r="4102" spans="1:1" ht="12.75" customHeight="1">
      <c r="A4102" s="129">
        <v>4102</v>
      </c>
    </row>
    <row r="4103" spans="1:1" ht="12.75" customHeight="1">
      <c r="A4103" s="129">
        <v>4103</v>
      </c>
    </row>
    <row r="4104" spans="1:1" ht="12.75" customHeight="1">
      <c r="A4104" s="129">
        <v>4104</v>
      </c>
    </row>
    <row r="4105" spans="1:1" ht="12.75" customHeight="1">
      <c r="A4105" s="129">
        <v>4105</v>
      </c>
    </row>
    <row r="4106" spans="1:1" ht="12.75" customHeight="1">
      <c r="A4106" s="129">
        <v>4106</v>
      </c>
    </row>
    <row r="4107" spans="1:1" ht="12.75" customHeight="1">
      <c r="A4107" s="129">
        <v>4107</v>
      </c>
    </row>
    <row r="4108" spans="1:1" ht="12.75" customHeight="1">
      <c r="A4108" s="129">
        <v>4108</v>
      </c>
    </row>
    <row r="4109" spans="1:1" ht="12.75" customHeight="1">
      <c r="A4109" s="129">
        <v>4109</v>
      </c>
    </row>
    <row r="4110" spans="1:1" ht="12.75" customHeight="1">
      <c r="A4110" s="129">
        <v>4110</v>
      </c>
    </row>
    <row r="4111" spans="1:1" ht="12.75" customHeight="1">
      <c r="A4111" s="129">
        <v>4111</v>
      </c>
    </row>
    <row r="4112" spans="1:1" ht="12.75" customHeight="1">
      <c r="A4112" s="129">
        <v>4112</v>
      </c>
    </row>
    <row r="4113" spans="1:1" ht="12.75" customHeight="1">
      <c r="A4113" s="129">
        <v>4113</v>
      </c>
    </row>
    <row r="4114" spans="1:1" ht="12.75" customHeight="1">
      <c r="A4114" s="129">
        <v>4114</v>
      </c>
    </row>
    <row r="4115" spans="1:1" ht="12.75" customHeight="1">
      <c r="A4115" s="129">
        <v>4115</v>
      </c>
    </row>
    <row r="4116" spans="1:1" ht="12.75" customHeight="1">
      <c r="A4116" s="129">
        <v>4116</v>
      </c>
    </row>
    <row r="4117" spans="1:1" ht="12.75" customHeight="1">
      <c r="A4117" s="129">
        <v>4117</v>
      </c>
    </row>
    <row r="4118" spans="1:1" ht="12.75" customHeight="1">
      <c r="A4118" s="129">
        <v>4118</v>
      </c>
    </row>
    <row r="4119" spans="1:1" ht="12.75" customHeight="1">
      <c r="A4119" s="129">
        <v>4119</v>
      </c>
    </row>
    <row r="4120" spans="1:1" ht="12.75" customHeight="1">
      <c r="A4120" s="129">
        <v>4120</v>
      </c>
    </row>
    <row r="4121" spans="1:1" ht="12.75" customHeight="1">
      <c r="A4121" s="129">
        <v>4121</v>
      </c>
    </row>
    <row r="4122" spans="1:1" ht="12.75" customHeight="1">
      <c r="A4122" s="129">
        <v>4122</v>
      </c>
    </row>
    <row r="4123" spans="1:1" ht="12.75" customHeight="1">
      <c r="A4123" s="129">
        <v>4123</v>
      </c>
    </row>
    <row r="4124" spans="1:1" ht="12.75" customHeight="1">
      <c r="A4124" s="129">
        <v>4124</v>
      </c>
    </row>
    <row r="4125" spans="1:1" ht="12.75" customHeight="1">
      <c r="A4125" s="129">
        <v>4125</v>
      </c>
    </row>
    <row r="4126" spans="1:1" ht="12.75" customHeight="1">
      <c r="A4126" s="129">
        <v>4126</v>
      </c>
    </row>
    <row r="4127" spans="1:1" ht="12.75" customHeight="1">
      <c r="A4127" s="129">
        <v>4127</v>
      </c>
    </row>
    <row r="4128" spans="1:1" ht="12.75" customHeight="1">
      <c r="A4128" s="129">
        <v>4128</v>
      </c>
    </row>
    <row r="4129" spans="1:1" ht="12.75" customHeight="1">
      <c r="A4129" s="129">
        <v>4129</v>
      </c>
    </row>
    <row r="4130" spans="1:1" ht="12.75" customHeight="1">
      <c r="A4130" s="129">
        <v>4130</v>
      </c>
    </row>
    <row r="4131" spans="1:1" ht="12.75" customHeight="1">
      <c r="A4131" s="129">
        <v>4131</v>
      </c>
    </row>
    <row r="4132" spans="1:1" ht="12.75" customHeight="1">
      <c r="A4132" s="129">
        <v>4132</v>
      </c>
    </row>
    <row r="4133" spans="1:1" ht="12.75" customHeight="1">
      <c r="A4133" s="129">
        <v>4133</v>
      </c>
    </row>
    <row r="4134" spans="1:1" ht="12.75" customHeight="1">
      <c r="A4134" s="129">
        <v>4134</v>
      </c>
    </row>
    <row r="4135" spans="1:1" ht="12.75" customHeight="1">
      <c r="A4135" s="129">
        <v>4135</v>
      </c>
    </row>
    <row r="4136" spans="1:1" ht="12.75" customHeight="1">
      <c r="A4136" s="129">
        <v>4136</v>
      </c>
    </row>
    <row r="4137" spans="1:1" ht="12.75" customHeight="1">
      <c r="A4137" s="129">
        <v>4137</v>
      </c>
    </row>
    <row r="4138" spans="1:1" ht="12.75" customHeight="1">
      <c r="A4138" s="129">
        <v>4138</v>
      </c>
    </row>
    <row r="4139" spans="1:1" ht="12.75" customHeight="1">
      <c r="A4139" s="129">
        <v>4139</v>
      </c>
    </row>
    <row r="4140" spans="1:1" ht="12.75" customHeight="1">
      <c r="A4140" s="129">
        <v>4140</v>
      </c>
    </row>
    <row r="4141" spans="1:1" ht="12.75" customHeight="1">
      <c r="A4141" s="129">
        <v>4141</v>
      </c>
    </row>
    <row r="4142" spans="1:1" ht="12.75" customHeight="1">
      <c r="A4142" s="129">
        <v>4142</v>
      </c>
    </row>
    <row r="4143" spans="1:1" ht="12.75" customHeight="1">
      <c r="A4143" s="129">
        <v>4143</v>
      </c>
    </row>
    <row r="4144" spans="1:1" ht="12.75" customHeight="1">
      <c r="A4144" s="129">
        <v>4144</v>
      </c>
    </row>
    <row r="4145" spans="1:1" ht="12.75" customHeight="1">
      <c r="A4145" s="129">
        <v>4145</v>
      </c>
    </row>
    <row r="4146" spans="1:1" ht="12.75" customHeight="1">
      <c r="A4146" s="129">
        <v>4146</v>
      </c>
    </row>
    <row r="4147" spans="1:1" ht="12.75" customHeight="1">
      <c r="A4147" s="129">
        <v>4147</v>
      </c>
    </row>
    <row r="4148" spans="1:1" ht="12.75" customHeight="1">
      <c r="A4148" s="129">
        <v>4148</v>
      </c>
    </row>
    <row r="4149" spans="1:1" ht="12.75" customHeight="1">
      <c r="A4149" s="129">
        <v>4149</v>
      </c>
    </row>
    <row r="4150" spans="1:1" ht="12.75" customHeight="1">
      <c r="A4150" s="129">
        <v>4150</v>
      </c>
    </row>
    <row r="4151" spans="1:1" ht="12.75" customHeight="1">
      <c r="A4151" s="129">
        <v>4151</v>
      </c>
    </row>
    <row r="4152" spans="1:1" ht="12.75" customHeight="1">
      <c r="A4152" s="129">
        <v>4152</v>
      </c>
    </row>
    <row r="4153" spans="1:1" ht="12.75" customHeight="1">
      <c r="A4153" s="129">
        <v>4153</v>
      </c>
    </row>
    <row r="4154" spans="1:1" ht="12.75" customHeight="1">
      <c r="A4154" s="129">
        <v>4154</v>
      </c>
    </row>
    <row r="4155" spans="1:1" ht="12.75" customHeight="1">
      <c r="A4155" s="129">
        <v>4155</v>
      </c>
    </row>
    <row r="4156" spans="1:1" ht="12.75" customHeight="1">
      <c r="A4156" s="129">
        <v>4156</v>
      </c>
    </row>
    <row r="4157" spans="1:1" ht="12.75" customHeight="1">
      <c r="A4157" s="129">
        <v>4157</v>
      </c>
    </row>
    <row r="4158" spans="1:1" ht="12.75" customHeight="1">
      <c r="A4158" s="129">
        <v>4158</v>
      </c>
    </row>
    <row r="4159" spans="1:1" ht="12.75" customHeight="1">
      <c r="A4159" s="129">
        <v>4159</v>
      </c>
    </row>
    <row r="4160" spans="1:1" ht="12.75" customHeight="1">
      <c r="A4160" s="129">
        <v>4160</v>
      </c>
    </row>
    <row r="4161" spans="1:1" ht="12.75" customHeight="1">
      <c r="A4161" s="129">
        <v>4161</v>
      </c>
    </row>
    <row r="4162" spans="1:1" ht="12.75" customHeight="1">
      <c r="A4162" s="129">
        <v>4162</v>
      </c>
    </row>
    <row r="4163" spans="1:1" ht="12.75" customHeight="1">
      <c r="A4163" s="129">
        <v>4163</v>
      </c>
    </row>
    <row r="4164" spans="1:1" ht="12.75" customHeight="1">
      <c r="A4164" s="129">
        <v>4164</v>
      </c>
    </row>
    <row r="4165" spans="1:1" ht="12.75" customHeight="1">
      <c r="A4165" s="129">
        <v>4165</v>
      </c>
    </row>
    <row r="4166" spans="1:1" ht="12.75" customHeight="1">
      <c r="A4166" s="129">
        <v>4166</v>
      </c>
    </row>
    <row r="4167" spans="1:1" ht="12.75" customHeight="1">
      <c r="A4167" s="129">
        <v>4167</v>
      </c>
    </row>
    <row r="4168" spans="1:1" ht="12.75" customHeight="1">
      <c r="A4168" s="129">
        <v>4168</v>
      </c>
    </row>
    <row r="4169" spans="1:1" ht="12.75" customHeight="1">
      <c r="A4169" s="129">
        <v>4169</v>
      </c>
    </row>
    <row r="4170" spans="1:1" ht="12.75" customHeight="1">
      <c r="A4170" s="129">
        <v>4170</v>
      </c>
    </row>
    <row r="4171" spans="1:1" ht="12.75" customHeight="1">
      <c r="A4171" s="129">
        <v>4171</v>
      </c>
    </row>
    <row r="4172" spans="1:1" ht="12.75" customHeight="1">
      <c r="A4172" s="129">
        <v>4172</v>
      </c>
    </row>
    <row r="4173" spans="1:1" ht="12.75" customHeight="1">
      <c r="A4173" s="129">
        <v>4173</v>
      </c>
    </row>
    <row r="4174" spans="1:1" ht="12.75" customHeight="1">
      <c r="A4174" s="129">
        <v>4174</v>
      </c>
    </row>
    <row r="4175" spans="1:1" ht="12.75" customHeight="1">
      <c r="A4175" s="129">
        <v>4175</v>
      </c>
    </row>
    <row r="4176" spans="1:1" ht="12.75" customHeight="1">
      <c r="A4176" s="129">
        <v>4176</v>
      </c>
    </row>
    <row r="4177" spans="1:1" ht="12.75" customHeight="1">
      <c r="A4177" s="129">
        <v>4177</v>
      </c>
    </row>
    <row r="4178" spans="1:1" ht="12.75" customHeight="1">
      <c r="A4178" s="129">
        <v>4178</v>
      </c>
    </row>
    <row r="4179" spans="1:1" ht="12.75" customHeight="1">
      <c r="A4179" s="129">
        <v>4179</v>
      </c>
    </row>
    <row r="4180" spans="1:1" ht="12.75" customHeight="1">
      <c r="A4180" s="129">
        <v>4180</v>
      </c>
    </row>
    <row r="4181" spans="1:1" ht="12.75" customHeight="1">
      <c r="A4181" s="129">
        <v>4181</v>
      </c>
    </row>
    <row r="4182" spans="1:1" ht="12.75" customHeight="1">
      <c r="A4182" s="129">
        <v>4182</v>
      </c>
    </row>
    <row r="4183" spans="1:1" ht="12.75" customHeight="1">
      <c r="A4183" s="129">
        <v>4183</v>
      </c>
    </row>
    <row r="4184" spans="1:1" ht="12.75" customHeight="1">
      <c r="A4184" s="129">
        <v>4184</v>
      </c>
    </row>
    <row r="4185" spans="1:1" ht="12.75" customHeight="1">
      <c r="A4185" s="129">
        <v>4185</v>
      </c>
    </row>
    <row r="4186" spans="1:1" ht="12.75" customHeight="1">
      <c r="A4186" s="129">
        <v>4186</v>
      </c>
    </row>
    <row r="4187" spans="1:1" ht="12.75" customHeight="1">
      <c r="A4187" s="129">
        <v>4187</v>
      </c>
    </row>
    <row r="4188" spans="1:1" ht="12.75" customHeight="1">
      <c r="A4188" s="129">
        <v>4188</v>
      </c>
    </row>
    <row r="4189" spans="1:1" ht="12.75" customHeight="1">
      <c r="A4189" s="129">
        <v>4189</v>
      </c>
    </row>
    <row r="4190" spans="1:1" ht="12.75" customHeight="1">
      <c r="A4190" s="129">
        <v>4190</v>
      </c>
    </row>
    <row r="4191" spans="1:1" ht="12.75" customHeight="1">
      <c r="A4191" s="129">
        <v>4191</v>
      </c>
    </row>
    <row r="4192" spans="1:1" ht="12.75" customHeight="1">
      <c r="A4192" s="129">
        <v>4192</v>
      </c>
    </row>
    <row r="4193" spans="1:1" ht="12.75" customHeight="1">
      <c r="A4193" s="129">
        <v>4193</v>
      </c>
    </row>
    <row r="4194" spans="1:1" ht="12.75" customHeight="1">
      <c r="A4194" s="129">
        <v>4194</v>
      </c>
    </row>
    <row r="4195" spans="1:1" ht="12.75" customHeight="1">
      <c r="A4195" s="129">
        <v>4195</v>
      </c>
    </row>
    <row r="4196" spans="1:1" ht="12.75" customHeight="1">
      <c r="A4196" s="129">
        <v>4196</v>
      </c>
    </row>
    <row r="4197" spans="1:1" ht="12.75" customHeight="1">
      <c r="A4197" s="129">
        <v>4197</v>
      </c>
    </row>
    <row r="4198" spans="1:1" ht="12.75" customHeight="1">
      <c r="A4198" s="129">
        <v>4198</v>
      </c>
    </row>
    <row r="4199" spans="1:1" ht="12.75" customHeight="1">
      <c r="A4199" s="129">
        <v>4199</v>
      </c>
    </row>
    <row r="4200" spans="1:1" ht="12.75" customHeight="1">
      <c r="A4200" s="129">
        <v>4200</v>
      </c>
    </row>
    <row r="4201" spans="1:1" ht="12.75" customHeight="1">
      <c r="A4201" s="129">
        <v>4201</v>
      </c>
    </row>
    <row r="4202" spans="1:1" ht="12.75" customHeight="1">
      <c r="A4202" s="129">
        <v>4202</v>
      </c>
    </row>
    <row r="4203" spans="1:1" ht="12.75" customHeight="1">
      <c r="A4203" s="129">
        <v>4203</v>
      </c>
    </row>
    <row r="4204" spans="1:1" ht="12.75" customHeight="1">
      <c r="A4204" s="129">
        <v>4204</v>
      </c>
    </row>
    <row r="4205" spans="1:1" ht="12.75" customHeight="1">
      <c r="A4205" s="129">
        <v>4205</v>
      </c>
    </row>
    <row r="4206" spans="1:1" ht="12.75" customHeight="1">
      <c r="A4206" s="129">
        <v>4206</v>
      </c>
    </row>
    <row r="4207" spans="1:1" ht="12.75" customHeight="1">
      <c r="A4207" s="129">
        <v>4207</v>
      </c>
    </row>
    <row r="4208" spans="1:1" ht="12.75" customHeight="1">
      <c r="A4208" s="129">
        <v>4208</v>
      </c>
    </row>
    <row r="4209" spans="1:1" ht="12.75" customHeight="1">
      <c r="A4209" s="129">
        <v>4209</v>
      </c>
    </row>
    <row r="4210" spans="1:1" ht="12.75" customHeight="1">
      <c r="A4210" s="129">
        <v>4210</v>
      </c>
    </row>
    <row r="4211" spans="1:1" ht="12.75" customHeight="1">
      <c r="A4211" s="129">
        <v>4211</v>
      </c>
    </row>
    <row r="4212" spans="1:1" ht="12.75" customHeight="1">
      <c r="A4212" s="129">
        <v>4212</v>
      </c>
    </row>
    <row r="4213" spans="1:1" ht="12.75" customHeight="1">
      <c r="A4213" s="129">
        <v>4213</v>
      </c>
    </row>
    <row r="4214" spans="1:1" ht="12.75" customHeight="1">
      <c r="A4214" s="129">
        <v>4214</v>
      </c>
    </row>
    <row r="4215" spans="1:1" ht="12.75" customHeight="1">
      <c r="A4215" s="129">
        <v>4215</v>
      </c>
    </row>
    <row r="4216" spans="1:1" ht="12.75" customHeight="1">
      <c r="A4216" s="129">
        <v>4216</v>
      </c>
    </row>
    <row r="4217" spans="1:1" ht="12.75" customHeight="1">
      <c r="A4217" s="129">
        <v>4217</v>
      </c>
    </row>
    <row r="4218" spans="1:1" ht="12.75" customHeight="1">
      <c r="A4218" s="129">
        <v>4218</v>
      </c>
    </row>
    <row r="4219" spans="1:1" ht="12.75" customHeight="1">
      <c r="A4219" s="129">
        <v>4219</v>
      </c>
    </row>
    <row r="4220" spans="1:1" ht="12.75" customHeight="1">
      <c r="A4220" s="129">
        <v>4220</v>
      </c>
    </row>
    <row r="4221" spans="1:1" ht="12.75" customHeight="1">
      <c r="A4221" s="129">
        <v>4221</v>
      </c>
    </row>
    <row r="4222" spans="1:1" ht="12.75" customHeight="1">
      <c r="A4222" s="129">
        <v>4222</v>
      </c>
    </row>
    <row r="4223" spans="1:1" ht="12.75" customHeight="1">
      <c r="A4223" s="129">
        <v>4223</v>
      </c>
    </row>
    <row r="4224" spans="1:1" ht="12.75" customHeight="1">
      <c r="A4224" s="129">
        <v>4224</v>
      </c>
    </row>
    <row r="4225" spans="1:1" ht="12.75" customHeight="1">
      <c r="A4225" s="129">
        <v>4225</v>
      </c>
    </row>
    <row r="4226" spans="1:1" ht="12.75" customHeight="1">
      <c r="A4226" s="129">
        <v>4226</v>
      </c>
    </row>
    <row r="4227" spans="1:1" ht="12.75" customHeight="1">
      <c r="A4227" s="129">
        <v>4227</v>
      </c>
    </row>
    <row r="4228" spans="1:1" ht="12.75" customHeight="1">
      <c r="A4228" s="129">
        <v>4228</v>
      </c>
    </row>
    <row r="4229" spans="1:1" ht="12.75" customHeight="1">
      <c r="A4229" s="129">
        <v>4229</v>
      </c>
    </row>
    <row r="4230" spans="1:1" ht="12.75" customHeight="1">
      <c r="A4230" s="129">
        <v>4230</v>
      </c>
    </row>
    <row r="4231" spans="1:1" ht="12.75" customHeight="1">
      <c r="A4231" s="129">
        <v>4231</v>
      </c>
    </row>
    <row r="4232" spans="1:1" ht="12.75" customHeight="1">
      <c r="A4232" s="129">
        <v>4232</v>
      </c>
    </row>
    <row r="4233" spans="1:1" ht="12.75" customHeight="1">
      <c r="A4233" s="129">
        <v>4233</v>
      </c>
    </row>
    <row r="4234" spans="1:1" ht="12.75" customHeight="1">
      <c r="A4234" s="129">
        <v>4234</v>
      </c>
    </row>
    <row r="4235" spans="1:1" ht="12.75" customHeight="1">
      <c r="A4235" s="129">
        <v>4235</v>
      </c>
    </row>
    <row r="4236" spans="1:1" ht="12.75" customHeight="1">
      <c r="A4236" s="129">
        <v>4236</v>
      </c>
    </row>
    <row r="4237" spans="1:1" ht="12.75" customHeight="1">
      <c r="A4237" s="129">
        <v>4237</v>
      </c>
    </row>
    <row r="4238" spans="1:1" ht="12.75" customHeight="1">
      <c r="A4238" s="129">
        <v>4238</v>
      </c>
    </row>
    <row r="4239" spans="1:1" ht="12.75" customHeight="1">
      <c r="A4239" s="129">
        <v>4239</v>
      </c>
    </row>
    <row r="4240" spans="1:1" ht="12.75" customHeight="1">
      <c r="A4240" s="129">
        <v>4240</v>
      </c>
    </row>
    <row r="4241" spans="1:1" ht="12.75" customHeight="1">
      <c r="A4241" s="129">
        <v>4241</v>
      </c>
    </row>
    <row r="4242" spans="1:1" ht="12.75" customHeight="1">
      <c r="A4242" s="129">
        <v>4242</v>
      </c>
    </row>
    <row r="4243" spans="1:1" ht="12.75" customHeight="1">
      <c r="A4243" s="129">
        <v>4243</v>
      </c>
    </row>
    <row r="4244" spans="1:1" ht="12.75" customHeight="1">
      <c r="A4244" s="129">
        <v>4244</v>
      </c>
    </row>
    <row r="4245" spans="1:1" ht="12.75" customHeight="1">
      <c r="A4245" s="129">
        <v>4245</v>
      </c>
    </row>
    <row r="4246" spans="1:1" ht="12.75" customHeight="1">
      <c r="A4246" s="129">
        <v>4246</v>
      </c>
    </row>
    <row r="4247" spans="1:1" ht="12.75" customHeight="1">
      <c r="A4247" s="129">
        <v>4247</v>
      </c>
    </row>
    <row r="4248" spans="1:1" ht="12.75" customHeight="1">
      <c r="A4248" s="129">
        <v>4248</v>
      </c>
    </row>
    <row r="4249" spans="1:1" ht="12.75" customHeight="1">
      <c r="A4249" s="129">
        <v>4249</v>
      </c>
    </row>
    <row r="4250" spans="1:1" ht="12.75" customHeight="1">
      <c r="A4250" s="129">
        <v>4250</v>
      </c>
    </row>
    <row r="4251" spans="1:1" ht="12.75" customHeight="1">
      <c r="A4251" s="129">
        <v>4251</v>
      </c>
    </row>
    <row r="4252" spans="1:1" ht="12.75" customHeight="1">
      <c r="A4252" s="129">
        <v>4252</v>
      </c>
    </row>
    <row r="4253" spans="1:1" ht="12.75" customHeight="1">
      <c r="A4253" s="129">
        <v>4253</v>
      </c>
    </row>
    <row r="4254" spans="1:1" ht="12.75" customHeight="1">
      <c r="A4254" s="129">
        <v>4254</v>
      </c>
    </row>
    <row r="4255" spans="1:1" ht="12.75" customHeight="1">
      <c r="A4255" s="129">
        <v>4255</v>
      </c>
    </row>
    <row r="4256" spans="1:1" ht="12.75" customHeight="1">
      <c r="A4256" s="129">
        <v>4256</v>
      </c>
    </row>
    <row r="4257" spans="1:1" ht="12.75" customHeight="1">
      <c r="A4257" s="129">
        <v>4257</v>
      </c>
    </row>
    <row r="4258" spans="1:1" ht="12.75" customHeight="1">
      <c r="A4258" s="129">
        <v>4258</v>
      </c>
    </row>
    <row r="4259" spans="1:1" ht="12.75" customHeight="1">
      <c r="A4259" s="129">
        <v>4259</v>
      </c>
    </row>
    <row r="4260" spans="1:1" ht="12.75" customHeight="1">
      <c r="A4260" s="129">
        <v>4260</v>
      </c>
    </row>
    <row r="4261" spans="1:1" ht="12.75" customHeight="1">
      <c r="A4261" s="129">
        <v>4261</v>
      </c>
    </row>
    <row r="4262" spans="1:1" ht="12.75" customHeight="1">
      <c r="A4262" s="129">
        <v>4262</v>
      </c>
    </row>
    <row r="4263" spans="1:1" ht="12.75" customHeight="1">
      <c r="A4263" s="129">
        <v>4263</v>
      </c>
    </row>
    <row r="4264" spans="1:1" ht="12.75" customHeight="1">
      <c r="A4264" s="129">
        <v>4264</v>
      </c>
    </row>
    <row r="4265" spans="1:1" ht="12.75" customHeight="1">
      <c r="A4265" s="129">
        <v>4265</v>
      </c>
    </row>
    <row r="4266" spans="1:1" ht="12.75" customHeight="1">
      <c r="A4266" s="129">
        <v>4266</v>
      </c>
    </row>
    <row r="4267" spans="1:1" ht="12.75" customHeight="1">
      <c r="A4267" s="129">
        <v>4267</v>
      </c>
    </row>
    <row r="4268" spans="1:1" ht="12.75" customHeight="1">
      <c r="A4268" s="129">
        <v>4268</v>
      </c>
    </row>
    <row r="4269" spans="1:1" ht="12.75" customHeight="1">
      <c r="A4269" s="129">
        <v>4269</v>
      </c>
    </row>
    <row r="4270" spans="1:1" ht="12.75" customHeight="1">
      <c r="A4270" s="129">
        <v>4270</v>
      </c>
    </row>
    <row r="4271" spans="1:1" ht="12.75" customHeight="1">
      <c r="A4271" s="129">
        <v>4271</v>
      </c>
    </row>
    <row r="4272" spans="1:1" ht="12.75" customHeight="1">
      <c r="A4272" s="129">
        <v>4272</v>
      </c>
    </row>
    <row r="4273" spans="1:1" ht="12.75" customHeight="1">
      <c r="A4273" s="129">
        <v>4273</v>
      </c>
    </row>
    <row r="4274" spans="1:1" ht="12.75" customHeight="1">
      <c r="A4274" s="129">
        <v>4274</v>
      </c>
    </row>
    <row r="4275" spans="1:1" ht="12.75" customHeight="1">
      <c r="A4275" s="129">
        <v>4275</v>
      </c>
    </row>
    <row r="4276" spans="1:1" ht="12.75" customHeight="1">
      <c r="A4276" s="129">
        <v>4276</v>
      </c>
    </row>
    <row r="4277" spans="1:1" ht="12.75" customHeight="1">
      <c r="A4277" s="129">
        <v>4277</v>
      </c>
    </row>
    <row r="4278" spans="1:1" ht="12.75" customHeight="1">
      <c r="A4278" s="129">
        <v>4278</v>
      </c>
    </row>
    <row r="4279" spans="1:1" ht="12.75" customHeight="1">
      <c r="A4279" s="129">
        <v>4279</v>
      </c>
    </row>
    <row r="4280" spans="1:1" ht="12.75" customHeight="1">
      <c r="A4280" s="129">
        <v>4280</v>
      </c>
    </row>
    <row r="4281" spans="1:1" ht="12.75" customHeight="1">
      <c r="A4281" s="129">
        <v>4281</v>
      </c>
    </row>
    <row r="4282" spans="1:1" ht="12.75" customHeight="1">
      <c r="A4282" s="129">
        <v>4282</v>
      </c>
    </row>
    <row r="4283" spans="1:1" ht="12.75" customHeight="1">
      <c r="A4283" s="129">
        <v>4283</v>
      </c>
    </row>
    <row r="4284" spans="1:1" ht="12.75" customHeight="1">
      <c r="A4284" s="129">
        <v>4284</v>
      </c>
    </row>
    <row r="4285" spans="1:1" ht="12.75" customHeight="1">
      <c r="A4285" s="129">
        <v>4285</v>
      </c>
    </row>
    <row r="4286" spans="1:1" ht="12.75" customHeight="1">
      <c r="A4286" s="129">
        <v>4286</v>
      </c>
    </row>
    <row r="4287" spans="1:1" ht="12.75" customHeight="1">
      <c r="A4287" s="129">
        <v>4287</v>
      </c>
    </row>
    <row r="4288" spans="1:1" ht="12.75" customHeight="1">
      <c r="A4288" s="129">
        <v>4288</v>
      </c>
    </row>
    <row r="4289" spans="1:1" ht="12.75" customHeight="1">
      <c r="A4289" s="129">
        <v>4289</v>
      </c>
    </row>
    <row r="4290" spans="1:1" ht="12.75" customHeight="1">
      <c r="A4290" s="129">
        <v>4290</v>
      </c>
    </row>
    <row r="4291" spans="1:1" ht="12.75" customHeight="1">
      <c r="A4291" s="129">
        <v>4291</v>
      </c>
    </row>
    <row r="4292" spans="1:1" ht="12.75" customHeight="1">
      <c r="A4292" s="129">
        <v>4292</v>
      </c>
    </row>
    <row r="4293" spans="1:1" ht="12.75" customHeight="1">
      <c r="A4293" s="129">
        <v>4293</v>
      </c>
    </row>
    <row r="4294" spans="1:1" ht="12.75" customHeight="1">
      <c r="A4294" s="129">
        <v>4294</v>
      </c>
    </row>
    <row r="4295" spans="1:1" ht="12.75" customHeight="1">
      <c r="A4295" s="129">
        <v>4295</v>
      </c>
    </row>
    <row r="4296" spans="1:1" ht="12.75" customHeight="1">
      <c r="A4296" s="129">
        <v>4296</v>
      </c>
    </row>
    <row r="4297" spans="1:1" ht="12.75" customHeight="1">
      <c r="A4297" s="129">
        <v>4297</v>
      </c>
    </row>
    <row r="4298" spans="1:1" ht="12.75" customHeight="1">
      <c r="A4298" s="129">
        <v>4298</v>
      </c>
    </row>
    <row r="4299" spans="1:1" ht="12.75" customHeight="1">
      <c r="A4299" s="129">
        <v>4299</v>
      </c>
    </row>
    <row r="4300" spans="1:1" ht="12.75" customHeight="1">
      <c r="A4300" s="129">
        <v>4300</v>
      </c>
    </row>
    <row r="4301" spans="1:1" ht="12.75" customHeight="1">
      <c r="A4301" s="129">
        <v>4301</v>
      </c>
    </row>
    <row r="4302" spans="1:1" ht="12.75" customHeight="1">
      <c r="A4302" s="129">
        <v>4302</v>
      </c>
    </row>
    <row r="4303" spans="1:1" ht="12.75" customHeight="1">
      <c r="A4303" s="129">
        <v>4303</v>
      </c>
    </row>
    <row r="4304" spans="1:1" ht="12.75" customHeight="1">
      <c r="A4304" s="129">
        <v>4304</v>
      </c>
    </row>
    <row r="4305" spans="1:1" ht="12.75" customHeight="1">
      <c r="A4305" s="129">
        <v>4305</v>
      </c>
    </row>
    <row r="4306" spans="1:1" ht="12.75" customHeight="1">
      <c r="A4306" s="129">
        <v>4306</v>
      </c>
    </row>
    <row r="4307" spans="1:1" ht="12.75" customHeight="1">
      <c r="A4307" s="129">
        <v>4307</v>
      </c>
    </row>
    <row r="4308" spans="1:1" ht="12.75" customHeight="1">
      <c r="A4308" s="129">
        <v>4308</v>
      </c>
    </row>
    <row r="4309" spans="1:1" ht="12.75" customHeight="1">
      <c r="A4309" s="129">
        <v>4309</v>
      </c>
    </row>
    <row r="4310" spans="1:1" ht="12.75" customHeight="1">
      <c r="A4310" s="129">
        <v>4310</v>
      </c>
    </row>
    <row r="4311" spans="1:1" ht="12.75" customHeight="1">
      <c r="A4311" s="129">
        <v>4311</v>
      </c>
    </row>
    <row r="4312" spans="1:1" ht="12.75" customHeight="1">
      <c r="A4312" s="129">
        <v>4312</v>
      </c>
    </row>
    <row r="4313" spans="1:1" ht="12.75" customHeight="1">
      <c r="A4313" s="129">
        <v>4313</v>
      </c>
    </row>
    <row r="4314" spans="1:1" ht="12.75" customHeight="1">
      <c r="A4314" s="129">
        <v>4314</v>
      </c>
    </row>
    <row r="4315" spans="1:1" ht="12.75" customHeight="1">
      <c r="A4315" s="129">
        <v>4315</v>
      </c>
    </row>
    <row r="4316" spans="1:1" ht="12.75" customHeight="1">
      <c r="A4316" s="129">
        <v>4316</v>
      </c>
    </row>
    <row r="4317" spans="1:1" ht="12.75" customHeight="1">
      <c r="A4317" s="129">
        <v>4317</v>
      </c>
    </row>
    <row r="4318" spans="1:1" ht="12.75" customHeight="1">
      <c r="A4318" s="129">
        <v>4318</v>
      </c>
    </row>
    <row r="4319" spans="1:1" ht="12.75" customHeight="1">
      <c r="A4319" s="129">
        <v>4319</v>
      </c>
    </row>
    <row r="4320" spans="1:1" ht="12.75" customHeight="1">
      <c r="A4320" s="129">
        <v>4320</v>
      </c>
    </row>
    <row r="4321" spans="1:1" ht="12.75" customHeight="1">
      <c r="A4321" s="129">
        <v>4321</v>
      </c>
    </row>
    <row r="4322" spans="1:1" ht="12.75" customHeight="1">
      <c r="A4322" s="129">
        <v>4322</v>
      </c>
    </row>
    <row r="4323" spans="1:1" ht="12.75" customHeight="1">
      <c r="A4323" s="129">
        <v>4323</v>
      </c>
    </row>
    <row r="4324" spans="1:1" ht="12.75" customHeight="1">
      <c r="A4324" s="129">
        <v>4324</v>
      </c>
    </row>
    <row r="4325" spans="1:1" ht="12.75" customHeight="1">
      <c r="A4325" s="129">
        <v>4325</v>
      </c>
    </row>
    <row r="4326" spans="1:1" ht="12.75" customHeight="1">
      <c r="A4326" s="129">
        <v>4326</v>
      </c>
    </row>
    <row r="4327" spans="1:1" ht="12.75" customHeight="1">
      <c r="A4327" s="129">
        <v>4327</v>
      </c>
    </row>
    <row r="4328" spans="1:1" ht="12.75" customHeight="1">
      <c r="A4328" s="129">
        <v>4328</v>
      </c>
    </row>
    <row r="4329" spans="1:1" ht="12.75" customHeight="1">
      <c r="A4329" s="129">
        <v>4329</v>
      </c>
    </row>
    <row r="4330" spans="1:1" ht="12.75" customHeight="1">
      <c r="A4330" s="129">
        <v>4330</v>
      </c>
    </row>
    <row r="4331" spans="1:1" ht="12.75" customHeight="1">
      <c r="A4331" s="129">
        <v>4331</v>
      </c>
    </row>
    <row r="4332" spans="1:1" ht="12.75" customHeight="1">
      <c r="A4332" s="129">
        <v>4332</v>
      </c>
    </row>
    <row r="4333" spans="1:1" ht="12.75" customHeight="1">
      <c r="A4333" s="129">
        <v>4333</v>
      </c>
    </row>
    <row r="4334" spans="1:1" ht="12.75" customHeight="1">
      <c r="A4334" s="129">
        <v>4334</v>
      </c>
    </row>
    <row r="4335" spans="1:1" ht="12.75" customHeight="1">
      <c r="A4335" s="129">
        <v>4335</v>
      </c>
    </row>
    <row r="4336" spans="1:1" ht="12.75" customHeight="1">
      <c r="A4336" s="129">
        <v>4336</v>
      </c>
    </row>
    <row r="4337" spans="1:1" ht="12.75" customHeight="1">
      <c r="A4337" s="129">
        <v>4337</v>
      </c>
    </row>
    <row r="4338" spans="1:1" ht="12.75" customHeight="1">
      <c r="A4338" s="129">
        <v>4338</v>
      </c>
    </row>
    <row r="4339" spans="1:1" ht="12.75" customHeight="1">
      <c r="A4339" s="129">
        <v>4339</v>
      </c>
    </row>
    <row r="4340" spans="1:1" ht="12.75" customHeight="1">
      <c r="A4340" s="129">
        <v>4340</v>
      </c>
    </row>
    <row r="4341" spans="1:1" ht="12.75" customHeight="1">
      <c r="A4341" s="129">
        <v>4341</v>
      </c>
    </row>
    <row r="4342" spans="1:1" ht="12.75" customHeight="1">
      <c r="A4342" s="129">
        <v>4342</v>
      </c>
    </row>
    <row r="4343" spans="1:1" ht="12.75" customHeight="1">
      <c r="A4343" s="129">
        <v>4343</v>
      </c>
    </row>
    <row r="4344" spans="1:1" ht="12.75" customHeight="1">
      <c r="A4344" s="129">
        <v>4344</v>
      </c>
    </row>
    <row r="4345" spans="1:1" ht="12.75" customHeight="1">
      <c r="A4345" s="129">
        <v>4345</v>
      </c>
    </row>
    <row r="4346" spans="1:1" ht="12.75" customHeight="1">
      <c r="A4346" s="129">
        <v>4346</v>
      </c>
    </row>
    <row r="4347" spans="1:1" ht="12.75" customHeight="1">
      <c r="A4347" s="129">
        <v>4347</v>
      </c>
    </row>
    <row r="4348" spans="1:1" ht="12.75" customHeight="1">
      <c r="A4348" s="129">
        <v>4348</v>
      </c>
    </row>
    <row r="4349" spans="1:1" ht="12.75" customHeight="1">
      <c r="A4349" s="129">
        <v>4349</v>
      </c>
    </row>
    <row r="4350" spans="1:1" ht="12.75" customHeight="1">
      <c r="A4350" s="129">
        <v>4350</v>
      </c>
    </row>
    <row r="4351" spans="1:1" ht="12.75" customHeight="1">
      <c r="A4351" s="129">
        <v>4351</v>
      </c>
    </row>
    <row r="4352" spans="1:1" ht="12.75" customHeight="1">
      <c r="A4352" s="129">
        <v>4352</v>
      </c>
    </row>
    <row r="4353" spans="1:1" ht="12.75" customHeight="1">
      <c r="A4353" s="129">
        <v>4353</v>
      </c>
    </row>
    <row r="4354" spans="1:1" ht="12.75" customHeight="1">
      <c r="A4354" s="129">
        <v>4354</v>
      </c>
    </row>
    <row r="4355" spans="1:1" ht="12.75" customHeight="1">
      <c r="A4355" s="129">
        <v>4355</v>
      </c>
    </row>
    <row r="4356" spans="1:1" ht="12.75" customHeight="1">
      <c r="A4356" s="129">
        <v>4356</v>
      </c>
    </row>
    <row r="4357" spans="1:1" ht="12.75" customHeight="1">
      <c r="A4357" s="129">
        <v>4357</v>
      </c>
    </row>
    <row r="4358" spans="1:1" ht="12.75" customHeight="1">
      <c r="A4358" s="129">
        <v>4358</v>
      </c>
    </row>
    <row r="4359" spans="1:1" ht="12.75" customHeight="1">
      <c r="A4359" s="129">
        <v>4359</v>
      </c>
    </row>
    <row r="4360" spans="1:1" ht="12.75" customHeight="1">
      <c r="A4360" s="129">
        <v>4360</v>
      </c>
    </row>
    <row r="4361" spans="1:1" ht="12.75" customHeight="1">
      <c r="A4361" s="129">
        <v>4361</v>
      </c>
    </row>
    <row r="4362" spans="1:1" ht="12.75" customHeight="1">
      <c r="A4362" s="129">
        <v>4362</v>
      </c>
    </row>
    <row r="4363" spans="1:1" ht="12.75" customHeight="1">
      <c r="A4363" s="129">
        <v>4363</v>
      </c>
    </row>
    <row r="4364" spans="1:1" ht="12.75" customHeight="1">
      <c r="A4364" s="129">
        <v>4364</v>
      </c>
    </row>
    <row r="4365" spans="1:1" ht="12.75" customHeight="1">
      <c r="A4365" s="129">
        <v>4365</v>
      </c>
    </row>
    <row r="4366" spans="1:1" ht="12.75" customHeight="1">
      <c r="A4366" s="129">
        <v>4366</v>
      </c>
    </row>
    <row r="4367" spans="1:1" ht="12.75" customHeight="1">
      <c r="A4367" s="129">
        <v>4367</v>
      </c>
    </row>
    <row r="4368" spans="1:1" ht="12.75" customHeight="1">
      <c r="A4368" s="129">
        <v>4368</v>
      </c>
    </row>
    <row r="4369" spans="1:1" ht="12.75" customHeight="1">
      <c r="A4369" s="129">
        <v>4369</v>
      </c>
    </row>
    <row r="4370" spans="1:1" ht="12.75" customHeight="1">
      <c r="A4370" s="129">
        <v>4370</v>
      </c>
    </row>
    <row r="4371" spans="1:1" ht="12.75" customHeight="1">
      <c r="A4371" s="129">
        <v>4371</v>
      </c>
    </row>
    <row r="4372" spans="1:1" ht="12.75" customHeight="1">
      <c r="A4372" s="129">
        <v>4372</v>
      </c>
    </row>
    <row r="4373" spans="1:1" ht="12.75" customHeight="1">
      <c r="A4373" s="129">
        <v>4373</v>
      </c>
    </row>
    <row r="4374" spans="1:1" ht="12.75" customHeight="1">
      <c r="A4374" s="129">
        <v>4374</v>
      </c>
    </row>
    <row r="4375" spans="1:1" ht="12.75" customHeight="1">
      <c r="A4375" s="129">
        <v>4375</v>
      </c>
    </row>
    <row r="4376" spans="1:1" ht="12.75" customHeight="1">
      <c r="A4376" s="129">
        <v>4376</v>
      </c>
    </row>
    <row r="4377" spans="1:1" ht="12.75" customHeight="1">
      <c r="A4377" s="129">
        <v>4377</v>
      </c>
    </row>
    <row r="4378" spans="1:1" ht="12.75" customHeight="1">
      <c r="A4378" s="129">
        <v>4378</v>
      </c>
    </row>
    <row r="4379" spans="1:1" ht="12.75" customHeight="1">
      <c r="A4379" s="129">
        <v>4379</v>
      </c>
    </row>
    <row r="4380" spans="1:1" ht="12.75" customHeight="1">
      <c r="A4380" s="129">
        <v>4380</v>
      </c>
    </row>
    <row r="4381" spans="1:1" ht="12.75" customHeight="1">
      <c r="A4381" s="129">
        <v>4381</v>
      </c>
    </row>
    <row r="4382" spans="1:1" ht="12.75" customHeight="1">
      <c r="A4382" s="129">
        <v>4382</v>
      </c>
    </row>
    <row r="4383" spans="1:1" ht="12.75" customHeight="1">
      <c r="A4383" s="129">
        <v>4383</v>
      </c>
    </row>
    <row r="4384" spans="1:1" ht="12.75" customHeight="1">
      <c r="A4384" s="129">
        <v>4384</v>
      </c>
    </row>
    <row r="4385" spans="1:1" ht="12.75" customHeight="1">
      <c r="A4385" s="129">
        <v>4385</v>
      </c>
    </row>
    <row r="4386" spans="1:1" ht="12.75" customHeight="1">
      <c r="A4386" s="129">
        <v>4386</v>
      </c>
    </row>
    <row r="4387" spans="1:1" ht="12.75" customHeight="1">
      <c r="A4387" s="129">
        <v>4387</v>
      </c>
    </row>
    <row r="4388" spans="1:1" ht="12.75" customHeight="1">
      <c r="A4388" s="129">
        <v>4388</v>
      </c>
    </row>
    <row r="4389" spans="1:1" ht="12.75" customHeight="1">
      <c r="A4389" s="129">
        <v>4389</v>
      </c>
    </row>
    <row r="4390" spans="1:1" ht="12.75" customHeight="1">
      <c r="A4390" s="129">
        <v>4390</v>
      </c>
    </row>
    <row r="4391" spans="1:1" ht="12.75" customHeight="1">
      <c r="A4391" s="129">
        <v>4391</v>
      </c>
    </row>
    <row r="4392" spans="1:1" ht="12.75" customHeight="1">
      <c r="A4392" s="129">
        <v>4392</v>
      </c>
    </row>
    <row r="4393" spans="1:1" ht="12.75" customHeight="1">
      <c r="A4393" s="129">
        <v>4393</v>
      </c>
    </row>
    <row r="4394" spans="1:1" ht="12.75" customHeight="1">
      <c r="A4394" s="129">
        <v>4394</v>
      </c>
    </row>
    <row r="4395" spans="1:1" ht="12.75" customHeight="1">
      <c r="A4395" s="129">
        <v>4395</v>
      </c>
    </row>
    <row r="4396" spans="1:1" ht="12.75" customHeight="1">
      <c r="A4396" s="129">
        <v>4396</v>
      </c>
    </row>
    <row r="4397" spans="1:1" ht="12.75" customHeight="1">
      <c r="A4397" s="129">
        <v>4397</v>
      </c>
    </row>
    <row r="4398" spans="1:1" ht="12.75" customHeight="1">
      <c r="A4398" s="129">
        <v>4398</v>
      </c>
    </row>
    <row r="4399" spans="1:1" ht="12.75" customHeight="1">
      <c r="A4399" s="129">
        <v>4399</v>
      </c>
    </row>
    <row r="4400" spans="1:1" ht="12.75" customHeight="1">
      <c r="A4400" s="129">
        <v>4400</v>
      </c>
    </row>
    <row r="4401" spans="1:1" ht="12.75" customHeight="1">
      <c r="A4401" s="129">
        <v>4401</v>
      </c>
    </row>
    <row r="4402" spans="1:1" ht="12.75" customHeight="1">
      <c r="A4402" s="129">
        <v>4402</v>
      </c>
    </row>
    <row r="4403" spans="1:1" ht="12.75" customHeight="1">
      <c r="A4403" s="129">
        <v>4403</v>
      </c>
    </row>
    <row r="4404" spans="1:1" ht="12.75" customHeight="1">
      <c r="A4404" s="129">
        <v>4404</v>
      </c>
    </row>
    <row r="4405" spans="1:1" ht="12.75" customHeight="1">
      <c r="A4405" s="129">
        <v>4405</v>
      </c>
    </row>
    <row r="4406" spans="1:1" ht="12.75" customHeight="1">
      <c r="A4406" s="129">
        <v>4406</v>
      </c>
    </row>
    <row r="4407" spans="1:1" ht="12.75" customHeight="1">
      <c r="A4407" s="129">
        <v>4407</v>
      </c>
    </row>
    <row r="4408" spans="1:1" ht="12.75" customHeight="1">
      <c r="A4408" s="129">
        <v>4408</v>
      </c>
    </row>
    <row r="4409" spans="1:1" ht="12.75" customHeight="1">
      <c r="A4409" s="129">
        <v>4409</v>
      </c>
    </row>
    <row r="4410" spans="1:1" ht="12.75" customHeight="1">
      <c r="A4410" s="129">
        <v>4410</v>
      </c>
    </row>
    <row r="4411" spans="1:1" ht="12.75" customHeight="1">
      <c r="A4411" s="129">
        <v>4411</v>
      </c>
    </row>
    <row r="4412" spans="1:1" ht="12.75" customHeight="1">
      <c r="A4412" s="129">
        <v>4412</v>
      </c>
    </row>
    <row r="4413" spans="1:1" ht="12.75" customHeight="1">
      <c r="A4413" s="129">
        <v>4413</v>
      </c>
    </row>
    <row r="4414" spans="1:1" ht="12.75" customHeight="1">
      <c r="A4414" s="129">
        <v>4414</v>
      </c>
    </row>
    <row r="4415" spans="1:1" ht="12.75" customHeight="1">
      <c r="A4415" s="129">
        <v>4415</v>
      </c>
    </row>
    <row r="4416" spans="1:1" ht="12.75" customHeight="1">
      <c r="A4416" s="129">
        <v>4416</v>
      </c>
    </row>
    <row r="4417" spans="1:1" ht="12.75" customHeight="1">
      <c r="A4417" s="129">
        <v>4417</v>
      </c>
    </row>
    <row r="4418" spans="1:1" ht="12.75" customHeight="1">
      <c r="A4418" s="129">
        <v>4418</v>
      </c>
    </row>
    <row r="4419" spans="1:1" ht="12.75" customHeight="1">
      <c r="A4419" s="129">
        <v>4419</v>
      </c>
    </row>
    <row r="4420" spans="1:1" ht="12.75" customHeight="1">
      <c r="A4420" s="129">
        <v>4420</v>
      </c>
    </row>
    <row r="4421" spans="1:1" ht="12.75" customHeight="1">
      <c r="A4421" s="129">
        <v>4421</v>
      </c>
    </row>
    <row r="4422" spans="1:1" ht="12.75" customHeight="1">
      <c r="A4422" s="129">
        <v>4422</v>
      </c>
    </row>
    <row r="4423" spans="1:1" ht="12.75" customHeight="1">
      <c r="A4423" s="129">
        <v>4423</v>
      </c>
    </row>
    <row r="4424" spans="1:1" ht="12.75" customHeight="1">
      <c r="A4424" s="129">
        <v>4424</v>
      </c>
    </row>
    <row r="4425" spans="1:1" ht="12.75" customHeight="1">
      <c r="A4425" s="129">
        <v>4425</v>
      </c>
    </row>
    <row r="4426" spans="1:1" ht="12.75" customHeight="1">
      <c r="A4426" s="129">
        <v>4426</v>
      </c>
    </row>
    <row r="4427" spans="1:1" ht="12.75" customHeight="1">
      <c r="A4427" s="129">
        <v>4427</v>
      </c>
    </row>
    <row r="4428" spans="1:1" ht="12.75" customHeight="1">
      <c r="A4428" s="129">
        <v>4428</v>
      </c>
    </row>
    <row r="4429" spans="1:1" ht="12.75" customHeight="1">
      <c r="A4429" s="129">
        <v>4429</v>
      </c>
    </row>
    <row r="4430" spans="1:1" ht="12.75" customHeight="1">
      <c r="A4430" s="129">
        <v>4430</v>
      </c>
    </row>
    <row r="4431" spans="1:1" ht="12.75" customHeight="1">
      <c r="A4431" s="129">
        <v>4431</v>
      </c>
    </row>
    <row r="4432" spans="1:1" ht="12.75" customHeight="1">
      <c r="A4432" s="129">
        <v>4432</v>
      </c>
    </row>
    <row r="4433" spans="1:1" ht="12.75" customHeight="1">
      <c r="A4433" s="129">
        <v>4433</v>
      </c>
    </row>
    <row r="4434" spans="1:1" ht="12.75" customHeight="1">
      <c r="A4434" s="129">
        <v>4434</v>
      </c>
    </row>
    <row r="4435" spans="1:1" ht="12.75" customHeight="1">
      <c r="A4435" s="129">
        <v>4435</v>
      </c>
    </row>
    <row r="4436" spans="1:1" ht="12.75" customHeight="1">
      <c r="A4436" s="129">
        <v>4436</v>
      </c>
    </row>
    <row r="4437" spans="1:1" ht="12.75" customHeight="1">
      <c r="A4437" s="129">
        <v>4437</v>
      </c>
    </row>
    <row r="4438" spans="1:1" ht="12.75" customHeight="1">
      <c r="A4438" s="129">
        <v>4438</v>
      </c>
    </row>
    <row r="4439" spans="1:1" ht="12.75" customHeight="1">
      <c r="A4439" s="129">
        <v>4439</v>
      </c>
    </row>
    <row r="4440" spans="1:1" ht="12.75" customHeight="1">
      <c r="A4440" s="129">
        <v>4440</v>
      </c>
    </row>
    <row r="4441" spans="1:1" ht="12.75" customHeight="1">
      <c r="A4441" s="129">
        <v>4441</v>
      </c>
    </row>
    <row r="4442" spans="1:1" ht="12.75" customHeight="1">
      <c r="A4442" s="129">
        <v>4442</v>
      </c>
    </row>
    <row r="4443" spans="1:1" ht="12.75" customHeight="1">
      <c r="A4443" s="129">
        <v>4443</v>
      </c>
    </row>
    <row r="4444" spans="1:1" ht="12.75" customHeight="1">
      <c r="A4444" s="129">
        <v>4444</v>
      </c>
    </row>
    <row r="4445" spans="1:1" ht="12.75" customHeight="1">
      <c r="A4445" s="129">
        <v>4445</v>
      </c>
    </row>
    <row r="4446" spans="1:1" ht="12.75" customHeight="1">
      <c r="A4446" s="129">
        <v>4446</v>
      </c>
    </row>
    <row r="4447" spans="1:1" ht="12.75" customHeight="1">
      <c r="A4447" s="129">
        <v>4447</v>
      </c>
    </row>
    <row r="4448" spans="1:1" ht="12.75" customHeight="1">
      <c r="A4448" s="129">
        <v>4448</v>
      </c>
    </row>
    <row r="4449" spans="1:1" ht="12.75" customHeight="1">
      <c r="A4449" s="129">
        <v>4449</v>
      </c>
    </row>
    <row r="4450" spans="1:1" ht="12.75" customHeight="1">
      <c r="A4450" s="129">
        <v>4450</v>
      </c>
    </row>
    <row r="4451" spans="1:1" ht="12.75" customHeight="1">
      <c r="A4451" s="129">
        <v>4451</v>
      </c>
    </row>
    <row r="4452" spans="1:1" ht="12.75" customHeight="1">
      <c r="A4452" s="129">
        <v>4452</v>
      </c>
    </row>
    <row r="4453" spans="1:1" ht="12.75" customHeight="1">
      <c r="A4453" s="129">
        <v>4453</v>
      </c>
    </row>
    <row r="4454" spans="1:1" ht="12.75" customHeight="1">
      <c r="A4454" s="129">
        <v>4454</v>
      </c>
    </row>
    <row r="4455" spans="1:1" ht="12.75" customHeight="1">
      <c r="A4455" s="129">
        <v>4455</v>
      </c>
    </row>
    <row r="4456" spans="1:1" ht="12.75" customHeight="1">
      <c r="A4456" s="129">
        <v>4456</v>
      </c>
    </row>
    <row r="4457" spans="1:1" ht="12.75" customHeight="1">
      <c r="A4457" s="129">
        <v>4457</v>
      </c>
    </row>
    <row r="4458" spans="1:1" ht="12.75" customHeight="1">
      <c r="A4458" s="129">
        <v>4458</v>
      </c>
    </row>
    <row r="4459" spans="1:1" ht="12.75" customHeight="1">
      <c r="A4459" s="129">
        <v>4459</v>
      </c>
    </row>
    <row r="4460" spans="1:1" ht="12.75" customHeight="1">
      <c r="A4460" s="129">
        <v>4460</v>
      </c>
    </row>
    <row r="4461" spans="1:1" ht="12.75" customHeight="1">
      <c r="A4461" s="129">
        <v>4461</v>
      </c>
    </row>
    <row r="4462" spans="1:1" ht="12.75" customHeight="1">
      <c r="A4462" s="129">
        <v>4462</v>
      </c>
    </row>
    <row r="4463" spans="1:1" ht="12.75" customHeight="1">
      <c r="A4463" s="129">
        <v>4463</v>
      </c>
    </row>
    <row r="4464" spans="1:1" ht="12.75" customHeight="1">
      <c r="A4464" s="129">
        <v>4464</v>
      </c>
    </row>
    <row r="4465" spans="1:1" ht="12.75" customHeight="1">
      <c r="A4465" s="129">
        <v>4465</v>
      </c>
    </row>
    <row r="4466" spans="1:1" ht="12.75" customHeight="1">
      <c r="A4466" s="129">
        <v>4466</v>
      </c>
    </row>
    <row r="4467" spans="1:1" ht="12.75" customHeight="1">
      <c r="A4467" s="129">
        <v>4467</v>
      </c>
    </row>
    <row r="4468" spans="1:1" ht="12.75" customHeight="1">
      <c r="A4468" s="129">
        <v>4468</v>
      </c>
    </row>
    <row r="4469" spans="1:1" ht="12.75" customHeight="1">
      <c r="A4469" s="129">
        <v>4469</v>
      </c>
    </row>
    <row r="4470" spans="1:1" ht="12.75" customHeight="1">
      <c r="A4470" s="129">
        <v>4470</v>
      </c>
    </row>
    <row r="4471" spans="1:1" ht="12.75" customHeight="1">
      <c r="A4471" s="129">
        <v>4471</v>
      </c>
    </row>
    <row r="4472" spans="1:1" ht="12.75" customHeight="1">
      <c r="A4472" s="129">
        <v>4472</v>
      </c>
    </row>
    <row r="4473" spans="1:1" ht="12.75" customHeight="1">
      <c r="A4473" s="129">
        <v>4473</v>
      </c>
    </row>
    <row r="4474" spans="1:1" ht="12.75" customHeight="1">
      <c r="A4474" s="129">
        <v>4474</v>
      </c>
    </row>
    <row r="4475" spans="1:1" ht="12.75" customHeight="1">
      <c r="A4475" s="129">
        <v>4475</v>
      </c>
    </row>
    <row r="4476" spans="1:1" ht="12.75" customHeight="1">
      <c r="A4476" s="129">
        <v>4476</v>
      </c>
    </row>
    <row r="4477" spans="1:1" ht="12.75" customHeight="1">
      <c r="A4477" s="129">
        <v>4477</v>
      </c>
    </row>
    <row r="4478" spans="1:1" ht="12.75" customHeight="1">
      <c r="A4478" s="129">
        <v>4478</v>
      </c>
    </row>
    <row r="4479" spans="1:1" ht="12.75" customHeight="1">
      <c r="A4479" s="129">
        <v>4479</v>
      </c>
    </row>
    <row r="4480" spans="1:1" ht="12.75" customHeight="1">
      <c r="A4480" s="129">
        <v>4480</v>
      </c>
    </row>
    <row r="4481" spans="1:1" ht="12.75" customHeight="1">
      <c r="A4481" s="129">
        <v>4481</v>
      </c>
    </row>
    <row r="4482" spans="1:1" ht="12.75" customHeight="1">
      <c r="A4482" s="129">
        <v>4482</v>
      </c>
    </row>
    <row r="4483" spans="1:1" ht="12.75" customHeight="1">
      <c r="A4483" s="129">
        <v>4483</v>
      </c>
    </row>
    <row r="4484" spans="1:1" ht="12.75" customHeight="1">
      <c r="A4484" s="129">
        <v>4484</v>
      </c>
    </row>
    <row r="4485" spans="1:1" ht="12.75" customHeight="1">
      <c r="A4485" s="129">
        <v>4485</v>
      </c>
    </row>
    <row r="4486" spans="1:1" ht="12.75" customHeight="1">
      <c r="A4486" s="129">
        <v>4486</v>
      </c>
    </row>
    <row r="4487" spans="1:1" ht="12.75" customHeight="1">
      <c r="A4487" s="129">
        <v>4487</v>
      </c>
    </row>
    <row r="4488" spans="1:1" ht="12.75" customHeight="1">
      <c r="A4488" s="129">
        <v>4488</v>
      </c>
    </row>
    <row r="4489" spans="1:1" ht="12.75" customHeight="1">
      <c r="A4489" s="129">
        <v>4489</v>
      </c>
    </row>
    <row r="4490" spans="1:1" ht="12.75" customHeight="1">
      <c r="A4490" s="129">
        <v>4490</v>
      </c>
    </row>
    <row r="4491" spans="1:1" ht="12.75" customHeight="1">
      <c r="A4491" s="129">
        <v>4491</v>
      </c>
    </row>
    <row r="4492" spans="1:1" ht="12.75" customHeight="1">
      <c r="A4492" s="129">
        <v>4492</v>
      </c>
    </row>
    <row r="4493" spans="1:1" ht="12.75" customHeight="1">
      <c r="A4493" s="129">
        <v>4493</v>
      </c>
    </row>
    <row r="4494" spans="1:1" ht="12.75" customHeight="1">
      <c r="A4494" s="129">
        <v>4494</v>
      </c>
    </row>
    <row r="4495" spans="1:1" ht="12.75" customHeight="1">
      <c r="A4495" s="129">
        <v>4495</v>
      </c>
    </row>
    <row r="4496" spans="1:1" ht="12.75" customHeight="1">
      <c r="A4496" s="129">
        <v>4496</v>
      </c>
    </row>
    <row r="4497" spans="1:1" ht="12.75" customHeight="1">
      <c r="A4497" s="129">
        <v>4497</v>
      </c>
    </row>
    <row r="4498" spans="1:1" ht="12.75" customHeight="1">
      <c r="A4498" s="129">
        <v>4498</v>
      </c>
    </row>
    <row r="4499" spans="1:1" ht="12.75" customHeight="1">
      <c r="A4499" s="129">
        <v>4499</v>
      </c>
    </row>
    <row r="4500" spans="1:1" ht="12.75" customHeight="1">
      <c r="A4500" s="129">
        <v>4500</v>
      </c>
    </row>
    <row r="4501" spans="1:1" ht="12.75" customHeight="1">
      <c r="A4501" s="129">
        <v>4501</v>
      </c>
    </row>
    <row r="4502" spans="1:1" ht="12.75" customHeight="1">
      <c r="A4502" s="129">
        <v>4502</v>
      </c>
    </row>
    <row r="4503" spans="1:1" ht="12.75" customHeight="1">
      <c r="A4503" s="129">
        <v>4503</v>
      </c>
    </row>
    <row r="4504" spans="1:1" ht="12.75" customHeight="1">
      <c r="A4504" s="129">
        <v>4504</v>
      </c>
    </row>
    <row r="4505" spans="1:1" ht="12.75" customHeight="1">
      <c r="A4505" s="129">
        <v>4505</v>
      </c>
    </row>
    <row r="4506" spans="1:1" ht="12.75" customHeight="1">
      <c r="A4506" s="129">
        <v>4506</v>
      </c>
    </row>
    <row r="4507" spans="1:1" ht="12.75" customHeight="1">
      <c r="A4507" s="129">
        <v>4507</v>
      </c>
    </row>
    <row r="4508" spans="1:1" ht="12.75" customHeight="1">
      <c r="A4508" s="129">
        <v>4508</v>
      </c>
    </row>
    <row r="4509" spans="1:1" ht="12.75" customHeight="1">
      <c r="A4509" s="129">
        <v>4509</v>
      </c>
    </row>
    <row r="4510" spans="1:1" ht="12.75" customHeight="1">
      <c r="A4510" s="129">
        <v>4510</v>
      </c>
    </row>
    <row r="4511" spans="1:1" ht="12.75" customHeight="1">
      <c r="A4511" s="129">
        <v>4511</v>
      </c>
    </row>
    <row r="4512" spans="1:1" ht="12.75" customHeight="1">
      <c r="A4512" s="129">
        <v>4512</v>
      </c>
    </row>
    <row r="4513" spans="1:1" ht="12.75" customHeight="1">
      <c r="A4513" s="129">
        <v>4513</v>
      </c>
    </row>
    <row r="4514" spans="1:1" ht="12.75" customHeight="1">
      <c r="A4514" s="129">
        <v>4514</v>
      </c>
    </row>
    <row r="4515" spans="1:1" ht="12.75" customHeight="1">
      <c r="A4515" s="129">
        <v>4515</v>
      </c>
    </row>
    <row r="4516" spans="1:1" ht="12.75" customHeight="1">
      <c r="A4516" s="129">
        <v>4516</v>
      </c>
    </row>
    <row r="4517" spans="1:1" ht="12.75" customHeight="1">
      <c r="A4517" s="129">
        <v>4517</v>
      </c>
    </row>
    <row r="4518" spans="1:1" ht="12.75" customHeight="1">
      <c r="A4518" s="129">
        <v>4518</v>
      </c>
    </row>
    <row r="4519" spans="1:1" ht="12.75" customHeight="1">
      <c r="A4519" s="129">
        <v>4519</v>
      </c>
    </row>
    <row r="4520" spans="1:1" ht="12.75" customHeight="1">
      <c r="A4520" s="129">
        <v>4520</v>
      </c>
    </row>
    <row r="4521" spans="1:1" ht="12.75" customHeight="1">
      <c r="A4521" s="129">
        <v>4521</v>
      </c>
    </row>
    <row r="4522" spans="1:1" ht="12.75" customHeight="1">
      <c r="A4522" s="129">
        <v>4522</v>
      </c>
    </row>
    <row r="4523" spans="1:1" ht="12.75" customHeight="1">
      <c r="A4523" s="129">
        <v>4523</v>
      </c>
    </row>
    <row r="4524" spans="1:1" ht="12.75" customHeight="1">
      <c r="A4524" s="129">
        <v>4524</v>
      </c>
    </row>
    <row r="4525" spans="1:1" ht="12.75" customHeight="1">
      <c r="A4525" s="129">
        <v>4525</v>
      </c>
    </row>
    <row r="4526" spans="1:1" ht="12.75" customHeight="1">
      <c r="A4526" s="129">
        <v>4526</v>
      </c>
    </row>
    <row r="4527" spans="1:1" ht="12.75" customHeight="1">
      <c r="A4527" s="129">
        <v>4527</v>
      </c>
    </row>
    <row r="4528" spans="1:1" ht="12.75" customHeight="1">
      <c r="A4528" s="129">
        <v>4528</v>
      </c>
    </row>
    <row r="4529" spans="1:1" ht="12.75" customHeight="1">
      <c r="A4529" s="129">
        <v>4529</v>
      </c>
    </row>
    <row r="4530" spans="1:1" ht="12.75" customHeight="1">
      <c r="A4530" s="129">
        <v>4530</v>
      </c>
    </row>
    <row r="4531" spans="1:1" ht="12.75" customHeight="1">
      <c r="A4531" s="129">
        <v>4531</v>
      </c>
    </row>
    <row r="4532" spans="1:1" ht="12.75" customHeight="1">
      <c r="A4532" s="129">
        <v>4532</v>
      </c>
    </row>
    <row r="4533" spans="1:1" ht="12.75" customHeight="1">
      <c r="A4533" s="129">
        <v>4533</v>
      </c>
    </row>
    <row r="4534" spans="1:1" ht="12.75" customHeight="1">
      <c r="A4534" s="129">
        <v>4534</v>
      </c>
    </row>
    <row r="4535" spans="1:1" ht="12.75" customHeight="1">
      <c r="A4535" s="129">
        <v>4535</v>
      </c>
    </row>
    <row r="4536" spans="1:1" ht="12.75" customHeight="1">
      <c r="A4536" s="129">
        <v>4536</v>
      </c>
    </row>
    <row r="4537" spans="1:1" ht="12.75" customHeight="1">
      <c r="A4537" s="129">
        <v>4537</v>
      </c>
    </row>
    <row r="4538" spans="1:1" ht="12.75" customHeight="1">
      <c r="A4538" s="129">
        <v>4538</v>
      </c>
    </row>
    <row r="4539" spans="1:1" ht="12.75" customHeight="1">
      <c r="A4539" s="129">
        <v>4539</v>
      </c>
    </row>
    <row r="4540" spans="1:1" ht="12.75" customHeight="1">
      <c r="A4540" s="129">
        <v>4540</v>
      </c>
    </row>
    <row r="4541" spans="1:1" ht="12.75" customHeight="1">
      <c r="A4541" s="129">
        <v>4541</v>
      </c>
    </row>
    <row r="4542" spans="1:1" ht="12.75" customHeight="1">
      <c r="A4542" s="129">
        <v>4542</v>
      </c>
    </row>
    <row r="4543" spans="1:1" ht="12.75" customHeight="1">
      <c r="A4543" s="129">
        <v>4543</v>
      </c>
    </row>
    <row r="4544" spans="1:1" ht="12.75" customHeight="1">
      <c r="A4544" s="129">
        <v>4544</v>
      </c>
    </row>
    <row r="4545" spans="1:1" ht="12.75" customHeight="1">
      <c r="A4545" s="129">
        <v>4545</v>
      </c>
    </row>
    <row r="4546" spans="1:1" ht="12.75" customHeight="1">
      <c r="A4546" s="129">
        <v>4546</v>
      </c>
    </row>
    <row r="4547" spans="1:1" ht="12.75" customHeight="1">
      <c r="A4547" s="129">
        <v>4547</v>
      </c>
    </row>
    <row r="4548" spans="1:1" ht="12.75" customHeight="1">
      <c r="A4548" s="129">
        <v>4548</v>
      </c>
    </row>
    <row r="4549" spans="1:1" ht="12.75" customHeight="1">
      <c r="A4549" s="129">
        <v>4549</v>
      </c>
    </row>
    <row r="4550" spans="1:1" ht="12.75" customHeight="1">
      <c r="A4550" s="129">
        <v>4550</v>
      </c>
    </row>
    <row r="4551" spans="1:1" ht="12.75" customHeight="1">
      <c r="A4551" s="129">
        <v>4551</v>
      </c>
    </row>
    <row r="4552" spans="1:1" ht="12.75" customHeight="1">
      <c r="A4552" s="129">
        <v>4552</v>
      </c>
    </row>
    <row r="4553" spans="1:1" ht="12.75" customHeight="1">
      <c r="A4553" s="129">
        <v>4553</v>
      </c>
    </row>
    <row r="4554" spans="1:1" ht="12.75" customHeight="1">
      <c r="A4554" s="129">
        <v>4554</v>
      </c>
    </row>
    <row r="4555" spans="1:1" ht="12.75" customHeight="1">
      <c r="A4555" s="129">
        <v>4555</v>
      </c>
    </row>
    <row r="4556" spans="1:1" ht="12.75" customHeight="1">
      <c r="A4556" s="129">
        <v>4556</v>
      </c>
    </row>
    <row r="4557" spans="1:1" ht="12.75" customHeight="1">
      <c r="A4557" s="129">
        <v>4557</v>
      </c>
    </row>
    <row r="4558" spans="1:1" ht="12.75" customHeight="1">
      <c r="A4558" s="129">
        <v>4558</v>
      </c>
    </row>
    <row r="4559" spans="1:1" ht="12.75" customHeight="1">
      <c r="A4559" s="129">
        <v>4559</v>
      </c>
    </row>
    <row r="4560" spans="1:1" ht="12.75" customHeight="1">
      <c r="A4560" s="129">
        <v>4560</v>
      </c>
    </row>
    <row r="4561" spans="1:1" ht="12.75" customHeight="1">
      <c r="A4561" s="129">
        <v>4561</v>
      </c>
    </row>
    <row r="4562" spans="1:1" ht="12.75" customHeight="1">
      <c r="A4562" s="129">
        <v>4562</v>
      </c>
    </row>
    <row r="4563" spans="1:1" ht="12.75" customHeight="1">
      <c r="A4563" s="129">
        <v>4563</v>
      </c>
    </row>
    <row r="4564" spans="1:1" ht="12.75" customHeight="1">
      <c r="A4564" s="129">
        <v>4564</v>
      </c>
    </row>
    <row r="4565" spans="1:1" ht="12.75" customHeight="1">
      <c r="A4565" s="129">
        <v>4565</v>
      </c>
    </row>
    <row r="4566" spans="1:1" ht="12.75" customHeight="1">
      <c r="A4566" s="129">
        <v>4566</v>
      </c>
    </row>
    <row r="4567" spans="1:1" ht="12.75" customHeight="1">
      <c r="A4567" s="129">
        <v>4567</v>
      </c>
    </row>
    <row r="4568" spans="1:1" ht="12.75" customHeight="1">
      <c r="A4568" s="129">
        <v>4568</v>
      </c>
    </row>
    <row r="4569" spans="1:1" ht="12.75" customHeight="1">
      <c r="A4569" s="129">
        <v>4569</v>
      </c>
    </row>
    <row r="4570" spans="1:1" ht="12.75" customHeight="1">
      <c r="A4570" s="129">
        <v>4570</v>
      </c>
    </row>
    <row r="4571" spans="1:1" ht="12.75" customHeight="1">
      <c r="A4571" s="129">
        <v>4571</v>
      </c>
    </row>
    <row r="4572" spans="1:1" ht="12.75" customHeight="1">
      <c r="A4572" s="129">
        <v>4572</v>
      </c>
    </row>
    <row r="4573" spans="1:1" ht="12.75" customHeight="1">
      <c r="A4573" s="129">
        <v>4573</v>
      </c>
    </row>
    <row r="4574" spans="1:1" ht="12.75" customHeight="1">
      <c r="A4574" s="129">
        <v>4574</v>
      </c>
    </row>
    <row r="4575" spans="1:1" ht="12.75" customHeight="1">
      <c r="A4575" s="129">
        <v>4575</v>
      </c>
    </row>
    <row r="4576" spans="1:1" ht="12.75" customHeight="1">
      <c r="A4576" s="129">
        <v>4576</v>
      </c>
    </row>
    <row r="4577" spans="1:1" ht="12.75" customHeight="1">
      <c r="A4577" s="129">
        <v>4577</v>
      </c>
    </row>
    <row r="4578" spans="1:1" ht="12.75" customHeight="1">
      <c r="A4578" s="129">
        <v>4578</v>
      </c>
    </row>
    <row r="4579" spans="1:1" ht="12.75" customHeight="1">
      <c r="A4579" s="129">
        <v>4579</v>
      </c>
    </row>
    <row r="4580" spans="1:1" ht="12.75" customHeight="1">
      <c r="A4580" s="129">
        <v>4580</v>
      </c>
    </row>
    <row r="4581" spans="1:1" ht="12.75" customHeight="1">
      <c r="A4581" s="129">
        <v>4581</v>
      </c>
    </row>
    <row r="4582" spans="1:1" ht="12.75" customHeight="1">
      <c r="A4582" s="129">
        <v>4582</v>
      </c>
    </row>
    <row r="4583" spans="1:1" ht="12.75" customHeight="1">
      <c r="A4583" s="129">
        <v>4583</v>
      </c>
    </row>
    <row r="4584" spans="1:1" ht="12.75" customHeight="1">
      <c r="A4584" s="129">
        <v>4584</v>
      </c>
    </row>
    <row r="4585" spans="1:1" ht="12.75" customHeight="1">
      <c r="A4585" s="129">
        <v>4585</v>
      </c>
    </row>
    <row r="4586" spans="1:1" ht="12.75" customHeight="1">
      <c r="A4586" s="129">
        <v>4586</v>
      </c>
    </row>
    <row r="4587" spans="1:1" ht="12.75" customHeight="1">
      <c r="A4587" s="129">
        <v>4587</v>
      </c>
    </row>
    <row r="4588" spans="1:1" ht="12.75" customHeight="1">
      <c r="A4588" s="129">
        <v>4588</v>
      </c>
    </row>
    <row r="4589" spans="1:1" ht="12.75" customHeight="1">
      <c r="A4589" s="129">
        <v>4589</v>
      </c>
    </row>
    <row r="4590" spans="1:1" ht="12.75" customHeight="1">
      <c r="A4590" s="129">
        <v>4590</v>
      </c>
    </row>
    <row r="4591" spans="1:1" ht="12.75" customHeight="1">
      <c r="A4591" s="129">
        <v>4591</v>
      </c>
    </row>
    <row r="4592" spans="1:1" ht="12.75" customHeight="1">
      <c r="A4592" s="129">
        <v>4592</v>
      </c>
    </row>
    <row r="4593" spans="1:1" ht="12.75" customHeight="1">
      <c r="A4593" s="129">
        <v>4593</v>
      </c>
    </row>
    <row r="4594" spans="1:1" ht="12.75" customHeight="1">
      <c r="A4594" s="129">
        <v>4594</v>
      </c>
    </row>
    <row r="4595" spans="1:1" ht="12.75" customHeight="1">
      <c r="A4595" s="129">
        <v>4595</v>
      </c>
    </row>
    <row r="4596" spans="1:1" ht="12.75" customHeight="1">
      <c r="A4596" s="129">
        <v>4596</v>
      </c>
    </row>
    <row r="4597" spans="1:1" ht="12.75" customHeight="1">
      <c r="A4597" s="129">
        <v>4597</v>
      </c>
    </row>
    <row r="4598" spans="1:1" ht="12.75" customHeight="1">
      <c r="A4598" s="129">
        <v>4598</v>
      </c>
    </row>
    <row r="4599" spans="1:1" ht="12.75" customHeight="1">
      <c r="A4599" s="129">
        <v>4599</v>
      </c>
    </row>
    <row r="4600" spans="1:1" ht="12.75" customHeight="1">
      <c r="A4600" s="129">
        <v>4600</v>
      </c>
    </row>
    <row r="4601" spans="1:1" ht="12.75" customHeight="1">
      <c r="A4601" s="129">
        <v>4601</v>
      </c>
    </row>
    <row r="4602" spans="1:1" ht="12.75" customHeight="1">
      <c r="A4602" s="129">
        <v>4602</v>
      </c>
    </row>
    <row r="4603" spans="1:1" ht="12.75" customHeight="1">
      <c r="A4603" s="129">
        <v>4603</v>
      </c>
    </row>
    <row r="4604" spans="1:1" ht="12.75" customHeight="1">
      <c r="A4604" s="129">
        <v>4604</v>
      </c>
    </row>
    <row r="4605" spans="1:1" ht="12.75" customHeight="1">
      <c r="A4605" s="129">
        <v>4605</v>
      </c>
    </row>
    <row r="4606" spans="1:1" ht="12.75" customHeight="1">
      <c r="A4606" s="129">
        <v>4606</v>
      </c>
    </row>
    <row r="4607" spans="1:1" ht="12.75" customHeight="1">
      <c r="A4607" s="129">
        <v>4607</v>
      </c>
    </row>
    <row r="4608" spans="1:1" ht="12.75" customHeight="1">
      <c r="A4608" s="129">
        <v>4608</v>
      </c>
    </row>
    <row r="4609" spans="1:1" ht="12.75" customHeight="1">
      <c r="A4609" s="129">
        <v>4609</v>
      </c>
    </row>
    <row r="4610" spans="1:1" ht="12.75" customHeight="1">
      <c r="A4610" s="129">
        <v>4610</v>
      </c>
    </row>
    <row r="4611" spans="1:1" ht="12.75" customHeight="1">
      <c r="A4611" s="129">
        <v>4611</v>
      </c>
    </row>
    <row r="4612" spans="1:1" ht="12.75" customHeight="1">
      <c r="A4612" s="129">
        <v>4612</v>
      </c>
    </row>
    <row r="4613" spans="1:1" ht="12.75" customHeight="1">
      <c r="A4613" s="129">
        <v>4613</v>
      </c>
    </row>
    <row r="4614" spans="1:1" ht="12.75" customHeight="1">
      <c r="A4614" s="129">
        <v>4614</v>
      </c>
    </row>
    <row r="4615" spans="1:1" ht="12.75" customHeight="1">
      <c r="A4615" s="129">
        <v>4615</v>
      </c>
    </row>
    <row r="4616" spans="1:1" ht="12.75" customHeight="1">
      <c r="A4616" s="129">
        <v>4616</v>
      </c>
    </row>
    <row r="4617" spans="1:1" ht="12.75" customHeight="1">
      <c r="A4617" s="129">
        <v>4617</v>
      </c>
    </row>
    <row r="4618" spans="1:1" ht="12.75" customHeight="1">
      <c r="A4618" s="129">
        <v>4618</v>
      </c>
    </row>
    <row r="4619" spans="1:1" ht="12.75" customHeight="1">
      <c r="A4619" s="129">
        <v>4619</v>
      </c>
    </row>
    <row r="4620" spans="1:1" ht="12.75" customHeight="1">
      <c r="A4620" s="129">
        <v>4620</v>
      </c>
    </row>
    <row r="4621" spans="1:1" ht="12.75" customHeight="1">
      <c r="A4621" s="129">
        <v>4621</v>
      </c>
    </row>
    <row r="4622" spans="1:1" ht="12.75" customHeight="1">
      <c r="A4622" s="129">
        <v>4622</v>
      </c>
    </row>
    <row r="4623" spans="1:1" ht="12.75" customHeight="1">
      <c r="A4623" s="129">
        <v>4623</v>
      </c>
    </row>
    <row r="4624" spans="1:1" ht="12.75" customHeight="1">
      <c r="A4624" s="129">
        <v>4624</v>
      </c>
    </row>
    <row r="4625" spans="1:1" ht="12.75" customHeight="1">
      <c r="A4625" s="129">
        <v>4625</v>
      </c>
    </row>
    <row r="4626" spans="1:1" ht="12.75" customHeight="1">
      <c r="A4626" s="129">
        <v>4626</v>
      </c>
    </row>
    <row r="4627" spans="1:1" ht="12.75" customHeight="1">
      <c r="A4627" s="129">
        <v>4627</v>
      </c>
    </row>
    <row r="4628" spans="1:1" ht="12.75" customHeight="1">
      <c r="A4628" s="129">
        <v>4628</v>
      </c>
    </row>
    <row r="4629" spans="1:1" ht="12.75" customHeight="1">
      <c r="A4629" s="129">
        <v>4629</v>
      </c>
    </row>
    <row r="4630" spans="1:1" ht="12.75" customHeight="1">
      <c r="A4630" s="129">
        <v>4630</v>
      </c>
    </row>
    <row r="4631" spans="1:1" ht="12.75" customHeight="1">
      <c r="A4631" s="129">
        <v>4631</v>
      </c>
    </row>
    <row r="4632" spans="1:1" ht="12.75" customHeight="1">
      <c r="A4632" s="129">
        <v>4632</v>
      </c>
    </row>
    <row r="4633" spans="1:1" ht="12.75" customHeight="1">
      <c r="A4633" s="129">
        <v>4633</v>
      </c>
    </row>
    <row r="4634" spans="1:1" ht="12.75" customHeight="1">
      <c r="A4634" s="129">
        <v>4634</v>
      </c>
    </row>
    <row r="4635" spans="1:1" ht="12.75" customHeight="1">
      <c r="A4635" s="129">
        <v>4635</v>
      </c>
    </row>
    <row r="4636" spans="1:1" ht="12.75" customHeight="1">
      <c r="A4636" s="129">
        <v>4636</v>
      </c>
    </row>
    <row r="4637" spans="1:1" ht="12.75" customHeight="1">
      <c r="A4637" s="129">
        <v>4637</v>
      </c>
    </row>
    <row r="4638" spans="1:1" ht="12.75" customHeight="1">
      <c r="A4638" s="129">
        <v>4638</v>
      </c>
    </row>
    <row r="4639" spans="1:1" ht="12.75" customHeight="1">
      <c r="A4639" s="129">
        <v>4639</v>
      </c>
    </row>
    <row r="4640" spans="1:1" ht="12.75" customHeight="1">
      <c r="A4640" s="129">
        <v>4640</v>
      </c>
    </row>
    <row r="4641" spans="1:1" ht="12.75" customHeight="1">
      <c r="A4641" s="129">
        <v>4641</v>
      </c>
    </row>
    <row r="4642" spans="1:1" ht="12.75" customHeight="1">
      <c r="A4642" s="129">
        <v>4642</v>
      </c>
    </row>
    <row r="4643" spans="1:1" ht="12.75" customHeight="1">
      <c r="A4643" s="129">
        <v>4643</v>
      </c>
    </row>
    <row r="4644" spans="1:1" ht="12.75" customHeight="1">
      <c r="A4644" s="129">
        <v>4644</v>
      </c>
    </row>
    <row r="4645" spans="1:1" ht="12.75" customHeight="1">
      <c r="A4645" s="129">
        <v>4645</v>
      </c>
    </row>
    <row r="4646" spans="1:1" ht="12.75" customHeight="1">
      <c r="A4646" s="129">
        <v>4646</v>
      </c>
    </row>
    <row r="4647" spans="1:1" ht="12.75" customHeight="1">
      <c r="A4647" s="129">
        <v>4647</v>
      </c>
    </row>
    <row r="4648" spans="1:1" ht="12.75" customHeight="1">
      <c r="A4648" s="129">
        <v>4648</v>
      </c>
    </row>
    <row r="4649" spans="1:1" ht="12.75" customHeight="1">
      <c r="A4649" s="129">
        <v>4649</v>
      </c>
    </row>
    <row r="4650" spans="1:1" ht="12.75" customHeight="1">
      <c r="A4650" s="129">
        <v>4650</v>
      </c>
    </row>
    <row r="4651" spans="1:1" ht="12.75" customHeight="1">
      <c r="A4651" s="129">
        <v>4651</v>
      </c>
    </row>
    <row r="4652" spans="1:1" ht="12.75" customHeight="1">
      <c r="A4652" s="129">
        <v>4652</v>
      </c>
    </row>
    <row r="4653" spans="1:1" ht="12.75" customHeight="1">
      <c r="A4653" s="129">
        <v>4653</v>
      </c>
    </row>
    <row r="4654" spans="1:1" ht="12.75" customHeight="1">
      <c r="A4654" s="129">
        <v>4654</v>
      </c>
    </row>
    <row r="4655" spans="1:1" ht="12.75" customHeight="1">
      <c r="A4655" s="129">
        <v>4655</v>
      </c>
    </row>
    <row r="4656" spans="1:1" ht="12.75" customHeight="1">
      <c r="A4656" s="129">
        <v>4656</v>
      </c>
    </row>
    <row r="4657" spans="1:1" ht="12.75" customHeight="1">
      <c r="A4657" s="129">
        <v>4657</v>
      </c>
    </row>
    <row r="4658" spans="1:1" ht="12.75" customHeight="1">
      <c r="A4658" s="129">
        <v>4658</v>
      </c>
    </row>
    <row r="4659" spans="1:1" ht="12.75" customHeight="1">
      <c r="A4659" s="129">
        <v>4659</v>
      </c>
    </row>
    <row r="4660" spans="1:1" ht="12.75" customHeight="1">
      <c r="A4660" s="129">
        <v>4660</v>
      </c>
    </row>
    <row r="4661" spans="1:1" ht="12.75" customHeight="1">
      <c r="A4661" s="129">
        <v>4661</v>
      </c>
    </row>
    <row r="4662" spans="1:1" ht="12.75" customHeight="1">
      <c r="A4662" s="129">
        <v>4662</v>
      </c>
    </row>
    <row r="4663" spans="1:1" ht="12.75" customHeight="1">
      <c r="A4663" s="129">
        <v>4663</v>
      </c>
    </row>
    <row r="4664" spans="1:1" ht="12.75" customHeight="1">
      <c r="A4664" s="129">
        <v>4664</v>
      </c>
    </row>
    <row r="4665" spans="1:1" ht="12.75" customHeight="1">
      <c r="A4665" s="129">
        <v>4665</v>
      </c>
    </row>
    <row r="4666" spans="1:1" ht="12.75" customHeight="1">
      <c r="A4666" s="129">
        <v>4666</v>
      </c>
    </row>
    <row r="4667" spans="1:1" ht="12.75" customHeight="1">
      <c r="A4667" s="129">
        <v>4667</v>
      </c>
    </row>
    <row r="4668" spans="1:1" ht="12.75" customHeight="1">
      <c r="A4668" s="129">
        <v>4668</v>
      </c>
    </row>
    <row r="4669" spans="1:1" ht="12.75" customHeight="1">
      <c r="A4669" s="129">
        <v>4669</v>
      </c>
    </row>
    <row r="4670" spans="1:1" ht="12.75" customHeight="1">
      <c r="A4670" s="129">
        <v>4670</v>
      </c>
    </row>
    <row r="4671" spans="1:1" ht="12.75" customHeight="1">
      <c r="A4671" s="129">
        <v>4671</v>
      </c>
    </row>
    <row r="4672" spans="1:1" ht="12.75" customHeight="1">
      <c r="A4672" s="129">
        <v>4672</v>
      </c>
    </row>
    <row r="4673" spans="1:1" ht="12.75" customHeight="1">
      <c r="A4673" s="129">
        <v>4673</v>
      </c>
    </row>
    <row r="4674" spans="1:1" ht="12.75" customHeight="1">
      <c r="A4674" s="129">
        <v>4674</v>
      </c>
    </row>
    <row r="4675" spans="1:1" ht="12.75" customHeight="1">
      <c r="A4675" s="129">
        <v>4675</v>
      </c>
    </row>
    <row r="4676" spans="1:1" ht="12.75" customHeight="1">
      <c r="A4676" s="129">
        <v>4676</v>
      </c>
    </row>
    <row r="4677" spans="1:1" ht="12.75" customHeight="1">
      <c r="A4677" s="129">
        <v>4677</v>
      </c>
    </row>
    <row r="4678" spans="1:1" ht="12.75" customHeight="1">
      <c r="A4678" s="129">
        <v>4678</v>
      </c>
    </row>
    <row r="4679" spans="1:1" ht="12.75" customHeight="1">
      <c r="A4679" s="129">
        <v>4679</v>
      </c>
    </row>
    <row r="4680" spans="1:1" ht="12.75" customHeight="1">
      <c r="A4680" s="129">
        <v>4680</v>
      </c>
    </row>
    <row r="4681" spans="1:1" ht="12.75" customHeight="1">
      <c r="A4681" s="129">
        <v>4681</v>
      </c>
    </row>
    <row r="4682" spans="1:1" ht="12.75" customHeight="1">
      <c r="A4682" s="129">
        <v>4682</v>
      </c>
    </row>
    <row r="4683" spans="1:1" ht="12.75" customHeight="1">
      <c r="A4683" s="129">
        <v>4683</v>
      </c>
    </row>
    <row r="4684" spans="1:1" ht="12.75" customHeight="1">
      <c r="A4684" s="129">
        <v>4684</v>
      </c>
    </row>
    <row r="4685" spans="1:1" ht="12.75" customHeight="1">
      <c r="A4685" s="129">
        <v>4685</v>
      </c>
    </row>
    <row r="4686" spans="1:1" ht="12.75" customHeight="1">
      <c r="A4686" s="129">
        <v>4686</v>
      </c>
    </row>
    <row r="4687" spans="1:1" ht="12.75" customHeight="1">
      <c r="A4687" s="129">
        <v>4687</v>
      </c>
    </row>
    <row r="4688" spans="1:1" ht="12.75" customHeight="1">
      <c r="A4688" s="129">
        <v>4688</v>
      </c>
    </row>
    <row r="4689" spans="1:1" ht="12.75" customHeight="1">
      <c r="A4689" s="129">
        <v>4689</v>
      </c>
    </row>
    <row r="4690" spans="1:1" ht="12.75" customHeight="1">
      <c r="A4690" s="129">
        <v>4690</v>
      </c>
    </row>
    <row r="4691" spans="1:1" ht="12.75" customHeight="1">
      <c r="A4691" s="129">
        <v>4691</v>
      </c>
    </row>
    <row r="4692" spans="1:1" ht="12.75" customHeight="1">
      <c r="A4692" s="129">
        <v>4692</v>
      </c>
    </row>
    <row r="4693" spans="1:1" ht="12.75" customHeight="1">
      <c r="A4693" s="129">
        <v>4693</v>
      </c>
    </row>
    <row r="4694" spans="1:1" ht="12.75" customHeight="1">
      <c r="A4694" s="129">
        <v>4694</v>
      </c>
    </row>
    <row r="4695" spans="1:1" ht="12.75" customHeight="1">
      <c r="A4695" s="129">
        <v>4695</v>
      </c>
    </row>
    <row r="4696" spans="1:1" ht="12.75" customHeight="1">
      <c r="A4696" s="129">
        <v>4696</v>
      </c>
    </row>
    <row r="4697" spans="1:1" ht="12.75" customHeight="1">
      <c r="A4697" s="129">
        <v>4697</v>
      </c>
    </row>
    <row r="4698" spans="1:1" ht="12.75" customHeight="1">
      <c r="A4698" s="129">
        <v>4698</v>
      </c>
    </row>
    <row r="4699" spans="1:1" ht="12.75" customHeight="1">
      <c r="A4699" s="129">
        <v>4699</v>
      </c>
    </row>
    <row r="4700" spans="1:1" ht="12.75" customHeight="1">
      <c r="A4700" s="129">
        <v>4700</v>
      </c>
    </row>
    <row r="4701" spans="1:1" ht="12.75" customHeight="1">
      <c r="A4701" s="129">
        <v>4701</v>
      </c>
    </row>
    <row r="4702" spans="1:1" ht="12.75" customHeight="1">
      <c r="A4702" s="129">
        <v>4702</v>
      </c>
    </row>
    <row r="4703" spans="1:1" ht="12.75" customHeight="1">
      <c r="A4703" s="129">
        <v>4703</v>
      </c>
    </row>
    <row r="4704" spans="1:1" ht="12.75" customHeight="1">
      <c r="A4704" s="129">
        <v>4704</v>
      </c>
    </row>
    <row r="4705" spans="1:1" ht="12.75" customHeight="1">
      <c r="A4705" s="129">
        <v>4705</v>
      </c>
    </row>
    <row r="4706" spans="1:1" ht="12.75" customHeight="1">
      <c r="A4706" s="129">
        <v>4706</v>
      </c>
    </row>
    <row r="4707" spans="1:1" ht="12.75" customHeight="1">
      <c r="A4707" s="129">
        <v>4707</v>
      </c>
    </row>
    <row r="4708" spans="1:1" ht="12.75" customHeight="1">
      <c r="A4708" s="129">
        <v>4708</v>
      </c>
    </row>
    <row r="4709" spans="1:1" ht="12.75" customHeight="1">
      <c r="A4709" s="129">
        <v>4709</v>
      </c>
    </row>
    <row r="4710" spans="1:1" ht="12.75" customHeight="1">
      <c r="A4710" s="129">
        <v>4710</v>
      </c>
    </row>
    <row r="4711" spans="1:1" ht="12.75" customHeight="1">
      <c r="A4711" s="129">
        <v>4711</v>
      </c>
    </row>
    <row r="4712" spans="1:1" ht="12.75" customHeight="1">
      <c r="A4712" s="129">
        <v>4712</v>
      </c>
    </row>
    <row r="4713" spans="1:1" ht="12.75" customHeight="1">
      <c r="A4713" s="129">
        <v>4713</v>
      </c>
    </row>
    <row r="4714" spans="1:1" ht="12.75" customHeight="1">
      <c r="A4714" s="129">
        <v>4714</v>
      </c>
    </row>
    <row r="4715" spans="1:1" ht="12.75" customHeight="1">
      <c r="A4715" s="129">
        <v>4715</v>
      </c>
    </row>
    <row r="4716" spans="1:1" ht="12.75" customHeight="1">
      <c r="A4716" s="129">
        <v>4716</v>
      </c>
    </row>
    <row r="4717" spans="1:1" ht="12.75" customHeight="1">
      <c r="A4717" s="129">
        <v>4717</v>
      </c>
    </row>
    <row r="4718" spans="1:1" ht="12.75" customHeight="1">
      <c r="A4718" s="129">
        <v>4718</v>
      </c>
    </row>
    <row r="4719" spans="1:1" ht="12.75" customHeight="1">
      <c r="A4719" s="129">
        <v>4719</v>
      </c>
    </row>
    <row r="4720" spans="1:1" ht="12.75" customHeight="1">
      <c r="A4720" s="129">
        <v>4720</v>
      </c>
    </row>
    <row r="4721" spans="1:1" ht="12.75" customHeight="1">
      <c r="A4721" s="129">
        <v>4721</v>
      </c>
    </row>
    <row r="4722" spans="1:1" ht="12.75" customHeight="1">
      <c r="A4722" s="129">
        <v>4722</v>
      </c>
    </row>
    <row r="4723" spans="1:1" ht="12.75" customHeight="1">
      <c r="A4723" s="129">
        <v>4723</v>
      </c>
    </row>
    <row r="4724" spans="1:1" ht="12.75" customHeight="1">
      <c r="A4724" s="129">
        <v>4724</v>
      </c>
    </row>
    <row r="4725" spans="1:1" ht="12.75" customHeight="1">
      <c r="A4725" s="129">
        <v>4725</v>
      </c>
    </row>
    <row r="4726" spans="1:1" ht="12.75" customHeight="1">
      <c r="A4726" s="129">
        <v>4726</v>
      </c>
    </row>
    <row r="4727" spans="1:1" ht="12.75" customHeight="1">
      <c r="A4727" s="129">
        <v>4727</v>
      </c>
    </row>
    <row r="4728" spans="1:1" ht="12.75" customHeight="1">
      <c r="A4728" s="129">
        <v>4728</v>
      </c>
    </row>
    <row r="4729" spans="1:1" ht="12.75" customHeight="1">
      <c r="A4729" s="129">
        <v>4729</v>
      </c>
    </row>
    <row r="4730" spans="1:1" ht="12.75" customHeight="1">
      <c r="A4730" s="129">
        <v>4730</v>
      </c>
    </row>
    <row r="4731" spans="1:1" ht="12.75" customHeight="1">
      <c r="A4731" s="129">
        <v>4731</v>
      </c>
    </row>
    <row r="4732" spans="1:1" ht="12.75" customHeight="1">
      <c r="A4732" s="129">
        <v>4732</v>
      </c>
    </row>
    <row r="4733" spans="1:1" ht="12.75" customHeight="1">
      <c r="A4733" s="129">
        <v>4733</v>
      </c>
    </row>
    <row r="4734" spans="1:1" ht="12.75" customHeight="1">
      <c r="A4734" s="129">
        <v>4734</v>
      </c>
    </row>
    <row r="4735" spans="1:1" ht="12.75" customHeight="1">
      <c r="A4735" s="129">
        <v>4735</v>
      </c>
    </row>
    <row r="4736" spans="1:1" ht="12.75" customHeight="1">
      <c r="A4736" s="129">
        <v>4736</v>
      </c>
    </row>
    <row r="4737" spans="1:1" ht="12.75" customHeight="1">
      <c r="A4737" s="129">
        <v>4737</v>
      </c>
    </row>
    <row r="4738" spans="1:1" ht="12.75" customHeight="1">
      <c r="A4738" s="129">
        <v>4738</v>
      </c>
    </row>
    <row r="4739" spans="1:1" ht="12.75" customHeight="1">
      <c r="A4739" s="129">
        <v>4739</v>
      </c>
    </row>
    <row r="4740" spans="1:1" ht="12.75" customHeight="1">
      <c r="A4740" s="129">
        <v>4740</v>
      </c>
    </row>
    <row r="4741" spans="1:1" ht="12.75" customHeight="1">
      <c r="A4741" s="129">
        <v>4741</v>
      </c>
    </row>
    <row r="4742" spans="1:1" ht="12.75" customHeight="1">
      <c r="A4742" s="129">
        <v>4742</v>
      </c>
    </row>
    <row r="4743" spans="1:1" ht="12.75" customHeight="1">
      <c r="A4743" s="129">
        <v>4743</v>
      </c>
    </row>
    <row r="4744" spans="1:1" ht="12.75" customHeight="1">
      <c r="A4744" s="129">
        <v>4744</v>
      </c>
    </row>
    <row r="4745" spans="1:1" ht="12.75" customHeight="1">
      <c r="A4745" s="129">
        <v>4745</v>
      </c>
    </row>
    <row r="4746" spans="1:1" ht="12.75" customHeight="1">
      <c r="A4746" s="129">
        <v>4746</v>
      </c>
    </row>
    <row r="4747" spans="1:1" ht="12.75" customHeight="1">
      <c r="A4747" s="129">
        <v>4747</v>
      </c>
    </row>
    <row r="4748" spans="1:1" ht="12.75" customHeight="1">
      <c r="A4748" s="129">
        <v>4748</v>
      </c>
    </row>
    <row r="4749" spans="1:1" ht="12.75" customHeight="1">
      <c r="A4749" s="129">
        <v>4749</v>
      </c>
    </row>
    <row r="4750" spans="1:1" ht="12.75" customHeight="1">
      <c r="A4750" s="129">
        <v>4750</v>
      </c>
    </row>
    <row r="4751" spans="1:1" ht="12.75" customHeight="1">
      <c r="A4751" s="129">
        <v>4751</v>
      </c>
    </row>
    <row r="4752" spans="1:1" ht="12.75" customHeight="1">
      <c r="A4752" s="129">
        <v>4752</v>
      </c>
    </row>
    <row r="4753" spans="1:1" ht="12.75" customHeight="1">
      <c r="A4753" s="129">
        <v>4753</v>
      </c>
    </row>
    <row r="4754" spans="1:1" ht="12.75" customHeight="1">
      <c r="A4754" s="129">
        <v>4754</v>
      </c>
    </row>
    <row r="4755" spans="1:1" ht="12.75" customHeight="1">
      <c r="A4755" s="129">
        <v>4755</v>
      </c>
    </row>
    <row r="4756" spans="1:1" ht="12.75" customHeight="1">
      <c r="A4756" s="129">
        <v>4756</v>
      </c>
    </row>
    <row r="4757" spans="1:1" ht="12.75" customHeight="1">
      <c r="A4757" s="129">
        <v>4757</v>
      </c>
    </row>
    <row r="4758" spans="1:1" ht="12.75" customHeight="1">
      <c r="A4758" s="129">
        <v>4758</v>
      </c>
    </row>
    <row r="4759" spans="1:1" ht="12.75" customHeight="1">
      <c r="A4759" s="129">
        <v>4759</v>
      </c>
    </row>
    <row r="4760" spans="1:1" ht="12.75" customHeight="1">
      <c r="A4760" s="129">
        <v>4760</v>
      </c>
    </row>
    <row r="4761" spans="1:1" ht="12.75" customHeight="1">
      <c r="A4761" s="129">
        <v>4761</v>
      </c>
    </row>
    <row r="4762" spans="1:1" ht="12.75" customHeight="1">
      <c r="A4762" s="129">
        <v>4762</v>
      </c>
    </row>
    <row r="4763" spans="1:1" ht="12.75" customHeight="1">
      <c r="A4763" s="129">
        <v>4763</v>
      </c>
    </row>
    <row r="4764" spans="1:1" ht="12.75" customHeight="1">
      <c r="A4764" s="129">
        <v>4764</v>
      </c>
    </row>
    <row r="4765" spans="1:1" ht="12.75" customHeight="1">
      <c r="A4765" s="129">
        <v>4765</v>
      </c>
    </row>
    <row r="4766" spans="1:1" ht="12.75" customHeight="1">
      <c r="A4766" s="129">
        <v>4766</v>
      </c>
    </row>
    <row r="4767" spans="1:1" ht="12.75" customHeight="1">
      <c r="A4767" s="129">
        <v>4767</v>
      </c>
    </row>
    <row r="4768" spans="1:1" ht="12.75" customHeight="1">
      <c r="A4768" s="129">
        <v>4768</v>
      </c>
    </row>
    <row r="4769" spans="1:1" ht="12.75" customHeight="1">
      <c r="A4769" s="129">
        <v>4769</v>
      </c>
    </row>
    <row r="4770" spans="1:1" ht="12.75" customHeight="1">
      <c r="A4770" s="129">
        <v>4770</v>
      </c>
    </row>
    <row r="4771" spans="1:1" ht="12.75" customHeight="1">
      <c r="A4771" s="129">
        <v>4771</v>
      </c>
    </row>
    <row r="4772" spans="1:1" ht="12.75" customHeight="1">
      <c r="A4772" s="129">
        <v>4772</v>
      </c>
    </row>
    <row r="4773" spans="1:1" ht="12.75" customHeight="1">
      <c r="A4773" s="129">
        <v>4773</v>
      </c>
    </row>
    <row r="4774" spans="1:1" ht="12.75" customHeight="1">
      <c r="A4774" s="129">
        <v>4774</v>
      </c>
    </row>
    <row r="4775" spans="1:1" ht="12.75" customHeight="1">
      <c r="A4775" s="129">
        <v>4775</v>
      </c>
    </row>
    <row r="4776" spans="1:1" ht="12.75" customHeight="1">
      <c r="A4776" s="129">
        <v>4776</v>
      </c>
    </row>
    <row r="4777" spans="1:1" ht="12.75" customHeight="1">
      <c r="A4777" s="129">
        <v>4777</v>
      </c>
    </row>
    <row r="4778" spans="1:1" ht="12.75" customHeight="1">
      <c r="A4778" s="129">
        <v>4778</v>
      </c>
    </row>
    <row r="4779" spans="1:1" ht="12.75" customHeight="1">
      <c r="A4779" s="129">
        <v>4779</v>
      </c>
    </row>
    <row r="4780" spans="1:1" ht="12.75" customHeight="1">
      <c r="A4780" s="129">
        <v>4780</v>
      </c>
    </row>
    <row r="4781" spans="1:1" ht="12.75" customHeight="1">
      <c r="A4781" s="129">
        <v>4781</v>
      </c>
    </row>
    <row r="4782" spans="1:1" ht="12.75" customHeight="1">
      <c r="A4782" s="129">
        <v>4782</v>
      </c>
    </row>
    <row r="4783" spans="1:1" ht="12.75" customHeight="1">
      <c r="A4783" s="129">
        <v>4783</v>
      </c>
    </row>
    <row r="4784" spans="1:1" ht="12.75" customHeight="1">
      <c r="A4784" s="129">
        <v>4784</v>
      </c>
    </row>
    <row r="4785" spans="1:1" ht="12.75" customHeight="1">
      <c r="A4785" s="129">
        <v>4785</v>
      </c>
    </row>
    <row r="4786" spans="1:1" ht="12.75" customHeight="1">
      <c r="A4786" s="129">
        <v>4786</v>
      </c>
    </row>
    <row r="4787" spans="1:1" ht="12.75" customHeight="1">
      <c r="A4787" s="129">
        <v>4787</v>
      </c>
    </row>
    <row r="4788" spans="1:1" ht="12.75" customHeight="1">
      <c r="A4788" s="129">
        <v>4788</v>
      </c>
    </row>
    <row r="4789" spans="1:1" ht="12.75" customHeight="1">
      <c r="A4789" s="129">
        <v>4789</v>
      </c>
    </row>
    <row r="4790" spans="1:1" ht="12.75" customHeight="1">
      <c r="A4790" s="129">
        <v>4790</v>
      </c>
    </row>
    <row r="4791" spans="1:1" ht="12.75" customHeight="1">
      <c r="A4791" s="129">
        <v>4791</v>
      </c>
    </row>
    <row r="4792" spans="1:1" ht="12.75" customHeight="1">
      <c r="A4792" s="129">
        <v>4792</v>
      </c>
    </row>
    <row r="4793" spans="1:1" ht="12.75" customHeight="1">
      <c r="A4793" s="129">
        <v>4793</v>
      </c>
    </row>
    <row r="4794" spans="1:1" ht="12.75" customHeight="1">
      <c r="A4794" s="129">
        <v>4794</v>
      </c>
    </row>
    <row r="4795" spans="1:1" ht="12.75" customHeight="1">
      <c r="A4795" s="129">
        <v>4795</v>
      </c>
    </row>
    <row r="4796" spans="1:1" ht="12.75" customHeight="1">
      <c r="A4796" s="129">
        <v>4796</v>
      </c>
    </row>
    <row r="4797" spans="1:1" ht="12.75" customHeight="1">
      <c r="A4797" s="129">
        <v>4797</v>
      </c>
    </row>
    <row r="4798" spans="1:1" ht="12.75" customHeight="1">
      <c r="A4798" s="129">
        <v>4798</v>
      </c>
    </row>
    <row r="4799" spans="1:1" ht="12.75" customHeight="1">
      <c r="A4799" s="129">
        <v>4799</v>
      </c>
    </row>
    <row r="4800" spans="1:1" ht="12.75" customHeight="1">
      <c r="A4800" s="129">
        <v>4800</v>
      </c>
    </row>
    <row r="4801" spans="1:1" ht="12.75" customHeight="1">
      <c r="A4801" s="129">
        <v>4801</v>
      </c>
    </row>
    <row r="4802" spans="1:1" ht="12.75" customHeight="1">
      <c r="A4802" s="129">
        <v>4802</v>
      </c>
    </row>
    <row r="4803" spans="1:1" ht="12.75" customHeight="1">
      <c r="A4803" s="129">
        <v>4803</v>
      </c>
    </row>
    <row r="4804" spans="1:1" ht="12.75" customHeight="1">
      <c r="A4804" s="129">
        <v>4804</v>
      </c>
    </row>
    <row r="4805" spans="1:1" ht="12.75" customHeight="1">
      <c r="A4805" s="129">
        <v>4805</v>
      </c>
    </row>
    <row r="4806" spans="1:1" ht="12.75" customHeight="1">
      <c r="A4806" s="129">
        <v>4806</v>
      </c>
    </row>
    <row r="4807" spans="1:1" ht="12.75" customHeight="1">
      <c r="A4807" s="129">
        <v>4807</v>
      </c>
    </row>
    <row r="4808" spans="1:1" ht="12.75" customHeight="1">
      <c r="A4808" s="129">
        <v>4808</v>
      </c>
    </row>
    <row r="4809" spans="1:1" ht="12.75" customHeight="1">
      <c r="A4809" s="129">
        <v>4809</v>
      </c>
    </row>
    <row r="4810" spans="1:1" ht="12.75" customHeight="1">
      <c r="A4810" s="129">
        <v>4810</v>
      </c>
    </row>
    <row r="4811" spans="1:1" ht="12.75" customHeight="1">
      <c r="A4811" s="129">
        <v>4811</v>
      </c>
    </row>
    <row r="4812" spans="1:1" ht="12.75" customHeight="1">
      <c r="A4812" s="129">
        <v>4812</v>
      </c>
    </row>
    <row r="4813" spans="1:1" ht="12.75" customHeight="1">
      <c r="A4813" s="129">
        <v>4813</v>
      </c>
    </row>
    <row r="4814" spans="1:1" ht="12.75" customHeight="1">
      <c r="A4814" s="129">
        <v>4814</v>
      </c>
    </row>
    <row r="4815" spans="1:1" ht="12.75" customHeight="1">
      <c r="A4815" s="129">
        <v>4815</v>
      </c>
    </row>
    <row r="4816" spans="1:1" ht="12.75" customHeight="1">
      <c r="A4816" s="129">
        <v>4816</v>
      </c>
    </row>
    <row r="4817" spans="1:1" ht="12.75" customHeight="1">
      <c r="A4817" s="129">
        <v>4817</v>
      </c>
    </row>
    <row r="4818" spans="1:1" ht="12.75" customHeight="1">
      <c r="A4818" s="129">
        <v>4818</v>
      </c>
    </row>
    <row r="4819" spans="1:1" ht="12.75" customHeight="1">
      <c r="A4819" s="129">
        <v>4819</v>
      </c>
    </row>
    <row r="4820" spans="1:1" ht="12.75" customHeight="1">
      <c r="A4820" s="129">
        <v>4820</v>
      </c>
    </row>
    <row r="4821" spans="1:1" ht="12.75" customHeight="1">
      <c r="A4821" s="129">
        <v>4821</v>
      </c>
    </row>
    <row r="4822" spans="1:1" ht="12.75" customHeight="1">
      <c r="A4822" s="129">
        <v>4822</v>
      </c>
    </row>
    <row r="4823" spans="1:1" ht="12.75" customHeight="1">
      <c r="A4823" s="129">
        <v>4823</v>
      </c>
    </row>
    <row r="4824" spans="1:1" ht="12.75" customHeight="1">
      <c r="A4824" s="129">
        <v>4824</v>
      </c>
    </row>
    <row r="4825" spans="1:1" ht="12.75" customHeight="1">
      <c r="A4825" s="129">
        <v>4825</v>
      </c>
    </row>
    <row r="4826" spans="1:1" ht="12.75" customHeight="1">
      <c r="A4826" s="129">
        <v>4826</v>
      </c>
    </row>
    <row r="4827" spans="1:1" ht="12.75" customHeight="1">
      <c r="A4827" s="129">
        <v>4827</v>
      </c>
    </row>
    <row r="4828" spans="1:1" ht="12.75" customHeight="1">
      <c r="A4828" s="129">
        <v>4828</v>
      </c>
    </row>
    <row r="4829" spans="1:1" ht="12.75" customHeight="1">
      <c r="A4829" s="129">
        <v>4829</v>
      </c>
    </row>
    <row r="4830" spans="1:1" ht="12.75" customHeight="1">
      <c r="A4830" s="129">
        <v>4830</v>
      </c>
    </row>
    <row r="4831" spans="1:1" ht="12.75" customHeight="1">
      <c r="A4831" s="129">
        <v>4831</v>
      </c>
    </row>
    <row r="4832" spans="1:1" ht="12.75" customHeight="1">
      <c r="A4832" s="129">
        <v>4832</v>
      </c>
    </row>
    <row r="4833" spans="1:1" ht="12.75" customHeight="1">
      <c r="A4833" s="129">
        <v>4833</v>
      </c>
    </row>
    <row r="4834" spans="1:1" ht="12.75" customHeight="1">
      <c r="A4834" s="129">
        <v>4834</v>
      </c>
    </row>
    <row r="4835" spans="1:1" ht="12.75" customHeight="1">
      <c r="A4835" s="129">
        <v>4835</v>
      </c>
    </row>
    <row r="4836" spans="1:1" ht="12.75" customHeight="1">
      <c r="A4836" s="129">
        <v>4836</v>
      </c>
    </row>
    <row r="4837" spans="1:1" ht="12.75" customHeight="1">
      <c r="A4837" s="129">
        <v>4837</v>
      </c>
    </row>
    <row r="4838" spans="1:1" ht="12.75" customHeight="1">
      <c r="A4838" s="129">
        <v>4838</v>
      </c>
    </row>
    <row r="4839" spans="1:1" ht="12.75" customHeight="1">
      <c r="A4839" s="129">
        <v>4839</v>
      </c>
    </row>
    <row r="4840" spans="1:1" ht="12.75" customHeight="1">
      <c r="A4840" s="129">
        <v>4840</v>
      </c>
    </row>
    <row r="4841" spans="1:1" ht="12.75" customHeight="1">
      <c r="A4841" s="129">
        <v>4841</v>
      </c>
    </row>
    <row r="4842" spans="1:1" ht="12.75" customHeight="1">
      <c r="A4842" s="129">
        <v>4842</v>
      </c>
    </row>
    <row r="4843" spans="1:1" ht="12.75" customHeight="1">
      <c r="A4843" s="129">
        <v>4843</v>
      </c>
    </row>
    <row r="4844" spans="1:1" ht="12.75" customHeight="1">
      <c r="A4844" s="129">
        <v>4844</v>
      </c>
    </row>
    <row r="4845" spans="1:1" ht="12.75" customHeight="1">
      <c r="A4845" s="129">
        <v>4845</v>
      </c>
    </row>
    <row r="4846" spans="1:1" ht="12.75" customHeight="1">
      <c r="A4846" s="129">
        <v>4846</v>
      </c>
    </row>
    <row r="4847" spans="1:1" ht="12.75" customHeight="1">
      <c r="A4847" s="129">
        <v>4847</v>
      </c>
    </row>
    <row r="4848" spans="1:1" ht="12.75" customHeight="1">
      <c r="A4848" s="129">
        <v>4848</v>
      </c>
    </row>
    <row r="4849" spans="1:1" ht="12.75" customHeight="1">
      <c r="A4849" s="129">
        <v>4849</v>
      </c>
    </row>
    <row r="4850" spans="1:1" ht="12.75" customHeight="1">
      <c r="A4850" s="129">
        <v>4850</v>
      </c>
    </row>
    <row r="4851" spans="1:1" ht="12.75" customHeight="1">
      <c r="A4851" s="129">
        <v>4851</v>
      </c>
    </row>
    <row r="4852" spans="1:1" ht="12.75" customHeight="1">
      <c r="A4852" s="129">
        <v>4852</v>
      </c>
    </row>
    <row r="4853" spans="1:1" ht="12.75" customHeight="1">
      <c r="A4853" s="129">
        <v>4853</v>
      </c>
    </row>
    <row r="4854" spans="1:1" ht="12.75" customHeight="1">
      <c r="A4854" s="129">
        <v>4854</v>
      </c>
    </row>
    <row r="4855" spans="1:1" ht="12.75" customHeight="1">
      <c r="A4855" s="129">
        <v>4855</v>
      </c>
    </row>
    <row r="4856" spans="1:1" ht="12.75" customHeight="1">
      <c r="A4856" s="129">
        <v>4856</v>
      </c>
    </row>
    <row r="4857" spans="1:1" ht="12.75" customHeight="1">
      <c r="A4857" s="129">
        <v>4857</v>
      </c>
    </row>
    <row r="4858" spans="1:1" ht="12.75" customHeight="1">
      <c r="A4858" s="129">
        <v>4858</v>
      </c>
    </row>
    <row r="4859" spans="1:1" ht="12.75" customHeight="1">
      <c r="A4859" s="129">
        <v>4859</v>
      </c>
    </row>
    <row r="4860" spans="1:1" ht="12.75" customHeight="1">
      <c r="A4860" s="129">
        <v>4860</v>
      </c>
    </row>
    <row r="4861" spans="1:1" ht="12.75" customHeight="1">
      <c r="A4861" s="129">
        <v>4861</v>
      </c>
    </row>
    <row r="4862" spans="1:1" ht="12.75" customHeight="1">
      <c r="A4862" s="129">
        <v>4862</v>
      </c>
    </row>
    <row r="4863" spans="1:1" ht="12.75" customHeight="1">
      <c r="A4863" s="129">
        <v>4863</v>
      </c>
    </row>
    <row r="4864" spans="1:1" ht="12.75" customHeight="1">
      <c r="A4864" s="129">
        <v>4864</v>
      </c>
    </row>
    <row r="4865" spans="1:1" ht="12.75" customHeight="1">
      <c r="A4865" s="129">
        <v>4865</v>
      </c>
    </row>
    <row r="4866" spans="1:1" ht="12.75" customHeight="1">
      <c r="A4866" s="129">
        <v>4866</v>
      </c>
    </row>
    <row r="4867" spans="1:1" ht="12.75" customHeight="1">
      <c r="A4867" s="129">
        <v>4867</v>
      </c>
    </row>
    <row r="4868" spans="1:1" ht="12.75" customHeight="1">
      <c r="A4868" s="129">
        <v>4868</v>
      </c>
    </row>
    <row r="4869" spans="1:1" ht="12.75" customHeight="1">
      <c r="A4869" s="129">
        <v>4869</v>
      </c>
    </row>
    <row r="4870" spans="1:1" ht="12.75" customHeight="1">
      <c r="A4870" s="129">
        <v>4870</v>
      </c>
    </row>
    <row r="4871" spans="1:1" ht="12.75" customHeight="1">
      <c r="A4871" s="129">
        <v>4871</v>
      </c>
    </row>
    <row r="4872" spans="1:1" ht="12.75" customHeight="1">
      <c r="A4872" s="129">
        <v>4872</v>
      </c>
    </row>
    <row r="4873" spans="1:1" ht="12.75" customHeight="1">
      <c r="A4873" s="129">
        <v>4873</v>
      </c>
    </row>
    <row r="4874" spans="1:1" ht="12.75" customHeight="1">
      <c r="A4874" s="129">
        <v>4874</v>
      </c>
    </row>
    <row r="4875" spans="1:1" ht="12.75" customHeight="1">
      <c r="A4875" s="129">
        <v>4875</v>
      </c>
    </row>
    <row r="4876" spans="1:1" ht="12.75" customHeight="1">
      <c r="A4876" s="129">
        <v>4876</v>
      </c>
    </row>
    <row r="4877" spans="1:1" ht="12.75" customHeight="1">
      <c r="A4877" s="129">
        <v>4877</v>
      </c>
    </row>
    <row r="4878" spans="1:1" ht="12.75" customHeight="1">
      <c r="A4878" s="129">
        <v>4878</v>
      </c>
    </row>
    <row r="4879" spans="1:1" ht="12.75" customHeight="1">
      <c r="A4879" s="129">
        <v>4879</v>
      </c>
    </row>
    <row r="4880" spans="1:1" ht="12.75" customHeight="1">
      <c r="A4880" s="129">
        <v>4880</v>
      </c>
    </row>
    <row r="4881" spans="1:1" ht="12.75" customHeight="1">
      <c r="A4881" s="129">
        <v>4881</v>
      </c>
    </row>
    <row r="4882" spans="1:1" ht="12.75" customHeight="1">
      <c r="A4882" s="129">
        <v>4882</v>
      </c>
    </row>
    <row r="4883" spans="1:1" ht="12.75" customHeight="1">
      <c r="A4883" s="129">
        <v>4883</v>
      </c>
    </row>
    <row r="4884" spans="1:1" ht="12.75" customHeight="1">
      <c r="A4884" s="129">
        <v>4884</v>
      </c>
    </row>
    <row r="4885" spans="1:1" ht="12.75" customHeight="1">
      <c r="A4885" s="129">
        <v>4885</v>
      </c>
    </row>
    <row r="4886" spans="1:1" ht="12.75" customHeight="1">
      <c r="A4886" s="129">
        <v>4886</v>
      </c>
    </row>
    <row r="4887" spans="1:1" ht="12.75" customHeight="1">
      <c r="A4887" s="129">
        <v>4887</v>
      </c>
    </row>
    <row r="4888" spans="1:1" ht="12.75" customHeight="1">
      <c r="A4888" s="129">
        <v>4888</v>
      </c>
    </row>
    <row r="4889" spans="1:1" ht="12.75" customHeight="1">
      <c r="A4889" s="129">
        <v>4889</v>
      </c>
    </row>
    <row r="4890" spans="1:1" ht="12.75" customHeight="1">
      <c r="A4890" s="129">
        <v>4890</v>
      </c>
    </row>
    <row r="4891" spans="1:1" ht="12.75" customHeight="1">
      <c r="A4891" s="129">
        <v>4891</v>
      </c>
    </row>
    <row r="4892" spans="1:1" ht="12.75" customHeight="1">
      <c r="A4892" s="129">
        <v>4892</v>
      </c>
    </row>
    <row r="4893" spans="1:1" ht="12.75" customHeight="1">
      <c r="A4893" s="129">
        <v>4893</v>
      </c>
    </row>
    <row r="4894" spans="1:1" ht="12.75" customHeight="1">
      <c r="A4894" s="129">
        <v>4894</v>
      </c>
    </row>
    <row r="4895" spans="1:1" ht="12.75" customHeight="1">
      <c r="A4895" s="129">
        <v>4895</v>
      </c>
    </row>
    <row r="4896" spans="1:1" ht="12.75" customHeight="1">
      <c r="A4896" s="129">
        <v>4896</v>
      </c>
    </row>
    <row r="4897" spans="1:1" ht="12.75" customHeight="1">
      <c r="A4897" s="129">
        <v>4897</v>
      </c>
    </row>
    <row r="4898" spans="1:1" ht="12.75" customHeight="1">
      <c r="A4898" s="129">
        <v>4898</v>
      </c>
    </row>
    <row r="4899" spans="1:1" ht="12.75" customHeight="1">
      <c r="A4899" s="129">
        <v>4899</v>
      </c>
    </row>
    <row r="4900" spans="1:1" ht="12.75" customHeight="1">
      <c r="A4900" s="129">
        <v>4900</v>
      </c>
    </row>
    <row r="4901" spans="1:1" ht="12.75" customHeight="1">
      <c r="A4901" s="129">
        <v>4901</v>
      </c>
    </row>
    <row r="4902" spans="1:1" ht="12.75" customHeight="1">
      <c r="A4902" s="129">
        <v>4902</v>
      </c>
    </row>
    <row r="4903" spans="1:1" ht="12.75" customHeight="1">
      <c r="A4903" s="129">
        <v>4903</v>
      </c>
    </row>
    <row r="4904" spans="1:1" ht="12.75" customHeight="1">
      <c r="A4904" s="129">
        <v>4904</v>
      </c>
    </row>
    <row r="4905" spans="1:1" ht="12.75" customHeight="1">
      <c r="A4905" s="129">
        <v>4905</v>
      </c>
    </row>
    <row r="4906" spans="1:1" ht="12.75" customHeight="1">
      <c r="A4906" s="129">
        <v>4906</v>
      </c>
    </row>
    <row r="4907" spans="1:1" ht="12.75" customHeight="1">
      <c r="A4907" s="129">
        <v>4907</v>
      </c>
    </row>
    <row r="4908" spans="1:1" ht="12.75" customHeight="1">
      <c r="A4908" s="129">
        <v>4908</v>
      </c>
    </row>
    <row r="4909" spans="1:1" ht="12.75" customHeight="1">
      <c r="A4909" s="129">
        <v>4909</v>
      </c>
    </row>
    <row r="4910" spans="1:1" ht="12.75" customHeight="1">
      <c r="A4910" s="129">
        <v>4910</v>
      </c>
    </row>
    <row r="4911" spans="1:1" ht="12.75" customHeight="1">
      <c r="A4911" s="129">
        <v>4911</v>
      </c>
    </row>
    <row r="4912" spans="1:1" ht="12.75" customHeight="1">
      <c r="A4912" s="129">
        <v>4912</v>
      </c>
    </row>
    <row r="4913" spans="1:1" ht="12.75" customHeight="1">
      <c r="A4913" s="129">
        <v>4913</v>
      </c>
    </row>
    <row r="4914" spans="1:1" ht="12.75" customHeight="1">
      <c r="A4914" s="129">
        <v>4914</v>
      </c>
    </row>
    <row r="4915" spans="1:1" ht="12.75" customHeight="1">
      <c r="A4915" s="129">
        <v>4915</v>
      </c>
    </row>
    <row r="4916" spans="1:1" ht="12.75" customHeight="1">
      <c r="A4916" s="129">
        <v>4916</v>
      </c>
    </row>
    <row r="4917" spans="1:1" ht="12.75" customHeight="1">
      <c r="A4917" s="129">
        <v>4917</v>
      </c>
    </row>
    <row r="4918" spans="1:1" ht="12.75" customHeight="1">
      <c r="A4918" s="129">
        <v>4918</v>
      </c>
    </row>
    <row r="4919" spans="1:1" ht="12.75" customHeight="1">
      <c r="A4919" s="129">
        <v>4919</v>
      </c>
    </row>
    <row r="4920" spans="1:1" ht="12.75" customHeight="1">
      <c r="A4920" s="129">
        <v>4920</v>
      </c>
    </row>
    <row r="4921" spans="1:1" ht="12.75" customHeight="1">
      <c r="A4921" s="129">
        <v>4921</v>
      </c>
    </row>
    <row r="4922" spans="1:1" ht="12.75" customHeight="1">
      <c r="A4922" s="129">
        <v>4922</v>
      </c>
    </row>
    <row r="4923" spans="1:1" ht="12.75" customHeight="1">
      <c r="A4923" s="129">
        <v>4923</v>
      </c>
    </row>
    <row r="4924" spans="1:1" ht="12.75" customHeight="1">
      <c r="A4924" s="129">
        <v>4924</v>
      </c>
    </row>
    <row r="4925" spans="1:1" ht="12.75" customHeight="1">
      <c r="A4925" s="129">
        <v>4925</v>
      </c>
    </row>
    <row r="4926" spans="1:1" ht="12.75" customHeight="1">
      <c r="A4926" s="129">
        <v>4926</v>
      </c>
    </row>
    <row r="4927" spans="1:1" ht="12.75" customHeight="1">
      <c r="A4927" s="129">
        <v>4927</v>
      </c>
    </row>
    <row r="4928" spans="1:1" ht="12.75" customHeight="1">
      <c r="A4928" s="129">
        <v>4928</v>
      </c>
    </row>
    <row r="4929" spans="1:1" ht="12.75" customHeight="1">
      <c r="A4929" s="129">
        <v>4929</v>
      </c>
    </row>
    <row r="4930" spans="1:1" ht="12.75" customHeight="1">
      <c r="A4930" s="129">
        <v>4930</v>
      </c>
    </row>
    <row r="4931" spans="1:1" ht="12.75" customHeight="1">
      <c r="A4931" s="129">
        <v>4931</v>
      </c>
    </row>
    <row r="4932" spans="1:1" ht="12.75" customHeight="1">
      <c r="A4932" s="129">
        <v>4932</v>
      </c>
    </row>
    <row r="4933" spans="1:1" ht="12.75" customHeight="1">
      <c r="A4933" s="129">
        <v>4933</v>
      </c>
    </row>
    <row r="4934" spans="1:1" ht="12.75" customHeight="1">
      <c r="A4934" s="129">
        <v>4934</v>
      </c>
    </row>
    <row r="4935" spans="1:1" ht="12.75" customHeight="1">
      <c r="A4935" s="129">
        <v>4935</v>
      </c>
    </row>
    <row r="4936" spans="1:1" ht="12.75" customHeight="1">
      <c r="A4936" s="129">
        <v>4936</v>
      </c>
    </row>
    <row r="4937" spans="1:1" ht="12.75" customHeight="1">
      <c r="A4937" s="129">
        <v>4937</v>
      </c>
    </row>
    <row r="4938" spans="1:1" ht="12.75" customHeight="1">
      <c r="A4938" s="129">
        <v>4938</v>
      </c>
    </row>
    <row r="4939" spans="1:1" ht="12.75" customHeight="1">
      <c r="A4939" s="129">
        <v>4939</v>
      </c>
    </row>
    <row r="4940" spans="1:1" ht="12.75" customHeight="1">
      <c r="A4940" s="129">
        <v>4940</v>
      </c>
    </row>
    <row r="4941" spans="1:1" ht="12.75" customHeight="1">
      <c r="A4941" s="129">
        <v>4941</v>
      </c>
    </row>
    <row r="4942" spans="1:1" ht="12.75" customHeight="1">
      <c r="A4942" s="129">
        <v>4942</v>
      </c>
    </row>
    <row r="4943" spans="1:1" ht="12.75" customHeight="1">
      <c r="A4943" s="129">
        <v>4943</v>
      </c>
    </row>
    <row r="4944" spans="1:1" ht="12.75" customHeight="1">
      <c r="A4944" s="129">
        <v>4944</v>
      </c>
    </row>
    <row r="4945" spans="1:1" ht="12.75" customHeight="1">
      <c r="A4945" s="129">
        <v>4945</v>
      </c>
    </row>
    <row r="4946" spans="1:1" ht="12.75" customHeight="1">
      <c r="A4946" s="129">
        <v>4946</v>
      </c>
    </row>
    <row r="4947" spans="1:1" ht="12.75" customHeight="1">
      <c r="A4947" s="129">
        <v>4947</v>
      </c>
    </row>
    <row r="4948" spans="1:1" ht="12.75" customHeight="1">
      <c r="A4948" s="129">
        <v>4948</v>
      </c>
    </row>
    <row r="4949" spans="1:1" ht="12.75" customHeight="1">
      <c r="A4949" s="129">
        <v>4949</v>
      </c>
    </row>
    <row r="4950" spans="1:1" ht="12.75" customHeight="1">
      <c r="A4950" s="129">
        <v>4950</v>
      </c>
    </row>
    <row r="4951" spans="1:1" ht="12.75" customHeight="1">
      <c r="A4951" s="129">
        <v>4951</v>
      </c>
    </row>
    <row r="4952" spans="1:1" ht="12.75" customHeight="1">
      <c r="A4952" s="129">
        <v>4952</v>
      </c>
    </row>
    <row r="4953" spans="1:1" ht="12.75" customHeight="1">
      <c r="A4953" s="129">
        <v>4953</v>
      </c>
    </row>
    <row r="4954" spans="1:1" ht="12.75" customHeight="1">
      <c r="A4954" s="129">
        <v>4954</v>
      </c>
    </row>
    <row r="4955" spans="1:1" ht="12.75" customHeight="1">
      <c r="A4955" s="129">
        <v>4955</v>
      </c>
    </row>
    <row r="4956" spans="1:1" ht="12.75" customHeight="1">
      <c r="A4956" s="129">
        <v>4956</v>
      </c>
    </row>
    <row r="4957" spans="1:1" ht="12.75" customHeight="1">
      <c r="A4957" s="129">
        <v>4957</v>
      </c>
    </row>
    <row r="4958" spans="1:1" ht="12.75" customHeight="1">
      <c r="A4958" s="129">
        <v>4958</v>
      </c>
    </row>
    <row r="4959" spans="1:1" ht="12.75" customHeight="1">
      <c r="A4959" s="129">
        <v>4959</v>
      </c>
    </row>
    <row r="4960" spans="1:1" ht="12.75" customHeight="1">
      <c r="A4960" s="129">
        <v>4960</v>
      </c>
    </row>
    <row r="4961" spans="1:1" ht="12.75" customHeight="1">
      <c r="A4961" s="129">
        <v>4961</v>
      </c>
    </row>
    <row r="4962" spans="1:1" ht="12.75" customHeight="1">
      <c r="A4962" s="129">
        <v>4962</v>
      </c>
    </row>
    <row r="4963" spans="1:1" ht="12.75" customHeight="1">
      <c r="A4963" s="129">
        <v>4963</v>
      </c>
    </row>
    <row r="4964" spans="1:1" ht="12.75" customHeight="1">
      <c r="A4964" s="129">
        <v>4964</v>
      </c>
    </row>
    <row r="4965" spans="1:1" ht="12.75" customHeight="1">
      <c r="A4965" s="129">
        <v>4965</v>
      </c>
    </row>
    <row r="4966" spans="1:1" ht="12.75" customHeight="1">
      <c r="A4966" s="129">
        <v>4966</v>
      </c>
    </row>
    <row r="4967" spans="1:1" ht="12.75" customHeight="1">
      <c r="A4967" s="129">
        <v>4967</v>
      </c>
    </row>
    <row r="4968" spans="1:1" ht="12.75" customHeight="1">
      <c r="A4968" s="129">
        <v>4968</v>
      </c>
    </row>
    <row r="4969" spans="1:1" ht="12.75" customHeight="1">
      <c r="A4969" s="129">
        <v>4969</v>
      </c>
    </row>
    <row r="4970" spans="1:1" ht="12.75" customHeight="1">
      <c r="A4970" s="129">
        <v>4970</v>
      </c>
    </row>
    <row r="4971" spans="1:1" ht="12.75" customHeight="1">
      <c r="A4971" s="129">
        <v>4971</v>
      </c>
    </row>
    <row r="4972" spans="1:1" ht="12.75" customHeight="1">
      <c r="A4972" s="129">
        <v>4972</v>
      </c>
    </row>
    <row r="4973" spans="1:1" ht="12.75" customHeight="1">
      <c r="A4973" s="129">
        <v>4973</v>
      </c>
    </row>
    <row r="4974" spans="1:1" ht="12.75" customHeight="1">
      <c r="A4974" s="129">
        <v>4974</v>
      </c>
    </row>
    <row r="4975" spans="1:1" ht="12.75" customHeight="1">
      <c r="A4975" s="129">
        <v>4975</v>
      </c>
    </row>
    <row r="4976" spans="1:1" ht="12.75" customHeight="1">
      <c r="A4976" s="129">
        <v>4976</v>
      </c>
    </row>
    <row r="4977" spans="1:1" ht="12.75" customHeight="1">
      <c r="A4977" s="129">
        <v>4977</v>
      </c>
    </row>
    <row r="4978" spans="1:1" ht="12.75" customHeight="1">
      <c r="A4978" s="129">
        <v>4978</v>
      </c>
    </row>
    <row r="4979" spans="1:1" ht="12.75" customHeight="1">
      <c r="A4979" s="129">
        <v>4979</v>
      </c>
    </row>
    <row r="4980" spans="1:1" ht="12.75" customHeight="1">
      <c r="A4980" s="129">
        <v>4980</v>
      </c>
    </row>
    <row r="4981" spans="1:1" ht="12.75" customHeight="1">
      <c r="A4981" s="129">
        <v>4981</v>
      </c>
    </row>
    <row r="4982" spans="1:1" ht="12.75" customHeight="1">
      <c r="A4982" s="129">
        <v>4982</v>
      </c>
    </row>
    <row r="4983" spans="1:1" ht="12.75" customHeight="1">
      <c r="A4983" s="129">
        <v>4983</v>
      </c>
    </row>
    <row r="4984" spans="1:1" ht="12.75" customHeight="1">
      <c r="A4984" s="129">
        <v>4984</v>
      </c>
    </row>
    <row r="4985" spans="1:1" ht="12.75" customHeight="1">
      <c r="A4985" s="129">
        <v>4985</v>
      </c>
    </row>
    <row r="4986" spans="1:1" ht="12.75" customHeight="1">
      <c r="A4986" s="129">
        <v>4986</v>
      </c>
    </row>
    <row r="4987" spans="1:1" ht="12.75" customHeight="1">
      <c r="A4987" s="129">
        <v>4987</v>
      </c>
    </row>
    <row r="4988" spans="1:1" ht="12.75" customHeight="1">
      <c r="A4988" s="129">
        <v>4988</v>
      </c>
    </row>
    <row r="4989" spans="1:1" ht="12.75" customHeight="1">
      <c r="A4989" s="129">
        <v>4989</v>
      </c>
    </row>
    <row r="4990" spans="1:1" ht="12.75" customHeight="1">
      <c r="A4990" s="129">
        <v>4990</v>
      </c>
    </row>
    <row r="4991" spans="1:1" ht="12.75" customHeight="1">
      <c r="A4991" s="129">
        <v>4991</v>
      </c>
    </row>
    <row r="4992" spans="1:1" ht="12.75" customHeight="1">
      <c r="A4992" s="129">
        <v>4992</v>
      </c>
    </row>
    <row r="4993" spans="1:1" ht="12.75" customHeight="1">
      <c r="A4993" s="129">
        <v>4993</v>
      </c>
    </row>
    <row r="4994" spans="1:1" ht="12.75" customHeight="1">
      <c r="A4994" s="129">
        <v>4994</v>
      </c>
    </row>
    <row r="4995" spans="1:1" ht="12.75" customHeight="1">
      <c r="A4995" s="129">
        <v>4995</v>
      </c>
    </row>
    <row r="4996" spans="1:1" ht="12.75" customHeight="1">
      <c r="A4996" s="129">
        <v>4996</v>
      </c>
    </row>
    <row r="4997" spans="1:1" ht="12.75" customHeight="1">
      <c r="A4997" s="129">
        <v>4997</v>
      </c>
    </row>
    <row r="4998" spans="1:1" ht="12.75" customHeight="1">
      <c r="A4998" s="129">
        <v>4998</v>
      </c>
    </row>
    <row r="4999" spans="1:1" ht="12.75" customHeight="1">
      <c r="A4999" s="129">
        <v>4999</v>
      </c>
    </row>
    <row r="5000" spans="1:1" ht="12.75" customHeight="1">
      <c r="A5000" s="129">
        <v>5000</v>
      </c>
    </row>
    <row r="5001" spans="1:1" ht="12.75" customHeight="1">
      <c r="A5001" s="129">
        <v>5001</v>
      </c>
    </row>
    <row r="5002" spans="1:1" ht="12.75" customHeight="1">
      <c r="A5002" s="129">
        <v>5002</v>
      </c>
    </row>
    <row r="5003" spans="1:1" ht="12.75" customHeight="1">
      <c r="A5003" s="129">
        <v>5003</v>
      </c>
    </row>
    <row r="5004" spans="1:1" ht="12.75" customHeight="1">
      <c r="A5004" s="129">
        <v>5004</v>
      </c>
    </row>
    <row r="5005" spans="1:1" ht="12.75" customHeight="1">
      <c r="A5005" s="129">
        <v>5005</v>
      </c>
    </row>
    <row r="5006" spans="1:1" ht="12.75" customHeight="1">
      <c r="A5006" s="129">
        <v>5006</v>
      </c>
    </row>
    <row r="5007" spans="1:1" ht="12.75" customHeight="1">
      <c r="A5007" s="129">
        <v>5007</v>
      </c>
    </row>
    <row r="5008" spans="1:1" ht="12.75" customHeight="1">
      <c r="A5008" s="129">
        <v>5008</v>
      </c>
    </row>
    <row r="5009" spans="1:1" ht="12.75" customHeight="1">
      <c r="A5009" s="129">
        <v>5009</v>
      </c>
    </row>
    <row r="5010" spans="1:1" ht="12.75" customHeight="1">
      <c r="A5010" s="129">
        <v>5010</v>
      </c>
    </row>
    <row r="5011" spans="1:1" ht="12.75" customHeight="1">
      <c r="A5011" s="129">
        <v>5011</v>
      </c>
    </row>
    <row r="5012" spans="1:1" ht="12.75" customHeight="1">
      <c r="A5012" s="129">
        <v>5012</v>
      </c>
    </row>
    <row r="5013" spans="1:1" ht="12.75" customHeight="1">
      <c r="A5013" s="129">
        <v>5013</v>
      </c>
    </row>
    <row r="5014" spans="1:1" ht="12.75" customHeight="1">
      <c r="A5014" s="129">
        <v>5014</v>
      </c>
    </row>
    <row r="5015" spans="1:1" ht="12.75" customHeight="1">
      <c r="A5015" s="129">
        <v>5015</v>
      </c>
    </row>
    <row r="5016" spans="1:1" ht="12.75" customHeight="1">
      <c r="A5016" s="129">
        <v>5016</v>
      </c>
    </row>
    <row r="5017" spans="1:1" ht="12.75" customHeight="1">
      <c r="A5017" s="129">
        <v>5017</v>
      </c>
    </row>
    <row r="5018" spans="1:1" ht="12.75" customHeight="1">
      <c r="A5018" s="129">
        <v>5018</v>
      </c>
    </row>
    <row r="5019" spans="1:1" ht="12.75" customHeight="1">
      <c r="A5019" s="129">
        <v>5019</v>
      </c>
    </row>
    <row r="5020" spans="1:1" ht="12.75" customHeight="1">
      <c r="A5020" s="129">
        <v>5020</v>
      </c>
    </row>
    <row r="5021" spans="1:1" ht="12.75" customHeight="1">
      <c r="A5021" s="129">
        <v>5021</v>
      </c>
    </row>
    <row r="5022" spans="1:1" ht="12.75" customHeight="1">
      <c r="A5022" s="129">
        <v>5022</v>
      </c>
    </row>
    <row r="5023" spans="1:1" ht="12.75" customHeight="1">
      <c r="A5023" s="129">
        <v>5023</v>
      </c>
    </row>
    <row r="5024" spans="1:1" ht="12.75" customHeight="1">
      <c r="A5024" s="129">
        <v>5024</v>
      </c>
    </row>
    <row r="5025" spans="1:1" ht="12.75" customHeight="1">
      <c r="A5025" s="129">
        <v>5025</v>
      </c>
    </row>
    <row r="5026" spans="1:1" ht="12.75" customHeight="1">
      <c r="A5026" s="129">
        <v>5026</v>
      </c>
    </row>
    <row r="5027" spans="1:1" ht="12.75" customHeight="1">
      <c r="A5027" s="129">
        <v>5027</v>
      </c>
    </row>
    <row r="5028" spans="1:1" ht="12.75" customHeight="1">
      <c r="A5028" s="129">
        <v>5028</v>
      </c>
    </row>
    <row r="5029" spans="1:1" ht="12.75" customHeight="1">
      <c r="A5029" s="129">
        <v>5029</v>
      </c>
    </row>
    <row r="5030" spans="1:1" ht="12.75" customHeight="1">
      <c r="A5030" s="129">
        <v>5030</v>
      </c>
    </row>
    <row r="5031" spans="1:1" ht="12.75" customHeight="1">
      <c r="A5031" s="129">
        <v>5031</v>
      </c>
    </row>
    <row r="5032" spans="1:1" ht="12.75" customHeight="1">
      <c r="A5032" s="129">
        <v>5032</v>
      </c>
    </row>
    <row r="5033" spans="1:1" ht="12.75" customHeight="1">
      <c r="A5033" s="129">
        <v>5033</v>
      </c>
    </row>
    <row r="5034" spans="1:1" ht="12.75" customHeight="1">
      <c r="A5034" s="129">
        <v>5034</v>
      </c>
    </row>
    <row r="5035" spans="1:1" ht="12.75" customHeight="1">
      <c r="A5035" s="129">
        <v>5035</v>
      </c>
    </row>
    <row r="5036" spans="1:1" ht="12.75" customHeight="1">
      <c r="A5036" s="129">
        <v>5036</v>
      </c>
    </row>
    <row r="5037" spans="1:1" ht="12.75" customHeight="1">
      <c r="A5037" s="129">
        <v>5037</v>
      </c>
    </row>
    <row r="5038" spans="1:1" ht="12.75" customHeight="1">
      <c r="A5038" s="129">
        <v>5038</v>
      </c>
    </row>
    <row r="5039" spans="1:1" ht="12.75" customHeight="1">
      <c r="A5039" s="129">
        <v>5039</v>
      </c>
    </row>
    <row r="5040" spans="1:1" ht="12.75" customHeight="1">
      <c r="A5040" s="129">
        <v>5040</v>
      </c>
    </row>
    <row r="5041" spans="1:1" ht="12.75" customHeight="1">
      <c r="A5041" s="129">
        <v>5041</v>
      </c>
    </row>
    <row r="5042" spans="1:1" ht="12.75" customHeight="1">
      <c r="A5042" s="129">
        <v>5042</v>
      </c>
    </row>
    <row r="5043" spans="1:1" ht="12.75" customHeight="1">
      <c r="A5043" s="129">
        <v>5043</v>
      </c>
    </row>
    <row r="5044" spans="1:1" ht="12.75" customHeight="1">
      <c r="A5044" s="129">
        <v>5044</v>
      </c>
    </row>
    <row r="5045" spans="1:1" ht="12.75" customHeight="1">
      <c r="A5045" s="129">
        <v>5045</v>
      </c>
    </row>
    <row r="5046" spans="1:1" ht="12.75" customHeight="1">
      <c r="A5046" s="129">
        <v>5046</v>
      </c>
    </row>
    <row r="5047" spans="1:1" ht="12.75" customHeight="1">
      <c r="A5047" s="129">
        <v>5047</v>
      </c>
    </row>
    <row r="5048" spans="1:1" ht="12.75" customHeight="1">
      <c r="A5048" s="129">
        <v>5048</v>
      </c>
    </row>
    <row r="5049" spans="1:1" ht="12.75" customHeight="1">
      <c r="A5049" s="129">
        <v>5049</v>
      </c>
    </row>
    <row r="5050" spans="1:1" ht="12.75" customHeight="1">
      <c r="A5050" s="129">
        <v>5050</v>
      </c>
    </row>
    <row r="5051" spans="1:1" ht="12.75" customHeight="1">
      <c r="A5051" s="129">
        <v>5051</v>
      </c>
    </row>
    <row r="5052" spans="1:1" ht="12.75" customHeight="1">
      <c r="A5052" s="129">
        <v>5052</v>
      </c>
    </row>
    <row r="5053" spans="1:1" ht="12.75" customHeight="1">
      <c r="A5053" s="129">
        <v>5053</v>
      </c>
    </row>
    <row r="5054" spans="1:1" ht="12.75" customHeight="1">
      <c r="A5054" s="129">
        <v>5054</v>
      </c>
    </row>
    <row r="5055" spans="1:1" ht="12.75" customHeight="1">
      <c r="A5055" s="129">
        <v>5055</v>
      </c>
    </row>
    <row r="5056" spans="1:1" ht="12.75" customHeight="1">
      <c r="A5056" s="129">
        <v>5056</v>
      </c>
    </row>
    <row r="5057" spans="1:1" ht="12.75" customHeight="1">
      <c r="A5057" s="129">
        <v>5057</v>
      </c>
    </row>
    <row r="5058" spans="1:1" ht="12.75" customHeight="1">
      <c r="A5058" s="129">
        <v>5058</v>
      </c>
    </row>
    <row r="5059" spans="1:1" ht="12.75" customHeight="1">
      <c r="A5059" s="129">
        <v>5059</v>
      </c>
    </row>
    <row r="5060" spans="1:1" ht="12.75" customHeight="1">
      <c r="A5060" s="129">
        <v>5060</v>
      </c>
    </row>
    <row r="5061" spans="1:1" ht="12.75" customHeight="1">
      <c r="A5061" s="129">
        <v>5061</v>
      </c>
    </row>
    <row r="5062" spans="1:1" ht="12.75" customHeight="1">
      <c r="A5062" s="129">
        <v>5062</v>
      </c>
    </row>
    <row r="5063" spans="1:1" ht="12.75" customHeight="1">
      <c r="A5063" s="129">
        <v>5063</v>
      </c>
    </row>
    <row r="5064" spans="1:1" ht="12.75" customHeight="1">
      <c r="A5064" s="129">
        <v>5064</v>
      </c>
    </row>
    <row r="5065" spans="1:1" ht="12.75" customHeight="1">
      <c r="A5065" s="129">
        <v>5065</v>
      </c>
    </row>
    <row r="5066" spans="1:1" ht="12.75" customHeight="1">
      <c r="A5066" s="129">
        <v>5066</v>
      </c>
    </row>
    <row r="5067" spans="1:1" ht="12.75" customHeight="1">
      <c r="A5067" s="129">
        <v>5067</v>
      </c>
    </row>
    <row r="5068" spans="1:1" ht="12.75" customHeight="1">
      <c r="A5068" s="129">
        <v>5068</v>
      </c>
    </row>
    <row r="5069" spans="1:1" ht="12.75" customHeight="1">
      <c r="A5069" s="129">
        <v>5069</v>
      </c>
    </row>
    <row r="5070" spans="1:1" ht="12.75" customHeight="1">
      <c r="A5070" s="129">
        <v>5070</v>
      </c>
    </row>
    <row r="5071" spans="1:1" ht="12.75" customHeight="1">
      <c r="A5071" s="129">
        <v>5071</v>
      </c>
    </row>
    <row r="5072" spans="1:1" ht="12.75" customHeight="1">
      <c r="A5072" s="129">
        <v>5072</v>
      </c>
    </row>
    <row r="5073" spans="1:1" ht="12.75" customHeight="1">
      <c r="A5073" s="129">
        <v>5073</v>
      </c>
    </row>
    <row r="5074" spans="1:1" ht="12.75" customHeight="1">
      <c r="A5074" s="129">
        <v>5074</v>
      </c>
    </row>
    <row r="5075" spans="1:1" ht="12.75" customHeight="1">
      <c r="A5075" s="129">
        <v>5075</v>
      </c>
    </row>
    <row r="5076" spans="1:1" ht="12.75" customHeight="1">
      <c r="A5076" s="129">
        <v>5076</v>
      </c>
    </row>
    <row r="5077" spans="1:1" ht="12.75" customHeight="1">
      <c r="A5077" s="129">
        <v>5077</v>
      </c>
    </row>
    <row r="5078" spans="1:1" ht="12.75" customHeight="1">
      <c r="A5078" s="129">
        <v>5078</v>
      </c>
    </row>
    <row r="5079" spans="1:1" ht="12.75" customHeight="1">
      <c r="A5079" s="129">
        <v>5079</v>
      </c>
    </row>
    <row r="5080" spans="1:1" ht="12.75" customHeight="1">
      <c r="A5080" s="129">
        <v>5080</v>
      </c>
    </row>
    <row r="5081" spans="1:1" ht="12.75" customHeight="1">
      <c r="A5081" s="129">
        <v>5081</v>
      </c>
    </row>
    <row r="5082" spans="1:1" ht="12.75" customHeight="1">
      <c r="A5082" s="129">
        <v>5082</v>
      </c>
    </row>
    <row r="5083" spans="1:1" ht="12.75" customHeight="1">
      <c r="A5083" s="129">
        <v>5083</v>
      </c>
    </row>
    <row r="5084" spans="1:1" ht="12.75" customHeight="1">
      <c r="A5084" s="129">
        <v>5084</v>
      </c>
    </row>
    <row r="5085" spans="1:1" ht="12.75" customHeight="1">
      <c r="A5085" s="129">
        <v>5085</v>
      </c>
    </row>
    <row r="5086" spans="1:1" ht="12.75" customHeight="1">
      <c r="A5086" s="129">
        <v>5086</v>
      </c>
    </row>
    <row r="5087" spans="1:1" ht="12.75" customHeight="1">
      <c r="A5087" s="129">
        <v>5087</v>
      </c>
    </row>
    <row r="5088" spans="1:1" ht="12.75" customHeight="1">
      <c r="A5088" s="129">
        <v>5088</v>
      </c>
    </row>
    <row r="5089" spans="1:1" ht="12.75" customHeight="1">
      <c r="A5089" s="129">
        <v>5089</v>
      </c>
    </row>
    <row r="5090" spans="1:1" ht="12.75" customHeight="1">
      <c r="A5090" s="129">
        <v>5090</v>
      </c>
    </row>
    <row r="5091" spans="1:1" ht="12.75" customHeight="1">
      <c r="A5091" s="129">
        <v>5091</v>
      </c>
    </row>
    <row r="5092" spans="1:1" ht="12.75" customHeight="1">
      <c r="A5092" s="129">
        <v>5092</v>
      </c>
    </row>
    <row r="5093" spans="1:1" ht="12.75" customHeight="1">
      <c r="A5093" s="129">
        <v>5093</v>
      </c>
    </row>
    <row r="5094" spans="1:1" ht="12.75" customHeight="1">
      <c r="A5094" s="129">
        <v>5094</v>
      </c>
    </row>
    <row r="5095" spans="1:1" ht="12.75" customHeight="1">
      <c r="A5095" s="129">
        <v>5095</v>
      </c>
    </row>
    <row r="5096" spans="1:1" ht="12.75" customHeight="1">
      <c r="A5096" s="129">
        <v>5096</v>
      </c>
    </row>
    <row r="5097" spans="1:1" ht="12.75" customHeight="1">
      <c r="A5097" s="129">
        <v>5097</v>
      </c>
    </row>
    <row r="5098" spans="1:1" ht="12.75" customHeight="1">
      <c r="A5098" s="129">
        <v>5098</v>
      </c>
    </row>
    <row r="5099" spans="1:1" ht="12.75" customHeight="1">
      <c r="A5099" s="129">
        <v>5099</v>
      </c>
    </row>
    <row r="5100" spans="1:1" ht="12.75" customHeight="1">
      <c r="A5100" s="129">
        <v>5100</v>
      </c>
    </row>
    <row r="5101" spans="1:1" ht="12.75" customHeight="1">
      <c r="A5101" s="129">
        <v>5101</v>
      </c>
    </row>
    <row r="5102" spans="1:1" ht="12.75" customHeight="1">
      <c r="A5102" s="129">
        <v>5102</v>
      </c>
    </row>
    <row r="5103" spans="1:1" ht="12.75" customHeight="1">
      <c r="A5103" s="129">
        <v>5103</v>
      </c>
    </row>
    <row r="5104" spans="1:1" ht="12.75" customHeight="1">
      <c r="A5104" s="129">
        <v>5104</v>
      </c>
    </row>
    <row r="5105" spans="1:1" ht="12.75" customHeight="1">
      <c r="A5105" s="129">
        <v>5105</v>
      </c>
    </row>
    <row r="5106" spans="1:1" ht="12.75" customHeight="1">
      <c r="A5106" s="129">
        <v>5106</v>
      </c>
    </row>
    <row r="5107" spans="1:1" ht="12.75" customHeight="1">
      <c r="A5107" s="129">
        <v>5107</v>
      </c>
    </row>
    <row r="5108" spans="1:1" ht="12.75" customHeight="1">
      <c r="A5108" s="129">
        <v>5108</v>
      </c>
    </row>
    <row r="5109" spans="1:1" ht="12.75" customHeight="1">
      <c r="A5109" s="129">
        <v>5109</v>
      </c>
    </row>
    <row r="5110" spans="1:1" ht="12.75" customHeight="1">
      <c r="A5110" s="129">
        <v>5110</v>
      </c>
    </row>
    <row r="5111" spans="1:1" ht="12.75" customHeight="1">
      <c r="A5111" s="129">
        <v>5111</v>
      </c>
    </row>
    <row r="5112" spans="1:1" ht="12.75" customHeight="1">
      <c r="A5112" s="129">
        <v>5112</v>
      </c>
    </row>
    <row r="5113" spans="1:1" ht="12.75" customHeight="1">
      <c r="A5113" s="129">
        <v>5113</v>
      </c>
    </row>
    <row r="5114" spans="1:1" ht="12.75" customHeight="1">
      <c r="A5114" s="129">
        <v>5114</v>
      </c>
    </row>
    <row r="5115" spans="1:1" ht="12.75" customHeight="1">
      <c r="A5115" s="129">
        <v>5115</v>
      </c>
    </row>
    <row r="5116" spans="1:1" ht="12.75" customHeight="1">
      <c r="A5116" s="129">
        <v>5116</v>
      </c>
    </row>
    <row r="5117" spans="1:1" ht="12.75" customHeight="1">
      <c r="A5117" s="129">
        <v>5117</v>
      </c>
    </row>
    <row r="5118" spans="1:1" ht="12.75" customHeight="1">
      <c r="A5118" s="129">
        <v>5118</v>
      </c>
    </row>
    <row r="5119" spans="1:1" ht="12.75" customHeight="1">
      <c r="A5119" s="129">
        <v>5119</v>
      </c>
    </row>
    <row r="5120" spans="1:1" ht="12.75" customHeight="1">
      <c r="A5120" s="129">
        <v>5120</v>
      </c>
    </row>
    <row r="5121" spans="1:1" ht="12.75" customHeight="1">
      <c r="A5121" s="129">
        <v>5121</v>
      </c>
    </row>
    <row r="5122" spans="1:1" ht="12.75" customHeight="1">
      <c r="A5122" s="129">
        <v>5122</v>
      </c>
    </row>
    <row r="5123" spans="1:1" ht="12.75" customHeight="1">
      <c r="A5123" s="129">
        <v>5123</v>
      </c>
    </row>
    <row r="5124" spans="1:1" ht="12.75" customHeight="1">
      <c r="A5124" s="129">
        <v>5124</v>
      </c>
    </row>
    <row r="5125" spans="1:1" ht="12.75" customHeight="1">
      <c r="A5125" s="129">
        <v>5125</v>
      </c>
    </row>
    <row r="5126" spans="1:1" ht="12.75" customHeight="1">
      <c r="A5126" s="129">
        <v>5126</v>
      </c>
    </row>
    <row r="5127" spans="1:1" ht="12.75" customHeight="1">
      <c r="A5127" s="129">
        <v>5127</v>
      </c>
    </row>
    <row r="5128" spans="1:1" ht="12.75" customHeight="1">
      <c r="A5128" s="129">
        <v>5128</v>
      </c>
    </row>
    <row r="5129" spans="1:1" ht="12.75" customHeight="1">
      <c r="A5129" s="129">
        <v>5129</v>
      </c>
    </row>
    <row r="5130" spans="1:1" ht="12.75" customHeight="1">
      <c r="A5130" s="129">
        <v>5130</v>
      </c>
    </row>
    <row r="5131" spans="1:1" ht="12.75" customHeight="1">
      <c r="A5131" s="129">
        <v>5131</v>
      </c>
    </row>
    <row r="5132" spans="1:1" ht="12.75" customHeight="1">
      <c r="A5132" s="129">
        <v>5132</v>
      </c>
    </row>
    <row r="5133" spans="1:1" ht="12.75" customHeight="1">
      <c r="A5133" s="129">
        <v>5133</v>
      </c>
    </row>
    <row r="5134" spans="1:1" ht="12.75" customHeight="1">
      <c r="A5134" s="129">
        <v>5134</v>
      </c>
    </row>
    <row r="5135" spans="1:1" ht="12.75" customHeight="1">
      <c r="A5135" s="129">
        <v>5135</v>
      </c>
    </row>
    <row r="5136" spans="1:1" ht="12.75" customHeight="1">
      <c r="A5136" s="129">
        <v>5136</v>
      </c>
    </row>
    <row r="5137" spans="1:1" ht="12.75" customHeight="1">
      <c r="A5137" s="129">
        <v>5137</v>
      </c>
    </row>
    <row r="5138" spans="1:1" ht="12.75" customHeight="1">
      <c r="A5138" s="129">
        <v>5138</v>
      </c>
    </row>
    <row r="5139" spans="1:1" ht="12.75" customHeight="1">
      <c r="A5139" s="129">
        <v>5139</v>
      </c>
    </row>
    <row r="5140" spans="1:1" ht="12.75" customHeight="1">
      <c r="A5140" s="129">
        <v>5140</v>
      </c>
    </row>
    <row r="5141" spans="1:1" ht="12.75" customHeight="1">
      <c r="A5141" s="129">
        <v>5141</v>
      </c>
    </row>
    <row r="5142" spans="1:1" ht="12.75" customHeight="1">
      <c r="A5142" s="129">
        <v>5142</v>
      </c>
    </row>
    <row r="5143" spans="1:1" ht="12.75" customHeight="1">
      <c r="A5143" s="129">
        <v>5143</v>
      </c>
    </row>
    <row r="5144" spans="1:1" ht="12.75" customHeight="1">
      <c r="A5144" s="129">
        <v>5144</v>
      </c>
    </row>
    <row r="5145" spans="1:1" ht="12.75" customHeight="1">
      <c r="A5145" s="129">
        <v>5145</v>
      </c>
    </row>
    <row r="5146" spans="1:1" ht="12.75" customHeight="1">
      <c r="A5146" s="129">
        <v>5146</v>
      </c>
    </row>
    <row r="5147" spans="1:1" ht="12.75" customHeight="1">
      <c r="A5147" s="129">
        <v>5147</v>
      </c>
    </row>
    <row r="5148" spans="1:1" ht="12.75" customHeight="1">
      <c r="A5148" s="129">
        <v>5148</v>
      </c>
    </row>
    <row r="5149" spans="1:1" ht="12.75" customHeight="1">
      <c r="A5149" s="129">
        <v>5149</v>
      </c>
    </row>
    <row r="5150" spans="1:1" ht="12.75" customHeight="1">
      <c r="A5150" s="129">
        <v>5150</v>
      </c>
    </row>
    <row r="5151" spans="1:1" ht="12.75" customHeight="1">
      <c r="A5151" s="129">
        <v>5151</v>
      </c>
    </row>
    <row r="5152" spans="1:1" ht="12.75" customHeight="1">
      <c r="A5152" s="129">
        <v>5152</v>
      </c>
    </row>
    <row r="5153" spans="1:1" ht="12.75" customHeight="1">
      <c r="A5153" s="129">
        <v>5153</v>
      </c>
    </row>
    <row r="5154" spans="1:1" ht="12.75" customHeight="1">
      <c r="A5154" s="129">
        <v>5154</v>
      </c>
    </row>
    <row r="5155" spans="1:1" ht="12.75" customHeight="1">
      <c r="A5155" s="129">
        <v>5155</v>
      </c>
    </row>
    <row r="5156" spans="1:1" ht="12.75" customHeight="1">
      <c r="A5156" s="129">
        <v>5156</v>
      </c>
    </row>
    <row r="5157" spans="1:1" ht="12.75" customHeight="1">
      <c r="A5157" s="129">
        <v>5157</v>
      </c>
    </row>
    <row r="5158" spans="1:1" ht="12.75" customHeight="1">
      <c r="A5158" s="129">
        <v>5158</v>
      </c>
    </row>
    <row r="5159" spans="1:1" ht="12.75" customHeight="1">
      <c r="A5159" s="129">
        <v>5159</v>
      </c>
    </row>
    <row r="5160" spans="1:1" ht="12.75" customHeight="1">
      <c r="A5160" s="129">
        <v>5160</v>
      </c>
    </row>
    <row r="5161" spans="1:1" ht="12.75" customHeight="1">
      <c r="A5161" s="129">
        <v>5161</v>
      </c>
    </row>
    <row r="5162" spans="1:1" ht="12.75" customHeight="1">
      <c r="A5162" s="129">
        <v>5162</v>
      </c>
    </row>
    <row r="5163" spans="1:1" ht="12.75" customHeight="1">
      <c r="A5163" s="129">
        <v>5163</v>
      </c>
    </row>
    <row r="5164" spans="1:1" ht="12.75" customHeight="1">
      <c r="A5164" s="129">
        <v>5164</v>
      </c>
    </row>
    <row r="5165" spans="1:1" ht="12.75" customHeight="1">
      <c r="A5165" s="129">
        <v>5165</v>
      </c>
    </row>
    <row r="5166" spans="1:1" ht="12.75" customHeight="1">
      <c r="A5166" s="129">
        <v>5166</v>
      </c>
    </row>
    <row r="5167" spans="1:1" ht="12.75" customHeight="1">
      <c r="A5167" s="129">
        <v>5167</v>
      </c>
    </row>
    <row r="5168" spans="1:1" ht="12.75" customHeight="1">
      <c r="A5168" s="129">
        <v>5168</v>
      </c>
    </row>
    <row r="5169" spans="1:1" ht="12.75" customHeight="1">
      <c r="A5169" s="129">
        <v>5169</v>
      </c>
    </row>
    <row r="5170" spans="1:1" ht="12.75" customHeight="1">
      <c r="A5170" s="129">
        <v>5170</v>
      </c>
    </row>
    <row r="5171" spans="1:1" ht="12.75" customHeight="1">
      <c r="A5171" s="129">
        <v>5171</v>
      </c>
    </row>
    <row r="5172" spans="1:1" ht="12.75" customHeight="1">
      <c r="A5172" s="129">
        <v>5172</v>
      </c>
    </row>
    <row r="5173" spans="1:1" ht="12.75" customHeight="1">
      <c r="A5173" s="129">
        <v>5173</v>
      </c>
    </row>
    <row r="5174" spans="1:1" ht="12.75" customHeight="1">
      <c r="A5174" s="129">
        <v>5174</v>
      </c>
    </row>
    <row r="5175" spans="1:1" ht="12.75" customHeight="1">
      <c r="A5175" s="129">
        <v>5175</v>
      </c>
    </row>
    <row r="5176" spans="1:1" ht="12.75" customHeight="1">
      <c r="A5176" s="129">
        <v>5176</v>
      </c>
    </row>
    <row r="5177" spans="1:1" ht="12.75" customHeight="1">
      <c r="A5177" s="129">
        <v>5177</v>
      </c>
    </row>
    <row r="5178" spans="1:1" ht="12.75" customHeight="1">
      <c r="A5178" s="129">
        <v>5178</v>
      </c>
    </row>
    <row r="5179" spans="1:1" ht="12.75" customHeight="1">
      <c r="A5179" s="129">
        <v>5179</v>
      </c>
    </row>
    <row r="5180" spans="1:1" ht="12.75" customHeight="1">
      <c r="A5180" s="129">
        <v>5180</v>
      </c>
    </row>
    <row r="5181" spans="1:1" ht="12.75" customHeight="1">
      <c r="A5181" s="129">
        <v>5181</v>
      </c>
    </row>
    <row r="5182" spans="1:1" ht="12.75" customHeight="1">
      <c r="A5182" s="129">
        <v>5182</v>
      </c>
    </row>
    <row r="5183" spans="1:1" ht="12.75" customHeight="1">
      <c r="A5183" s="129">
        <v>5183</v>
      </c>
    </row>
    <row r="5184" spans="1:1" ht="12.75" customHeight="1">
      <c r="A5184" s="129">
        <v>5184</v>
      </c>
    </row>
    <row r="5185" spans="1:1" ht="12.75" customHeight="1">
      <c r="A5185" s="129">
        <v>5185</v>
      </c>
    </row>
    <row r="5186" spans="1:1" ht="12.75" customHeight="1">
      <c r="A5186" s="129">
        <v>5186</v>
      </c>
    </row>
    <row r="5187" spans="1:1" ht="12.75" customHeight="1">
      <c r="A5187" s="129">
        <v>5187</v>
      </c>
    </row>
    <row r="5188" spans="1:1" ht="12.75" customHeight="1">
      <c r="A5188" s="129">
        <v>5188</v>
      </c>
    </row>
    <row r="5189" spans="1:1" ht="12.75" customHeight="1">
      <c r="A5189" s="129">
        <v>5189</v>
      </c>
    </row>
    <row r="5190" spans="1:1" ht="12.75" customHeight="1">
      <c r="A5190" s="129">
        <v>5190</v>
      </c>
    </row>
    <row r="5191" spans="1:1" ht="12.75" customHeight="1">
      <c r="A5191" s="129">
        <v>5191</v>
      </c>
    </row>
    <row r="5192" spans="1:1" ht="12.75" customHeight="1">
      <c r="A5192" s="129">
        <v>5192</v>
      </c>
    </row>
    <row r="5193" spans="1:1" ht="12.75" customHeight="1">
      <c r="A5193" s="129">
        <v>5193</v>
      </c>
    </row>
    <row r="5194" spans="1:1" ht="12.75" customHeight="1">
      <c r="A5194" s="129">
        <v>5194</v>
      </c>
    </row>
    <row r="5195" spans="1:1" ht="12.75" customHeight="1">
      <c r="A5195" s="129">
        <v>5195</v>
      </c>
    </row>
    <row r="5196" spans="1:1" ht="12.75" customHeight="1">
      <c r="A5196" s="129">
        <v>5196</v>
      </c>
    </row>
    <row r="5197" spans="1:1" ht="12.75" customHeight="1">
      <c r="A5197" s="129">
        <v>5197</v>
      </c>
    </row>
    <row r="5198" spans="1:1" ht="12.75" customHeight="1">
      <c r="A5198" s="129">
        <v>5198</v>
      </c>
    </row>
    <row r="5199" spans="1:1" ht="12.75" customHeight="1">
      <c r="A5199" s="129">
        <v>5199</v>
      </c>
    </row>
    <row r="5200" spans="1:1" ht="12.75" customHeight="1">
      <c r="A5200" s="129">
        <v>5200</v>
      </c>
    </row>
    <row r="5201" spans="1:1" ht="12.75" customHeight="1">
      <c r="A5201" s="129">
        <v>5201</v>
      </c>
    </row>
    <row r="5202" spans="1:1" ht="12.75" customHeight="1">
      <c r="A5202" s="129">
        <v>5202</v>
      </c>
    </row>
    <row r="5203" spans="1:1" ht="12.75" customHeight="1">
      <c r="A5203" s="129">
        <v>5203</v>
      </c>
    </row>
    <row r="5204" spans="1:1" ht="12.75" customHeight="1">
      <c r="A5204" s="129">
        <v>5204</v>
      </c>
    </row>
    <row r="5205" spans="1:1" ht="12.75" customHeight="1">
      <c r="A5205" s="129">
        <v>5205</v>
      </c>
    </row>
    <row r="5206" spans="1:1" ht="12.75" customHeight="1">
      <c r="A5206" s="129">
        <v>5206</v>
      </c>
    </row>
    <row r="5207" spans="1:1" ht="12.75" customHeight="1">
      <c r="A5207" s="129">
        <v>5207</v>
      </c>
    </row>
    <row r="5208" spans="1:1" ht="12.75" customHeight="1">
      <c r="A5208" s="129">
        <v>5208</v>
      </c>
    </row>
    <row r="5209" spans="1:1" ht="12.75" customHeight="1">
      <c r="A5209" s="129">
        <v>5209</v>
      </c>
    </row>
    <row r="5210" spans="1:1" ht="12.75" customHeight="1">
      <c r="A5210" s="129">
        <v>5210</v>
      </c>
    </row>
    <row r="5211" spans="1:1" ht="12.75" customHeight="1">
      <c r="A5211" s="129">
        <v>5211</v>
      </c>
    </row>
    <row r="5212" spans="1:1" ht="12.75" customHeight="1">
      <c r="A5212" s="129">
        <v>5212</v>
      </c>
    </row>
    <row r="5213" spans="1:1" ht="12.75" customHeight="1">
      <c r="A5213" s="129">
        <v>5213</v>
      </c>
    </row>
    <row r="5214" spans="1:1" ht="12.75" customHeight="1">
      <c r="A5214" s="129">
        <v>5214</v>
      </c>
    </row>
    <row r="5215" spans="1:1" ht="12.75" customHeight="1">
      <c r="A5215" s="129">
        <v>5215</v>
      </c>
    </row>
    <row r="5216" spans="1:1" ht="12.75" customHeight="1">
      <c r="A5216" s="129">
        <v>5216</v>
      </c>
    </row>
    <row r="5217" spans="1:1" ht="12.75" customHeight="1">
      <c r="A5217" s="129">
        <v>5217</v>
      </c>
    </row>
    <row r="5218" spans="1:1" ht="12.75" customHeight="1">
      <c r="A5218" s="129">
        <v>5218</v>
      </c>
    </row>
    <row r="5219" spans="1:1" ht="12.75" customHeight="1">
      <c r="A5219" s="129">
        <v>5219</v>
      </c>
    </row>
    <row r="5220" spans="1:1" ht="12.75" customHeight="1">
      <c r="A5220" s="129">
        <v>5220</v>
      </c>
    </row>
    <row r="5221" spans="1:1" ht="12.75" customHeight="1">
      <c r="A5221" s="129">
        <v>5221</v>
      </c>
    </row>
    <row r="5222" spans="1:1" ht="12.75" customHeight="1">
      <c r="A5222" s="129">
        <v>5222</v>
      </c>
    </row>
    <row r="5223" spans="1:1" ht="12.75" customHeight="1">
      <c r="A5223" s="129">
        <v>5223</v>
      </c>
    </row>
    <row r="5224" spans="1:1" ht="12.75" customHeight="1">
      <c r="A5224" s="129">
        <v>5224</v>
      </c>
    </row>
    <row r="5225" spans="1:1" ht="12.75" customHeight="1">
      <c r="A5225" s="129">
        <v>5225</v>
      </c>
    </row>
    <row r="5226" spans="1:1" ht="12.75" customHeight="1">
      <c r="A5226" s="129">
        <v>5226</v>
      </c>
    </row>
    <row r="5227" spans="1:1" ht="12.75" customHeight="1">
      <c r="A5227" s="129">
        <v>5227</v>
      </c>
    </row>
    <row r="5228" spans="1:1" ht="12.75" customHeight="1">
      <c r="A5228" s="129">
        <v>5228</v>
      </c>
    </row>
    <row r="5229" spans="1:1" ht="12.75" customHeight="1">
      <c r="A5229" s="129">
        <v>5229</v>
      </c>
    </row>
    <row r="5230" spans="1:1" ht="12.75" customHeight="1">
      <c r="A5230" s="129">
        <v>5230</v>
      </c>
    </row>
    <row r="5231" spans="1:1" ht="12.75" customHeight="1">
      <c r="A5231" s="129">
        <v>5231</v>
      </c>
    </row>
    <row r="5232" spans="1:1" ht="12.75" customHeight="1">
      <c r="A5232" s="129">
        <v>5232</v>
      </c>
    </row>
    <row r="5233" spans="1:1" ht="12.75" customHeight="1">
      <c r="A5233" s="129">
        <v>5233</v>
      </c>
    </row>
    <row r="5234" spans="1:1" ht="12.75" customHeight="1">
      <c r="A5234" s="129">
        <v>5234</v>
      </c>
    </row>
    <row r="5235" spans="1:1" ht="12.75" customHeight="1">
      <c r="A5235" s="129">
        <v>5235</v>
      </c>
    </row>
    <row r="5236" spans="1:1" ht="12.75" customHeight="1">
      <c r="A5236" s="129">
        <v>5236</v>
      </c>
    </row>
    <row r="5237" spans="1:1" ht="12.75" customHeight="1">
      <c r="A5237" s="129">
        <v>5237</v>
      </c>
    </row>
    <row r="5238" spans="1:1" ht="12.75" customHeight="1">
      <c r="A5238" s="129">
        <v>5238</v>
      </c>
    </row>
    <row r="5239" spans="1:1" ht="12.75" customHeight="1">
      <c r="A5239" s="129">
        <v>5239</v>
      </c>
    </row>
    <row r="5240" spans="1:1" ht="12.75" customHeight="1">
      <c r="A5240" s="129">
        <v>5240</v>
      </c>
    </row>
    <row r="5241" spans="1:1" ht="12.75" customHeight="1">
      <c r="A5241" s="129">
        <v>5241</v>
      </c>
    </row>
    <row r="5242" spans="1:1" ht="12.75" customHeight="1">
      <c r="A5242" s="129">
        <v>5242</v>
      </c>
    </row>
    <row r="5243" spans="1:1" ht="12.75" customHeight="1">
      <c r="A5243" s="129">
        <v>5243</v>
      </c>
    </row>
    <row r="5244" spans="1:1" ht="12.75" customHeight="1">
      <c r="A5244" s="129">
        <v>5244</v>
      </c>
    </row>
    <row r="5245" spans="1:1" ht="12.75" customHeight="1">
      <c r="A5245" s="129">
        <v>5245</v>
      </c>
    </row>
    <row r="5246" spans="1:1" ht="12.75" customHeight="1">
      <c r="A5246" s="129">
        <v>5246</v>
      </c>
    </row>
    <row r="5247" spans="1:1" ht="12.75" customHeight="1">
      <c r="A5247" s="129">
        <v>5247</v>
      </c>
    </row>
    <row r="5248" spans="1:1" ht="12.75" customHeight="1">
      <c r="A5248" s="129">
        <v>5248</v>
      </c>
    </row>
    <row r="5249" spans="1:1" ht="12.75" customHeight="1">
      <c r="A5249" s="129">
        <v>5249</v>
      </c>
    </row>
    <row r="5250" spans="1:1" ht="12.75" customHeight="1">
      <c r="A5250" s="129">
        <v>5250</v>
      </c>
    </row>
    <row r="5251" spans="1:1" ht="12.75" customHeight="1">
      <c r="A5251" s="129">
        <v>5251</v>
      </c>
    </row>
    <row r="5252" spans="1:1" ht="12.75" customHeight="1">
      <c r="A5252" s="129">
        <v>5252</v>
      </c>
    </row>
    <row r="5253" spans="1:1" ht="12.75" customHeight="1">
      <c r="A5253" s="129">
        <v>5253</v>
      </c>
    </row>
    <row r="5254" spans="1:1" ht="12.75" customHeight="1">
      <c r="A5254" s="129">
        <v>5254</v>
      </c>
    </row>
    <row r="5255" spans="1:1" ht="12.75" customHeight="1">
      <c r="A5255" s="129">
        <v>5255</v>
      </c>
    </row>
    <row r="5256" spans="1:1" ht="12.75" customHeight="1">
      <c r="A5256" s="129">
        <v>5256</v>
      </c>
    </row>
    <row r="5257" spans="1:1" ht="12.75" customHeight="1">
      <c r="A5257" s="129">
        <v>5257</v>
      </c>
    </row>
    <row r="5258" spans="1:1" ht="12.75" customHeight="1">
      <c r="A5258" s="129">
        <v>5258</v>
      </c>
    </row>
    <row r="5259" spans="1:1" ht="12.75" customHeight="1">
      <c r="A5259" s="129">
        <v>5259</v>
      </c>
    </row>
    <row r="5260" spans="1:1" ht="12.75" customHeight="1">
      <c r="A5260" s="129">
        <v>5260</v>
      </c>
    </row>
    <row r="5261" spans="1:1" ht="12.75" customHeight="1">
      <c r="A5261" s="129">
        <v>5261</v>
      </c>
    </row>
    <row r="5262" spans="1:1" ht="12.75" customHeight="1">
      <c r="A5262" s="129">
        <v>5262</v>
      </c>
    </row>
    <row r="5263" spans="1:1" ht="12.75" customHeight="1">
      <c r="A5263" s="129">
        <v>5263</v>
      </c>
    </row>
    <row r="5264" spans="1:1" ht="12.75" customHeight="1">
      <c r="A5264" s="129">
        <v>5264</v>
      </c>
    </row>
    <row r="5265" spans="1:1" ht="12.75" customHeight="1">
      <c r="A5265" s="129">
        <v>5265</v>
      </c>
    </row>
    <row r="5266" spans="1:1" ht="12.75" customHeight="1">
      <c r="A5266" s="129">
        <v>5266</v>
      </c>
    </row>
    <row r="5267" spans="1:1" ht="12.75" customHeight="1">
      <c r="A5267" s="129">
        <v>5267</v>
      </c>
    </row>
    <row r="5268" spans="1:1" ht="12.75" customHeight="1">
      <c r="A5268" s="129">
        <v>5268</v>
      </c>
    </row>
    <row r="5269" spans="1:1" ht="12.75" customHeight="1">
      <c r="A5269" s="129">
        <v>5269</v>
      </c>
    </row>
    <row r="5270" spans="1:1" ht="12.75" customHeight="1">
      <c r="A5270" s="129">
        <v>5270</v>
      </c>
    </row>
    <row r="5271" spans="1:1" ht="12.75" customHeight="1">
      <c r="A5271" s="129">
        <v>5271</v>
      </c>
    </row>
    <row r="5272" spans="1:1" ht="12.75" customHeight="1">
      <c r="A5272" s="129">
        <v>5272</v>
      </c>
    </row>
    <row r="5273" spans="1:1" ht="12.75" customHeight="1">
      <c r="A5273" s="129">
        <v>5273</v>
      </c>
    </row>
    <row r="5274" spans="1:1" ht="12.75" customHeight="1">
      <c r="A5274" s="129">
        <v>5274</v>
      </c>
    </row>
    <row r="5275" spans="1:1" ht="12.75" customHeight="1">
      <c r="A5275" s="129">
        <v>5275</v>
      </c>
    </row>
    <row r="5276" spans="1:1" ht="12.75" customHeight="1">
      <c r="A5276" s="129">
        <v>5276</v>
      </c>
    </row>
    <row r="5277" spans="1:1" ht="12.75" customHeight="1">
      <c r="A5277" s="129">
        <v>5277</v>
      </c>
    </row>
    <row r="5278" spans="1:1" ht="12.75" customHeight="1">
      <c r="A5278" s="129">
        <v>5278</v>
      </c>
    </row>
    <row r="5279" spans="1:1" ht="12.75" customHeight="1">
      <c r="A5279" s="129">
        <v>5279</v>
      </c>
    </row>
    <row r="5280" spans="1:1" ht="12.75" customHeight="1">
      <c r="A5280" s="129">
        <v>5280</v>
      </c>
    </row>
    <row r="5281" spans="1:1" ht="12.75" customHeight="1">
      <c r="A5281" s="129">
        <v>5281</v>
      </c>
    </row>
    <row r="5282" spans="1:1" ht="12.75" customHeight="1">
      <c r="A5282" s="129">
        <v>5282</v>
      </c>
    </row>
    <row r="5283" spans="1:1" ht="12.75" customHeight="1">
      <c r="A5283" s="129">
        <v>5283</v>
      </c>
    </row>
    <row r="5284" spans="1:1" ht="12.75" customHeight="1">
      <c r="A5284" s="129">
        <v>5284</v>
      </c>
    </row>
    <row r="5285" spans="1:1" ht="12.75" customHeight="1">
      <c r="A5285" s="129">
        <v>5285</v>
      </c>
    </row>
    <row r="5286" spans="1:1" ht="12.75" customHeight="1">
      <c r="A5286" s="129">
        <v>5286</v>
      </c>
    </row>
    <row r="5287" spans="1:1" ht="12.75" customHeight="1">
      <c r="A5287" s="129">
        <v>5287</v>
      </c>
    </row>
    <row r="5288" spans="1:1" ht="12.75" customHeight="1">
      <c r="A5288" s="129">
        <v>5288</v>
      </c>
    </row>
    <row r="5289" spans="1:1" ht="12.75" customHeight="1">
      <c r="A5289" s="129">
        <v>5289</v>
      </c>
    </row>
    <row r="5290" spans="1:1" ht="12.75" customHeight="1">
      <c r="A5290" s="129">
        <v>5290</v>
      </c>
    </row>
    <row r="5291" spans="1:1" ht="12.75" customHeight="1">
      <c r="A5291" s="129">
        <v>5291</v>
      </c>
    </row>
    <row r="5292" spans="1:1" ht="12.75" customHeight="1">
      <c r="A5292" s="129">
        <v>5292</v>
      </c>
    </row>
    <row r="5293" spans="1:1" ht="12.75" customHeight="1">
      <c r="A5293" s="129">
        <v>5293</v>
      </c>
    </row>
    <row r="5294" spans="1:1" ht="12.75" customHeight="1">
      <c r="A5294" s="129">
        <v>5294</v>
      </c>
    </row>
    <row r="5295" spans="1:1" ht="12.75" customHeight="1">
      <c r="A5295" s="129">
        <v>5295</v>
      </c>
    </row>
    <row r="5296" spans="1:1" ht="12.75" customHeight="1">
      <c r="A5296" s="129">
        <v>5296</v>
      </c>
    </row>
    <row r="5297" spans="1:1" ht="12.75" customHeight="1">
      <c r="A5297" s="129">
        <v>5297</v>
      </c>
    </row>
    <row r="5298" spans="1:1" ht="12.75" customHeight="1">
      <c r="A5298" s="129">
        <v>5298</v>
      </c>
    </row>
    <row r="5299" spans="1:1" ht="12.75" customHeight="1">
      <c r="A5299" s="129">
        <v>5299</v>
      </c>
    </row>
    <row r="5300" spans="1:1" ht="12.75" customHeight="1">
      <c r="A5300" s="129">
        <v>5300</v>
      </c>
    </row>
    <row r="5301" spans="1:1" ht="12.75" customHeight="1">
      <c r="A5301" s="129">
        <v>5301</v>
      </c>
    </row>
    <row r="5302" spans="1:1" ht="12.75" customHeight="1">
      <c r="A5302" s="129">
        <v>5302</v>
      </c>
    </row>
    <row r="5303" spans="1:1" ht="12.75" customHeight="1">
      <c r="A5303" s="129">
        <v>5303</v>
      </c>
    </row>
    <row r="5304" spans="1:1" ht="12.75" customHeight="1">
      <c r="A5304" s="129">
        <v>5304</v>
      </c>
    </row>
    <row r="5305" spans="1:1" ht="12.75" customHeight="1">
      <c r="A5305" s="129">
        <v>5305</v>
      </c>
    </row>
    <row r="5306" spans="1:1" ht="12.75" customHeight="1">
      <c r="A5306" s="129">
        <v>5306</v>
      </c>
    </row>
    <row r="5307" spans="1:1" ht="12.75" customHeight="1">
      <c r="A5307" s="129">
        <v>5307</v>
      </c>
    </row>
    <row r="5308" spans="1:1" ht="12.75" customHeight="1">
      <c r="A5308" s="129">
        <v>5308</v>
      </c>
    </row>
    <row r="5309" spans="1:1" ht="12.75" customHeight="1">
      <c r="A5309" s="129">
        <v>5309</v>
      </c>
    </row>
    <row r="5310" spans="1:1" ht="12.75" customHeight="1">
      <c r="A5310" s="129">
        <v>5310</v>
      </c>
    </row>
    <row r="5311" spans="1:1" ht="12.75" customHeight="1">
      <c r="A5311" s="129">
        <v>5311</v>
      </c>
    </row>
    <row r="5312" spans="1:1" ht="12.75" customHeight="1">
      <c r="A5312" s="129">
        <v>5312</v>
      </c>
    </row>
    <row r="5313" spans="1:1" ht="12.75" customHeight="1">
      <c r="A5313" s="129">
        <v>5313</v>
      </c>
    </row>
    <row r="5314" spans="1:1" ht="12.75" customHeight="1">
      <c r="A5314" s="129">
        <v>5314</v>
      </c>
    </row>
    <row r="5315" spans="1:1" ht="12.75" customHeight="1">
      <c r="A5315" s="129">
        <v>5315</v>
      </c>
    </row>
    <row r="5316" spans="1:1" ht="12.75" customHeight="1">
      <c r="A5316" s="129">
        <v>5316</v>
      </c>
    </row>
    <row r="5317" spans="1:1" ht="12.75" customHeight="1">
      <c r="A5317" s="129">
        <v>5317</v>
      </c>
    </row>
    <row r="5318" spans="1:1" ht="12.75" customHeight="1">
      <c r="A5318" s="129">
        <v>5318</v>
      </c>
    </row>
    <row r="5319" spans="1:1" ht="12.75" customHeight="1">
      <c r="A5319" s="129">
        <v>5319</v>
      </c>
    </row>
    <row r="5320" spans="1:1" ht="12.75" customHeight="1">
      <c r="A5320" s="129">
        <v>5320</v>
      </c>
    </row>
    <row r="5321" spans="1:1" ht="12.75" customHeight="1">
      <c r="A5321" s="129">
        <v>5321</v>
      </c>
    </row>
    <row r="5322" spans="1:1" ht="12.75" customHeight="1">
      <c r="A5322" s="129">
        <v>5322</v>
      </c>
    </row>
    <row r="5323" spans="1:1" ht="12.75" customHeight="1">
      <c r="A5323" s="129">
        <v>5323</v>
      </c>
    </row>
    <row r="5324" spans="1:1" ht="12.75" customHeight="1">
      <c r="A5324" s="129">
        <v>5324</v>
      </c>
    </row>
    <row r="5325" spans="1:1" ht="12.75" customHeight="1">
      <c r="A5325" s="129">
        <v>5325</v>
      </c>
    </row>
    <row r="5326" spans="1:1" ht="12.75" customHeight="1">
      <c r="A5326" s="129">
        <v>5326</v>
      </c>
    </row>
    <row r="5327" spans="1:1" ht="12.75" customHeight="1">
      <c r="A5327" s="129">
        <v>5327</v>
      </c>
    </row>
    <row r="5328" spans="1:1" ht="12.75" customHeight="1">
      <c r="A5328" s="129">
        <v>5328</v>
      </c>
    </row>
    <row r="5329" spans="1:1" ht="12.75" customHeight="1">
      <c r="A5329" s="129">
        <v>5329</v>
      </c>
    </row>
    <row r="5330" spans="1:1" ht="12.75" customHeight="1">
      <c r="A5330" s="129">
        <v>5330</v>
      </c>
    </row>
    <row r="5331" spans="1:1" ht="12.75" customHeight="1">
      <c r="A5331" s="129">
        <v>5331</v>
      </c>
    </row>
    <row r="5332" spans="1:1" ht="12.75" customHeight="1">
      <c r="A5332" s="129">
        <v>5332</v>
      </c>
    </row>
    <row r="5333" spans="1:1" ht="12.75" customHeight="1">
      <c r="A5333" s="129">
        <v>5333</v>
      </c>
    </row>
    <row r="5334" spans="1:1" ht="12.75" customHeight="1">
      <c r="A5334" s="129">
        <v>5334</v>
      </c>
    </row>
    <row r="5335" spans="1:1" ht="12.75" customHeight="1">
      <c r="A5335" s="129">
        <v>5335</v>
      </c>
    </row>
    <row r="5336" spans="1:1" ht="12.75" customHeight="1">
      <c r="A5336" s="129">
        <v>5336</v>
      </c>
    </row>
    <row r="5337" spans="1:1" ht="12.75" customHeight="1">
      <c r="A5337" s="129">
        <v>5337</v>
      </c>
    </row>
    <row r="5338" spans="1:1" ht="12.75" customHeight="1">
      <c r="A5338" s="129">
        <v>5338</v>
      </c>
    </row>
    <row r="5339" spans="1:1" ht="12.75" customHeight="1">
      <c r="A5339" s="129">
        <v>5339</v>
      </c>
    </row>
    <row r="5340" spans="1:1" ht="12.75" customHeight="1">
      <c r="A5340" s="129">
        <v>5340</v>
      </c>
    </row>
    <row r="5341" spans="1:1" ht="12.75" customHeight="1">
      <c r="A5341" s="129">
        <v>5341</v>
      </c>
    </row>
    <row r="5342" spans="1:1" ht="12.75" customHeight="1">
      <c r="A5342" s="129">
        <v>5342</v>
      </c>
    </row>
    <row r="5343" spans="1:1" ht="12.75" customHeight="1">
      <c r="A5343" s="129">
        <v>5343</v>
      </c>
    </row>
    <row r="5344" spans="1:1" ht="12.75" customHeight="1">
      <c r="A5344" s="129">
        <v>5344</v>
      </c>
    </row>
    <row r="5345" spans="1:1" ht="12.75" customHeight="1">
      <c r="A5345" s="129">
        <v>5345</v>
      </c>
    </row>
    <row r="5346" spans="1:1" ht="12.75" customHeight="1">
      <c r="A5346" s="129">
        <v>5346</v>
      </c>
    </row>
    <row r="5347" spans="1:1" ht="12.75" customHeight="1">
      <c r="A5347" s="129">
        <v>5347</v>
      </c>
    </row>
    <row r="5348" spans="1:1" ht="12.75" customHeight="1">
      <c r="A5348" s="129">
        <v>5348</v>
      </c>
    </row>
    <row r="5349" spans="1:1" ht="12.75" customHeight="1">
      <c r="A5349" s="129">
        <v>5349</v>
      </c>
    </row>
    <row r="5350" spans="1:1" ht="12.75" customHeight="1">
      <c r="A5350" s="129">
        <v>5350</v>
      </c>
    </row>
    <row r="5351" spans="1:1" ht="12.75" customHeight="1">
      <c r="A5351" s="129">
        <v>5351</v>
      </c>
    </row>
    <row r="5352" spans="1:1" ht="12.75" customHeight="1">
      <c r="A5352" s="129">
        <v>5352</v>
      </c>
    </row>
    <row r="5353" spans="1:1" ht="12.75" customHeight="1">
      <c r="A5353" s="129">
        <v>5353</v>
      </c>
    </row>
    <row r="5354" spans="1:1" ht="12.75" customHeight="1">
      <c r="A5354" s="129">
        <v>5354</v>
      </c>
    </row>
    <row r="5355" spans="1:1" ht="12.75" customHeight="1">
      <c r="A5355" s="129">
        <v>5355</v>
      </c>
    </row>
    <row r="5356" spans="1:1" ht="12.75" customHeight="1">
      <c r="A5356" s="129">
        <v>5356</v>
      </c>
    </row>
    <row r="5357" spans="1:1" ht="12.75" customHeight="1">
      <c r="A5357" s="129">
        <v>5357</v>
      </c>
    </row>
    <row r="5358" spans="1:1" ht="12.75" customHeight="1">
      <c r="A5358" s="129">
        <v>5358</v>
      </c>
    </row>
    <row r="5359" spans="1:1" ht="12.75" customHeight="1">
      <c r="A5359" s="129">
        <v>5359</v>
      </c>
    </row>
    <row r="5360" spans="1:1" ht="12.75" customHeight="1">
      <c r="A5360" s="129">
        <v>5360</v>
      </c>
    </row>
    <row r="5361" spans="1:1" ht="12.75" customHeight="1">
      <c r="A5361" s="129">
        <v>5361</v>
      </c>
    </row>
    <row r="5362" spans="1:1" ht="12.75" customHeight="1">
      <c r="A5362" s="129">
        <v>5362</v>
      </c>
    </row>
    <row r="5363" spans="1:1" ht="12.75" customHeight="1">
      <c r="A5363" s="129">
        <v>5363</v>
      </c>
    </row>
    <row r="5364" spans="1:1" ht="12.75" customHeight="1">
      <c r="A5364" s="129">
        <v>5364</v>
      </c>
    </row>
    <row r="5365" spans="1:1" ht="12.75" customHeight="1">
      <c r="A5365" s="129">
        <v>5365</v>
      </c>
    </row>
    <row r="5366" spans="1:1" ht="12.75" customHeight="1">
      <c r="A5366" s="129">
        <v>5366</v>
      </c>
    </row>
    <row r="5367" spans="1:1" ht="12.75" customHeight="1">
      <c r="A5367" s="129">
        <v>5367</v>
      </c>
    </row>
    <row r="5368" spans="1:1" ht="12.75" customHeight="1">
      <c r="A5368" s="129">
        <v>5368</v>
      </c>
    </row>
    <row r="5369" spans="1:1" ht="12.75" customHeight="1">
      <c r="A5369" s="129">
        <v>5369</v>
      </c>
    </row>
    <row r="5370" spans="1:1" ht="12.75" customHeight="1">
      <c r="A5370" s="129">
        <v>5370</v>
      </c>
    </row>
    <row r="5371" spans="1:1" ht="12.75" customHeight="1">
      <c r="A5371" s="129">
        <v>5371</v>
      </c>
    </row>
    <row r="5372" spans="1:1" ht="12.75" customHeight="1">
      <c r="A5372" s="129">
        <v>5372</v>
      </c>
    </row>
    <row r="5373" spans="1:1" ht="12.75" customHeight="1">
      <c r="A5373" s="129">
        <v>5373</v>
      </c>
    </row>
    <row r="5374" spans="1:1" ht="12.75" customHeight="1">
      <c r="A5374" s="129">
        <v>5374</v>
      </c>
    </row>
    <row r="5375" spans="1:1" ht="12.75" customHeight="1">
      <c r="A5375" s="129">
        <v>5375</v>
      </c>
    </row>
    <row r="5376" spans="1:1" ht="12.75" customHeight="1">
      <c r="A5376" s="129">
        <v>5376</v>
      </c>
    </row>
    <row r="5377" spans="1:1" ht="12.75" customHeight="1">
      <c r="A5377" s="129">
        <v>5377</v>
      </c>
    </row>
    <row r="5378" spans="1:1" ht="12.75" customHeight="1">
      <c r="A5378" s="129">
        <v>5378</v>
      </c>
    </row>
    <row r="5379" spans="1:1" ht="12.75" customHeight="1">
      <c r="A5379" s="129">
        <v>5379</v>
      </c>
    </row>
    <row r="5380" spans="1:1" ht="12.75" customHeight="1">
      <c r="A5380" s="129">
        <v>5380</v>
      </c>
    </row>
    <row r="5381" spans="1:1" ht="12.75" customHeight="1">
      <c r="A5381" s="129">
        <v>5381</v>
      </c>
    </row>
    <row r="5382" spans="1:1" ht="12.75" customHeight="1">
      <c r="A5382" s="129">
        <v>5382</v>
      </c>
    </row>
    <row r="5383" spans="1:1" ht="12.75" customHeight="1">
      <c r="A5383" s="129">
        <v>5383</v>
      </c>
    </row>
    <row r="5384" spans="1:1" ht="12.75" customHeight="1">
      <c r="A5384" s="129">
        <v>5384</v>
      </c>
    </row>
    <row r="5385" spans="1:1" ht="12.75" customHeight="1">
      <c r="A5385" s="129">
        <v>5385</v>
      </c>
    </row>
    <row r="5386" spans="1:1" ht="12.75" customHeight="1">
      <c r="A5386" s="129">
        <v>5386</v>
      </c>
    </row>
    <row r="5387" spans="1:1" ht="12.75" customHeight="1">
      <c r="A5387" s="129">
        <v>5387</v>
      </c>
    </row>
    <row r="5388" spans="1:1" ht="12.75" customHeight="1">
      <c r="A5388" s="129">
        <v>5388</v>
      </c>
    </row>
    <row r="5389" spans="1:1" ht="12.75" customHeight="1">
      <c r="A5389" s="129">
        <v>5389</v>
      </c>
    </row>
    <row r="5390" spans="1:1" ht="12.75" customHeight="1">
      <c r="A5390" s="129">
        <v>5390</v>
      </c>
    </row>
    <row r="5391" spans="1:1" ht="12.75" customHeight="1">
      <c r="A5391" s="129">
        <v>5391</v>
      </c>
    </row>
    <row r="5392" spans="1:1" ht="12.75" customHeight="1">
      <c r="A5392" s="129">
        <v>5392</v>
      </c>
    </row>
    <row r="5393" spans="1:1" ht="12.75" customHeight="1">
      <c r="A5393" s="129">
        <v>5393</v>
      </c>
    </row>
    <row r="5394" spans="1:1" ht="12.75" customHeight="1">
      <c r="A5394" s="129">
        <v>5394</v>
      </c>
    </row>
    <row r="5395" spans="1:1" ht="12.75" customHeight="1">
      <c r="A5395" s="129">
        <v>5395</v>
      </c>
    </row>
    <row r="5396" spans="1:1" ht="12.75" customHeight="1">
      <c r="A5396" s="129">
        <v>5396</v>
      </c>
    </row>
    <row r="5397" spans="1:1" ht="12.75" customHeight="1">
      <c r="A5397" s="129">
        <v>5397</v>
      </c>
    </row>
    <row r="5398" spans="1:1" ht="12.75" customHeight="1">
      <c r="A5398" s="129">
        <v>5398</v>
      </c>
    </row>
    <row r="5399" spans="1:1" ht="12.75" customHeight="1">
      <c r="A5399" s="129">
        <v>5399</v>
      </c>
    </row>
    <row r="5400" spans="1:1" ht="12.75" customHeight="1">
      <c r="A5400" s="129">
        <v>5400</v>
      </c>
    </row>
    <row r="5401" spans="1:1" ht="12.75" customHeight="1">
      <c r="A5401" s="129">
        <v>5401</v>
      </c>
    </row>
    <row r="5402" spans="1:1" ht="12.75" customHeight="1">
      <c r="A5402" s="129">
        <v>5402</v>
      </c>
    </row>
    <row r="5403" spans="1:1" ht="12.75" customHeight="1">
      <c r="A5403" s="129">
        <v>5403</v>
      </c>
    </row>
    <row r="5404" spans="1:1" ht="12.75" customHeight="1">
      <c r="A5404" s="129">
        <v>5404</v>
      </c>
    </row>
    <row r="5405" spans="1:1" ht="12.75" customHeight="1">
      <c r="A5405" s="129">
        <v>5405</v>
      </c>
    </row>
    <row r="5406" spans="1:1" ht="12.75" customHeight="1">
      <c r="A5406" s="129">
        <v>5406</v>
      </c>
    </row>
    <row r="5407" spans="1:1" ht="12.75" customHeight="1">
      <c r="A5407" s="129">
        <v>5407</v>
      </c>
    </row>
    <row r="5408" spans="1:1" ht="12.75" customHeight="1">
      <c r="A5408" s="129">
        <v>5408</v>
      </c>
    </row>
    <row r="5409" spans="1:1" ht="12.75" customHeight="1">
      <c r="A5409" s="129">
        <v>5409</v>
      </c>
    </row>
    <row r="5410" spans="1:1" ht="12.75" customHeight="1">
      <c r="A5410" s="129">
        <v>5410</v>
      </c>
    </row>
    <row r="5411" spans="1:1" ht="12.75" customHeight="1">
      <c r="A5411" s="129">
        <v>5411</v>
      </c>
    </row>
    <row r="5412" spans="1:1" ht="12.75" customHeight="1">
      <c r="A5412" s="129">
        <v>5412</v>
      </c>
    </row>
    <row r="5413" spans="1:1" ht="12.75" customHeight="1">
      <c r="A5413" s="129">
        <v>5413</v>
      </c>
    </row>
    <row r="5414" spans="1:1" ht="12.75" customHeight="1">
      <c r="A5414" s="129">
        <v>5414</v>
      </c>
    </row>
    <row r="5415" spans="1:1" ht="12.75" customHeight="1">
      <c r="A5415" s="129">
        <v>5415</v>
      </c>
    </row>
    <row r="5416" spans="1:1" ht="12.75" customHeight="1">
      <c r="A5416" s="129">
        <v>5416</v>
      </c>
    </row>
    <row r="5417" spans="1:1" ht="12.75" customHeight="1">
      <c r="A5417" s="129">
        <v>5417</v>
      </c>
    </row>
    <row r="5418" spans="1:1" ht="12.75" customHeight="1">
      <c r="A5418" s="129">
        <v>5418</v>
      </c>
    </row>
    <row r="5419" spans="1:1" ht="12.75" customHeight="1">
      <c r="A5419" s="129">
        <v>5419</v>
      </c>
    </row>
    <row r="5420" spans="1:1" ht="12.75" customHeight="1">
      <c r="A5420" s="129">
        <v>5420</v>
      </c>
    </row>
    <row r="5421" spans="1:1" ht="12.75" customHeight="1">
      <c r="A5421" s="129">
        <v>5421</v>
      </c>
    </row>
    <row r="5422" spans="1:1" ht="12.75" customHeight="1">
      <c r="A5422" s="129">
        <v>5422</v>
      </c>
    </row>
    <row r="5423" spans="1:1" ht="12.75" customHeight="1">
      <c r="A5423" s="129">
        <v>5423</v>
      </c>
    </row>
    <row r="5424" spans="1:1" ht="12.75" customHeight="1">
      <c r="A5424" s="129">
        <v>5424</v>
      </c>
    </row>
    <row r="5425" spans="1:1" ht="12.75" customHeight="1">
      <c r="A5425" s="129">
        <v>5425</v>
      </c>
    </row>
    <row r="5426" spans="1:1" ht="12.75" customHeight="1">
      <c r="A5426" s="129">
        <v>5426</v>
      </c>
    </row>
    <row r="5427" spans="1:1" ht="12.75" customHeight="1">
      <c r="A5427" s="129">
        <v>5427</v>
      </c>
    </row>
    <row r="5428" spans="1:1" ht="12.75" customHeight="1">
      <c r="A5428" s="129">
        <v>5428</v>
      </c>
    </row>
    <row r="5429" spans="1:1" ht="12.75" customHeight="1">
      <c r="A5429" s="129">
        <v>5429</v>
      </c>
    </row>
    <row r="5430" spans="1:1" ht="12.75" customHeight="1">
      <c r="A5430" s="129">
        <v>5430</v>
      </c>
    </row>
    <row r="5431" spans="1:1" ht="12.75" customHeight="1">
      <c r="A5431" s="129">
        <v>5431</v>
      </c>
    </row>
    <row r="5432" spans="1:1" ht="12.75" customHeight="1">
      <c r="A5432" s="129">
        <v>5432</v>
      </c>
    </row>
    <row r="5433" spans="1:1" ht="12.75" customHeight="1">
      <c r="A5433" s="129">
        <v>5433</v>
      </c>
    </row>
    <row r="5434" spans="1:1" ht="12.75" customHeight="1">
      <c r="A5434" s="129">
        <v>5434</v>
      </c>
    </row>
    <row r="5435" spans="1:1" ht="12.75" customHeight="1">
      <c r="A5435" s="129">
        <v>5435</v>
      </c>
    </row>
    <row r="5436" spans="1:1" ht="12.75" customHeight="1">
      <c r="A5436" s="129">
        <v>5436</v>
      </c>
    </row>
    <row r="5437" spans="1:1" ht="12.75" customHeight="1">
      <c r="A5437" s="129">
        <v>5437</v>
      </c>
    </row>
    <row r="5438" spans="1:1" ht="12.75" customHeight="1">
      <c r="A5438" s="129">
        <v>5438</v>
      </c>
    </row>
    <row r="5439" spans="1:1" ht="12.75" customHeight="1">
      <c r="A5439" s="129">
        <v>5439</v>
      </c>
    </row>
    <row r="5440" spans="1:1" ht="12.75" customHeight="1">
      <c r="A5440" s="129">
        <v>5440</v>
      </c>
    </row>
    <row r="5441" spans="1:1" ht="12.75" customHeight="1">
      <c r="A5441" s="129">
        <v>5441</v>
      </c>
    </row>
    <row r="5442" spans="1:1" ht="12.75" customHeight="1">
      <c r="A5442" s="129">
        <v>5442</v>
      </c>
    </row>
    <row r="5443" spans="1:1" ht="12.75" customHeight="1">
      <c r="A5443" s="129">
        <v>5443</v>
      </c>
    </row>
    <row r="5444" spans="1:1" ht="12.75" customHeight="1">
      <c r="A5444" s="129">
        <v>5444</v>
      </c>
    </row>
    <row r="5445" spans="1:1" ht="12.75" customHeight="1">
      <c r="A5445" s="129">
        <v>5445</v>
      </c>
    </row>
    <row r="5446" spans="1:1" ht="12.75" customHeight="1">
      <c r="A5446" s="129">
        <v>5446</v>
      </c>
    </row>
    <row r="5447" spans="1:1" ht="12.75" customHeight="1">
      <c r="A5447" s="129">
        <v>5447</v>
      </c>
    </row>
    <row r="5448" spans="1:1" ht="12.75" customHeight="1">
      <c r="A5448" s="129">
        <v>5448</v>
      </c>
    </row>
    <row r="5449" spans="1:1" ht="12.75" customHeight="1">
      <c r="A5449" s="129">
        <v>5449</v>
      </c>
    </row>
    <row r="5450" spans="1:1" ht="12.75" customHeight="1">
      <c r="A5450" s="129">
        <v>5450</v>
      </c>
    </row>
    <row r="5451" spans="1:1" ht="12.75" customHeight="1">
      <c r="A5451" s="129">
        <v>5451</v>
      </c>
    </row>
    <row r="5452" spans="1:1" ht="12.75" customHeight="1">
      <c r="A5452" s="129">
        <v>5452</v>
      </c>
    </row>
    <row r="5453" spans="1:1" ht="12.75" customHeight="1">
      <c r="A5453" s="129">
        <v>5453</v>
      </c>
    </row>
    <row r="5454" spans="1:1" ht="12.75" customHeight="1">
      <c r="A5454" s="129">
        <v>5454</v>
      </c>
    </row>
    <row r="5455" spans="1:1" ht="12.75" customHeight="1">
      <c r="A5455" s="129">
        <v>5455</v>
      </c>
    </row>
    <row r="5456" spans="1:1" ht="12.75" customHeight="1">
      <c r="A5456" s="129">
        <v>5456</v>
      </c>
    </row>
    <row r="5457" spans="1:1" ht="12.75" customHeight="1">
      <c r="A5457" s="129">
        <v>5457</v>
      </c>
    </row>
    <row r="5458" spans="1:1" ht="12.75" customHeight="1">
      <c r="A5458" s="129">
        <v>5458</v>
      </c>
    </row>
    <row r="5459" spans="1:1" ht="12.75" customHeight="1">
      <c r="A5459" s="129">
        <v>5459</v>
      </c>
    </row>
    <row r="5460" spans="1:1" ht="12.75" customHeight="1">
      <c r="A5460" s="129">
        <v>5460</v>
      </c>
    </row>
    <row r="5461" spans="1:1" ht="12.75" customHeight="1">
      <c r="A5461" s="129">
        <v>5461</v>
      </c>
    </row>
    <row r="5462" spans="1:1" ht="12.75" customHeight="1">
      <c r="A5462" s="129">
        <v>5462</v>
      </c>
    </row>
    <row r="5463" spans="1:1" ht="12.75" customHeight="1">
      <c r="A5463" s="129">
        <v>5463</v>
      </c>
    </row>
    <row r="5464" spans="1:1" ht="12.75" customHeight="1">
      <c r="A5464" s="129">
        <v>5464</v>
      </c>
    </row>
    <row r="5465" spans="1:1" ht="12.75" customHeight="1">
      <c r="A5465" s="129">
        <v>5465</v>
      </c>
    </row>
    <row r="5466" spans="1:1" ht="12.75" customHeight="1">
      <c r="A5466" s="129">
        <v>5466</v>
      </c>
    </row>
    <row r="5467" spans="1:1" ht="12.75" customHeight="1">
      <c r="A5467" s="129">
        <v>5467</v>
      </c>
    </row>
    <row r="5468" spans="1:1" ht="12.75" customHeight="1">
      <c r="A5468" s="129">
        <v>5468</v>
      </c>
    </row>
    <row r="5469" spans="1:1" ht="12.75" customHeight="1">
      <c r="A5469" s="129">
        <v>5469</v>
      </c>
    </row>
    <row r="5470" spans="1:1" ht="12.75" customHeight="1">
      <c r="A5470" s="129">
        <v>5470</v>
      </c>
    </row>
    <row r="5471" spans="1:1" ht="12.75" customHeight="1">
      <c r="A5471" s="129">
        <v>5471</v>
      </c>
    </row>
    <row r="5472" spans="1:1" ht="12.75" customHeight="1">
      <c r="A5472" s="129">
        <v>5472</v>
      </c>
    </row>
    <row r="5473" spans="1:1" ht="12.75" customHeight="1">
      <c r="A5473" s="129">
        <v>5473</v>
      </c>
    </row>
    <row r="5474" spans="1:1" ht="12.75" customHeight="1">
      <c r="A5474" s="129">
        <v>5474</v>
      </c>
    </row>
    <row r="5475" spans="1:1" ht="12.75" customHeight="1">
      <c r="A5475" s="129">
        <v>5475</v>
      </c>
    </row>
    <row r="5476" spans="1:1" ht="12.75" customHeight="1">
      <c r="A5476" s="129">
        <v>5476</v>
      </c>
    </row>
    <row r="5477" spans="1:1" ht="12.75" customHeight="1">
      <c r="A5477" s="129">
        <v>5477</v>
      </c>
    </row>
    <row r="5478" spans="1:1" ht="12.75" customHeight="1">
      <c r="A5478" s="129">
        <v>5478</v>
      </c>
    </row>
    <row r="5479" spans="1:1" ht="12.75" customHeight="1">
      <c r="A5479" s="129">
        <v>5479</v>
      </c>
    </row>
    <row r="5480" spans="1:1" ht="12.75" customHeight="1">
      <c r="A5480" s="129">
        <v>5480</v>
      </c>
    </row>
    <row r="5481" spans="1:1" ht="12.75" customHeight="1">
      <c r="A5481" s="129">
        <v>5481</v>
      </c>
    </row>
    <row r="5482" spans="1:1" ht="12.75" customHeight="1">
      <c r="A5482" s="129">
        <v>5482</v>
      </c>
    </row>
    <row r="5483" spans="1:1" ht="12.75" customHeight="1">
      <c r="A5483" s="129">
        <v>5483</v>
      </c>
    </row>
    <row r="5484" spans="1:1" ht="12.75" customHeight="1">
      <c r="A5484" s="129">
        <v>5484</v>
      </c>
    </row>
    <row r="5485" spans="1:1" ht="12.75" customHeight="1">
      <c r="A5485" s="129">
        <v>5485</v>
      </c>
    </row>
    <row r="5486" spans="1:1" ht="12.75" customHeight="1">
      <c r="A5486" s="129">
        <v>5486</v>
      </c>
    </row>
    <row r="5487" spans="1:1" ht="12.75" customHeight="1">
      <c r="A5487" s="129">
        <v>5487</v>
      </c>
    </row>
    <row r="5488" spans="1:1" ht="12.75" customHeight="1">
      <c r="A5488" s="129">
        <v>5488</v>
      </c>
    </row>
    <row r="5489" spans="1:1" ht="12.75" customHeight="1">
      <c r="A5489" s="129">
        <v>5489</v>
      </c>
    </row>
    <row r="5490" spans="1:1" ht="12.75" customHeight="1">
      <c r="A5490" s="129">
        <v>5490</v>
      </c>
    </row>
    <row r="5491" spans="1:1" ht="12.75" customHeight="1">
      <c r="A5491" s="129">
        <v>5491</v>
      </c>
    </row>
    <row r="5492" spans="1:1" ht="12.75" customHeight="1">
      <c r="A5492" s="129">
        <v>5492</v>
      </c>
    </row>
    <row r="5493" spans="1:1" ht="12.75" customHeight="1">
      <c r="A5493" s="129">
        <v>5493</v>
      </c>
    </row>
    <row r="5494" spans="1:1" ht="12.75" customHeight="1">
      <c r="A5494" s="129">
        <v>5494</v>
      </c>
    </row>
    <row r="5495" spans="1:1" ht="12.75" customHeight="1">
      <c r="A5495" s="129">
        <v>5495</v>
      </c>
    </row>
    <row r="5496" spans="1:1" ht="12.75" customHeight="1">
      <c r="A5496" s="129">
        <v>5496</v>
      </c>
    </row>
    <row r="5497" spans="1:1" ht="12.75" customHeight="1">
      <c r="A5497" s="129">
        <v>5497</v>
      </c>
    </row>
    <row r="5498" spans="1:1" ht="12.75" customHeight="1">
      <c r="A5498" s="129">
        <v>5498</v>
      </c>
    </row>
    <row r="5499" spans="1:1" ht="12.75" customHeight="1">
      <c r="A5499" s="129">
        <v>5499</v>
      </c>
    </row>
    <row r="5500" spans="1:1" ht="12.75" customHeight="1">
      <c r="A5500" s="129">
        <v>5500</v>
      </c>
    </row>
    <row r="5501" spans="1:1" ht="12.75" customHeight="1">
      <c r="A5501" s="129">
        <v>5501</v>
      </c>
    </row>
    <row r="5502" spans="1:1" ht="12.75" customHeight="1">
      <c r="A5502" s="129">
        <v>5502</v>
      </c>
    </row>
    <row r="5503" spans="1:1" ht="12.75" customHeight="1">
      <c r="A5503" s="129">
        <v>5503</v>
      </c>
    </row>
    <row r="5504" spans="1:1" ht="12.75" customHeight="1">
      <c r="A5504" s="129">
        <v>5504</v>
      </c>
    </row>
    <row r="5505" spans="1:1" ht="12.75" customHeight="1">
      <c r="A5505" s="129">
        <v>5505</v>
      </c>
    </row>
    <row r="5506" spans="1:1" ht="12.75" customHeight="1">
      <c r="A5506" s="129">
        <v>5506</v>
      </c>
    </row>
    <row r="5507" spans="1:1" ht="12.75" customHeight="1">
      <c r="A5507" s="129">
        <v>5507</v>
      </c>
    </row>
    <row r="5508" spans="1:1" ht="12.75" customHeight="1">
      <c r="A5508" s="129">
        <v>5508</v>
      </c>
    </row>
    <row r="5509" spans="1:1" ht="12.75" customHeight="1">
      <c r="A5509" s="129">
        <v>5509</v>
      </c>
    </row>
    <row r="5510" spans="1:1" ht="12.75" customHeight="1">
      <c r="A5510" s="129">
        <v>5510</v>
      </c>
    </row>
    <row r="5511" spans="1:1" ht="12.75" customHeight="1">
      <c r="A5511" s="129">
        <v>5511</v>
      </c>
    </row>
    <row r="5512" spans="1:1" ht="12.75" customHeight="1">
      <c r="A5512" s="129">
        <v>5512</v>
      </c>
    </row>
    <row r="5513" spans="1:1" ht="12.75" customHeight="1">
      <c r="A5513" s="129">
        <v>5513</v>
      </c>
    </row>
    <row r="5514" spans="1:1" ht="12.75" customHeight="1">
      <c r="A5514" s="129">
        <v>5514</v>
      </c>
    </row>
    <row r="5515" spans="1:1" ht="12.75" customHeight="1">
      <c r="A5515" s="129">
        <v>5515</v>
      </c>
    </row>
    <row r="5516" spans="1:1" ht="12.75" customHeight="1">
      <c r="A5516" s="129">
        <v>5516</v>
      </c>
    </row>
    <row r="5517" spans="1:1" ht="12.75" customHeight="1">
      <c r="A5517" s="129">
        <v>5517</v>
      </c>
    </row>
    <row r="5518" spans="1:1" ht="12.75" customHeight="1">
      <c r="A5518" s="129">
        <v>5518</v>
      </c>
    </row>
    <row r="5519" spans="1:1" ht="12.75" customHeight="1">
      <c r="A5519" s="129">
        <v>5519</v>
      </c>
    </row>
    <row r="5520" spans="1:1" ht="12.75" customHeight="1">
      <c r="A5520" s="129">
        <v>5520</v>
      </c>
    </row>
    <row r="5521" spans="1:1" ht="12.75" customHeight="1">
      <c r="A5521" s="129">
        <v>5521</v>
      </c>
    </row>
    <row r="5522" spans="1:1" ht="12.75" customHeight="1">
      <c r="A5522" s="129">
        <v>5522</v>
      </c>
    </row>
    <row r="5523" spans="1:1" ht="12.75" customHeight="1">
      <c r="A5523" s="129">
        <v>5523</v>
      </c>
    </row>
    <row r="5524" spans="1:1" ht="12.75" customHeight="1">
      <c r="A5524" s="129">
        <v>5524</v>
      </c>
    </row>
    <row r="5525" spans="1:1" ht="12.75" customHeight="1">
      <c r="A5525" s="129">
        <v>5525</v>
      </c>
    </row>
    <row r="5526" spans="1:1" ht="12.75" customHeight="1">
      <c r="A5526" s="129">
        <v>5526</v>
      </c>
    </row>
    <row r="5527" spans="1:1" ht="12.75" customHeight="1">
      <c r="A5527" s="129">
        <v>5527</v>
      </c>
    </row>
    <row r="5528" spans="1:1" ht="12.75" customHeight="1">
      <c r="A5528" s="129">
        <v>5528</v>
      </c>
    </row>
    <row r="5529" spans="1:1" ht="12.75" customHeight="1">
      <c r="A5529" s="129">
        <v>5529</v>
      </c>
    </row>
    <row r="5530" spans="1:1" ht="12.75" customHeight="1">
      <c r="A5530" s="129">
        <v>5530</v>
      </c>
    </row>
    <row r="5531" spans="1:1" ht="12.75" customHeight="1">
      <c r="A5531" s="129">
        <v>5531</v>
      </c>
    </row>
    <row r="5532" spans="1:1" ht="12.75" customHeight="1">
      <c r="A5532" s="129">
        <v>5532</v>
      </c>
    </row>
    <row r="5533" spans="1:1" ht="12.75" customHeight="1">
      <c r="A5533" s="129">
        <v>5533</v>
      </c>
    </row>
    <row r="5534" spans="1:1" ht="12.75" customHeight="1">
      <c r="A5534" s="129">
        <v>5534</v>
      </c>
    </row>
    <row r="5535" spans="1:1" ht="12.75" customHeight="1">
      <c r="A5535" s="129">
        <v>5535</v>
      </c>
    </row>
    <row r="5536" spans="1:1" ht="12.75" customHeight="1">
      <c r="A5536" s="129">
        <v>5536</v>
      </c>
    </row>
    <row r="5537" spans="1:1" ht="12.75" customHeight="1">
      <c r="A5537" s="129">
        <v>5537</v>
      </c>
    </row>
    <row r="5538" spans="1:1" ht="12.75" customHeight="1">
      <c r="A5538" s="129">
        <v>5538</v>
      </c>
    </row>
    <row r="5539" spans="1:1" ht="12.75" customHeight="1">
      <c r="A5539" s="129">
        <v>5539</v>
      </c>
    </row>
    <row r="5540" spans="1:1" ht="12.75" customHeight="1">
      <c r="A5540" s="129">
        <v>5540</v>
      </c>
    </row>
    <row r="5541" spans="1:1" ht="12.75" customHeight="1">
      <c r="A5541" s="129">
        <v>5541</v>
      </c>
    </row>
    <row r="5542" spans="1:1" ht="12.75" customHeight="1">
      <c r="A5542" s="129">
        <v>5542</v>
      </c>
    </row>
    <row r="5543" spans="1:1" ht="12.75" customHeight="1">
      <c r="A5543" s="129">
        <v>5543</v>
      </c>
    </row>
    <row r="5544" spans="1:1" ht="12.75" customHeight="1">
      <c r="A5544" s="129">
        <v>5544</v>
      </c>
    </row>
    <row r="5545" spans="1:1" ht="12.75" customHeight="1">
      <c r="A5545" s="129">
        <v>5545</v>
      </c>
    </row>
    <row r="5546" spans="1:1" ht="12.75" customHeight="1">
      <c r="A5546" s="129">
        <v>5546</v>
      </c>
    </row>
    <row r="5547" spans="1:1" ht="12.75" customHeight="1">
      <c r="A5547" s="129">
        <v>5547</v>
      </c>
    </row>
    <row r="5548" spans="1:1" ht="12.75" customHeight="1">
      <c r="A5548" s="129">
        <v>5548</v>
      </c>
    </row>
    <row r="5549" spans="1:1" ht="12.75" customHeight="1">
      <c r="A5549" s="129">
        <v>5549</v>
      </c>
    </row>
    <row r="5550" spans="1:1" ht="12.75" customHeight="1">
      <c r="A5550" s="129">
        <v>5550</v>
      </c>
    </row>
    <row r="5551" spans="1:1" ht="12.75" customHeight="1">
      <c r="A5551" s="129">
        <v>5551</v>
      </c>
    </row>
    <row r="5552" spans="1:1" ht="12.75" customHeight="1">
      <c r="A5552" s="129">
        <v>5552</v>
      </c>
    </row>
    <row r="5553" spans="1:1" ht="12.75" customHeight="1">
      <c r="A5553" s="129">
        <v>5553</v>
      </c>
    </row>
    <row r="5554" spans="1:1" ht="12.75" customHeight="1">
      <c r="A5554" s="129">
        <v>5554</v>
      </c>
    </row>
    <row r="5555" spans="1:1" ht="12.75" customHeight="1">
      <c r="A5555" s="129">
        <v>5555</v>
      </c>
    </row>
    <row r="5556" spans="1:1" ht="12.75" customHeight="1">
      <c r="A5556" s="129">
        <v>5556</v>
      </c>
    </row>
    <row r="5557" spans="1:1" ht="12.75" customHeight="1">
      <c r="A5557" s="129">
        <v>5557</v>
      </c>
    </row>
    <row r="5558" spans="1:1" ht="12.75" customHeight="1">
      <c r="A5558" s="129">
        <v>5558</v>
      </c>
    </row>
    <row r="5559" spans="1:1" ht="12.75" customHeight="1">
      <c r="A5559" s="129">
        <v>5559</v>
      </c>
    </row>
    <row r="5560" spans="1:1" ht="12.75" customHeight="1">
      <c r="A5560" s="129">
        <v>5560</v>
      </c>
    </row>
    <row r="5561" spans="1:1" ht="12.75" customHeight="1">
      <c r="A5561" s="129">
        <v>5561</v>
      </c>
    </row>
    <row r="5562" spans="1:1" ht="12.75" customHeight="1">
      <c r="A5562" s="129">
        <v>5562</v>
      </c>
    </row>
    <row r="5563" spans="1:1" ht="12.75" customHeight="1">
      <c r="A5563" s="129">
        <v>5563</v>
      </c>
    </row>
    <row r="5564" spans="1:1" ht="12.75" customHeight="1">
      <c r="A5564" s="129">
        <v>5564</v>
      </c>
    </row>
    <row r="5565" spans="1:1" ht="12.75" customHeight="1">
      <c r="A5565" s="129">
        <v>5565</v>
      </c>
    </row>
    <row r="5566" spans="1:1" ht="12.75" customHeight="1">
      <c r="A5566" s="129">
        <v>5566</v>
      </c>
    </row>
    <row r="5567" spans="1:1" ht="12.75" customHeight="1">
      <c r="A5567" s="129">
        <v>5567</v>
      </c>
    </row>
    <row r="5568" spans="1:1" ht="12.75" customHeight="1">
      <c r="A5568" s="129">
        <v>5568</v>
      </c>
    </row>
    <row r="5569" spans="1:1" ht="12.75" customHeight="1">
      <c r="A5569" s="129">
        <v>5569</v>
      </c>
    </row>
    <row r="5570" spans="1:1" ht="12.75" customHeight="1">
      <c r="A5570" s="129">
        <v>5570</v>
      </c>
    </row>
    <row r="5571" spans="1:1" ht="12.75" customHeight="1">
      <c r="A5571" s="129">
        <v>5571</v>
      </c>
    </row>
    <row r="5572" spans="1:1" ht="12.75" customHeight="1">
      <c r="A5572" s="129">
        <v>5572</v>
      </c>
    </row>
    <row r="5573" spans="1:1" ht="12.75" customHeight="1">
      <c r="A5573" s="129">
        <v>5573</v>
      </c>
    </row>
    <row r="5574" spans="1:1" ht="12.75" customHeight="1">
      <c r="A5574" s="129">
        <v>5574</v>
      </c>
    </row>
    <row r="5575" spans="1:1" ht="12.75" customHeight="1">
      <c r="A5575" s="129">
        <v>5575</v>
      </c>
    </row>
    <row r="5576" spans="1:1" ht="12.75" customHeight="1">
      <c r="A5576" s="129">
        <v>5576</v>
      </c>
    </row>
    <row r="5577" spans="1:1" ht="12.75" customHeight="1">
      <c r="A5577" s="129">
        <v>5577</v>
      </c>
    </row>
    <row r="5578" spans="1:1" ht="12.75" customHeight="1">
      <c r="A5578" s="129">
        <v>5578</v>
      </c>
    </row>
    <row r="5579" spans="1:1" ht="12.75" customHeight="1">
      <c r="A5579" s="129">
        <v>5579</v>
      </c>
    </row>
    <row r="5580" spans="1:1" ht="12.75" customHeight="1">
      <c r="A5580" s="129">
        <v>5580</v>
      </c>
    </row>
    <row r="5581" spans="1:1" ht="12.75" customHeight="1">
      <c r="A5581" s="129">
        <v>5581</v>
      </c>
    </row>
    <row r="5582" spans="1:1" ht="12.75" customHeight="1">
      <c r="A5582" s="129">
        <v>5582</v>
      </c>
    </row>
    <row r="5583" spans="1:1" ht="12.75" customHeight="1">
      <c r="A5583" s="129">
        <v>5583</v>
      </c>
    </row>
    <row r="5584" spans="1:1" ht="12.75" customHeight="1">
      <c r="A5584" s="129">
        <v>5584</v>
      </c>
    </row>
    <row r="5585" spans="1:1" ht="12.75" customHeight="1">
      <c r="A5585" s="129">
        <v>5585</v>
      </c>
    </row>
    <row r="5586" spans="1:1" ht="12.75" customHeight="1">
      <c r="A5586" s="129">
        <v>5586</v>
      </c>
    </row>
    <row r="5587" spans="1:1" ht="12.75" customHeight="1">
      <c r="A5587" s="129">
        <v>5587</v>
      </c>
    </row>
    <row r="5588" spans="1:1" ht="12.75" customHeight="1">
      <c r="A5588" s="129">
        <v>5588</v>
      </c>
    </row>
    <row r="5589" spans="1:1" ht="12.75" customHeight="1">
      <c r="A5589" s="129">
        <v>5589</v>
      </c>
    </row>
    <row r="5590" spans="1:1" ht="12.75" customHeight="1">
      <c r="A5590" s="129">
        <v>5590</v>
      </c>
    </row>
    <row r="5591" spans="1:1" ht="12.75" customHeight="1">
      <c r="A5591" s="129">
        <v>5591</v>
      </c>
    </row>
    <row r="5592" spans="1:1" ht="12.75" customHeight="1">
      <c r="A5592" s="129">
        <v>5592</v>
      </c>
    </row>
    <row r="5593" spans="1:1" ht="12.75" customHeight="1">
      <c r="A5593" s="129">
        <v>5593</v>
      </c>
    </row>
    <row r="5594" spans="1:1" ht="12.75" customHeight="1">
      <c r="A5594" s="129">
        <v>5594</v>
      </c>
    </row>
    <row r="5595" spans="1:1" ht="12.75" customHeight="1">
      <c r="A5595" s="129">
        <v>5595</v>
      </c>
    </row>
    <row r="5596" spans="1:1" ht="12.75" customHeight="1">
      <c r="A5596" s="129">
        <v>5596</v>
      </c>
    </row>
    <row r="5597" spans="1:1" ht="12.75" customHeight="1">
      <c r="A5597" s="129">
        <v>5597</v>
      </c>
    </row>
    <row r="5598" spans="1:1" ht="12.75" customHeight="1">
      <c r="A5598" s="129">
        <v>5598</v>
      </c>
    </row>
    <row r="5599" spans="1:1" ht="12.75" customHeight="1">
      <c r="A5599" s="129">
        <v>5599</v>
      </c>
    </row>
    <row r="5600" spans="1:1" ht="12.75" customHeight="1">
      <c r="A5600" s="129">
        <v>5600</v>
      </c>
    </row>
    <row r="5601" spans="1:1" ht="12.75" customHeight="1">
      <c r="A5601" s="129">
        <v>5601</v>
      </c>
    </row>
    <row r="5602" spans="1:1" ht="12.75" customHeight="1">
      <c r="A5602" s="129">
        <v>5602</v>
      </c>
    </row>
    <row r="5603" spans="1:1" ht="12.75" customHeight="1">
      <c r="A5603" s="129">
        <v>5603</v>
      </c>
    </row>
    <row r="5604" spans="1:1" ht="12.75" customHeight="1">
      <c r="A5604" s="129">
        <v>5604</v>
      </c>
    </row>
    <row r="5605" spans="1:1" ht="12.75" customHeight="1">
      <c r="A5605" s="129">
        <v>5605</v>
      </c>
    </row>
    <row r="5606" spans="1:1" ht="12.75" customHeight="1">
      <c r="A5606" s="129">
        <v>5606</v>
      </c>
    </row>
    <row r="5607" spans="1:1" ht="12.75" customHeight="1">
      <c r="A5607" s="129">
        <v>5607</v>
      </c>
    </row>
    <row r="5608" spans="1:1" ht="12.75" customHeight="1">
      <c r="A5608" s="129">
        <v>5608</v>
      </c>
    </row>
    <row r="5609" spans="1:1" ht="12.75" customHeight="1">
      <c r="A5609" s="129">
        <v>5609</v>
      </c>
    </row>
    <row r="5610" spans="1:1" ht="12.75" customHeight="1">
      <c r="A5610" s="129">
        <v>5610</v>
      </c>
    </row>
    <row r="5611" spans="1:1" ht="12.75" customHeight="1">
      <c r="A5611" s="129">
        <v>5611</v>
      </c>
    </row>
    <row r="5612" spans="1:1" ht="12.75" customHeight="1">
      <c r="A5612" s="129">
        <v>5612</v>
      </c>
    </row>
    <row r="5613" spans="1:1" ht="12.75" customHeight="1">
      <c r="A5613" s="129">
        <v>5613</v>
      </c>
    </row>
    <row r="5614" spans="1:1" ht="12.75" customHeight="1">
      <c r="A5614" s="129">
        <v>5614</v>
      </c>
    </row>
    <row r="5615" spans="1:1" ht="12.75" customHeight="1">
      <c r="A5615" s="129">
        <v>5615</v>
      </c>
    </row>
    <row r="5616" spans="1:1" ht="12.75" customHeight="1">
      <c r="A5616" s="129">
        <v>5616</v>
      </c>
    </row>
    <row r="5617" spans="1:1" ht="12.75" customHeight="1">
      <c r="A5617" s="129">
        <v>5617</v>
      </c>
    </row>
    <row r="5618" spans="1:1" ht="12.75" customHeight="1">
      <c r="A5618" s="129">
        <v>5618</v>
      </c>
    </row>
    <row r="5619" spans="1:1" ht="12.75" customHeight="1">
      <c r="A5619" s="129">
        <v>5619</v>
      </c>
    </row>
    <row r="5620" spans="1:1" ht="12.75" customHeight="1">
      <c r="A5620" s="129">
        <v>5620</v>
      </c>
    </row>
    <row r="5621" spans="1:1" ht="12.75" customHeight="1">
      <c r="A5621" s="129">
        <v>5621</v>
      </c>
    </row>
    <row r="5622" spans="1:1" ht="12.75" customHeight="1">
      <c r="A5622" s="129">
        <v>5622</v>
      </c>
    </row>
    <row r="5623" spans="1:1" ht="12.75" customHeight="1">
      <c r="A5623" s="129">
        <v>5623</v>
      </c>
    </row>
    <row r="5624" spans="1:1" ht="12.75" customHeight="1">
      <c r="A5624" s="129">
        <v>5624</v>
      </c>
    </row>
    <row r="5625" spans="1:1" ht="12.75" customHeight="1">
      <c r="A5625" s="129">
        <v>5625</v>
      </c>
    </row>
    <row r="5626" spans="1:1" ht="12.75" customHeight="1">
      <c r="A5626" s="129">
        <v>5626</v>
      </c>
    </row>
    <row r="5627" spans="1:1" ht="12.75" customHeight="1">
      <c r="A5627" s="129">
        <v>5627</v>
      </c>
    </row>
    <row r="5628" spans="1:1" ht="12.75" customHeight="1">
      <c r="A5628" s="129">
        <v>5628</v>
      </c>
    </row>
    <row r="5629" spans="1:1" ht="12.75" customHeight="1">
      <c r="A5629" s="129">
        <v>5629</v>
      </c>
    </row>
    <row r="5630" spans="1:1" ht="12.75" customHeight="1">
      <c r="A5630" s="129">
        <v>5630</v>
      </c>
    </row>
    <row r="5631" spans="1:1" ht="12.75" customHeight="1">
      <c r="A5631" s="129">
        <v>5631</v>
      </c>
    </row>
    <row r="5632" spans="1:1" ht="12.75" customHeight="1">
      <c r="A5632" s="129">
        <v>5632</v>
      </c>
    </row>
    <row r="5633" spans="1:1" ht="12.75" customHeight="1">
      <c r="A5633" s="129">
        <v>5633</v>
      </c>
    </row>
    <row r="5634" spans="1:1" ht="12.75" customHeight="1">
      <c r="A5634" s="129">
        <v>5634</v>
      </c>
    </row>
    <row r="5635" spans="1:1" ht="12.75" customHeight="1">
      <c r="A5635" s="129">
        <v>5635</v>
      </c>
    </row>
    <row r="5636" spans="1:1" ht="12.75" customHeight="1">
      <c r="A5636" s="129">
        <v>5636</v>
      </c>
    </row>
    <row r="5637" spans="1:1" ht="12.75" customHeight="1">
      <c r="A5637" s="129">
        <v>5637</v>
      </c>
    </row>
    <row r="5638" spans="1:1" ht="12.75" customHeight="1">
      <c r="A5638" s="129">
        <v>5638</v>
      </c>
    </row>
    <row r="5639" spans="1:1" ht="12.75" customHeight="1">
      <c r="A5639" s="129">
        <v>5639</v>
      </c>
    </row>
    <row r="5640" spans="1:1" ht="12.75" customHeight="1">
      <c r="A5640" s="129">
        <v>5640</v>
      </c>
    </row>
    <row r="5641" spans="1:1" ht="12.75" customHeight="1">
      <c r="A5641" s="129">
        <v>5641</v>
      </c>
    </row>
    <row r="5642" spans="1:1" ht="12.75" customHeight="1">
      <c r="A5642" s="129">
        <v>5642</v>
      </c>
    </row>
    <row r="5643" spans="1:1" ht="12.75" customHeight="1">
      <c r="A5643" s="129">
        <v>5643</v>
      </c>
    </row>
    <row r="5644" spans="1:1" ht="12.75" customHeight="1">
      <c r="A5644" s="129">
        <v>5644</v>
      </c>
    </row>
    <row r="5645" spans="1:1" ht="12.75" customHeight="1">
      <c r="A5645" s="129">
        <v>5645</v>
      </c>
    </row>
    <row r="5646" spans="1:1" ht="12.75" customHeight="1">
      <c r="A5646" s="129">
        <v>5646</v>
      </c>
    </row>
    <row r="5647" spans="1:1" ht="12.75" customHeight="1">
      <c r="A5647" s="129">
        <v>5647</v>
      </c>
    </row>
    <row r="5648" spans="1:1" ht="12.75" customHeight="1">
      <c r="A5648" s="129">
        <v>5648</v>
      </c>
    </row>
    <row r="5649" spans="1:1" ht="12.75" customHeight="1">
      <c r="A5649" s="129">
        <v>5649</v>
      </c>
    </row>
    <row r="5650" spans="1:1" ht="12.75" customHeight="1">
      <c r="A5650" s="129">
        <v>5650</v>
      </c>
    </row>
    <row r="5651" spans="1:1" ht="12.75" customHeight="1">
      <c r="A5651" s="129">
        <v>5651</v>
      </c>
    </row>
    <row r="5652" spans="1:1" ht="12.75" customHeight="1">
      <c r="A5652" s="129">
        <v>5652</v>
      </c>
    </row>
    <row r="5653" spans="1:1" ht="12.75" customHeight="1">
      <c r="A5653" s="129">
        <v>5653</v>
      </c>
    </row>
    <row r="5654" spans="1:1" ht="12.75" customHeight="1">
      <c r="A5654" s="129">
        <v>5654</v>
      </c>
    </row>
    <row r="5655" spans="1:1" ht="12.75" customHeight="1">
      <c r="A5655" s="129">
        <v>5655</v>
      </c>
    </row>
    <row r="5656" spans="1:1" ht="12.75" customHeight="1">
      <c r="A5656" s="129">
        <v>5656</v>
      </c>
    </row>
    <row r="5657" spans="1:1" ht="12.75" customHeight="1">
      <c r="A5657" s="129">
        <v>5657</v>
      </c>
    </row>
    <row r="5658" spans="1:1" ht="12.75" customHeight="1">
      <c r="A5658" s="129">
        <v>5658</v>
      </c>
    </row>
    <row r="5659" spans="1:1" ht="12.75" customHeight="1">
      <c r="A5659" s="129">
        <v>5659</v>
      </c>
    </row>
    <row r="5660" spans="1:1" ht="12.75" customHeight="1">
      <c r="A5660" s="129">
        <v>5660</v>
      </c>
    </row>
    <row r="5661" spans="1:1" ht="12.75" customHeight="1">
      <c r="A5661" s="129">
        <v>5661</v>
      </c>
    </row>
    <row r="5662" spans="1:1" ht="12.75" customHeight="1">
      <c r="A5662" s="129">
        <v>5662</v>
      </c>
    </row>
    <row r="5663" spans="1:1" ht="12.75" customHeight="1">
      <c r="A5663" s="129">
        <v>5663</v>
      </c>
    </row>
    <row r="5664" spans="1:1" ht="12.75" customHeight="1">
      <c r="A5664" s="129">
        <v>5664</v>
      </c>
    </row>
    <row r="5665" spans="1:1" ht="12.75" customHeight="1">
      <c r="A5665" s="129">
        <v>5665</v>
      </c>
    </row>
    <row r="5666" spans="1:1" ht="12.75" customHeight="1">
      <c r="A5666" s="129">
        <v>5666</v>
      </c>
    </row>
    <row r="5667" spans="1:1" ht="12.75" customHeight="1">
      <c r="A5667" s="129">
        <v>5667</v>
      </c>
    </row>
    <row r="5668" spans="1:1" ht="12.75" customHeight="1">
      <c r="A5668" s="129">
        <v>5668</v>
      </c>
    </row>
    <row r="5669" spans="1:1" ht="12.75" customHeight="1">
      <c r="A5669" s="129">
        <v>5669</v>
      </c>
    </row>
    <row r="5670" spans="1:1" ht="12.75" customHeight="1">
      <c r="A5670" s="129">
        <v>5670</v>
      </c>
    </row>
    <row r="5671" spans="1:1" ht="12.75" customHeight="1">
      <c r="A5671" s="129">
        <v>5671</v>
      </c>
    </row>
    <row r="5672" spans="1:1" ht="12.75" customHeight="1">
      <c r="A5672" s="129">
        <v>5672</v>
      </c>
    </row>
    <row r="5673" spans="1:1" ht="12.75" customHeight="1">
      <c r="A5673" s="129">
        <v>5673</v>
      </c>
    </row>
    <row r="5674" spans="1:1" ht="12.75" customHeight="1">
      <c r="A5674" s="129">
        <v>5674</v>
      </c>
    </row>
    <row r="5675" spans="1:1" ht="12.75" customHeight="1">
      <c r="A5675" s="129">
        <v>5675</v>
      </c>
    </row>
    <row r="5676" spans="1:1" ht="12.75" customHeight="1">
      <c r="A5676" s="129">
        <v>5676</v>
      </c>
    </row>
    <row r="5677" spans="1:1" ht="12.75" customHeight="1">
      <c r="A5677" s="129">
        <v>5677</v>
      </c>
    </row>
    <row r="5678" spans="1:1" ht="12.75" customHeight="1">
      <c r="A5678" s="129">
        <v>5678</v>
      </c>
    </row>
    <row r="5679" spans="1:1" ht="12.75" customHeight="1">
      <c r="A5679" s="129">
        <v>5679</v>
      </c>
    </row>
    <row r="5680" spans="1:1" ht="12.75" customHeight="1">
      <c r="A5680" s="129">
        <v>5680</v>
      </c>
    </row>
    <row r="5681" spans="1:1" ht="12.75" customHeight="1">
      <c r="A5681" s="129">
        <v>5681</v>
      </c>
    </row>
    <row r="5682" spans="1:1" ht="12.75" customHeight="1">
      <c r="A5682" s="129">
        <v>5682</v>
      </c>
    </row>
    <row r="5683" spans="1:1" ht="12.75" customHeight="1">
      <c r="A5683" s="129">
        <v>5683</v>
      </c>
    </row>
    <row r="5684" spans="1:1" ht="12.75" customHeight="1">
      <c r="A5684" s="129">
        <v>5684</v>
      </c>
    </row>
    <row r="5685" spans="1:1" ht="12.75" customHeight="1">
      <c r="A5685" s="129">
        <v>5685</v>
      </c>
    </row>
    <row r="5686" spans="1:1" ht="12.75" customHeight="1">
      <c r="A5686" s="129">
        <v>5686</v>
      </c>
    </row>
    <row r="5687" spans="1:1" ht="12.75" customHeight="1">
      <c r="A5687" s="129">
        <v>5687</v>
      </c>
    </row>
    <row r="5688" spans="1:1" ht="12.75" customHeight="1">
      <c r="A5688" s="129">
        <v>5688</v>
      </c>
    </row>
    <row r="5689" spans="1:1" ht="12.75" customHeight="1">
      <c r="A5689" s="129">
        <v>5689</v>
      </c>
    </row>
    <row r="5690" spans="1:1" ht="12.75" customHeight="1">
      <c r="A5690" s="129">
        <v>5690</v>
      </c>
    </row>
    <row r="5691" spans="1:1" ht="12.75" customHeight="1">
      <c r="A5691" s="129">
        <v>5691</v>
      </c>
    </row>
    <row r="5692" spans="1:1" ht="12.75" customHeight="1">
      <c r="A5692" s="129">
        <v>5692</v>
      </c>
    </row>
    <row r="5693" spans="1:1" ht="12.75" customHeight="1">
      <c r="A5693" s="129">
        <v>5693</v>
      </c>
    </row>
    <row r="5694" spans="1:1" ht="12.75" customHeight="1">
      <c r="A5694" s="129">
        <v>5694</v>
      </c>
    </row>
    <row r="5695" spans="1:1" ht="12.75" customHeight="1">
      <c r="A5695" s="129">
        <v>5695</v>
      </c>
    </row>
    <row r="5696" spans="1:1" ht="12.75" customHeight="1">
      <c r="A5696" s="129">
        <v>5696</v>
      </c>
    </row>
    <row r="5697" spans="1:1" ht="12.75" customHeight="1">
      <c r="A5697" s="129">
        <v>5697</v>
      </c>
    </row>
    <row r="5698" spans="1:1" ht="12.75" customHeight="1">
      <c r="A5698" s="129">
        <v>5698</v>
      </c>
    </row>
    <row r="5699" spans="1:1" ht="12.75" customHeight="1">
      <c r="A5699" s="129">
        <v>5699</v>
      </c>
    </row>
    <row r="5700" spans="1:1" ht="12.75" customHeight="1">
      <c r="A5700" s="129">
        <v>5700</v>
      </c>
    </row>
    <row r="5701" spans="1:1" ht="12.75" customHeight="1">
      <c r="A5701" s="129">
        <v>5701</v>
      </c>
    </row>
    <row r="5702" spans="1:1" ht="12.75" customHeight="1">
      <c r="A5702" s="129">
        <v>5702</v>
      </c>
    </row>
    <row r="5703" spans="1:1" ht="12.75" customHeight="1">
      <c r="A5703" s="129">
        <v>5703</v>
      </c>
    </row>
    <row r="5704" spans="1:1" ht="12.75" customHeight="1">
      <c r="A5704" s="129">
        <v>5704</v>
      </c>
    </row>
    <row r="5705" spans="1:1" ht="12.75" customHeight="1">
      <c r="A5705" s="129">
        <v>5705</v>
      </c>
    </row>
    <row r="5706" spans="1:1" ht="12.75" customHeight="1">
      <c r="A5706" s="129">
        <v>5706</v>
      </c>
    </row>
    <row r="5707" spans="1:1" ht="12.75" customHeight="1">
      <c r="A5707" s="129">
        <v>5707</v>
      </c>
    </row>
    <row r="5708" spans="1:1" ht="12.75" customHeight="1">
      <c r="A5708" s="129">
        <v>5708</v>
      </c>
    </row>
    <row r="5709" spans="1:1" ht="12.75" customHeight="1">
      <c r="A5709" s="129">
        <v>5709</v>
      </c>
    </row>
    <row r="5710" spans="1:1" ht="12.75" customHeight="1">
      <c r="A5710" s="129">
        <v>5710</v>
      </c>
    </row>
    <row r="5711" spans="1:1" ht="12.75" customHeight="1">
      <c r="A5711" s="129">
        <v>5711</v>
      </c>
    </row>
    <row r="5712" spans="1:1" ht="12.75" customHeight="1">
      <c r="A5712" s="129">
        <v>5712</v>
      </c>
    </row>
    <row r="5713" spans="1:1" ht="12.75" customHeight="1">
      <c r="A5713" s="129">
        <v>5713</v>
      </c>
    </row>
    <row r="5714" spans="1:1" ht="12.75" customHeight="1">
      <c r="A5714" s="129">
        <v>5714</v>
      </c>
    </row>
    <row r="5715" spans="1:1" ht="12.75" customHeight="1">
      <c r="A5715" s="129">
        <v>5715</v>
      </c>
    </row>
    <row r="5716" spans="1:1" ht="12.75" customHeight="1">
      <c r="A5716" s="129">
        <v>5716</v>
      </c>
    </row>
    <row r="5717" spans="1:1" ht="12.75" customHeight="1">
      <c r="A5717" s="129">
        <v>5717</v>
      </c>
    </row>
    <row r="5718" spans="1:1" ht="12.75" customHeight="1">
      <c r="A5718" s="129">
        <v>5718</v>
      </c>
    </row>
    <row r="5719" spans="1:1" ht="12.75" customHeight="1">
      <c r="A5719" s="129">
        <v>5719</v>
      </c>
    </row>
    <row r="5720" spans="1:1" ht="12.75" customHeight="1">
      <c r="A5720" s="129">
        <v>5720</v>
      </c>
    </row>
    <row r="5721" spans="1:1" ht="12.75" customHeight="1">
      <c r="A5721" s="129">
        <v>5721</v>
      </c>
    </row>
    <row r="5722" spans="1:1" ht="12.75" customHeight="1">
      <c r="A5722" s="129">
        <v>5722</v>
      </c>
    </row>
    <row r="5723" spans="1:1" ht="12.75" customHeight="1">
      <c r="A5723" s="129">
        <v>5723</v>
      </c>
    </row>
    <row r="5724" spans="1:1" ht="12.75" customHeight="1">
      <c r="A5724" s="129">
        <v>5724</v>
      </c>
    </row>
    <row r="5725" spans="1:1" ht="12.75" customHeight="1">
      <c r="A5725" s="129">
        <v>5725</v>
      </c>
    </row>
    <row r="5726" spans="1:1" ht="12.75" customHeight="1">
      <c r="A5726" s="129">
        <v>5726</v>
      </c>
    </row>
    <row r="5727" spans="1:1" ht="12.75" customHeight="1">
      <c r="A5727" s="129">
        <v>5727</v>
      </c>
    </row>
    <row r="5728" spans="1:1" ht="12.75" customHeight="1">
      <c r="A5728" s="129">
        <v>5728</v>
      </c>
    </row>
    <row r="5729" spans="1:1" ht="12.75" customHeight="1">
      <c r="A5729" s="129">
        <v>5729</v>
      </c>
    </row>
    <row r="5730" spans="1:1" ht="12.75" customHeight="1">
      <c r="A5730" s="129">
        <v>5730</v>
      </c>
    </row>
    <row r="5731" spans="1:1" ht="12.75" customHeight="1">
      <c r="A5731" s="129">
        <v>5731</v>
      </c>
    </row>
    <row r="5732" spans="1:1" ht="12.75" customHeight="1">
      <c r="A5732" s="129">
        <v>5732</v>
      </c>
    </row>
    <row r="5733" spans="1:1" ht="12.75" customHeight="1">
      <c r="A5733" s="129">
        <v>5733</v>
      </c>
    </row>
    <row r="5734" spans="1:1" ht="12.75" customHeight="1">
      <c r="A5734" s="129">
        <v>5734</v>
      </c>
    </row>
    <row r="5735" spans="1:1" ht="12.75" customHeight="1">
      <c r="A5735" s="129">
        <v>5735</v>
      </c>
    </row>
    <row r="5736" spans="1:1" ht="12.75" customHeight="1">
      <c r="A5736" s="129">
        <v>5736</v>
      </c>
    </row>
    <row r="5737" spans="1:1" ht="12.75" customHeight="1">
      <c r="A5737" s="129">
        <v>5737</v>
      </c>
    </row>
    <row r="5738" spans="1:1" ht="12.75" customHeight="1">
      <c r="A5738" s="129">
        <v>5738</v>
      </c>
    </row>
    <row r="5739" spans="1:1" ht="12.75" customHeight="1">
      <c r="A5739" s="129">
        <v>5739</v>
      </c>
    </row>
    <row r="5740" spans="1:1" ht="12.75" customHeight="1">
      <c r="A5740" s="129">
        <v>5740</v>
      </c>
    </row>
    <row r="5741" spans="1:1" ht="12.75" customHeight="1">
      <c r="A5741" s="129">
        <v>5741</v>
      </c>
    </row>
    <row r="5742" spans="1:1" ht="12.75" customHeight="1">
      <c r="A5742" s="129">
        <v>5742</v>
      </c>
    </row>
    <row r="5743" spans="1:1" ht="12.75" customHeight="1">
      <c r="A5743" s="129">
        <v>5743</v>
      </c>
    </row>
    <row r="5744" spans="1:1" ht="12.75" customHeight="1">
      <c r="A5744" s="129">
        <v>5744</v>
      </c>
    </row>
    <row r="5745" spans="1:1" ht="12.75" customHeight="1">
      <c r="A5745" s="129">
        <v>5745</v>
      </c>
    </row>
    <row r="5746" spans="1:1" ht="12.75" customHeight="1">
      <c r="A5746" s="129">
        <v>5746</v>
      </c>
    </row>
    <row r="5747" spans="1:1" ht="12.75" customHeight="1">
      <c r="A5747" s="129">
        <v>5747</v>
      </c>
    </row>
    <row r="5748" spans="1:1" ht="12.75" customHeight="1">
      <c r="A5748" s="129">
        <v>5748</v>
      </c>
    </row>
    <row r="5749" spans="1:1" ht="12.75" customHeight="1">
      <c r="A5749" s="129">
        <v>5749</v>
      </c>
    </row>
    <row r="5750" spans="1:1" ht="12.75" customHeight="1">
      <c r="A5750" s="129">
        <v>5750</v>
      </c>
    </row>
    <row r="5751" spans="1:1" ht="12.75" customHeight="1">
      <c r="A5751" s="129">
        <v>5751</v>
      </c>
    </row>
    <row r="5752" spans="1:1" ht="12.75" customHeight="1">
      <c r="A5752" s="129">
        <v>5752</v>
      </c>
    </row>
    <row r="5753" spans="1:1" ht="12.75" customHeight="1">
      <c r="A5753" s="129">
        <v>5753</v>
      </c>
    </row>
    <row r="5754" spans="1:1" ht="12.75" customHeight="1">
      <c r="A5754" s="129">
        <v>5754</v>
      </c>
    </row>
    <row r="5755" spans="1:1" ht="12.75" customHeight="1">
      <c r="A5755" s="129">
        <v>5755</v>
      </c>
    </row>
    <row r="5756" spans="1:1" ht="12.75" customHeight="1">
      <c r="A5756" s="129">
        <v>5756</v>
      </c>
    </row>
    <row r="5757" spans="1:1" ht="12.75" customHeight="1">
      <c r="A5757" s="129">
        <v>5757</v>
      </c>
    </row>
    <row r="5758" spans="1:1" ht="12.75" customHeight="1">
      <c r="A5758" s="129">
        <v>5758</v>
      </c>
    </row>
    <row r="5759" spans="1:1" ht="12.75" customHeight="1">
      <c r="A5759" s="129">
        <v>5759</v>
      </c>
    </row>
    <row r="5760" spans="1:1" ht="12.75" customHeight="1">
      <c r="A5760" s="129">
        <v>5760</v>
      </c>
    </row>
    <row r="5761" spans="1:1" ht="12.75" customHeight="1">
      <c r="A5761" s="129">
        <v>5761</v>
      </c>
    </row>
    <row r="5762" spans="1:1" ht="12.75" customHeight="1">
      <c r="A5762" s="129">
        <v>5762</v>
      </c>
    </row>
    <row r="5763" spans="1:1" ht="12.75" customHeight="1">
      <c r="A5763" s="129">
        <v>5763</v>
      </c>
    </row>
    <row r="5764" spans="1:1" ht="12.75" customHeight="1">
      <c r="A5764" s="129">
        <v>5764</v>
      </c>
    </row>
    <row r="5765" spans="1:1" ht="12.75" customHeight="1">
      <c r="A5765" s="129">
        <v>5765</v>
      </c>
    </row>
    <row r="5766" spans="1:1" ht="12.75" customHeight="1">
      <c r="A5766" s="129">
        <v>5766</v>
      </c>
    </row>
    <row r="5767" spans="1:1" ht="12.75" customHeight="1">
      <c r="A5767" s="129">
        <v>5767</v>
      </c>
    </row>
    <row r="5768" spans="1:1" ht="12.75" customHeight="1">
      <c r="A5768" s="129">
        <v>5768</v>
      </c>
    </row>
    <row r="5769" spans="1:1" ht="12.75" customHeight="1">
      <c r="A5769" s="129">
        <v>5769</v>
      </c>
    </row>
    <row r="5770" spans="1:1" ht="12.75" customHeight="1">
      <c r="A5770" s="129">
        <v>5770</v>
      </c>
    </row>
    <row r="5771" spans="1:1" ht="12.75" customHeight="1">
      <c r="A5771" s="129">
        <v>5771</v>
      </c>
    </row>
    <row r="5772" spans="1:1" ht="12.75" customHeight="1">
      <c r="A5772" s="129">
        <v>5772</v>
      </c>
    </row>
    <row r="5773" spans="1:1" ht="12.75" customHeight="1">
      <c r="A5773" s="129">
        <v>5773</v>
      </c>
    </row>
    <row r="5774" spans="1:1" ht="12.75" customHeight="1">
      <c r="A5774" s="129">
        <v>5774</v>
      </c>
    </row>
    <row r="5775" spans="1:1" ht="12.75" customHeight="1">
      <c r="A5775" s="129">
        <v>5775</v>
      </c>
    </row>
    <row r="5776" spans="1:1" ht="12.75" customHeight="1">
      <c r="A5776" s="129">
        <v>5776</v>
      </c>
    </row>
    <row r="5777" spans="1:1" ht="12.75" customHeight="1">
      <c r="A5777" s="129">
        <v>5777</v>
      </c>
    </row>
    <row r="5778" spans="1:1" ht="12.75" customHeight="1">
      <c r="A5778" s="129">
        <v>5778</v>
      </c>
    </row>
    <row r="5779" spans="1:1" ht="12.75" customHeight="1">
      <c r="A5779" s="129">
        <v>5779</v>
      </c>
    </row>
    <row r="5780" spans="1:1" ht="12.75" customHeight="1">
      <c r="A5780" s="129">
        <v>5780</v>
      </c>
    </row>
    <row r="5781" spans="1:1" ht="12.75" customHeight="1">
      <c r="A5781" s="129">
        <v>5781</v>
      </c>
    </row>
    <row r="5782" spans="1:1" ht="12.75" customHeight="1">
      <c r="A5782" s="129">
        <v>5782</v>
      </c>
    </row>
    <row r="5783" spans="1:1" ht="12.75" customHeight="1">
      <c r="A5783" s="129">
        <v>5783</v>
      </c>
    </row>
    <row r="5784" spans="1:1" ht="12.75" customHeight="1">
      <c r="A5784" s="129">
        <v>5784</v>
      </c>
    </row>
    <row r="5785" spans="1:1" ht="12.75" customHeight="1">
      <c r="A5785" s="129">
        <v>5785</v>
      </c>
    </row>
    <row r="5786" spans="1:1" ht="12.75" customHeight="1">
      <c r="A5786" s="129">
        <v>5786</v>
      </c>
    </row>
    <row r="5787" spans="1:1" ht="12.75" customHeight="1">
      <c r="A5787" s="129">
        <v>5787</v>
      </c>
    </row>
    <row r="5788" spans="1:1" ht="12.75" customHeight="1">
      <c r="A5788" s="129">
        <v>5788</v>
      </c>
    </row>
    <row r="5789" spans="1:1" ht="12.75" customHeight="1">
      <c r="A5789" s="129">
        <v>5789</v>
      </c>
    </row>
    <row r="5790" spans="1:1" ht="12.75" customHeight="1">
      <c r="A5790" s="129">
        <v>5790</v>
      </c>
    </row>
    <row r="5791" spans="1:1" ht="12.75" customHeight="1">
      <c r="A5791" s="129">
        <v>5791</v>
      </c>
    </row>
    <row r="5792" spans="1:1" ht="12.75" customHeight="1">
      <c r="A5792" s="129">
        <v>5792</v>
      </c>
    </row>
    <row r="5793" spans="1:1" ht="12.75" customHeight="1">
      <c r="A5793" s="129">
        <v>5793</v>
      </c>
    </row>
    <row r="5794" spans="1:1" ht="12.75" customHeight="1">
      <c r="A5794" s="129">
        <v>5794</v>
      </c>
    </row>
    <row r="5795" spans="1:1" ht="12.75" customHeight="1">
      <c r="A5795" s="129">
        <v>5795</v>
      </c>
    </row>
    <row r="5796" spans="1:1" ht="12.75" customHeight="1">
      <c r="A5796" s="129">
        <v>5796</v>
      </c>
    </row>
    <row r="5797" spans="1:1" ht="12.75" customHeight="1">
      <c r="A5797" s="129">
        <v>5797</v>
      </c>
    </row>
    <row r="5798" spans="1:1" ht="12.75" customHeight="1">
      <c r="A5798" s="129">
        <v>5798</v>
      </c>
    </row>
    <row r="5799" spans="1:1" ht="12.75" customHeight="1">
      <c r="A5799" s="129">
        <v>5799</v>
      </c>
    </row>
    <row r="5800" spans="1:1" ht="12.75" customHeight="1">
      <c r="A5800" s="129">
        <v>5800</v>
      </c>
    </row>
    <row r="5801" spans="1:1" ht="12.75" customHeight="1">
      <c r="A5801" s="129">
        <v>5801</v>
      </c>
    </row>
    <row r="5802" spans="1:1" ht="12.75" customHeight="1">
      <c r="A5802" s="129">
        <v>5802</v>
      </c>
    </row>
    <row r="5803" spans="1:1" ht="12.75" customHeight="1">
      <c r="A5803" s="129">
        <v>5803</v>
      </c>
    </row>
    <row r="5804" spans="1:1" ht="12.75" customHeight="1">
      <c r="A5804" s="129">
        <v>5804</v>
      </c>
    </row>
    <row r="5805" spans="1:1" ht="12.75" customHeight="1">
      <c r="A5805" s="129">
        <v>5805</v>
      </c>
    </row>
    <row r="5806" spans="1:1" ht="12.75" customHeight="1">
      <c r="A5806" s="129">
        <v>5806</v>
      </c>
    </row>
    <row r="5807" spans="1:1" ht="12.75" customHeight="1">
      <c r="A5807" s="129">
        <v>5807</v>
      </c>
    </row>
    <row r="5808" spans="1:1" ht="12.75" customHeight="1">
      <c r="A5808" s="129">
        <v>5808</v>
      </c>
    </row>
    <row r="5809" spans="1:1" ht="12.75" customHeight="1">
      <c r="A5809" s="129">
        <v>5809</v>
      </c>
    </row>
    <row r="5810" spans="1:1" ht="12.75" customHeight="1">
      <c r="A5810" s="129">
        <v>5810</v>
      </c>
    </row>
    <row r="5811" spans="1:1" ht="12.75" customHeight="1">
      <c r="A5811" s="129">
        <v>5811</v>
      </c>
    </row>
    <row r="5812" spans="1:1" ht="12.75" customHeight="1">
      <c r="A5812" s="129">
        <v>5812</v>
      </c>
    </row>
    <row r="5813" spans="1:1" ht="12.75" customHeight="1">
      <c r="A5813" s="129">
        <v>5813</v>
      </c>
    </row>
    <row r="5814" spans="1:1" ht="12.75" customHeight="1">
      <c r="A5814" s="129">
        <v>5814</v>
      </c>
    </row>
    <row r="5815" spans="1:1" ht="12.75" customHeight="1">
      <c r="A5815" s="129">
        <v>5815</v>
      </c>
    </row>
    <row r="5816" spans="1:1" ht="12.75" customHeight="1">
      <c r="A5816" s="129">
        <v>5816</v>
      </c>
    </row>
    <row r="5817" spans="1:1" ht="12.75" customHeight="1">
      <c r="A5817" s="129">
        <v>5817</v>
      </c>
    </row>
    <row r="5818" spans="1:1" ht="12.75" customHeight="1">
      <c r="A5818" s="129">
        <v>5818</v>
      </c>
    </row>
    <row r="5819" spans="1:1" ht="12.75" customHeight="1">
      <c r="A5819" s="129">
        <v>5819</v>
      </c>
    </row>
    <row r="5820" spans="1:1" ht="12.75" customHeight="1">
      <c r="A5820" s="129">
        <v>5820</v>
      </c>
    </row>
    <row r="5821" spans="1:1" ht="12.75" customHeight="1">
      <c r="A5821" s="129">
        <v>5821</v>
      </c>
    </row>
    <row r="5822" spans="1:1" ht="12.75" customHeight="1">
      <c r="A5822" s="129">
        <v>5822</v>
      </c>
    </row>
    <row r="5823" spans="1:1" ht="12.75" customHeight="1">
      <c r="A5823" s="129">
        <v>5823</v>
      </c>
    </row>
    <row r="5824" spans="1:1" ht="12.75" customHeight="1">
      <c r="A5824" s="129">
        <v>5824</v>
      </c>
    </row>
    <row r="5825" spans="1:1" ht="12.75" customHeight="1">
      <c r="A5825" s="129">
        <v>5825</v>
      </c>
    </row>
    <row r="5826" spans="1:1" ht="12.75" customHeight="1">
      <c r="A5826" s="129">
        <v>5826</v>
      </c>
    </row>
    <row r="5827" spans="1:1" ht="12.75" customHeight="1">
      <c r="A5827" s="129">
        <v>5827</v>
      </c>
    </row>
    <row r="5828" spans="1:1" ht="12.75" customHeight="1">
      <c r="A5828" s="129">
        <v>5828</v>
      </c>
    </row>
    <row r="5829" spans="1:1" ht="12.75" customHeight="1">
      <c r="A5829" s="129">
        <v>5829</v>
      </c>
    </row>
    <row r="5830" spans="1:1" ht="12.75" customHeight="1">
      <c r="A5830" s="129">
        <v>5830</v>
      </c>
    </row>
    <row r="5831" spans="1:1" ht="12.75" customHeight="1">
      <c r="A5831" s="129">
        <v>5831</v>
      </c>
    </row>
    <row r="5832" spans="1:1" ht="12.75" customHeight="1">
      <c r="A5832" s="129">
        <v>5832</v>
      </c>
    </row>
    <row r="5833" spans="1:1" ht="12.75" customHeight="1">
      <c r="A5833" s="129">
        <v>5833</v>
      </c>
    </row>
    <row r="5834" spans="1:1" ht="12.75" customHeight="1">
      <c r="A5834" s="129">
        <v>5834</v>
      </c>
    </row>
    <row r="5835" spans="1:1" ht="12.75" customHeight="1">
      <c r="A5835" s="129">
        <v>5835</v>
      </c>
    </row>
    <row r="5836" spans="1:1" ht="12.75" customHeight="1">
      <c r="A5836" s="129">
        <v>5836</v>
      </c>
    </row>
    <row r="5837" spans="1:1" ht="12.75" customHeight="1">
      <c r="A5837" s="129">
        <v>5837</v>
      </c>
    </row>
    <row r="5838" spans="1:1" ht="12.75" customHeight="1">
      <c r="A5838" s="129">
        <v>5838</v>
      </c>
    </row>
    <row r="5839" spans="1:1" ht="12.75" customHeight="1">
      <c r="A5839" s="129">
        <v>5839</v>
      </c>
    </row>
    <row r="5840" spans="1:1" ht="12.75" customHeight="1">
      <c r="A5840" s="129">
        <v>5840</v>
      </c>
    </row>
    <row r="5841" spans="1:1" ht="12.75" customHeight="1">
      <c r="A5841" s="129">
        <v>5841</v>
      </c>
    </row>
    <row r="5842" spans="1:1" ht="12.75" customHeight="1">
      <c r="A5842" s="129">
        <v>5842</v>
      </c>
    </row>
    <row r="5843" spans="1:1" ht="12.75" customHeight="1">
      <c r="A5843" s="129">
        <v>5843</v>
      </c>
    </row>
    <row r="5844" spans="1:1" ht="12.75" customHeight="1">
      <c r="A5844" s="129">
        <v>5844</v>
      </c>
    </row>
    <row r="5845" spans="1:1" ht="12.75" customHeight="1">
      <c r="A5845" s="129">
        <v>5845</v>
      </c>
    </row>
    <row r="5846" spans="1:1" ht="12.75" customHeight="1">
      <c r="A5846" s="129">
        <v>5846</v>
      </c>
    </row>
    <row r="5847" spans="1:1" ht="12.75" customHeight="1">
      <c r="A5847" s="129">
        <v>5847</v>
      </c>
    </row>
    <row r="5848" spans="1:1" ht="12.75" customHeight="1">
      <c r="A5848" s="129">
        <v>5848</v>
      </c>
    </row>
    <row r="5849" spans="1:1" ht="12.75" customHeight="1">
      <c r="A5849" s="129">
        <v>5849</v>
      </c>
    </row>
    <row r="5850" spans="1:1" ht="12.75" customHeight="1">
      <c r="A5850" s="129">
        <v>5850</v>
      </c>
    </row>
    <row r="5851" spans="1:1" ht="12.75" customHeight="1">
      <c r="A5851" s="129">
        <v>5851</v>
      </c>
    </row>
    <row r="5852" spans="1:1" ht="12.75" customHeight="1">
      <c r="A5852" s="129">
        <v>5852</v>
      </c>
    </row>
    <row r="5853" spans="1:1" ht="12.75" customHeight="1">
      <c r="A5853" s="129">
        <v>5853</v>
      </c>
    </row>
    <row r="5854" spans="1:1" ht="12.75" customHeight="1">
      <c r="A5854" s="129">
        <v>5854</v>
      </c>
    </row>
    <row r="5855" spans="1:1" ht="12.75" customHeight="1">
      <c r="A5855" s="129">
        <v>5855</v>
      </c>
    </row>
    <row r="5856" spans="1:1" ht="12.75" customHeight="1">
      <c r="A5856" s="129">
        <v>5856</v>
      </c>
    </row>
    <row r="5857" spans="1:1" ht="12.75" customHeight="1">
      <c r="A5857" s="129">
        <v>5857</v>
      </c>
    </row>
    <row r="5858" spans="1:1" ht="12.75" customHeight="1">
      <c r="A5858" s="129">
        <v>5858</v>
      </c>
    </row>
    <row r="5859" spans="1:1" ht="12.75" customHeight="1">
      <c r="A5859" s="129">
        <v>5859</v>
      </c>
    </row>
    <row r="5860" spans="1:1" ht="12.75" customHeight="1">
      <c r="A5860" s="129">
        <v>5860</v>
      </c>
    </row>
    <row r="5861" spans="1:1" ht="12.75" customHeight="1">
      <c r="A5861" s="129">
        <v>5861</v>
      </c>
    </row>
    <row r="5862" spans="1:1" ht="12.75" customHeight="1">
      <c r="A5862" s="129">
        <v>5862</v>
      </c>
    </row>
    <row r="5863" spans="1:1" ht="12.75" customHeight="1">
      <c r="A5863" s="129">
        <v>5863</v>
      </c>
    </row>
    <row r="5864" spans="1:1" ht="12.75" customHeight="1">
      <c r="A5864" s="129">
        <v>5864</v>
      </c>
    </row>
    <row r="5865" spans="1:1" ht="12.75" customHeight="1">
      <c r="A5865" s="129">
        <v>5865</v>
      </c>
    </row>
    <row r="5866" spans="1:1" ht="12.75" customHeight="1">
      <c r="A5866" s="129">
        <v>5866</v>
      </c>
    </row>
    <row r="5867" spans="1:1" ht="12.75" customHeight="1">
      <c r="A5867" s="129">
        <v>5867</v>
      </c>
    </row>
    <row r="5868" spans="1:1" ht="12.75" customHeight="1">
      <c r="A5868" s="129">
        <v>5868</v>
      </c>
    </row>
    <row r="5869" spans="1:1" ht="12.75" customHeight="1">
      <c r="A5869" s="129">
        <v>5869</v>
      </c>
    </row>
    <row r="5870" spans="1:1" ht="12.75" customHeight="1">
      <c r="A5870" s="129">
        <v>5870</v>
      </c>
    </row>
    <row r="5871" spans="1:1" ht="12.75" customHeight="1">
      <c r="A5871" s="129">
        <v>5871</v>
      </c>
    </row>
    <row r="5872" spans="1:1" ht="12.75" customHeight="1">
      <c r="A5872" s="129">
        <v>5872</v>
      </c>
    </row>
    <row r="5873" spans="1:1" ht="12.75" customHeight="1">
      <c r="A5873" s="129">
        <v>5873</v>
      </c>
    </row>
    <row r="5874" spans="1:1" ht="12.75" customHeight="1">
      <c r="A5874" s="129">
        <v>5874</v>
      </c>
    </row>
    <row r="5875" spans="1:1" ht="12.75" customHeight="1">
      <c r="A5875" s="129">
        <v>5875</v>
      </c>
    </row>
    <row r="5876" spans="1:1" ht="12.75" customHeight="1">
      <c r="A5876" s="129">
        <v>5876</v>
      </c>
    </row>
    <row r="5877" spans="1:1" ht="12.75" customHeight="1">
      <c r="A5877" s="129">
        <v>5877</v>
      </c>
    </row>
    <row r="5878" spans="1:1" ht="12.75" customHeight="1">
      <c r="A5878" s="129">
        <v>5878</v>
      </c>
    </row>
    <row r="5879" spans="1:1" ht="12.75" customHeight="1">
      <c r="A5879" s="129">
        <v>5879</v>
      </c>
    </row>
    <row r="5880" spans="1:1" ht="12.75" customHeight="1">
      <c r="A5880" s="129">
        <v>5880</v>
      </c>
    </row>
    <row r="5881" spans="1:1" ht="12.75" customHeight="1">
      <c r="A5881" s="129">
        <v>5881</v>
      </c>
    </row>
    <row r="5882" spans="1:1" ht="12.75" customHeight="1">
      <c r="A5882" s="129">
        <v>5882</v>
      </c>
    </row>
    <row r="5883" spans="1:1" ht="12.75" customHeight="1">
      <c r="A5883" s="129">
        <v>5883</v>
      </c>
    </row>
    <row r="5884" spans="1:1" ht="12.75" customHeight="1">
      <c r="A5884" s="129">
        <v>5884</v>
      </c>
    </row>
    <row r="5885" spans="1:1" ht="12.75" customHeight="1">
      <c r="A5885" s="129">
        <v>5885</v>
      </c>
    </row>
    <row r="5886" spans="1:1" ht="12.75" customHeight="1">
      <c r="A5886" s="129">
        <v>5886</v>
      </c>
    </row>
    <row r="5887" spans="1:1" ht="12.75" customHeight="1">
      <c r="A5887" s="129">
        <v>5887</v>
      </c>
    </row>
    <row r="5888" spans="1:1" ht="12.75" customHeight="1">
      <c r="A5888" s="129">
        <v>5888</v>
      </c>
    </row>
    <row r="5889" spans="1:1" ht="12.75" customHeight="1">
      <c r="A5889" s="129">
        <v>5889</v>
      </c>
    </row>
    <row r="5890" spans="1:1" ht="12.75" customHeight="1">
      <c r="A5890" s="129">
        <v>5890</v>
      </c>
    </row>
    <row r="5891" spans="1:1" ht="12.75" customHeight="1">
      <c r="A5891" s="129">
        <v>5891</v>
      </c>
    </row>
    <row r="5892" spans="1:1" ht="12.75" customHeight="1">
      <c r="A5892" s="129">
        <v>5892</v>
      </c>
    </row>
    <row r="5893" spans="1:1" ht="12.75" customHeight="1">
      <c r="A5893" s="129">
        <v>5893</v>
      </c>
    </row>
    <row r="5894" spans="1:1" ht="12.75" customHeight="1">
      <c r="A5894" s="129">
        <v>5894</v>
      </c>
    </row>
    <row r="5895" spans="1:1" ht="12.75" customHeight="1">
      <c r="A5895" s="129">
        <v>5895</v>
      </c>
    </row>
    <row r="5896" spans="1:1" ht="12.75" customHeight="1">
      <c r="A5896" s="129">
        <v>5896</v>
      </c>
    </row>
    <row r="5897" spans="1:1" ht="12.75" customHeight="1">
      <c r="A5897" s="129">
        <v>5897</v>
      </c>
    </row>
    <row r="5898" spans="1:1" ht="12.75" customHeight="1">
      <c r="A5898" s="129">
        <v>5898</v>
      </c>
    </row>
    <row r="5899" spans="1:1" ht="12.75" customHeight="1">
      <c r="A5899" s="129">
        <v>5899</v>
      </c>
    </row>
    <row r="5900" spans="1:1" ht="12.75" customHeight="1">
      <c r="A5900" s="129">
        <v>5900</v>
      </c>
    </row>
    <row r="5901" spans="1:1" ht="12.75" customHeight="1">
      <c r="A5901" s="129">
        <v>5901</v>
      </c>
    </row>
    <row r="5902" spans="1:1" ht="12.75" customHeight="1">
      <c r="A5902" s="129">
        <v>5902</v>
      </c>
    </row>
    <row r="5903" spans="1:1" ht="12.75" customHeight="1">
      <c r="A5903" s="129">
        <v>5903</v>
      </c>
    </row>
    <row r="5904" spans="1:1" ht="12.75" customHeight="1">
      <c r="A5904" s="129">
        <v>5904</v>
      </c>
    </row>
    <row r="5905" spans="1:1" ht="12.75" customHeight="1">
      <c r="A5905" s="129">
        <v>5905</v>
      </c>
    </row>
    <row r="5906" spans="1:1" ht="12.75" customHeight="1">
      <c r="A5906" s="129">
        <v>5906</v>
      </c>
    </row>
    <row r="5907" spans="1:1" ht="12.75" customHeight="1">
      <c r="A5907" s="129">
        <v>5907</v>
      </c>
    </row>
    <row r="5908" spans="1:1" ht="12.75" customHeight="1">
      <c r="A5908" s="129">
        <v>5908</v>
      </c>
    </row>
    <row r="5909" spans="1:1" ht="12.75" customHeight="1">
      <c r="A5909" s="129">
        <v>5909</v>
      </c>
    </row>
    <row r="5910" spans="1:1" ht="12.75" customHeight="1">
      <c r="A5910" s="129">
        <v>5910</v>
      </c>
    </row>
    <row r="5911" spans="1:1" ht="12.75" customHeight="1">
      <c r="A5911" s="129">
        <v>5911</v>
      </c>
    </row>
    <row r="5912" spans="1:1" ht="12.75" customHeight="1">
      <c r="A5912" s="129">
        <v>5912</v>
      </c>
    </row>
    <row r="5913" spans="1:1" ht="12.75" customHeight="1">
      <c r="A5913" s="129">
        <v>5913</v>
      </c>
    </row>
    <row r="5914" spans="1:1" ht="12.75" customHeight="1">
      <c r="A5914" s="129">
        <v>5914</v>
      </c>
    </row>
    <row r="5915" spans="1:1" ht="12.75" customHeight="1">
      <c r="A5915" s="129">
        <v>5915</v>
      </c>
    </row>
    <row r="5916" spans="1:1" ht="12.75" customHeight="1">
      <c r="A5916" s="129">
        <v>5916</v>
      </c>
    </row>
    <row r="5917" spans="1:1" ht="12.75" customHeight="1">
      <c r="A5917" s="129">
        <v>5917</v>
      </c>
    </row>
    <row r="5918" spans="1:1" ht="12.75" customHeight="1">
      <c r="A5918" s="129">
        <v>5918</v>
      </c>
    </row>
    <row r="5919" spans="1:1" ht="12.75" customHeight="1">
      <c r="A5919" s="129">
        <v>5919</v>
      </c>
    </row>
    <row r="5920" spans="1:1" ht="12.75" customHeight="1">
      <c r="A5920" s="129">
        <v>5920</v>
      </c>
    </row>
    <row r="5921" spans="1:1" ht="12.75" customHeight="1">
      <c r="A5921" s="129">
        <v>5921</v>
      </c>
    </row>
    <row r="5922" spans="1:1" ht="12.75" customHeight="1">
      <c r="A5922" s="129">
        <v>5922</v>
      </c>
    </row>
    <row r="5923" spans="1:1" ht="12.75" customHeight="1">
      <c r="A5923" s="129">
        <v>5923</v>
      </c>
    </row>
    <row r="5924" spans="1:1" ht="12.75" customHeight="1">
      <c r="A5924" s="129">
        <v>5924</v>
      </c>
    </row>
    <row r="5925" spans="1:1" ht="12.75" customHeight="1">
      <c r="A5925" s="129">
        <v>5925</v>
      </c>
    </row>
    <row r="5926" spans="1:1" ht="12.75" customHeight="1">
      <c r="A5926" s="129">
        <v>5926</v>
      </c>
    </row>
    <row r="5927" spans="1:1" ht="12.75" customHeight="1">
      <c r="A5927" s="129">
        <v>5927</v>
      </c>
    </row>
    <row r="5928" spans="1:1" ht="12.75" customHeight="1">
      <c r="A5928" s="129">
        <v>5928</v>
      </c>
    </row>
    <row r="5929" spans="1:1" ht="12.75" customHeight="1">
      <c r="A5929" s="129">
        <v>5929</v>
      </c>
    </row>
    <row r="5930" spans="1:1" ht="12.75" customHeight="1">
      <c r="A5930" s="129">
        <v>5930</v>
      </c>
    </row>
    <row r="5931" spans="1:1" ht="12.75" customHeight="1">
      <c r="A5931" s="129">
        <v>5931</v>
      </c>
    </row>
    <row r="5932" spans="1:1" ht="12.75" customHeight="1">
      <c r="A5932" s="129">
        <v>5932</v>
      </c>
    </row>
    <row r="5933" spans="1:1" ht="12.75" customHeight="1">
      <c r="A5933" s="129">
        <v>5933</v>
      </c>
    </row>
    <row r="5934" spans="1:1" ht="12.75" customHeight="1">
      <c r="A5934" s="129">
        <v>5934</v>
      </c>
    </row>
    <row r="5935" spans="1:1" ht="12.75" customHeight="1">
      <c r="A5935" s="129">
        <v>5935</v>
      </c>
    </row>
    <row r="5936" spans="1:1" ht="12.75" customHeight="1">
      <c r="A5936" s="129">
        <v>5936</v>
      </c>
    </row>
    <row r="5937" spans="1:1" ht="12.75" customHeight="1">
      <c r="A5937" s="129">
        <v>5937</v>
      </c>
    </row>
    <row r="5938" spans="1:1" ht="12.75" customHeight="1">
      <c r="A5938" s="129">
        <v>5938</v>
      </c>
    </row>
    <row r="5939" spans="1:1" ht="12.75" customHeight="1">
      <c r="A5939" s="129">
        <v>5939</v>
      </c>
    </row>
    <row r="5940" spans="1:1" ht="12.75" customHeight="1">
      <c r="A5940" s="129">
        <v>5940</v>
      </c>
    </row>
    <row r="5941" spans="1:1" ht="12.75" customHeight="1">
      <c r="A5941" s="129">
        <v>5941</v>
      </c>
    </row>
    <row r="5942" spans="1:1" ht="12.75" customHeight="1">
      <c r="A5942" s="129">
        <v>5942</v>
      </c>
    </row>
    <row r="5943" spans="1:1" ht="12.75" customHeight="1">
      <c r="A5943" s="129">
        <v>5943</v>
      </c>
    </row>
    <row r="5944" spans="1:1" ht="12.75" customHeight="1">
      <c r="A5944" s="129">
        <v>5944</v>
      </c>
    </row>
    <row r="5945" spans="1:1" ht="12.75" customHeight="1">
      <c r="A5945" s="129">
        <v>5945</v>
      </c>
    </row>
    <row r="5946" spans="1:1" ht="12.75" customHeight="1">
      <c r="A5946" s="129">
        <v>5946</v>
      </c>
    </row>
    <row r="5947" spans="1:1" ht="12.75" customHeight="1">
      <c r="A5947" s="129">
        <v>5947</v>
      </c>
    </row>
    <row r="5948" spans="1:1" ht="12.75" customHeight="1">
      <c r="A5948" s="129">
        <v>5948</v>
      </c>
    </row>
    <row r="5949" spans="1:1" ht="12.75" customHeight="1">
      <c r="A5949" s="129">
        <v>5949</v>
      </c>
    </row>
    <row r="5950" spans="1:1" ht="12.75" customHeight="1">
      <c r="A5950" s="129">
        <v>5950</v>
      </c>
    </row>
    <row r="5951" spans="1:1" ht="12.75" customHeight="1">
      <c r="A5951" s="129">
        <v>5951</v>
      </c>
    </row>
    <row r="5952" spans="1:1" ht="12.75" customHeight="1">
      <c r="A5952" s="129">
        <v>5952</v>
      </c>
    </row>
    <row r="5953" spans="1:1" ht="12.75" customHeight="1">
      <c r="A5953" s="129">
        <v>5953</v>
      </c>
    </row>
    <row r="5954" spans="1:1" ht="12.75" customHeight="1">
      <c r="A5954" s="129">
        <v>5954</v>
      </c>
    </row>
    <row r="5955" spans="1:1" ht="12.75" customHeight="1">
      <c r="A5955" s="129">
        <v>5955</v>
      </c>
    </row>
    <row r="5956" spans="1:1" ht="12.75" customHeight="1">
      <c r="A5956" s="129">
        <v>5956</v>
      </c>
    </row>
    <row r="5957" spans="1:1" ht="12.75" customHeight="1">
      <c r="A5957" s="129">
        <v>5957</v>
      </c>
    </row>
    <row r="5958" spans="1:1" ht="12.75" customHeight="1">
      <c r="A5958" s="129">
        <v>5958</v>
      </c>
    </row>
    <row r="5959" spans="1:1" ht="12.75" customHeight="1">
      <c r="A5959" s="129">
        <v>5959</v>
      </c>
    </row>
    <row r="5960" spans="1:1" ht="12.75" customHeight="1">
      <c r="A5960" s="129">
        <v>5960</v>
      </c>
    </row>
    <row r="5961" spans="1:1" ht="12.75" customHeight="1">
      <c r="A5961" s="129">
        <v>5961</v>
      </c>
    </row>
    <row r="5962" spans="1:1" ht="12.75" customHeight="1">
      <c r="A5962" s="129">
        <v>5962</v>
      </c>
    </row>
    <row r="5963" spans="1:1" ht="12.75" customHeight="1">
      <c r="A5963" s="129">
        <v>5963</v>
      </c>
    </row>
    <row r="5964" spans="1:1" ht="12.75" customHeight="1">
      <c r="A5964" s="129">
        <v>5964</v>
      </c>
    </row>
    <row r="5965" spans="1:1" ht="12.75" customHeight="1">
      <c r="A5965" s="129">
        <v>5965</v>
      </c>
    </row>
    <row r="5966" spans="1:1" ht="12.75" customHeight="1">
      <c r="A5966" s="129">
        <v>5966</v>
      </c>
    </row>
    <row r="5967" spans="1:1" ht="12.75" customHeight="1">
      <c r="A5967" s="129">
        <v>5967</v>
      </c>
    </row>
    <row r="5968" spans="1:1" ht="12.75" customHeight="1">
      <c r="A5968" s="129">
        <v>5968</v>
      </c>
    </row>
    <row r="5969" spans="1:1" ht="12.75" customHeight="1">
      <c r="A5969" s="129">
        <v>5969</v>
      </c>
    </row>
    <row r="5970" spans="1:1" ht="12.75" customHeight="1">
      <c r="A5970" s="129">
        <v>5970</v>
      </c>
    </row>
    <row r="5971" spans="1:1" ht="12.75" customHeight="1">
      <c r="A5971" s="129">
        <v>5971</v>
      </c>
    </row>
    <row r="5972" spans="1:1" ht="12.75" customHeight="1">
      <c r="A5972" s="129">
        <v>5972</v>
      </c>
    </row>
    <row r="5973" spans="1:1" ht="12.75" customHeight="1">
      <c r="A5973" s="129">
        <v>5973</v>
      </c>
    </row>
    <row r="5974" spans="1:1" ht="12.75" customHeight="1">
      <c r="A5974" s="129">
        <v>5974</v>
      </c>
    </row>
    <row r="5975" spans="1:1" ht="12.75" customHeight="1">
      <c r="A5975" s="129">
        <v>5975</v>
      </c>
    </row>
    <row r="5976" spans="1:1" ht="12.75" customHeight="1">
      <c r="A5976" s="129">
        <v>5976</v>
      </c>
    </row>
    <row r="5977" spans="1:1" ht="12.75" customHeight="1">
      <c r="A5977" s="129">
        <v>5977</v>
      </c>
    </row>
    <row r="5978" spans="1:1" ht="12.75" customHeight="1">
      <c r="A5978" s="129">
        <v>5978</v>
      </c>
    </row>
    <row r="5979" spans="1:1" ht="12.75" customHeight="1">
      <c r="A5979" s="129">
        <v>5979</v>
      </c>
    </row>
    <row r="5980" spans="1:1" ht="12.75" customHeight="1">
      <c r="A5980" s="129">
        <v>5980</v>
      </c>
    </row>
    <row r="5981" spans="1:1" ht="12.75" customHeight="1">
      <c r="A5981" s="129">
        <v>5981</v>
      </c>
    </row>
    <row r="5982" spans="1:1" ht="12.75" customHeight="1">
      <c r="A5982" s="129">
        <v>5982</v>
      </c>
    </row>
    <row r="5983" spans="1:1" ht="12.75" customHeight="1">
      <c r="A5983" s="129">
        <v>5983</v>
      </c>
    </row>
    <row r="5984" spans="1:1" ht="12.75" customHeight="1">
      <c r="A5984" s="129">
        <v>5984</v>
      </c>
    </row>
    <row r="5985" spans="1:1" ht="12.75" customHeight="1">
      <c r="A5985" s="129">
        <v>5985</v>
      </c>
    </row>
    <row r="5986" spans="1:1" ht="12.75" customHeight="1">
      <c r="A5986" s="129">
        <v>5986</v>
      </c>
    </row>
    <row r="5987" spans="1:1" ht="12.75" customHeight="1">
      <c r="A5987" s="129">
        <v>5987</v>
      </c>
    </row>
    <row r="5988" spans="1:1" ht="12.75" customHeight="1">
      <c r="A5988" s="129">
        <v>5988</v>
      </c>
    </row>
    <row r="5989" spans="1:1" ht="12.75" customHeight="1">
      <c r="A5989" s="129">
        <v>5989</v>
      </c>
    </row>
    <row r="5990" spans="1:1" ht="12.75" customHeight="1">
      <c r="A5990" s="129">
        <v>5990</v>
      </c>
    </row>
    <row r="5991" spans="1:1" ht="12.75" customHeight="1">
      <c r="A5991" s="129">
        <v>5991</v>
      </c>
    </row>
    <row r="5992" spans="1:1" ht="12.75" customHeight="1">
      <c r="A5992" s="129">
        <v>5992</v>
      </c>
    </row>
    <row r="5993" spans="1:1" ht="12.75" customHeight="1">
      <c r="A5993" s="129">
        <v>5993</v>
      </c>
    </row>
    <row r="5994" spans="1:1" ht="12.75" customHeight="1">
      <c r="A5994" s="129">
        <v>5994</v>
      </c>
    </row>
    <row r="5995" spans="1:1" ht="12.75" customHeight="1">
      <c r="A5995" s="129">
        <v>5995</v>
      </c>
    </row>
    <row r="5996" spans="1:1" ht="12.75" customHeight="1">
      <c r="A5996" s="129">
        <v>5996</v>
      </c>
    </row>
    <row r="5997" spans="1:1" ht="12.75" customHeight="1">
      <c r="A5997" s="129">
        <v>5997</v>
      </c>
    </row>
    <row r="5998" spans="1:1" ht="12.75" customHeight="1">
      <c r="A5998" s="129">
        <v>5998</v>
      </c>
    </row>
    <row r="5999" spans="1:1" ht="12.75" customHeight="1">
      <c r="A5999" s="129">
        <v>5999</v>
      </c>
    </row>
    <row r="6000" spans="1:1" ht="12.75" customHeight="1">
      <c r="A6000" s="129">
        <v>6000</v>
      </c>
    </row>
    <row r="6001" spans="1:1" ht="12.75" customHeight="1">
      <c r="A6001" s="129">
        <v>6001</v>
      </c>
    </row>
    <row r="6002" spans="1:1" ht="12.75" customHeight="1">
      <c r="A6002" s="129">
        <v>6002</v>
      </c>
    </row>
    <row r="6003" spans="1:1" ht="12.75" customHeight="1">
      <c r="A6003" s="129">
        <v>6003</v>
      </c>
    </row>
    <row r="6004" spans="1:1" ht="12.75" customHeight="1">
      <c r="A6004" s="129">
        <v>6004</v>
      </c>
    </row>
    <row r="6005" spans="1:1" ht="12.75" customHeight="1">
      <c r="A6005" s="129">
        <v>6005</v>
      </c>
    </row>
    <row r="6006" spans="1:1" ht="12.75" customHeight="1">
      <c r="A6006" s="129">
        <v>6006</v>
      </c>
    </row>
    <row r="6007" spans="1:1" ht="12.75" customHeight="1">
      <c r="A6007" s="129">
        <v>6007</v>
      </c>
    </row>
    <row r="6008" spans="1:1" ht="12.75" customHeight="1">
      <c r="A6008" s="129">
        <v>6008</v>
      </c>
    </row>
    <row r="6009" spans="1:1" ht="12.75" customHeight="1">
      <c r="A6009" s="129">
        <v>6009</v>
      </c>
    </row>
    <row r="6010" spans="1:1" ht="12.75" customHeight="1">
      <c r="A6010" s="129">
        <v>6010</v>
      </c>
    </row>
    <row r="6011" spans="1:1" ht="12.75" customHeight="1">
      <c r="A6011" s="129">
        <v>6011</v>
      </c>
    </row>
    <row r="6012" spans="1:1" ht="12.75" customHeight="1">
      <c r="A6012" s="129">
        <v>6012</v>
      </c>
    </row>
    <row r="6013" spans="1:1" ht="12.75" customHeight="1">
      <c r="A6013" s="129">
        <v>6013</v>
      </c>
    </row>
    <row r="6014" spans="1:1" ht="12.75" customHeight="1">
      <c r="A6014" s="129">
        <v>6014</v>
      </c>
    </row>
    <row r="6015" spans="1:1" ht="12.75" customHeight="1">
      <c r="A6015" s="129">
        <v>6015</v>
      </c>
    </row>
    <row r="6016" spans="1:1" ht="12.75" customHeight="1">
      <c r="A6016" s="129">
        <v>6016</v>
      </c>
    </row>
    <row r="6017" spans="1:1" ht="12.75" customHeight="1">
      <c r="A6017" s="129">
        <v>6017</v>
      </c>
    </row>
    <row r="6018" spans="1:1" ht="12.75" customHeight="1">
      <c r="A6018" s="129">
        <v>6018</v>
      </c>
    </row>
    <row r="6019" spans="1:1" ht="12.75" customHeight="1">
      <c r="A6019" s="129">
        <v>6019</v>
      </c>
    </row>
    <row r="6020" spans="1:1" ht="12.75" customHeight="1">
      <c r="A6020" s="129">
        <v>6020</v>
      </c>
    </row>
    <row r="6021" spans="1:1" ht="12.75" customHeight="1">
      <c r="A6021" s="129">
        <v>6021</v>
      </c>
    </row>
    <row r="6022" spans="1:1" ht="12.75" customHeight="1">
      <c r="A6022" s="129">
        <v>6022</v>
      </c>
    </row>
    <row r="6023" spans="1:1" ht="12.75" customHeight="1">
      <c r="A6023" s="129">
        <v>6023</v>
      </c>
    </row>
    <row r="6024" spans="1:1" ht="12.75" customHeight="1">
      <c r="A6024" s="129">
        <v>6024</v>
      </c>
    </row>
    <row r="6025" spans="1:1" ht="12.75" customHeight="1">
      <c r="A6025" s="129">
        <v>6025</v>
      </c>
    </row>
    <row r="6026" spans="1:1" ht="12.75" customHeight="1">
      <c r="A6026" s="129">
        <v>6026</v>
      </c>
    </row>
    <row r="6027" spans="1:1" ht="12.75" customHeight="1">
      <c r="A6027" s="129">
        <v>6027</v>
      </c>
    </row>
    <row r="6028" spans="1:1" ht="12.75" customHeight="1">
      <c r="A6028" s="129">
        <v>6028</v>
      </c>
    </row>
    <row r="6029" spans="1:1" ht="12.75" customHeight="1">
      <c r="A6029" s="129">
        <v>6029</v>
      </c>
    </row>
    <row r="6030" spans="1:1" ht="12.75" customHeight="1">
      <c r="A6030" s="129">
        <v>6030</v>
      </c>
    </row>
    <row r="6031" spans="1:1" ht="12.75" customHeight="1">
      <c r="A6031" s="129">
        <v>6031</v>
      </c>
    </row>
    <row r="6032" spans="1:1" ht="12.75" customHeight="1">
      <c r="A6032" s="129">
        <v>6032</v>
      </c>
    </row>
    <row r="6033" spans="1:1" ht="12.75" customHeight="1">
      <c r="A6033" s="129">
        <v>6033</v>
      </c>
    </row>
    <row r="6034" spans="1:1" ht="12.75" customHeight="1">
      <c r="A6034" s="129">
        <v>6034</v>
      </c>
    </row>
    <row r="6035" spans="1:1" ht="12.75" customHeight="1">
      <c r="A6035" s="129">
        <v>6035</v>
      </c>
    </row>
    <row r="6036" spans="1:1" ht="12.75" customHeight="1">
      <c r="A6036" s="129">
        <v>6036</v>
      </c>
    </row>
    <row r="6037" spans="1:1" ht="12.75" customHeight="1">
      <c r="A6037" s="129">
        <v>6037</v>
      </c>
    </row>
    <row r="6038" spans="1:1" ht="12.75" customHeight="1">
      <c r="A6038" s="129">
        <v>6038</v>
      </c>
    </row>
    <row r="6039" spans="1:1" ht="12.75" customHeight="1">
      <c r="A6039" s="129">
        <v>6039</v>
      </c>
    </row>
    <row r="6040" spans="1:1" ht="12.75" customHeight="1">
      <c r="A6040" s="129">
        <v>6040</v>
      </c>
    </row>
    <row r="6041" spans="1:1" ht="12.75" customHeight="1">
      <c r="A6041" s="129">
        <v>6041</v>
      </c>
    </row>
    <row r="6042" spans="1:1" ht="12.75" customHeight="1">
      <c r="A6042" s="129">
        <v>6042</v>
      </c>
    </row>
    <row r="6043" spans="1:1" ht="12.75" customHeight="1">
      <c r="A6043" s="129">
        <v>6043</v>
      </c>
    </row>
    <row r="6044" spans="1:1" ht="12.75" customHeight="1">
      <c r="A6044" s="129">
        <v>6044</v>
      </c>
    </row>
    <row r="6045" spans="1:1" ht="12.75" customHeight="1">
      <c r="A6045" s="129">
        <v>6045</v>
      </c>
    </row>
    <row r="6046" spans="1:1" ht="12.75" customHeight="1">
      <c r="A6046" s="129">
        <v>6046</v>
      </c>
    </row>
    <row r="6047" spans="1:1" ht="12.75" customHeight="1">
      <c r="A6047" s="129">
        <v>6047</v>
      </c>
    </row>
    <row r="6048" spans="1:1" ht="12.75" customHeight="1">
      <c r="A6048" s="129">
        <v>6048</v>
      </c>
    </row>
    <row r="6049" spans="1:1" ht="12.75" customHeight="1">
      <c r="A6049" s="129">
        <v>6049</v>
      </c>
    </row>
    <row r="6050" spans="1:1" ht="12.75" customHeight="1">
      <c r="A6050" s="129">
        <v>6050</v>
      </c>
    </row>
    <row r="6051" spans="1:1" ht="12.75" customHeight="1">
      <c r="A6051" s="129">
        <v>6051</v>
      </c>
    </row>
    <row r="6052" spans="1:1" ht="12.75" customHeight="1">
      <c r="A6052" s="129">
        <v>6052</v>
      </c>
    </row>
    <row r="6053" spans="1:1" ht="12.75" customHeight="1">
      <c r="A6053" s="129">
        <v>6053</v>
      </c>
    </row>
    <row r="6054" spans="1:1" ht="12.75" customHeight="1">
      <c r="A6054" s="129">
        <v>6054</v>
      </c>
    </row>
    <row r="6055" spans="1:1" ht="12.75" customHeight="1">
      <c r="A6055" s="129">
        <v>6055</v>
      </c>
    </row>
    <row r="6056" spans="1:1" ht="12.75" customHeight="1">
      <c r="A6056" s="129">
        <v>6056</v>
      </c>
    </row>
    <row r="6057" spans="1:1" ht="12.75" customHeight="1">
      <c r="A6057" s="129">
        <v>6057</v>
      </c>
    </row>
    <row r="6058" spans="1:1" ht="12.75" customHeight="1">
      <c r="A6058" s="129">
        <v>6058</v>
      </c>
    </row>
    <row r="6059" spans="1:1" ht="12.75" customHeight="1">
      <c r="A6059" s="129">
        <v>6059</v>
      </c>
    </row>
    <row r="6060" spans="1:1" ht="12.75" customHeight="1">
      <c r="A6060" s="129">
        <v>6060</v>
      </c>
    </row>
    <row r="6061" spans="1:1" ht="12.75" customHeight="1">
      <c r="A6061" s="129">
        <v>6061</v>
      </c>
    </row>
    <row r="6062" spans="1:1" ht="12.75" customHeight="1">
      <c r="A6062" s="129">
        <v>6062</v>
      </c>
    </row>
    <row r="6063" spans="1:1" ht="12.75" customHeight="1">
      <c r="A6063" s="129">
        <v>6063</v>
      </c>
    </row>
    <row r="6064" spans="1:1" ht="12.75" customHeight="1">
      <c r="A6064" s="129">
        <v>6064</v>
      </c>
    </row>
    <row r="6065" spans="1:1" ht="12.75" customHeight="1">
      <c r="A6065" s="129">
        <v>6065</v>
      </c>
    </row>
    <row r="6066" spans="1:1" ht="12.75" customHeight="1">
      <c r="A6066" s="129">
        <v>6066</v>
      </c>
    </row>
    <row r="6067" spans="1:1" ht="12.75" customHeight="1">
      <c r="A6067" s="129">
        <v>6067</v>
      </c>
    </row>
    <row r="6068" spans="1:1" ht="12.75" customHeight="1">
      <c r="A6068" s="129">
        <v>6068</v>
      </c>
    </row>
    <row r="6069" spans="1:1" ht="12.75" customHeight="1">
      <c r="A6069" s="129">
        <v>6069</v>
      </c>
    </row>
    <row r="6070" spans="1:1" ht="12.75" customHeight="1">
      <c r="A6070" s="129">
        <v>6070</v>
      </c>
    </row>
    <row r="6071" spans="1:1" ht="12.75" customHeight="1">
      <c r="A6071" s="129">
        <v>6071</v>
      </c>
    </row>
    <row r="6072" spans="1:1" ht="12.75" customHeight="1">
      <c r="A6072" s="129">
        <v>6072</v>
      </c>
    </row>
    <row r="6073" spans="1:1" ht="12.75" customHeight="1">
      <c r="A6073" s="129">
        <v>6073</v>
      </c>
    </row>
    <row r="6074" spans="1:1" ht="12.75" customHeight="1">
      <c r="A6074" s="129">
        <v>6074</v>
      </c>
    </row>
    <row r="6075" spans="1:1" ht="12.75" customHeight="1">
      <c r="A6075" s="129">
        <v>6075</v>
      </c>
    </row>
    <row r="6076" spans="1:1" ht="12.75" customHeight="1">
      <c r="A6076" s="129">
        <v>6076</v>
      </c>
    </row>
    <row r="6077" spans="1:1" ht="12.75" customHeight="1">
      <c r="A6077" s="129">
        <v>6077</v>
      </c>
    </row>
    <row r="6078" spans="1:1" ht="12.75" customHeight="1">
      <c r="A6078" s="129">
        <v>6078</v>
      </c>
    </row>
    <row r="6079" spans="1:1" ht="12.75" customHeight="1">
      <c r="A6079" s="129">
        <v>6079</v>
      </c>
    </row>
    <row r="6080" spans="1:1" ht="12.75" customHeight="1">
      <c r="A6080" s="129">
        <v>6080</v>
      </c>
    </row>
    <row r="6081" spans="1:1" ht="12.75" customHeight="1">
      <c r="A6081" s="129">
        <v>6081</v>
      </c>
    </row>
    <row r="6082" spans="1:1" ht="12.75" customHeight="1">
      <c r="A6082" s="129">
        <v>6082</v>
      </c>
    </row>
    <row r="6083" spans="1:1" ht="12.75" customHeight="1">
      <c r="A6083" s="129">
        <v>6083</v>
      </c>
    </row>
    <row r="6084" spans="1:1" ht="12.75" customHeight="1">
      <c r="A6084" s="129">
        <v>6084</v>
      </c>
    </row>
    <row r="6085" spans="1:1" ht="12.75" customHeight="1">
      <c r="A6085" s="129">
        <v>6085</v>
      </c>
    </row>
    <row r="6086" spans="1:1" ht="12.75" customHeight="1">
      <c r="A6086" s="129">
        <v>6086</v>
      </c>
    </row>
    <row r="6087" spans="1:1" ht="12.75" customHeight="1">
      <c r="A6087" s="129">
        <v>6087</v>
      </c>
    </row>
    <row r="6088" spans="1:1" ht="12.75" customHeight="1">
      <c r="A6088" s="129">
        <v>6088</v>
      </c>
    </row>
    <row r="6089" spans="1:1" ht="12.75" customHeight="1">
      <c r="A6089" s="129">
        <v>6089</v>
      </c>
    </row>
    <row r="6090" spans="1:1" ht="12.75" customHeight="1">
      <c r="A6090" s="129">
        <v>6090</v>
      </c>
    </row>
    <row r="6091" spans="1:1" ht="12.75" customHeight="1">
      <c r="A6091" s="129">
        <v>6091</v>
      </c>
    </row>
    <row r="6092" spans="1:1" ht="12.75" customHeight="1">
      <c r="A6092" s="129">
        <v>6092</v>
      </c>
    </row>
    <row r="6093" spans="1:1" ht="12.75" customHeight="1">
      <c r="A6093" s="129">
        <v>6093</v>
      </c>
    </row>
    <row r="6094" spans="1:1" ht="12.75" customHeight="1">
      <c r="A6094" s="129">
        <v>6094</v>
      </c>
    </row>
    <row r="6095" spans="1:1" ht="12.75" customHeight="1">
      <c r="A6095" s="129">
        <v>6095</v>
      </c>
    </row>
    <row r="6096" spans="1:1" ht="12.75" customHeight="1">
      <c r="A6096" s="129">
        <v>6096</v>
      </c>
    </row>
    <row r="6097" spans="1:1" ht="12.75" customHeight="1">
      <c r="A6097" s="129">
        <v>6097</v>
      </c>
    </row>
    <row r="6098" spans="1:1" ht="12.75" customHeight="1">
      <c r="A6098" s="129">
        <v>6098</v>
      </c>
    </row>
    <row r="6099" spans="1:1" ht="12.75" customHeight="1">
      <c r="A6099" s="129">
        <v>6099</v>
      </c>
    </row>
    <row r="6100" spans="1:1" ht="12.75" customHeight="1">
      <c r="A6100" s="129">
        <v>6100</v>
      </c>
    </row>
    <row r="6101" spans="1:1" ht="12.75" customHeight="1">
      <c r="A6101" s="129">
        <v>6101</v>
      </c>
    </row>
    <row r="6102" spans="1:1" ht="12.75" customHeight="1">
      <c r="A6102" s="129">
        <v>6102</v>
      </c>
    </row>
    <row r="6103" spans="1:1" ht="12.75" customHeight="1">
      <c r="A6103" s="129">
        <v>6103</v>
      </c>
    </row>
    <row r="6104" spans="1:1" ht="12.75" customHeight="1">
      <c r="A6104" s="129">
        <v>6104</v>
      </c>
    </row>
    <row r="6105" spans="1:1" ht="12.75" customHeight="1">
      <c r="A6105" s="129">
        <v>6105</v>
      </c>
    </row>
    <row r="6106" spans="1:1" ht="12.75" customHeight="1">
      <c r="A6106" s="129">
        <v>6106</v>
      </c>
    </row>
    <row r="6107" spans="1:1" ht="12.75" customHeight="1">
      <c r="A6107" s="129">
        <v>6107</v>
      </c>
    </row>
    <row r="6108" spans="1:1" ht="12.75" customHeight="1">
      <c r="A6108" s="129">
        <v>6108</v>
      </c>
    </row>
    <row r="6109" spans="1:1" ht="12.75" customHeight="1">
      <c r="A6109" s="129">
        <v>6109</v>
      </c>
    </row>
    <row r="6110" spans="1:1" ht="12.75" customHeight="1">
      <c r="A6110" s="129">
        <v>6110</v>
      </c>
    </row>
    <row r="6111" spans="1:1" ht="12.75" customHeight="1">
      <c r="A6111" s="129">
        <v>6111</v>
      </c>
    </row>
    <row r="6112" spans="1:1" ht="12.75" customHeight="1">
      <c r="A6112" s="129">
        <v>6112</v>
      </c>
    </row>
    <row r="6113" spans="1:1" ht="12.75" customHeight="1">
      <c r="A6113" s="129">
        <v>6113</v>
      </c>
    </row>
    <row r="6114" spans="1:1" ht="12.75" customHeight="1">
      <c r="A6114" s="129">
        <v>6114</v>
      </c>
    </row>
    <row r="6115" spans="1:1" ht="12.75" customHeight="1">
      <c r="A6115" s="129">
        <v>6115</v>
      </c>
    </row>
    <row r="6116" spans="1:1" ht="12.75" customHeight="1">
      <c r="A6116" s="129">
        <v>6116</v>
      </c>
    </row>
    <row r="6117" spans="1:1" ht="12.75" customHeight="1">
      <c r="A6117" s="129">
        <v>6117</v>
      </c>
    </row>
    <row r="6118" spans="1:1" ht="12.75" customHeight="1">
      <c r="A6118" s="129">
        <v>6118</v>
      </c>
    </row>
    <row r="6119" spans="1:1" ht="12.75" customHeight="1">
      <c r="A6119" s="129">
        <v>6119</v>
      </c>
    </row>
    <row r="6120" spans="1:1" ht="12.75" customHeight="1">
      <c r="A6120" s="129">
        <v>6120</v>
      </c>
    </row>
    <row r="6121" spans="1:1" ht="12.75" customHeight="1">
      <c r="A6121" s="129">
        <v>6121</v>
      </c>
    </row>
    <row r="6122" spans="1:1" ht="12.75" customHeight="1">
      <c r="A6122" s="129">
        <v>6122</v>
      </c>
    </row>
    <row r="6123" spans="1:1" ht="12.75" customHeight="1">
      <c r="A6123" s="129">
        <v>6123</v>
      </c>
    </row>
    <row r="6124" spans="1:1" ht="12.75" customHeight="1">
      <c r="A6124" s="129">
        <v>6124</v>
      </c>
    </row>
    <row r="6125" spans="1:1" ht="12.75" customHeight="1">
      <c r="A6125" s="129">
        <v>6125</v>
      </c>
    </row>
    <row r="6126" spans="1:1" ht="12.75" customHeight="1">
      <c r="A6126" s="129">
        <v>6126</v>
      </c>
    </row>
    <row r="6127" spans="1:1" ht="12.75" customHeight="1">
      <c r="A6127" s="129">
        <v>6127</v>
      </c>
    </row>
    <row r="6128" spans="1:1" ht="12.75" customHeight="1">
      <c r="A6128" s="129">
        <v>6128</v>
      </c>
    </row>
    <row r="6129" spans="1:1" ht="12.75" customHeight="1">
      <c r="A6129" s="129">
        <v>6129</v>
      </c>
    </row>
    <row r="6130" spans="1:1" ht="12.75" customHeight="1">
      <c r="A6130" s="129">
        <v>6130</v>
      </c>
    </row>
    <row r="6131" spans="1:1" ht="12.75" customHeight="1">
      <c r="A6131" s="129">
        <v>6131</v>
      </c>
    </row>
    <row r="6132" spans="1:1" ht="12.75" customHeight="1">
      <c r="A6132" s="129">
        <v>6132</v>
      </c>
    </row>
    <row r="6133" spans="1:1" ht="12.75" customHeight="1">
      <c r="A6133" s="129">
        <v>6133</v>
      </c>
    </row>
    <row r="6134" spans="1:1" ht="12.75" customHeight="1">
      <c r="A6134" s="129">
        <v>6134</v>
      </c>
    </row>
    <row r="6135" spans="1:1" ht="12.75" customHeight="1">
      <c r="A6135" s="129">
        <v>6135</v>
      </c>
    </row>
    <row r="6136" spans="1:1" ht="12.75" customHeight="1">
      <c r="A6136" s="129">
        <v>6136</v>
      </c>
    </row>
    <row r="6137" spans="1:1" ht="12.75" customHeight="1">
      <c r="A6137" s="129">
        <v>6137</v>
      </c>
    </row>
    <row r="6138" spans="1:1" ht="12.75" customHeight="1">
      <c r="A6138" s="129">
        <v>6138</v>
      </c>
    </row>
    <row r="6139" spans="1:1" ht="12.75" customHeight="1">
      <c r="A6139" s="129">
        <v>6139</v>
      </c>
    </row>
    <row r="6140" spans="1:1" ht="12.75" customHeight="1">
      <c r="A6140" s="129">
        <v>6140</v>
      </c>
    </row>
    <row r="6141" spans="1:1" ht="12.75" customHeight="1">
      <c r="A6141" s="129">
        <v>6141</v>
      </c>
    </row>
    <row r="6142" spans="1:1" ht="12.75" customHeight="1">
      <c r="A6142" s="129">
        <v>6142</v>
      </c>
    </row>
    <row r="6143" spans="1:1" ht="12.75" customHeight="1">
      <c r="A6143" s="129">
        <v>6143</v>
      </c>
    </row>
    <row r="6144" spans="1:1" ht="12.75" customHeight="1">
      <c r="A6144" s="129">
        <v>6144</v>
      </c>
    </row>
    <row r="6145" spans="1:1" ht="12.75" customHeight="1">
      <c r="A6145" s="129">
        <v>6145</v>
      </c>
    </row>
    <row r="6146" spans="1:1" ht="12.75" customHeight="1">
      <c r="A6146" s="129">
        <v>6146</v>
      </c>
    </row>
    <row r="6147" spans="1:1" ht="12.75" customHeight="1">
      <c r="A6147" s="129">
        <v>6147</v>
      </c>
    </row>
    <row r="6148" spans="1:1" ht="12.75" customHeight="1">
      <c r="A6148" s="129">
        <v>6148</v>
      </c>
    </row>
    <row r="6149" spans="1:1" ht="12.75" customHeight="1">
      <c r="A6149" s="129">
        <v>6149</v>
      </c>
    </row>
    <row r="6150" spans="1:1" ht="12.75" customHeight="1">
      <c r="A6150" s="129">
        <v>6150</v>
      </c>
    </row>
    <row r="6151" spans="1:1" ht="12.75" customHeight="1">
      <c r="A6151" s="129">
        <v>6151</v>
      </c>
    </row>
    <row r="6152" spans="1:1" ht="12.75" customHeight="1">
      <c r="A6152" s="129">
        <v>6152</v>
      </c>
    </row>
    <row r="6153" spans="1:1" ht="12.75" customHeight="1">
      <c r="A6153" s="129">
        <v>6153</v>
      </c>
    </row>
    <row r="6154" spans="1:1" ht="12.75" customHeight="1">
      <c r="A6154" s="129">
        <v>6154</v>
      </c>
    </row>
    <row r="6155" spans="1:1" ht="12.75" customHeight="1">
      <c r="A6155" s="129">
        <v>6155</v>
      </c>
    </row>
    <row r="6156" spans="1:1" ht="12.75" customHeight="1">
      <c r="A6156" s="129">
        <v>6156</v>
      </c>
    </row>
    <row r="6157" spans="1:1" ht="12.75" customHeight="1">
      <c r="A6157" s="129">
        <v>6157</v>
      </c>
    </row>
    <row r="6158" spans="1:1" ht="12.75" customHeight="1">
      <c r="A6158" s="129">
        <v>6158</v>
      </c>
    </row>
    <row r="6159" spans="1:1" ht="12.75" customHeight="1">
      <c r="A6159" s="129">
        <v>6159</v>
      </c>
    </row>
    <row r="6160" spans="1:1" ht="12.75" customHeight="1">
      <c r="A6160" s="129">
        <v>6160</v>
      </c>
    </row>
    <row r="6161" spans="1:1" ht="12.75" customHeight="1">
      <c r="A6161" s="129">
        <v>6161</v>
      </c>
    </row>
    <row r="6162" spans="1:1" ht="12.75" customHeight="1">
      <c r="A6162" s="129">
        <v>6162</v>
      </c>
    </row>
    <row r="6163" spans="1:1" ht="12.75" customHeight="1">
      <c r="A6163" s="129">
        <v>6163</v>
      </c>
    </row>
    <row r="6164" spans="1:1" ht="12.75" customHeight="1">
      <c r="A6164" s="129">
        <v>6164</v>
      </c>
    </row>
    <row r="6165" spans="1:1" ht="12.75" customHeight="1">
      <c r="A6165" s="129">
        <v>6165</v>
      </c>
    </row>
    <row r="6166" spans="1:1" ht="12.75" customHeight="1">
      <c r="A6166" s="129">
        <v>6166</v>
      </c>
    </row>
    <row r="6167" spans="1:1" ht="12.75" customHeight="1">
      <c r="A6167" s="129">
        <v>6167</v>
      </c>
    </row>
    <row r="6168" spans="1:1" ht="12.75" customHeight="1">
      <c r="A6168" s="129">
        <v>6168</v>
      </c>
    </row>
    <row r="6169" spans="1:1" ht="12.75" customHeight="1">
      <c r="A6169" s="129">
        <v>6169</v>
      </c>
    </row>
    <row r="6170" spans="1:1" ht="12.75" customHeight="1">
      <c r="A6170" s="129">
        <v>6170</v>
      </c>
    </row>
    <row r="6171" spans="1:1" ht="12.75" customHeight="1">
      <c r="A6171" s="129">
        <v>6171</v>
      </c>
    </row>
    <row r="6172" spans="1:1" ht="12.75" customHeight="1">
      <c r="A6172" s="129">
        <v>6172</v>
      </c>
    </row>
    <row r="6173" spans="1:1" ht="12.75" customHeight="1">
      <c r="A6173" s="129">
        <v>6173</v>
      </c>
    </row>
    <row r="6174" spans="1:1" ht="12.75" customHeight="1">
      <c r="A6174" s="129">
        <v>6174</v>
      </c>
    </row>
    <row r="6175" spans="1:1" ht="12.75" customHeight="1">
      <c r="A6175" s="129">
        <v>6175</v>
      </c>
    </row>
    <row r="6176" spans="1:1" ht="12.75" customHeight="1">
      <c r="A6176" s="129">
        <v>6176</v>
      </c>
    </row>
    <row r="6177" spans="1:1" ht="12.75" customHeight="1">
      <c r="A6177" s="129">
        <v>6177</v>
      </c>
    </row>
    <row r="6178" spans="1:1" ht="12.75" customHeight="1">
      <c r="A6178" s="129">
        <v>6178</v>
      </c>
    </row>
    <row r="6179" spans="1:1" ht="12.75" customHeight="1">
      <c r="A6179" s="129">
        <v>6179</v>
      </c>
    </row>
    <row r="6180" spans="1:1" ht="12.75" customHeight="1">
      <c r="A6180" s="129">
        <v>6180</v>
      </c>
    </row>
    <row r="6181" spans="1:1" ht="12.75" customHeight="1">
      <c r="A6181" s="129">
        <v>6181</v>
      </c>
    </row>
    <row r="6182" spans="1:1" ht="12.75" customHeight="1">
      <c r="A6182" s="129">
        <v>6182</v>
      </c>
    </row>
    <row r="6183" spans="1:1" ht="12.75" customHeight="1">
      <c r="A6183" s="129">
        <v>6183</v>
      </c>
    </row>
    <row r="6184" spans="1:1" ht="12.75" customHeight="1">
      <c r="A6184" s="129">
        <v>6184</v>
      </c>
    </row>
    <row r="6185" spans="1:1" ht="12.75" customHeight="1">
      <c r="A6185" s="129">
        <v>6185</v>
      </c>
    </row>
    <row r="6186" spans="1:1" ht="12.75" customHeight="1">
      <c r="A6186" s="129">
        <v>6186</v>
      </c>
    </row>
    <row r="6187" spans="1:1" ht="12.75" customHeight="1">
      <c r="A6187" s="129">
        <v>6187</v>
      </c>
    </row>
    <row r="6188" spans="1:1" ht="12.75" customHeight="1">
      <c r="A6188" s="129">
        <v>6188</v>
      </c>
    </row>
    <row r="6189" spans="1:1" ht="12.75" customHeight="1">
      <c r="A6189" s="129">
        <v>6189</v>
      </c>
    </row>
    <row r="6190" spans="1:1" ht="12.75" customHeight="1">
      <c r="A6190" s="129">
        <v>6190</v>
      </c>
    </row>
    <row r="6191" spans="1:1" ht="12.75" customHeight="1">
      <c r="A6191" s="129">
        <v>6191</v>
      </c>
    </row>
    <row r="6192" spans="1:1" ht="12.75" customHeight="1">
      <c r="A6192" s="129">
        <v>6192</v>
      </c>
    </row>
    <row r="6193" spans="1:1" ht="12.75" customHeight="1">
      <c r="A6193" s="129">
        <v>6193</v>
      </c>
    </row>
    <row r="6194" spans="1:1" ht="12.75" customHeight="1">
      <c r="A6194" s="129">
        <v>6194</v>
      </c>
    </row>
    <row r="6195" spans="1:1" ht="12.75" customHeight="1">
      <c r="A6195" s="129">
        <v>6195</v>
      </c>
    </row>
    <row r="6196" spans="1:1" ht="12.75" customHeight="1">
      <c r="A6196" s="129">
        <v>6196</v>
      </c>
    </row>
    <row r="6197" spans="1:1" ht="12.75" customHeight="1">
      <c r="A6197" s="129">
        <v>6197</v>
      </c>
    </row>
    <row r="6198" spans="1:1" ht="12.75" customHeight="1">
      <c r="A6198" s="129">
        <v>6198</v>
      </c>
    </row>
    <row r="6199" spans="1:1" ht="12.75" customHeight="1">
      <c r="A6199" s="129">
        <v>6199</v>
      </c>
    </row>
    <row r="6200" spans="1:1" ht="12.75" customHeight="1">
      <c r="A6200" s="129">
        <v>6200</v>
      </c>
    </row>
    <row r="6201" spans="1:1" ht="12.75" customHeight="1">
      <c r="A6201" s="129">
        <v>6201</v>
      </c>
    </row>
    <row r="6202" spans="1:1" ht="12.75" customHeight="1">
      <c r="A6202" s="129">
        <v>6202</v>
      </c>
    </row>
    <row r="6203" spans="1:1" ht="12.75" customHeight="1">
      <c r="A6203" s="129">
        <v>6203</v>
      </c>
    </row>
    <row r="6204" spans="1:1" ht="12.75" customHeight="1">
      <c r="A6204" s="129">
        <v>6204</v>
      </c>
    </row>
    <row r="6205" spans="1:1" ht="12.75" customHeight="1">
      <c r="A6205" s="129">
        <v>6205</v>
      </c>
    </row>
    <row r="6206" spans="1:1" ht="12.75" customHeight="1">
      <c r="A6206" s="129">
        <v>6206</v>
      </c>
    </row>
    <row r="6207" spans="1:1" ht="12.75" customHeight="1">
      <c r="A6207" s="129">
        <v>6207</v>
      </c>
    </row>
    <row r="6208" spans="1:1" ht="12.75" customHeight="1">
      <c r="A6208" s="129">
        <v>6208</v>
      </c>
    </row>
    <row r="6209" spans="1:1" ht="12.75" customHeight="1">
      <c r="A6209" s="129">
        <v>6209</v>
      </c>
    </row>
    <row r="6210" spans="1:1" ht="12.75" customHeight="1">
      <c r="A6210" s="129">
        <v>6210</v>
      </c>
    </row>
    <row r="6211" spans="1:1" ht="12.75" customHeight="1">
      <c r="A6211" s="129">
        <v>6211</v>
      </c>
    </row>
    <row r="6212" spans="1:1" ht="12.75" customHeight="1">
      <c r="A6212" s="129">
        <v>6212</v>
      </c>
    </row>
    <row r="6213" spans="1:1" ht="12.75" customHeight="1">
      <c r="A6213" s="129">
        <v>6213</v>
      </c>
    </row>
    <row r="6214" spans="1:1" ht="12.75" customHeight="1">
      <c r="A6214" s="129">
        <v>6214</v>
      </c>
    </row>
    <row r="6215" spans="1:1" ht="12.75" customHeight="1">
      <c r="A6215" s="129">
        <v>6215</v>
      </c>
    </row>
    <row r="6216" spans="1:1" ht="12.75" customHeight="1">
      <c r="A6216" s="129">
        <v>6216</v>
      </c>
    </row>
    <row r="6217" spans="1:1" ht="12.75" customHeight="1">
      <c r="A6217" s="129">
        <v>6217</v>
      </c>
    </row>
    <row r="6218" spans="1:1" ht="12.75" customHeight="1">
      <c r="A6218" s="129">
        <v>6218</v>
      </c>
    </row>
    <row r="6219" spans="1:1" ht="12.75" customHeight="1">
      <c r="A6219" s="129">
        <v>6219</v>
      </c>
    </row>
    <row r="6220" spans="1:1" ht="12.75" customHeight="1">
      <c r="A6220" s="129">
        <v>6220</v>
      </c>
    </row>
    <row r="6221" spans="1:1" ht="12.75" customHeight="1">
      <c r="A6221" s="129">
        <v>6221</v>
      </c>
    </row>
    <row r="6222" spans="1:1" ht="12.75" customHeight="1">
      <c r="A6222" s="129">
        <v>6222</v>
      </c>
    </row>
    <row r="6223" spans="1:1" ht="12.75" customHeight="1">
      <c r="A6223" s="129">
        <v>6223</v>
      </c>
    </row>
    <row r="6224" spans="1:1" ht="12.75" customHeight="1">
      <c r="A6224" s="129">
        <v>6224</v>
      </c>
    </row>
    <row r="6225" spans="1:1" ht="12.75" customHeight="1">
      <c r="A6225" s="129">
        <v>6225</v>
      </c>
    </row>
    <row r="6226" spans="1:1" ht="12.75" customHeight="1">
      <c r="A6226" s="129">
        <v>6226</v>
      </c>
    </row>
    <row r="6227" spans="1:1" ht="12.75" customHeight="1">
      <c r="A6227" s="129">
        <v>6227</v>
      </c>
    </row>
    <row r="6228" spans="1:1" ht="12.75" customHeight="1">
      <c r="A6228" s="129">
        <v>6228</v>
      </c>
    </row>
    <row r="6229" spans="1:1" ht="12.75" customHeight="1">
      <c r="A6229" s="129">
        <v>6229</v>
      </c>
    </row>
    <row r="6230" spans="1:1" ht="12.75" customHeight="1">
      <c r="A6230" s="129">
        <v>6230</v>
      </c>
    </row>
    <row r="6231" spans="1:1" ht="12.75" customHeight="1">
      <c r="A6231" s="129">
        <v>6231</v>
      </c>
    </row>
    <row r="6232" spans="1:1" ht="12.75" customHeight="1">
      <c r="A6232" s="129">
        <v>6232</v>
      </c>
    </row>
    <row r="6233" spans="1:1" ht="12.75" customHeight="1">
      <c r="A6233" s="129">
        <v>6233</v>
      </c>
    </row>
    <row r="6234" spans="1:1" ht="12.75" customHeight="1">
      <c r="A6234" s="129">
        <v>6234</v>
      </c>
    </row>
    <row r="6235" spans="1:1" ht="12.75" customHeight="1">
      <c r="A6235" s="129">
        <v>6235</v>
      </c>
    </row>
    <row r="6236" spans="1:1" ht="12.75" customHeight="1">
      <c r="A6236" s="129">
        <v>6236</v>
      </c>
    </row>
    <row r="6237" spans="1:1" ht="12.75" customHeight="1">
      <c r="A6237" s="129">
        <v>6237</v>
      </c>
    </row>
    <row r="6238" spans="1:1" ht="12.75" customHeight="1">
      <c r="A6238" s="129">
        <v>6238</v>
      </c>
    </row>
    <row r="6239" spans="1:1" ht="12.75" customHeight="1">
      <c r="A6239" s="129">
        <v>6239</v>
      </c>
    </row>
    <row r="6240" spans="1:1" ht="12.75" customHeight="1">
      <c r="A6240" s="129">
        <v>6240</v>
      </c>
    </row>
    <row r="6241" spans="1:1" ht="12.75" customHeight="1">
      <c r="A6241" s="129">
        <v>6241</v>
      </c>
    </row>
    <row r="6242" spans="1:1" ht="12.75" customHeight="1">
      <c r="A6242" s="129">
        <v>6242</v>
      </c>
    </row>
    <row r="6243" spans="1:1" ht="12.75" customHeight="1">
      <c r="A6243" s="129">
        <v>6243</v>
      </c>
    </row>
    <row r="6244" spans="1:1" ht="12.75" customHeight="1">
      <c r="A6244" s="129">
        <v>6244</v>
      </c>
    </row>
    <row r="6245" spans="1:1" ht="12.75" customHeight="1">
      <c r="A6245" s="129">
        <v>6245</v>
      </c>
    </row>
    <row r="6246" spans="1:1" ht="12.75" customHeight="1">
      <c r="A6246" s="129">
        <v>6246</v>
      </c>
    </row>
    <row r="6247" spans="1:1" ht="12.75" customHeight="1">
      <c r="A6247" s="129">
        <v>6247</v>
      </c>
    </row>
    <row r="6248" spans="1:1" ht="12.75" customHeight="1">
      <c r="A6248" s="129">
        <v>6248</v>
      </c>
    </row>
    <row r="6249" spans="1:1" ht="12.75" customHeight="1">
      <c r="A6249" s="129">
        <v>6249</v>
      </c>
    </row>
    <row r="6250" spans="1:1" ht="12.75" customHeight="1">
      <c r="A6250" s="129">
        <v>6250</v>
      </c>
    </row>
    <row r="6251" spans="1:1" ht="12.75" customHeight="1">
      <c r="A6251" s="129">
        <v>6251</v>
      </c>
    </row>
    <row r="6252" spans="1:1" ht="12.75" customHeight="1">
      <c r="A6252" s="129">
        <v>6252</v>
      </c>
    </row>
    <row r="6253" spans="1:1" ht="12.75" customHeight="1">
      <c r="A6253" s="129">
        <v>6253</v>
      </c>
    </row>
    <row r="6254" spans="1:1" ht="12.75" customHeight="1">
      <c r="A6254" s="129">
        <v>6254</v>
      </c>
    </row>
    <row r="6255" spans="1:1" ht="12.75" customHeight="1">
      <c r="A6255" s="129">
        <v>6255</v>
      </c>
    </row>
    <row r="6256" spans="1:1" ht="12.75" customHeight="1">
      <c r="A6256" s="129">
        <v>6256</v>
      </c>
    </row>
    <row r="6257" spans="1:1" ht="12.75" customHeight="1">
      <c r="A6257" s="129">
        <v>6257</v>
      </c>
    </row>
    <row r="6258" spans="1:1" ht="12.75" customHeight="1">
      <c r="A6258" s="129">
        <v>6258</v>
      </c>
    </row>
    <row r="6259" spans="1:1" ht="12.75" customHeight="1">
      <c r="A6259" s="129">
        <v>6259</v>
      </c>
    </row>
    <row r="6260" spans="1:1" ht="12.75" customHeight="1">
      <c r="A6260" s="129">
        <v>6260</v>
      </c>
    </row>
    <row r="6261" spans="1:1" ht="12.75" customHeight="1">
      <c r="A6261" s="129">
        <v>6261</v>
      </c>
    </row>
    <row r="6262" spans="1:1" ht="12.75" customHeight="1">
      <c r="A6262" s="129">
        <v>6262</v>
      </c>
    </row>
    <row r="6263" spans="1:1" ht="12.75" customHeight="1">
      <c r="A6263" s="129">
        <v>6263</v>
      </c>
    </row>
    <row r="6264" spans="1:1" ht="12.75" customHeight="1">
      <c r="A6264" s="129">
        <v>6264</v>
      </c>
    </row>
    <row r="6265" spans="1:1" ht="12.75" customHeight="1">
      <c r="A6265" s="129">
        <v>6265</v>
      </c>
    </row>
    <row r="6266" spans="1:1" ht="12.75" customHeight="1">
      <c r="A6266" s="129">
        <v>6266</v>
      </c>
    </row>
    <row r="6267" spans="1:1" ht="12.75" customHeight="1">
      <c r="A6267" s="129">
        <v>6267</v>
      </c>
    </row>
    <row r="6268" spans="1:1" ht="12.75" customHeight="1">
      <c r="A6268" s="129">
        <v>6268</v>
      </c>
    </row>
    <row r="6269" spans="1:1" ht="12.75" customHeight="1">
      <c r="A6269" s="129">
        <v>6269</v>
      </c>
    </row>
    <row r="6270" spans="1:1" ht="12.75" customHeight="1">
      <c r="A6270" s="129">
        <v>6270</v>
      </c>
    </row>
    <row r="6271" spans="1:1" ht="12.75" customHeight="1">
      <c r="A6271" s="129">
        <v>6271</v>
      </c>
    </row>
    <row r="6272" spans="1:1" ht="12.75" customHeight="1">
      <c r="A6272" s="129">
        <v>6272</v>
      </c>
    </row>
    <row r="6273" spans="1:1" ht="12.75" customHeight="1">
      <c r="A6273" s="129">
        <v>6273</v>
      </c>
    </row>
    <row r="6274" spans="1:1" ht="12.75" customHeight="1">
      <c r="A6274" s="129">
        <v>6274</v>
      </c>
    </row>
    <row r="6275" spans="1:1" ht="12.75" customHeight="1">
      <c r="A6275" s="129">
        <v>6275</v>
      </c>
    </row>
    <row r="6276" spans="1:1" ht="12.75" customHeight="1">
      <c r="A6276" s="129">
        <v>6276</v>
      </c>
    </row>
    <row r="6277" spans="1:1" ht="12.75" customHeight="1">
      <c r="A6277" s="129">
        <v>6277</v>
      </c>
    </row>
    <row r="6278" spans="1:1" ht="12.75" customHeight="1">
      <c r="A6278" s="129">
        <v>6278</v>
      </c>
    </row>
    <row r="6279" spans="1:1" ht="12.75" customHeight="1">
      <c r="A6279" s="129">
        <v>6279</v>
      </c>
    </row>
    <row r="6280" spans="1:1" ht="12.75" customHeight="1">
      <c r="A6280" s="129">
        <v>6280</v>
      </c>
    </row>
    <row r="6281" spans="1:1" ht="12.75" customHeight="1">
      <c r="A6281" s="129">
        <v>6281</v>
      </c>
    </row>
    <row r="6282" spans="1:1" ht="12.75" customHeight="1">
      <c r="A6282" s="129">
        <v>6282</v>
      </c>
    </row>
    <row r="6283" spans="1:1" ht="12.75" customHeight="1">
      <c r="A6283" s="129">
        <v>6283</v>
      </c>
    </row>
    <row r="6284" spans="1:1" ht="12.75" customHeight="1">
      <c r="A6284" s="129">
        <v>6284</v>
      </c>
    </row>
    <row r="6285" spans="1:1" ht="12.75" customHeight="1">
      <c r="A6285" s="129">
        <v>6285</v>
      </c>
    </row>
    <row r="6286" spans="1:1" ht="12.75" customHeight="1">
      <c r="A6286" s="129">
        <v>6286</v>
      </c>
    </row>
    <row r="6287" spans="1:1" ht="12.75" customHeight="1">
      <c r="A6287" s="129">
        <v>6287</v>
      </c>
    </row>
    <row r="6288" spans="1:1" ht="12.75" customHeight="1">
      <c r="A6288" s="129">
        <v>6288</v>
      </c>
    </row>
    <row r="6289" spans="1:1" ht="12.75" customHeight="1">
      <c r="A6289" s="129">
        <v>6289</v>
      </c>
    </row>
    <row r="6290" spans="1:1" ht="12.75" customHeight="1">
      <c r="A6290" s="129">
        <v>6290</v>
      </c>
    </row>
    <row r="6291" spans="1:1" ht="12.75" customHeight="1">
      <c r="A6291" s="129">
        <v>6291</v>
      </c>
    </row>
    <row r="6292" spans="1:1" ht="12.75" customHeight="1">
      <c r="A6292" s="129">
        <v>6292</v>
      </c>
    </row>
    <row r="6293" spans="1:1" ht="12.75" customHeight="1">
      <c r="A6293" s="129">
        <v>6293</v>
      </c>
    </row>
    <row r="6294" spans="1:1" ht="12.75" customHeight="1">
      <c r="A6294" s="129">
        <v>6294</v>
      </c>
    </row>
    <row r="6295" spans="1:1" ht="12.75" customHeight="1">
      <c r="A6295" s="129">
        <v>6295</v>
      </c>
    </row>
    <row r="6296" spans="1:1" ht="12.75" customHeight="1">
      <c r="A6296" s="129">
        <v>6296</v>
      </c>
    </row>
    <row r="6297" spans="1:1" ht="12.75" customHeight="1">
      <c r="A6297" s="129">
        <v>6297</v>
      </c>
    </row>
    <row r="6298" spans="1:1" ht="12.75" customHeight="1">
      <c r="A6298" s="129">
        <v>6298</v>
      </c>
    </row>
    <row r="6299" spans="1:1" ht="12.75" customHeight="1">
      <c r="A6299" s="129">
        <v>6299</v>
      </c>
    </row>
    <row r="6300" spans="1:1" ht="12.75" customHeight="1">
      <c r="A6300" s="129">
        <v>6300</v>
      </c>
    </row>
    <row r="6301" spans="1:1" ht="12.75" customHeight="1">
      <c r="A6301" s="129">
        <v>6301</v>
      </c>
    </row>
    <row r="6302" spans="1:1" ht="12.75" customHeight="1">
      <c r="A6302" s="129">
        <v>6302</v>
      </c>
    </row>
    <row r="6303" spans="1:1" ht="12.75" customHeight="1">
      <c r="A6303" s="129">
        <v>6303</v>
      </c>
    </row>
    <row r="6304" spans="1:1" ht="12.75" customHeight="1">
      <c r="A6304" s="129">
        <v>6304</v>
      </c>
    </row>
    <row r="6305" spans="1:1" ht="12.75" customHeight="1">
      <c r="A6305" s="129">
        <v>6305</v>
      </c>
    </row>
    <row r="6306" spans="1:1" ht="12.75" customHeight="1">
      <c r="A6306" s="129">
        <v>6306</v>
      </c>
    </row>
    <row r="6307" spans="1:1" ht="12.75" customHeight="1">
      <c r="A6307" s="129">
        <v>6307</v>
      </c>
    </row>
    <row r="6308" spans="1:1" ht="12.75" customHeight="1">
      <c r="A6308" s="129">
        <v>6308</v>
      </c>
    </row>
    <row r="6309" spans="1:1" ht="12.75" customHeight="1">
      <c r="A6309" s="129">
        <v>6309</v>
      </c>
    </row>
    <row r="6310" spans="1:1" ht="12.75" customHeight="1">
      <c r="A6310" s="129">
        <v>6310</v>
      </c>
    </row>
    <row r="6311" spans="1:1" ht="12.75" customHeight="1">
      <c r="A6311" s="129">
        <v>6311</v>
      </c>
    </row>
    <row r="6312" spans="1:1" ht="12.75" customHeight="1">
      <c r="A6312" s="129">
        <v>6312</v>
      </c>
    </row>
    <row r="6313" spans="1:1" ht="12.75" customHeight="1">
      <c r="A6313" s="129">
        <v>6313</v>
      </c>
    </row>
    <row r="6314" spans="1:1" ht="12.75" customHeight="1">
      <c r="A6314" s="129">
        <v>6314</v>
      </c>
    </row>
    <row r="6315" spans="1:1" ht="12.75" customHeight="1">
      <c r="A6315" s="129">
        <v>6315</v>
      </c>
    </row>
    <row r="6316" spans="1:1" ht="12.75" customHeight="1">
      <c r="A6316" s="129">
        <v>6316</v>
      </c>
    </row>
    <row r="6317" spans="1:1" ht="12.75" customHeight="1">
      <c r="A6317" s="129">
        <v>6317</v>
      </c>
    </row>
    <row r="6318" spans="1:1" ht="12.75" customHeight="1">
      <c r="A6318" s="129">
        <v>6318</v>
      </c>
    </row>
    <row r="6319" spans="1:1" ht="12.75" customHeight="1">
      <c r="A6319" s="129">
        <v>6319</v>
      </c>
    </row>
    <row r="6320" spans="1:1" ht="12.75" customHeight="1">
      <c r="A6320" s="129">
        <v>6320</v>
      </c>
    </row>
    <row r="6321" spans="1:1" ht="12.75" customHeight="1">
      <c r="A6321" s="129">
        <v>6321</v>
      </c>
    </row>
    <row r="6322" spans="1:1" ht="12.75" customHeight="1">
      <c r="A6322" s="129">
        <v>6322</v>
      </c>
    </row>
    <row r="6323" spans="1:1" ht="12.75" customHeight="1">
      <c r="A6323" s="129">
        <v>6323</v>
      </c>
    </row>
    <row r="6324" spans="1:1" ht="12.75" customHeight="1">
      <c r="A6324" s="129">
        <v>6324</v>
      </c>
    </row>
    <row r="6325" spans="1:1" ht="12.75" customHeight="1">
      <c r="A6325" s="129">
        <v>6325</v>
      </c>
    </row>
    <row r="6326" spans="1:1" ht="12.75" customHeight="1">
      <c r="A6326" s="129">
        <v>6326</v>
      </c>
    </row>
    <row r="6327" spans="1:1" ht="12.75" customHeight="1">
      <c r="A6327" s="129">
        <v>6327</v>
      </c>
    </row>
    <row r="6328" spans="1:1" ht="12.75" customHeight="1">
      <c r="A6328" s="129">
        <v>6328</v>
      </c>
    </row>
    <row r="6329" spans="1:1" ht="12.75" customHeight="1">
      <c r="A6329" s="129">
        <v>6329</v>
      </c>
    </row>
    <row r="6330" spans="1:1" ht="12.75" customHeight="1">
      <c r="A6330" s="129">
        <v>6330</v>
      </c>
    </row>
    <row r="6331" spans="1:1" ht="12.75" customHeight="1">
      <c r="A6331" s="129">
        <v>6331</v>
      </c>
    </row>
    <row r="6332" spans="1:1" ht="12.75" customHeight="1">
      <c r="A6332" s="129">
        <v>6332</v>
      </c>
    </row>
    <row r="6333" spans="1:1" ht="12.75" customHeight="1">
      <c r="A6333" s="129">
        <v>6333</v>
      </c>
    </row>
    <row r="6334" spans="1:1" ht="12.75" customHeight="1">
      <c r="A6334" s="129">
        <v>6334</v>
      </c>
    </row>
    <row r="6335" spans="1:1" ht="12.75" customHeight="1">
      <c r="A6335" s="129">
        <v>6335</v>
      </c>
    </row>
    <row r="6336" spans="1:1" ht="12.75" customHeight="1">
      <c r="A6336" s="129">
        <v>6336</v>
      </c>
    </row>
    <row r="6337" spans="1:1" ht="12.75" customHeight="1">
      <c r="A6337" s="129">
        <v>6337</v>
      </c>
    </row>
    <row r="6338" spans="1:1" ht="12.75" customHeight="1">
      <c r="A6338" s="129">
        <v>6338</v>
      </c>
    </row>
    <row r="6339" spans="1:1" ht="12.75" customHeight="1">
      <c r="A6339" s="129">
        <v>6339</v>
      </c>
    </row>
    <row r="6340" spans="1:1" ht="12.75" customHeight="1">
      <c r="A6340" s="129">
        <v>6340</v>
      </c>
    </row>
    <row r="6341" spans="1:1" ht="12.75" customHeight="1">
      <c r="A6341" s="129">
        <v>6341</v>
      </c>
    </row>
    <row r="6342" spans="1:1" ht="12.75" customHeight="1">
      <c r="A6342" s="129">
        <v>6342</v>
      </c>
    </row>
    <row r="6343" spans="1:1" ht="12.75" customHeight="1">
      <c r="A6343" s="129">
        <v>6343</v>
      </c>
    </row>
    <row r="6344" spans="1:1" ht="12.75" customHeight="1">
      <c r="A6344" s="129">
        <v>6344</v>
      </c>
    </row>
    <row r="6345" spans="1:1" ht="12.75" customHeight="1">
      <c r="A6345" s="129">
        <v>6345</v>
      </c>
    </row>
    <row r="6346" spans="1:1" ht="12.75" customHeight="1">
      <c r="A6346" s="129">
        <v>6346</v>
      </c>
    </row>
    <row r="6347" spans="1:1" ht="12.75" customHeight="1">
      <c r="A6347" s="129">
        <v>6347</v>
      </c>
    </row>
    <row r="6348" spans="1:1" ht="12.75" customHeight="1">
      <c r="A6348" s="129">
        <v>6348</v>
      </c>
    </row>
    <row r="6349" spans="1:1" ht="12.75" customHeight="1">
      <c r="A6349" s="129">
        <v>6349</v>
      </c>
    </row>
    <row r="6350" spans="1:1" ht="12.75" customHeight="1">
      <c r="A6350" s="129">
        <v>6350</v>
      </c>
    </row>
    <row r="6351" spans="1:1" ht="12.75" customHeight="1">
      <c r="A6351" s="129">
        <v>6351</v>
      </c>
    </row>
    <row r="6352" spans="1:1" ht="12.75" customHeight="1">
      <c r="A6352" s="129">
        <v>6352</v>
      </c>
    </row>
    <row r="6353" spans="1:1" ht="12.75" customHeight="1">
      <c r="A6353" s="129">
        <v>6353</v>
      </c>
    </row>
    <row r="6354" spans="1:1" ht="12.75" customHeight="1">
      <c r="A6354" s="129">
        <v>6354</v>
      </c>
    </row>
    <row r="6355" spans="1:1" ht="12.75" customHeight="1">
      <c r="A6355" s="129">
        <v>6355</v>
      </c>
    </row>
    <row r="6356" spans="1:1" ht="12.75" customHeight="1">
      <c r="A6356" s="129">
        <v>6356</v>
      </c>
    </row>
    <row r="6357" spans="1:1" ht="12.75" customHeight="1">
      <c r="A6357" s="129">
        <v>6357</v>
      </c>
    </row>
    <row r="6358" spans="1:1" ht="12.75" customHeight="1">
      <c r="A6358" s="129">
        <v>6358</v>
      </c>
    </row>
    <row r="6359" spans="1:1" ht="12.75" customHeight="1">
      <c r="A6359" s="129">
        <v>6359</v>
      </c>
    </row>
    <row r="6360" spans="1:1" ht="12.75" customHeight="1">
      <c r="A6360" s="129">
        <v>6360</v>
      </c>
    </row>
    <row r="6361" spans="1:1" ht="12.75" customHeight="1">
      <c r="A6361" s="129">
        <v>6361</v>
      </c>
    </row>
    <row r="6362" spans="1:1" ht="12.75" customHeight="1">
      <c r="A6362" s="129">
        <v>6362</v>
      </c>
    </row>
    <row r="6363" spans="1:1" ht="12.75" customHeight="1">
      <c r="A6363" s="129">
        <v>6363</v>
      </c>
    </row>
    <row r="6364" spans="1:1" ht="12.75" customHeight="1">
      <c r="A6364" s="129">
        <v>6364</v>
      </c>
    </row>
    <row r="6365" spans="1:1" ht="12.75" customHeight="1">
      <c r="A6365" s="129">
        <v>6365</v>
      </c>
    </row>
    <row r="6366" spans="1:1" ht="12.75" customHeight="1">
      <c r="A6366" s="129">
        <v>6366</v>
      </c>
    </row>
    <row r="6367" spans="1:1" ht="12.75" customHeight="1">
      <c r="A6367" s="129">
        <v>6367</v>
      </c>
    </row>
    <row r="6368" spans="1:1" ht="12.75" customHeight="1">
      <c r="A6368" s="129">
        <v>6368</v>
      </c>
    </row>
    <row r="6369" spans="1:1" ht="12.75" customHeight="1">
      <c r="A6369" s="129">
        <v>6369</v>
      </c>
    </row>
    <row r="6370" spans="1:1" ht="12.75" customHeight="1">
      <c r="A6370" s="129">
        <v>6370</v>
      </c>
    </row>
    <row r="6371" spans="1:1" ht="12.75" customHeight="1">
      <c r="A6371" s="129">
        <v>6371</v>
      </c>
    </row>
    <row r="6372" spans="1:1" ht="12.75" customHeight="1">
      <c r="A6372" s="129">
        <v>6372</v>
      </c>
    </row>
    <row r="6373" spans="1:1" ht="12.75" customHeight="1">
      <c r="A6373" s="129">
        <v>6373</v>
      </c>
    </row>
    <row r="6374" spans="1:1" ht="12.75" customHeight="1">
      <c r="A6374" s="129">
        <v>6374</v>
      </c>
    </row>
    <row r="6375" spans="1:1" ht="12.75" customHeight="1">
      <c r="A6375" s="129">
        <v>6375</v>
      </c>
    </row>
    <row r="6376" spans="1:1" ht="12.75" customHeight="1">
      <c r="A6376" s="129">
        <v>6376</v>
      </c>
    </row>
    <row r="6377" spans="1:1" ht="12.75" customHeight="1">
      <c r="A6377" s="129">
        <v>6377</v>
      </c>
    </row>
    <row r="6378" spans="1:1" ht="12.75" customHeight="1">
      <c r="A6378" s="129">
        <v>6378</v>
      </c>
    </row>
    <row r="6379" spans="1:1" ht="12.75" customHeight="1">
      <c r="A6379" s="129">
        <v>6379</v>
      </c>
    </row>
    <row r="6380" spans="1:1" ht="12.75" customHeight="1">
      <c r="A6380" s="129">
        <v>6380</v>
      </c>
    </row>
    <row r="6381" spans="1:1" ht="12.75" customHeight="1">
      <c r="A6381" s="129">
        <v>6381</v>
      </c>
    </row>
    <row r="6382" spans="1:1" ht="12.75" customHeight="1">
      <c r="A6382" s="129">
        <v>6382</v>
      </c>
    </row>
    <row r="6383" spans="1:1" ht="12.75" customHeight="1">
      <c r="A6383" s="129">
        <v>6383</v>
      </c>
    </row>
    <row r="6384" spans="1:1" ht="12.75" customHeight="1">
      <c r="A6384" s="129">
        <v>6384</v>
      </c>
    </row>
    <row r="6385" spans="1:1" ht="12.75" customHeight="1">
      <c r="A6385" s="129">
        <v>6385</v>
      </c>
    </row>
    <row r="6386" spans="1:1" ht="12.75" customHeight="1">
      <c r="A6386" s="129">
        <v>6386</v>
      </c>
    </row>
    <row r="6387" spans="1:1" ht="12.75" customHeight="1">
      <c r="A6387" s="129">
        <v>6387</v>
      </c>
    </row>
    <row r="6388" spans="1:1" ht="12.75" customHeight="1">
      <c r="A6388" s="129">
        <v>6388</v>
      </c>
    </row>
    <row r="6389" spans="1:1" ht="12.75" customHeight="1">
      <c r="A6389" s="129">
        <v>6389</v>
      </c>
    </row>
    <row r="6390" spans="1:1" ht="12.75" customHeight="1">
      <c r="A6390" s="129">
        <v>6390</v>
      </c>
    </row>
    <row r="6391" spans="1:1" ht="12.75" customHeight="1">
      <c r="A6391" s="129">
        <v>6391</v>
      </c>
    </row>
    <row r="6392" spans="1:1" ht="12.75" customHeight="1">
      <c r="A6392" s="129">
        <v>6392</v>
      </c>
    </row>
    <row r="6393" spans="1:1" ht="12.75" customHeight="1">
      <c r="A6393" s="129">
        <v>6393</v>
      </c>
    </row>
    <row r="6394" spans="1:1" ht="12.75" customHeight="1">
      <c r="A6394" s="129">
        <v>6394</v>
      </c>
    </row>
    <row r="6395" spans="1:1" ht="12.75" customHeight="1">
      <c r="A6395" s="129">
        <v>6395</v>
      </c>
    </row>
    <row r="6396" spans="1:1" ht="12.75" customHeight="1">
      <c r="A6396" s="129">
        <v>6396</v>
      </c>
    </row>
    <row r="6397" spans="1:1" ht="12.75" customHeight="1">
      <c r="A6397" s="129">
        <v>6397</v>
      </c>
    </row>
    <row r="6398" spans="1:1" ht="12.75" customHeight="1">
      <c r="A6398" s="129">
        <v>6398</v>
      </c>
    </row>
    <row r="6399" spans="1:1" ht="12.75" customHeight="1">
      <c r="A6399" s="129">
        <v>6399</v>
      </c>
    </row>
    <row r="6400" spans="1:1" ht="12.75" customHeight="1">
      <c r="A6400" s="129">
        <v>6400</v>
      </c>
    </row>
    <row r="6401" spans="1:1" ht="12.75" customHeight="1">
      <c r="A6401" s="129">
        <v>6401</v>
      </c>
    </row>
    <row r="6402" spans="1:1" ht="12.75" customHeight="1">
      <c r="A6402" s="129">
        <v>6402</v>
      </c>
    </row>
    <row r="6403" spans="1:1" ht="12.75" customHeight="1">
      <c r="A6403" s="129">
        <v>6403</v>
      </c>
    </row>
    <row r="6404" spans="1:1" ht="12.75" customHeight="1">
      <c r="A6404" s="129">
        <v>6404</v>
      </c>
    </row>
    <row r="6405" spans="1:1" ht="12.75" customHeight="1">
      <c r="A6405" s="129">
        <v>6405</v>
      </c>
    </row>
    <row r="6406" spans="1:1" ht="12.75" customHeight="1">
      <c r="A6406" s="129">
        <v>6406</v>
      </c>
    </row>
    <row r="6407" spans="1:1" ht="12.75" customHeight="1">
      <c r="A6407" s="129">
        <v>6407</v>
      </c>
    </row>
    <row r="6408" spans="1:1" ht="12.75" customHeight="1">
      <c r="A6408" s="129">
        <v>6408</v>
      </c>
    </row>
    <row r="6409" spans="1:1" ht="12.75" customHeight="1">
      <c r="A6409" s="129">
        <v>6409</v>
      </c>
    </row>
    <row r="6410" spans="1:1" ht="12.75" customHeight="1">
      <c r="A6410" s="129">
        <v>6410</v>
      </c>
    </row>
    <row r="6411" spans="1:1" ht="12.75" customHeight="1">
      <c r="A6411" s="129">
        <v>6411</v>
      </c>
    </row>
    <row r="6412" spans="1:1" ht="12.75" customHeight="1">
      <c r="A6412" s="129">
        <v>6412</v>
      </c>
    </row>
    <row r="6413" spans="1:1" ht="12.75" customHeight="1">
      <c r="A6413" s="129">
        <v>6413</v>
      </c>
    </row>
    <row r="6414" spans="1:1" ht="12.75" customHeight="1">
      <c r="A6414" s="129">
        <v>6414</v>
      </c>
    </row>
    <row r="6415" spans="1:1" ht="12.75" customHeight="1">
      <c r="A6415" s="129">
        <v>6415</v>
      </c>
    </row>
    <row r="6416" spans="1:1" ht="12.75" customHeight="1">
      <c r="A6416" s="129">
        <v>6416</v>
      </c>
    </row>
    <row r="6417" spans="1:1" ht="12.75" customHeight="1">
      <c r="A6417" s="129">
        <v>6417</v>
      </c>
    </row>
    <row r="6418" spans="1:1" ht="12.75" customHeight="1">
      <c r="A6418" s="129">
        <v>6418</v>
      </c>
    </row>
    <row r="6419" spans="1:1" ht="12.75" customHeight="1">
      <c r="A6419" s="129">
        <v>6419</v>
      </c>
    </row>
    <row r="6420" spans="1:1" ht="12.75" customHeight="1">
      <c r="A6420" s="129">
        <v>6420</v>
      </c>
    </row>
    <row r="6421" spans="1:1" ht="12.75" customHeight="1">
      <c r="A6421" s="129">
        <v>6421</v>
      </c>
    </row>
    <row r="6422" spans="1:1" ht="12.75" customHeight="1">
      <c r="A6422" s="129">
        <v>6422</v>
      </c>
    </row>
    <row r="6423" spans="1:1" ht="12.75" customHeight="1">
      <c r="A6423" s="129">
        <v>6423</v>
      </c>
    </row>
    <row r="6424" spans="1:1" ht="12.75" customHeight="1">
      <c r="A6424" s="129">
        <v>6424</v>
      </c>
    </row>
    <row r="6425" spans="1:1" ht="12.75" customHeight="1">
      <c r="A6425" s="129">
        <v>6425</v>
      </c>
    </row>
    <row r="6426" spans="1:1" ht="12.75" customHeight="1">
      <c r="A6426" s="129">
        <v>6426</v>
      </c>
    </row>
    <row r="6427" spans="1:1" ht="12.75" customHeight="1">
      <c r="A6427" s="129">
        <v>6427</v>
      </c>
    </row>
    <row r="6428" spans="1:1" ht="12.75" customHeight="1">
      <c r="A6428" s="129">
        <v>6428</v>
      </c>
    </row>
    <row r="6429" spans="1:1" ht="12.75" customHeight="1">
      <c r="A6429" s="129">
        <v>6429</v>
      </c>
    </row>
    <row r="6430" spans="1:1" ht="12.75" customHeight="1">
      <c r="A6430" s="129">
        <v>6430</v>
      </c>
    </row>
    <row r="6431" spans="1:1" ht="12.75" customHeight="1">
      <c r="A6431" s="129">
        <v>6431</v>
      </c>
    </row>
    <row r="6432" spans="1:1" ht="12.75" customHeight="1">
      <c r="A6432" s="129">
        <v>6432</v>
      </c>
    </row>
    <row r="6433" spans="1:1" ht="12.75" customHeight="1">
      <c r="A6433" s="129">
        <v>6433</v>
      </c>
    </row>
    <row r="6434" spans="1:1" ht="12.75" customHeight="1">
      <c r="A6434" s="129">
        <v>6434</v>
      </c>
    </row>
    <row r="6435" spans="1:1" ht="12.75" customHeight="1">
      <c r="A6435" s="129">
        <v>6435</v>
      </c>
    </row>
    <row r="6436" spans="1:1" ht="12.75" customHeight="1">
      <c r="A6436" s="129">
        <v>6436</v>
      </c>
    </row>
    <row r="6437" spans="1:1" ht="12.75" customHeight="1">
      <c r="A6437" s="129">
        <v>6437</v>
      </c>
    </row>
    <row r="6438" spans="1:1" ht="12.75" customHeight="1">
      <c r="A6438" s="129">
        <v>6438</v>
      </c>
    </row>
    <row r="6439" spans="1:1" ht="12.75" customHeight="1">
      <c r="A6439" s="129">
        <v>6439</v>
      </c>
    </row>
    <row r="6440" spans="1:1" ht="12.75" customHeight="1">
      <c r="A6440" s="129">
        <v>6440</v>
      </c>
    </row>
    <row r="6441" spans="1:1" ht="12.75" customHeight="1">
      <c r="A6441" s="129">
        <v>6441</v>
      </c>
    </row>
    <row r="6442" spans="1:1" ht="12.75" customHeight="1">
      <c r="A6442" s="129">
        <v>6442</v>
      </c>
    </row>
    <row r="6443" spans="1:1" ht="12.75" customHeight="1">
      <c r="A6443" s="129">
        <v>6443</v>
      </c>
    </row>
    <row r="6444" spans="1:1" ht="12.75" customHeight="1">
      <c r="A6444" s="129">
        <v>6444</v>
      </c>
    </row>
    <row r="6445" spans="1:1" ht="12.75" customHeight="1">
      <c r="A6445" s="129">
        <v>6445</v>
      </c>
    </row>
    <row r="6446" spans="1:1" ht="12.75" customHeight="1">
      <c r="A6446" s="129">
        <v>6446</v>
      </c>
    </row>
    <row r="6447" spans="1:1" ht="12.75" customHeight="1">
      <c r="A6447" s="129">
        <v>6447</v>
      </c>
    </row>
    <row r="6448" spans="1:1" ht="12.75" customHeight="1">
      <c r="A6448" s="129">
        <v>6448</v>
      </c>
    </row>
    <row r="6449" spans="1:1" ht="12.75" customHeight="1">
      <c r="A6449" s="129">
        <v>6449</v>
      </c>
    </row>
    <row r="6450" spans="1:1" ht="12.75" customHeight="1">
      <c r="A6450" s="129">
        <v>6450</v>
      </c>
    </row>
    <row r="6451" spans="1:1" ht="12.75" customHeight="1">
      <c r="A6451" s="129">
        <v>6451</v>
      </c>
    </row>
    <row r="6452" spans="1:1" ht="12.75" customHeight="1">
      <c r="A6452" s="129">
        <v>6452</v>
      </c>
    </row>
    <row r="6453" spans="1:1" ht="12.75" customHeight="1">
      <c r="A6453" s="129">
        <v>6453</v>
      </c>
    </row>
    <row r="6454" spans="1:1" ht="12.75" customHeight="1">
      <c r="A6454" s="129">
        <v>6454</v>
      </c>
    </row>
    <row r="6455" spans="1:1" ht="12.75" customHeight="1">
      <c r="A6455" s="129">
        <v>6455</v>
      </c>
    </row>
    <row r="6456" spans="1:1" ht="12.75" customHeight="1">
      <c r="A6456" s="129">
        <v>6456</v>
      </c>
    </row>
    <row r="6457" spans="1:1" ht="12.75" customHeight="1">
      <c r="A6457" s="129">
        <v>6457</v>
      </c>
    </row>
    <row r="6458" spans="1:1" ht="12.75" customHeight="1">
      <c r="A6458" s="129">
        <v>6458</v>
      </c>
    </row>
    <row r="6459" spans="1:1" ht="12.75" customHeight="1">
      <c r="A6459" s="129">
        <v>6459</v>
      </c>
    </row>
    <row r="6460" spans="1:1" ht="12.75" customHeight="1">
      <c r="A6460" s="129">
        <v>6460</v>
      </c>
    </row>
    <row r="6461" spans="1:1" ht="12.75" customHeight="1">
      <c r="A6461" s="129">
        <v>6461</v>
      </c>
    </row>
    <row r="6462" spans="1:1" ht="12.75" customHeight="1">
      <c r="A6462" s="129">
        <v>6462</v>
      </c>
    </row>
    <row r="6463" spans="1:1" ht="12.75" customHeight="1">
      <c r="A6463" s="129">
        <v>6463</v>
      </c>
    </row>
    <row r="6464" spans="1:1" ht="12.75" customHeight="1">
      <c r="A6464" s="129">
        <v>6464</v>
      </c>
    </row>
    <row r="6465" spans="1:1" ht="12.75" customHeight="1">
      <c r="A6465" s="129">
        <v>6465</v>
      </c>
    </row>
    <row r="6466" spans="1:1" ht="12.75" customHeight="1">
      <c r="A6466" s="129">
        <v>6466</v>
      </c>
    </row>
    <row r="6467" spans="1:1" ht="12.75" customHeight="1">
      <c r="A6467" s="129">
        <v>6467</v>
      </c>
    </row>
    <row r="6468" spans="1:1" ht="12.75" customHeight="1">
      <c r="A6468" s="129">
        <v>6468</v>
      </c>
    </row>
    <row r="6469" spans="1:1" ht="12.75" customHeight="1">
      <c r="A6469" s="129">
        <v>6469</v>
      </c>
    </row>
    <row r="6470" spans="1:1" ht="12.75" customHeight="1">
      <c r="A6470" s="129">
        <v>6470</v>
      </c>
    </row>
    <row r="6471" spans="1:1" ht="12.75" customHeight="1">
      <c r="A6471" s="129">
        <v>6471</v>
      </c>
    </row>
    <row r="6472" spans="1:1" ht="12.75" customHeight="1">
      <c r="A6472" s="129">
        <v>6472</v>
      </c>
    </row>
    <row r="6473" spans="1:1" ht="12.75" customHeight="1">
      <c r="A6473" s="129">
        <v>6473</v>
      </c>
    </row>
    <row r="6474" spans="1:1" ht="12.75" customHeight="1">
      <c r="A6474" s="129">
        <v>6474</v>
      </c>
    </row>
    <row r="6475" spans="1:1" ht="12.75" customHeight="1">
      <c r="A6475" s="129">
        <v>6475</v>
      </c>
    </row>
    <row r="6476" spans="1:1" ht="12.75" customHeight="1">
      <c r="A6476" s="129">
        <v>6476</v>
      </c>
    </row>
    <row r="6477" spans="1:1" ht="12.75" customHeight="1">
      <c r="A6477" s="129">
        <v>6477</v>
      </c>
    </row>
    <row r="6478" spans="1:1" ht="12.75" customHeight="1">
      <c r="A6478" s="129">
        <v>6478</v>
      </c>
    </row>
    <row r="6479" spans="1:1" ht="12.75" customHeight="1">
      <c r="A6479" s="129">
        <v>6479</v>
      </c>
    </row>
    <row r="6480" spans="1:1" ht="12.75" customHeight="1">
      <c r="A6480" s="129">
        <v>6480</v>
      </c>
    </row>
    <row r="6481" spans="1:1" ht="12.75" customHeight="1">
      <c r="A6481" s="129">
        <v>6481</v>
      </c>
    </row>
    <row r="6482" spans="1:1" ht="12.75" customHeight="1">
      <c r="A6482" s="129">
        <v>6482</v>
      </c>
    </row>
    <row r="6483" spans="1:1" ht="12.75" customHeight="1">
      <c r="A6483" s="129">
        <v>6483</v>
      </c>
    </row>
    <row r="6484" spans="1:1" ht="12.75" customHeight="1">
      <c r="A6484" s="129">
        <v>6484</v>
      </c>
    </row>
    <row r="6485" spans="1:1" ht="12.75" customHeight="1">
      <c r="A6485" s="129">
        <v>6485</v>
      </c>
    </row>
    <row r="6486" spans="1:1" ht="12.75" customHeight="1">
      <c r="A6486" s="129">
        <v>6486</v>
      </c>
    </row>
    <row r="6487" spans="1:1" ht="12.75" customHeight="1">
      <c r="A6487" s="129">
        <v>6487</v>
      </c>
    </row>
    <row r="6488" spans="1:1" ht="12.75" customHeight="1">
      <c r="A6488" s="129">
        <v>6488</v>
      </c>
    </row>
    <row r="6489" spans="1:1" ht="12.75" customHeight="1">
      <c r="A6489" s="129">
        <v>6489</v>
      </c>
    </row>
    <row r="6490" spans="1:1" ht="12.75" customHeight="1">
      <c r="A6490" s="129">
        <v>6490</v>
      </c>
    </row>
    <row r="6491" spans="1:1" ht="12.75" customHeight="1">
      <c r="A6491" s="129">
        <v>6491</v>
      </c>
    </row>
    <row r="6492" spans="1:1" ht="12.75" customHeight="1">
      <c r="A6492" s="129">
        <v>6492</v>
      </c>
    </row>
    <row r="6493" spans="1:1" ht="12.75" customHeight="1">
      <c r="A6493" s="129">
        <v>6493</v>
      </c>
    </row>
    <row r="6494" spans="1:1" ht="12.75" customHeight="1">
      <c r="A6494" s="129">
        <v>6494</v>
      </c>
    </row>
    <row r="6495" spans="1:1" ht="12.75" customHeight="1">
      <c r="A6495" s="129">
        <v>6495</v>
      </c>
    </row>
    <row r="6496" spans="1:1" ht="12.75" customHeight="1">
      <c r="A6496" s="129">
        <v>6496</v>
      </c>
    </row>
    <row r="6497" spans="1:1" ht="12.75" customHeight="1">
      <c r="A6497" s="129">
        <v>6497</v>
      </c>
    </row>
    <row r="6498" spans="1:1" ht="12.75" customHeight="1">
      <c r="A6498" s="129">
        <v>6498</v>
      </c>
    </row>
    <row r="6499" spans="1:1" ht="12.75" customHeight="1">
      <c r="A6499" s="129">
        <v>6499</v>
      </c>
    </row>
    <row r="6500" spans="1:1" ht="12.75" customHeight="1">
      <c r="A6500" s="129">
        <v>6500</v>
      </c>
    </row>
    <row r="6501" spans="1:1" ht="12.75" customHeight="1">
      <c r="A6501" s="129">
        <v>6501</v>
      </c>
    </row>
    <row r="6502" spans="1:1" ht="12.75" customHeight="1">
      <c r="A6502" s="129">
        <v>6502</v>
      </c>
    </row>
    <row r="6503" spans="1:1" ht="12.75" customHeight="1">
      <c r="A6503" s="129">
        <v>6503</v>
      </c>
    </row>
    <row r="6504" spans="1:1" ht="12.75" customHeight="1">
      <c r="A6504" s="129">
        <v>6504</v>
      </c>
    </row>
    <row r="6505" spans="1:1" ht="12.75" customHeight="1">
      <c r="A6505" s="129">
        <v>6505</v>
      </c>
    </row>
    <row r="6506" spans="1:1" ht="12.75" customHeight="1">
      <c r="A6506" s="129">
        <v>6506</v>
      </c>
    </row>
    <row r="6507" spans="1:1" ht="12.75" customHeight="1">
      <c r="A6507" s="129">
        <v>6507</v>
      </c>
    </row>
    <row r="6508" spans="1:1" ht="12.75" customHeight="1">
      <c r="A6508" s="129">
        <v>6508</v>
      </c>
    </row>
    <row r="6509" spans="1:1" ht="12.75" customHeight="1">
      <c r="A6509" s="129">
        <v>6509</v>
      </c>
    </row>
    <row r="6510" spans="1:1" ht="12.75" customHeight="1">
      <c r="A6510" s="129">
        <v>6510</v>
      </c>
    </row>
    <row r="6511" spans="1:1" ht="12.75" customHeight="1">
      <c r="A6511" s="129">
        <v>6511</v>
      </c>
    </row>
    <row r="6512" spans="1:1" ht="12.75" customHeight="1">
      <c r="A6512" s="129">
        <v>6512</v>
      </c>
    </row>
    <row r="6513" spans="1:1" ht="12.75" customHeight="1">
      <c r="A6513" s="129">
        <v>6513</v>
      </c>
    </row>
    <row r="6514" spans="1:1" ht="12.75" customHeight="1">
      <c r="A6514" s="129">
        <v>6514</v>
      </c>
    </row>
    <row r="6515" spans="1:1" ht="12.75" customHeight="1">
      <c r="A6515" s="129">
        <v>6515</v>
      </c>
    </row>
    <row r="6516" spans="1:1" ht="12.75" customHeight="1">
      <c r="A6516" s="129">
        <v>6516</v>
      </c>
    </row>
    <row r="6517" spans="1:1" ht="12.75" customHeight="1">
      <c r="A6517" s="129">
        <v>6517</v>
      </c>
    </row>
    <row r="6518" spans="1:1" ht="12.75" customHeight="1">
      <c r="A6518" s="129">
        <v>6518</v>
      </c>
    </row>
    <row r="6519" spans="1:1" ht="12.75" customHeight="1">
      <c r="A6519" s="129">
        <v>6519</v>
      </c>
    </row>
    <row r="6520" spans="1:1" ht="12.75" customHeight="1">
      <c r="A6520" s="129">
        <v>6520</v>
      </c>
    </row>
    <row r="6521" spans="1:1" ht="12.75" customHeight="1">
      <c r="A6521" s="129">
        <v>6521</v>
      </c>
    </row>
    <row r="6522" spans="1:1" ht="12.75" customHeight="1">
      <c r="A6522" s="129">
        <v>6522</v>
      </c>
    </row>
    <row r="6523" spans="1:1" ht="12.75" customHeight="1">
      <c r="A6523" s="129">
        <v>6523</v>
      </c>
    </row>
    <row r="6524" spans="1:1" ht="12.75" customHeight="1">
      <c r="A6524" s="129">
        <v>6524</v>
      </c>
    </row>
    <row r="6525" spans="1:1" ht="12.75" customHeight="1">
      <c r="A6525" s="129">
        <v>6525</v>
      </c>
    </row>
    <row r="6526" spans="1:1" ht="12.75" customHeight="1">
      <c r="A6526" s="129">
        <v>6526</v>
      </c>
    </row>
    <row r="6527" spans="1:1" ht="12.75" customHeight="1">
      <c r="A6527" s="129">
        <v>6527</v>
      </c>
    </row>
    <row r="6528" spans="1:1" ht="12.75" customHeight="1">
      <c r="A6528" s="129">
        <v>6528</v>
      </c>
    </row>
    <row r="6529" spans="1:1" ht="12.75" customHeight="1">
      <c r="A6529" s="129">
        <v>6529</v>
      </c>
    </row>
    <row r="6530" spans="1:1" ht="12.75" customHeight="1">
      <c r="A6530" s="129">
        <v>6530</v>
      </c>
    </row>
    <row r="6531" spans="1:1" ht="12.75" customHeight="1">
      <c r="A6531" s="129">
        <v>6531</v>
      </c>
    </row>
    <row r="6532" spans="1:1" ht="12.75" customHeight="1">
      <c r="A6532" s="129">
        <v>6532</v>
      </c>
    </row>
    <row r="6533" spans="1:1" ht="12.75" customHeight="1">
      <c r="A6533" s="129">
        <v>6533</v>
      </c>
    </row>
    <row r="6534" spans="1:1" ht="12.75" customHeight="1">
      <c r="A6534" s="129">
        <v>6534</v>
      </c>
    </row>
    <row r="6535" spans="1:1" ht="12.75" customHeight="1">
      <c r="A6535" s="129">
        <v>6535</v>
      </c>
    </row>
    <row r="6536" spans="1:1" ht="12.75" customHeight="1">
      <c r="A6536" s="129">
        <v>6536</v>
      </c>
    </row>
    <row r="6537" spans="1:1" ht="12.75" customHeight="1">
      <c r="A6537" s="129">
        <v>6537</v>
      </c>
    </row>
    <row r="6538" spans="1:1" ht="12.75" customHeight="1">
      <c r="A6538" s="129">
        <v>6538</v>
      </c>
    </row>
    <row r="6539" spans="1:1" ht="12.75" customHeight="1">
      <c r="A6539" s="129">
        <v>6539</v>
      </c>
    </row>
    <row r="6540" spans="1:1" ht="12.75" customHeight="1">
      <c r="A6540" s="129">
        <v>6540</v>
      </c>
    </row>
    <row r="6541" spans="1:1" ht="12.75" customHeight="1">
      <c r="A6541" s="129">
        <v>6541</v>
      </c>
    </row>
    <row r="6542" spans="1:1" ht="12.75" customHeight="1">
      <c r="A6542" s="129">
        <v>6542</v>
      </c>
    </row>
    <row r="6543" spans="1:1" ht="12.75" customHeight="1">
      <c r="A6543" s="129">
        <v>6543</v>
      </c>
    </row>
    <row r="6544" spans="1:1" ht="12.75" customHeight="1">
      <c r="A6544" s="129">
        <v>6544</v>
      </c>
    </row>
    <row r="6545" spans="1:1" ht="12.75" customHeight="1">
      <c r="A6545" s="129">
        <v>6545</v>
      </c>
    </row>
    <row r="6546" spans="1:1" ht="12.75" customHeight="1">
      <c r="A6546" s="129">
        <v>6546</v>
      </c>
    </row>
    <row r="6547" spans="1:1" ht="12.75" customHeight="1">
      <c r="A6547" s="129">
        <v>6547</v>
      </c>
    </row>
    <row r="6548" spans="1:1" ht="12.75" customHeight="1">
      <c r="A6548" s="129">
        <v>6548</v>
      </c>
    </row>
    <row r="6549" spans="1:1" ht="12.75" customHeight="1">
      <c r="A6549" s="129">
        <v>6549</v>
      </c>
    </row>
    <row r="6550" spans="1:1" ht="12.75" customHeight="1">
      <c r="A6550" s="129">
        <v>6550</v>
      </c>
    </row>
    <row r="6551" spans="1:1" ht="12.75" customHeight="1">
      <c r="A6551" s="129">
        <v>6551</v>
      </c>
    </row>
    <row r="6552" spans="1:1" ht="12.75" customHeight="1">
      <c r="A6552" s="129">
        <v>6552</v>
      </c>
    </row>
    <row r="6553" spans="1:1" ht="12.75" customHeight="1">
      <c r="A6553" s="129">
        <v>6553</v>
      </c>
    </row>
    <row r="6554" spans="1:1" ht="12.75" customHeight="1">
      <c r="A6554" s="129">
        <v>6554</v>
      </c>
    </row>
    <row r="6555" spans="1:1" ht="12.75" customHeight="1">
      <c r="A6555" s="129">
        <v>6555</v>
      </c>
    </row>
    <row r="6556" spans="1:1" ht="12.75" customHeight="1">
      <c r="A6556" s="129">
        <v>6556</v>
      </c>
    </row>
    <row r="6557" spans="1:1" ht="12.75" customHeight="1">
      <c r="A6557" s="129">
        <v>6557</v>
      </c>
    </row>
    <row r="6558" spans="1:1" ht="12.75" customHeight="1">
      <c r="A6558" s="129">
        <v>6558</v>
      </c>
    </row>
    <row r="6559" spans="1:1" ht="12.75" customHeight="1">
      <c r="A6559" s="129">
        <v>6559</v>
      </c>
    </row>
    <row r="6560" spans="1:1" ht="12.75" customHeight="1">
      <c r="A6560" s="129">
        <v>6560</v>
      </c>
    </row>
    <row r="6561" spans="1:1" ht="12.75" customHeight="1">
      <c r="A6561" s="129">
        <v>6561</v>
      </c>
    </row>
    <row r="6562" spans="1:1" ht="12.75" customHeight="1">
      <c r="A6562" s="129">
        <v>6562</v>
      </c>
    </row>
    <row r="6563" spans="1:1" ht="12.75" customHeight="1">
      <c r="A6563" s="129">
        <v>6563</v>
      </c>
    </row>
    <row r="6564" spans="1:1" ht="12.75" customHeight="1">
      <c r="A6564" s="129">
        <v>6564</v>
      </c>
    </row>
    <row r="6565" spans="1:1" ht="12.75" customHeight="1">
      <c r="A6565" s="129">
        <v>6565</v>
      </c>
    </row>
    <row r="6566" spans="1:1" ht="12.75" customHeight="1">
      <c r="A6566" s="129">
        <v>6566</v>
      </c>
    </row>
    <row r="6567" spans="1:1" ht="12.75" customHeight="1">
      <c r="A6567" s="129">
        <v>6567</v>
      </c>
    </row>
    <row r="6568" spans="1:1" ht="12.75" customHeight="1">
      <c r="A6568" s="129">
        <v>6568</v>
      </c>
    </row>
    <row r="6569" spans="1:1" ht="12.75" customHeight="1">
      <c r="A6569" s="129">
        <v>6569</v>
      </c>
    </row>
    <row r="6570" spans="1:1" ht="12.75" customHeight="1">
      <c r="A6570" s="129">
        <v>6570</v>
      </c>
    </row>
    <row r="6571" spans="1:1" ht="12.75" customHeight="1">
      <c r="A6571" s="129">
        <v>6571</v>
      </c>
    </row>
    <row r="6572" spans="1:1" ht="12.75" customHeight="1">
      <c r="A6572" s="129">
        <v>6572</v>
      </c>
    </row>
    <row r="6573" spans="1:1" ht="12.75" customHeight="1">
      <c r="A6573" s="129">
        <v>6573</v>
      </c>
    </row>
    <row r="6574" spans="1:1" ht="12.75" customHeight="1">
      <c r="A6574" s="129">
        <v>6574</v>
      </c>
    </row>
    <row r="6575" spans="1:1" ht="12.75" customHeight="1">
      <c r="A6575" s="129">
        <v>6575</v>
      </c>
    </row>
    <row r="6576" spans="1:1" ht="12.75" customHeight="1">
      <c r="A6576" s="129">
        <v>6576</v>
      </c>
    </row>
    <row r="6577" spans="1:1" ht="12.75" customHeight="1">
      <c r="A6577" s="129">
        <v>6577</v>
      </c>
    </row>
    <row r="6578" spans="1:1" ht="12.75" customHeight="1">
      <c r="A6578" s="129">
        <v>6578</v>
      </c>
    </row>
    <row r="6579" spans="1:1" ht="12.75" customHeight="1">
      <c r="A6579" s="129">
        <v>6579</v>
      </c>
    </row>
    <row r="6580" spans="1:1" ht="12.75" customHeight="1">
      <c r="A6580" s="129">
        <v>6580</v>
      </c>
    </row>
    <row r="6581" spans="1:1" ht="12.75" customHeight="1">
      <c r="A6581" s="129">
        <v>6581</v>
      </c>
    </row>
    <row r="6582" spans="1:1" ht="12.75" customHeight="1">
      <c r="A6582" s="129">
        <v>6582</v>
      </c>
    </row>
    <row r="6583" spans="1:1" ht="12.75" customHeight="1">
      <c r="A6583" s="129">
        <v>6583</v>
      </c>
    </row>
    <row r="6584" spans="1:1" ht="12.75" customHeight="1">
      <c r="A6584" s="129">
        <v>6584</v>
      </c>
    </row>
    <row r="6585" spans="1:1" ht="12.75" customHeight="1">
      <c r="A6585" s="129">
        <v>6585</v>
      </c>
    </row>
    <row r="6586" spans="1:1" ht="12.75" customHeight="1">
      <c r="A6586" s="129">
        <v>6586</v>
      </c>
    </row>
    <row r="6587" spans="1:1" ht="12.75" customHeight="1">
      <c r="A6587" s="129">
        <v>6587</v>
      </c>
    </row>
    <row r="6588" spans="1:1" ht="12.75" customHeight="1">
      <c r="A6588" s="129">
        <v>6588</v>
      </c>
    </row>
    <row r="6589" spans="1:1" ht="12.75" customHeight="1">
      <c r="A6589" s="129">
        <v>6589</v>
      </c>
    </row>
    <row r="6590" spans="1:1" ht="12.75" customHeight="1">
      <c r="A6590" s="129">
        <v>6590</v>
      </c>
    </row>
    <row r="6591" spans="1:1" ht="12.75" customHeight="1">
      <c r="A6591" s="129">
        <v>6591</v>
      </c>
    </row>
    <row r="6592" spans="1:1" ht="12.75" customHeight="1">
      <c r="A6592" s="129">
        <v>6592</v>
      </c>
    </row>
    <row r="6593" spans="1:1" ht="12.75" customHeight="1">
      <c r="A6593" s="129">
        <v>6593</v>
      </c>
    </row>
    <row r="6594" spans="1:1" ht="12.75" customHeight="1">
      <c r="A6594" s="129">
        <v>6594</v>
      </c>
    </row>
    <row r="6595" spans="1:1" ht="12.75" customHeight="1">
      <c r="A6595" s="129">
        <v>6595</v>
      </c>
    </row>
    <row r="6596" spans="1:1" ht="12.75" customHeight="1">
      <c r="A6596" s="129">
        <v>6596</v>
      </c>
    </row>
    <row r="6597" spans="1:1" ht="12.75" customHeight="1">
      <c r="A6597" s="129">
        <v>6597</v>
      </c>
    </row>
    <row r="6598" spans="1:1" ht="12.75" customHeight="1">
      <c r="A6598" s="129">
        <v>6598</v>
      </c>
    </row>
    <row r="6599" spans="1:1" ht="12.75" customHeight="1">
      <c r="A6599" s="129">
        <v>6599</v>
      </c>
    </row>
    <row r="6600" spans="1:1" ht="12.75" customHeight="1">
      <c r="A6600" s="129">
        <v>6600</v>
      </c>
    </row>
    <row r="6601" spans="1:1" ht="12.75" customHeight="1">
      <c r="A6601" s="129">
        <v>6601</v>
      </c>
    </row>
    <row r="6602" spans="1:1" ht="12.75" customHeight="1">
      <c r="A6602" s="129">
        <v>6602</v>
      </c>
    </row>
    <row r="6603" spans="1:1" ht="12.75" customHeight="1">
      <c r="A6603" s="129">
        <v>6603</v>
      </c>
    </row>
    <row r="6604" spans="1:1" ht="12.75" customHeight="1">
      <c r="A6604" s="129">
        <v>6604</v>
      </c>
    </row>
    <row r="6605" spans="1:1" ht="12.75" customHeight="1">
      <c r="A6605" s="129">
        <v>6605</v>
      </c>
    </row>
    <row r="6606" spans="1:1" ht="12.75" customHeight="1">
      <c r="A6606" s="129">
        <v>6606</v>
      </c>
    </row>
    <row r="6607" spans="1:1" ht="12.75" customHeight="1">
      <c r="A6607" s="129">
        <v>6607</v>
      </c>
    </row>
    <row r="6608" spans="1:1" ht="12.75" customHeight="1">
      <c r="A6608" s="129">
        <v>6608</v>
      </c>
    </row>
    <row r="6609" spans="1:1" ht="12.75" customHeight="1">
      <c r="A6609" s="129">
        <v>6609</v>
      </c>
    </row>
    <row r="6610" spans="1:1" ht="12.75" customHeight="1">
      <c r="A6610" s="129">
        <v>6610</v>
      </c>
    </row>
    <row r="6611" spans="1:1" ht="12.75" customHeight="1">
      <c r="A6611" s="129">
        <v>6611</v>
      </c>
    </row>
    <row r="6612" spans="1:1" ht="12.75" customHeight="1">
      <c r="A6612" s="129">
        <v>6612</v>
      </c>
    </row>
    <row r="6613" spans="1:1" ht="12.75" customHeight="1">
      <c r="A6613" s="129">
        <v>6613</v>
      </c>
    </row>
    <row r="6614" spans="1:1" ht="12.75" customHeight="1">
      <c r="A6614" s="129">
        <v>6614</v>
      </c>
    </row>
    <row r="6615" spans="1:1" ht="12.75" customHeight="1">
      <c r="A6615" s="129">
        <v>6615</v>
      </c>
    </row>
    <row r="6616" spans="1:1" ht="12.75" customHeight="1">
      <c r="A6616" s="129">
        <v>6616</v>
      </c>
    </row>
    <row r="6617" spans="1:1" ht="12.75" customHeight="1">
      <c r="A6617" s="129">
        <v>6617</v>
      </c>
    </row>
    <row r="6618" spans="1:1" ht="12.75" customHeight="1">
      <c r="A6618" s="129">
        <v>6618</v>
      </c>
    </row>
    <row r="6619" spans="1:1" ht="12.75" customHeight="1">
      <c r="A6619" s="129">
        <v>6619</v>
      </c>
    </row>
    <row r="6620" spans="1:1" ht="12.75" customHeight="1">
      <c r="A6620" s="129">
        <v>6620</v>
      </c>
    </row>
    <row r="6621" spans="1:1" ht="12.75" customHeight="1">
      <c r="A6621" s="129">
        <v>6621</v>
      </c>
    </row>
    <row r="6622" spans="1:1" ht="12.75" customHeight="1">
      <c r="A6622" s="129">
        <v>6622</v>
      </c>
    </row>
    <row r="6623" spans="1:1" ht="12.75" customHeight="1">
      <c r="A6623" s="129">
        <v>6623</v>
      </c>
    </row>
    <row r="6624" spans="1:1" ht="12.75" customHeight="1">
      <c r="A6624" s="129">
        <v>6624</v>
      </c>
    </row>
    <row r="6625" spans="1:1" ht="12.75" customHeight="1">
      <c r="A6625" s="129">
        <v>6625</v>
      </c>
    </row>
    <row r="6626" spans="1:1" ht="12.75" customHeight="1">
      <c r="A6626" s="129">
        <v>6626</v>
      </c>
    </row>
    <row r="6627" spans="1:1" ht="12.75" customHeight="1">
      <c r="A6627" s="129">
        <v>6627</v>
      </c>
    </row>
    <row r="6628" spans="1:1" ht="12.75" customHeight="1">
      <c r="A6628" s="129">
        <v>6628</v>
      </c>
    </row>
    <row r="6629" spans="1:1" ht="12.75" customHeight="1">
      <c r="A6629" s="129">
        <v>6629</v>
      </c>
    </row>
    <row r="6630" spans="1:1" ht="12.75" customHeight="1">
      <c r="A6630" s="129">
        <v>6630</v>
      </c>
    </row>
    <row r="6631" spans="1:1" ht="12.75" customHeight="1">
      <c r="A6631" s="129">
        <v>6631</v>
      </c>
    </row>
    <row r="6632" spans="1:1" ht="12.75" customHeight="1">
      <c r="A6632" s="129">
        <v>6632</v>
      </c>
    </row>
    <row r="6633" spans="1:1" ht="12.75" customHeight="1">
      <c r="A6633" s="129">
        <v>6633</v>
      </c>
    </row>
    <row r="6634" spans="1:1" ht="12.75" customHeight="1">
      <c r="A6634" s="129">
        <v>6634</v>
      </c>
    </row>
    <row r="6635" spans="1:1" ht="12.75" customHeight="1">
      <c r="A6635" s="129">
        <v>6635</v>
      </c>
    </row>
    <row r="6636" spans="1:1" ht="12.75" customHeight="1">
      <c r="A6636" s="129">
        <v>6636</v>
      </c>
    </row>
    <row r="6637" spans="1:1" ht="12.75" customHeight="1">
      <c r="A6637" s="129">
        <v>6637</v>
      </c>
    </row>
    <row r="6638" spans="1:1" ht="12.75" customHeight="1">
      <c r="A6638" s="129">
        <v>6638</v>
      </c>
    </row>
    <row r="6639" spans="1:1" ht="12.75" customHeight="1">
      <c r="A6639" s="129">
        <v>6639</v>
      </c>
    </row>
    <row r="6640" spans="1:1" ht="12.75" customHeight="1">
      <c r="A6640" s="129">
        <v>6640</v>
      </c>
    </row>
    <row r="6641" spans="1:1" ht="12.75" customHeight="1">
      <c r="A6641" s="129">
        <v>6641</v>
      </c>
    </row>
    <row r="6642" spans="1:1" ht="12.75" customHeight="1">
      <c r="A6642" s="129">
        <v>6642</v>
      </c>
    </row>
    <row r="6643" spans="1:1" ht="12.75" customHeight="1">
      <c r="A6643" s="129">
        <v>6643</v>
      </c>
    </row>
    <row r="6644" spans="1:1" ht="12.75" customHeight="1">
      <c r="A6644" s="129">
        <v>6644</v>
      </c>
    </row>
    <row r="6645" spans="1:1" ht="12.75" customHeight="1">
      <c r="A6645" s="129">
        <v>6645</v>
      </c>
    </row>
    <row r="6646" spans="1:1" ht="12.75" customHeight="1">
      <c r="A6646" s="129">
        <v>6646</v>
      </c>
    </row>
    <row r="6647" spans="1:1" ht="12.75" customHeight="1">
      <c r="A6647" s="129">
        <v>6647</v>
      </c>
    </row>
    <row r="6648" spans="1:1" ht="12.75" customHeight="1">
      <c r="A6648" s="129">
        <v>6648</v>
      </c>
    </row>
    <row r="6649" spans="1:1" ht="12.75" customHeight="1">
      <c r="A6649" s="129">
        <v>6649</v>
      </c>
    </row>
    <row r="6650" spans="1:1" ht="12.75" customHeight="1">
      <c r="A6650" s="129">
        <v>6650</v>
      </c>
    </row>
    <row r="6651" spans="1:1" ht="12.75" customHeight="1">
      <c r="A6651" s="129">
        <v>6651</v>
      </c>
    </row>
    <row r="6652" spans="1:1" ht="12.75" customHeight="1">
      <c r="A6652" s="129">
        <v>6652</v>
      </c>
    </row>
    <row r="6653" spans="1:1" ht="12.75" customHeight="1">
      <c r="A6653" s="129">
        <v>6653</v>
      </c>
    </row>
    <row r="6654" spans="1:1" ht="12.75" customHeight="1">
      <c r="A6654" s="129">
        <v>6654</v>
      </c>
    </row>
    <row r="6655" spans="1:1" ht="12.75" customHeight="1">
      <c r="A6655" s="129">
        <v>6655</v>
      </c>
    </row>
    <row r="6656" spans="1:1" ht="12.75" customHeight="1">
      <c r="A6656" s="129">
        <v>6656</v>
      </c>
    </row>
    <row r="6657" spans="1:1" ht="12.75" customHeight="1">
      <c r="A6657" s="129">
        <v>6657</v>
      </c>
    </row>
    <row r="6658" spans="1:1" ht="12.75" customHeight="1">
      <c r="A6658" s="129">
        <v>6658</v>
      </c>
    </row>
    <row r="6659" spans="1:1" ht="12.75" customHeight="1">
      <c r="A6659" s="129">
        <v>6659</v>
      </c>
    </row>
    <row r="6660" spans="1:1" ht="12.75" customHeight="1">
      <c r="A6660" s="129">
        <v>6660</v>
      </c>
    </row>
    <row r="6661" spans="1:1" ht="12.75" customHeight="1">
      <c r="A6661" s="129">
        <v>6661</v>
      </c>
    </row>
    <row r="6662" spans="1:1" ht="12.75" customHeight="1">
      <c r="A6662" s="129">
        <v>6662</v>
      </c>
    </row>
    <row r="6663" spans="1:1" ht="12.75" customHeight="1">
      <c r="A6663" s="129">
        <v>6663</v>
      </c>
    </row>
    <row r="6664" spans="1:1" ht="12.75" customHeight="1">
      <c r="A6664" s="129">
        <v>6664</v>
      </c>
    </row>
    <row r="6665" spans="1:1" ht="12.75" customHeight="1">
      <c r="A6665" s="129">
        <v>6665</v>
      </c>
    </row>
    <row r="6666" spans="1:1" ht="12.75" customHeight="1">
      <c r="A6666" s="129">
        <v>6666</v>
      </c>
    </row>
    <row r="6667" spans="1:1" ht="12.75" customHeight="1">
      <c r="A6667" s="129">
        <v>6667</v>
      </c>
    </row>
    <row r="6668" spans="1:1" ht="12.75" customHeight="1">
      <c r="A6668" s="129">
        <v>6668</v>
      </c>
    </row>
    <row r="6669" spans="1:1" ht="12.75" customHeight="1">
      <c r="A6669" s="129">
        <v>6669</v>
      </c>
    </row>
    <row r="6670" spans="1:1" ht="12.75" customHeight="1">
      <c r="A6670" s="129">
        <v>6670</v>
      </c>
    </row>
    <row r="6671" spans="1:1" ht="12.75" customHeight="1">
      <c r="A6671" s="129">
        <v>6671</v>
      </c>
    </row>
    <row r="6672" spans="1:1" ht="12.75" customHeight="1">
      <c r="A6672" s="129">
        <v>6672</v>
      </c>
    </row>
    <row r="6673" spans="1:1" ht="12.75" customHeight="1">
      <c r="A6673" s="129">
        <v>6673</v>
      </c>
    </row>
    <row r="6674" spans="1:1" ht="12.75" customHeight="1">
      <c r="A6674" s="129">
        <v>6674</v>
      </c>
    </row>
    <row r="6675" spans="1:1" ht="12.75" customHeight="1">
      <c r="A6675" s="129">
        <v>6675</v>
      </c>
    </row>
    <row r="6676" spans="1:1" ht="12.75" customHeight="1">
      <c r="A6676" s="129">
        <v>6676</v>
      </c>
    </row>
    <row r="6677" spans="1:1" ht="12.75" customHeight="1">
      <c r="A6677" s="129">
        <v>6677</v>
      </c>
    </row>
    <row r="6678" spans="1:1" ht="12.75" customHeight="1">
      <c r="A6678" s="129">
        <v>6678</v>
      </c>
    </row>
    <row r="6679" spans="1:1" ht="12.75" customHeight="1">
      <c r="A6679" s="129">
        <v>6679</v>
      </c>
    </row>
    <row r="6680" spans="1:1" ht="12.75" customHeight="1">
      <c r="A6680" s="129">
        <v>6680</v>
      </c>
    </row>
    <row r="6681" spans="1:1" ht="12.75" customHeight="1">
      <c r="A6681" s="129">
        <v>6681</v>
      </c>
    </row>
    <row r="6682" spans="1:1" ht="12.75" customHeight="1">
      <c r="A6682" s="129">
        <v>6682</v>
      </c>
    </row>
    <row r="6683" spans="1:1" ht="12.75" customHeight="1">
      <c r="A6683" s="129">
        <v>6683</v>
      </c>
    </row>
    <row r="6684" spans="1:1" ht="12.75" customHeight="1">
      <c r="A6684" s="129">
        <v>6684</v>
      </c>
    </row>
    <row r="6685" spans="1:1" ht="12.75" customHeight="1">
      <c r="A6685" s="129">
        <v>6685</v>
      </c>
    </row>
    <row r="6686" spans="1:1" ht="12.75" customHeight="1">
      <c r="A6686" s="129">
        <v>6686</v>
      </c>
    </row>
    <row r="6687" spans="1:1" ht="12.75" customHeight="1">
      <c r="A6687" s="129">
        <v>6687</v>
      </c>
    </row>
    <row r="6688" spans="1:1" ht="12.75" customHeight="1">
      <c r="A6688" s="129">
        <v>6688</v>
      </c>
    </row>
    <row r="6689" spans="1:1" ht="12.75" customHeight="1">
      <c r="A6689" s="129">
        <v>6689</v>
      </c>
    </row>
    <row r="6690" spans="1:1" ht="12.75" customHeight="1">
      <c r="A6690" s="129">
        <v>6690</v>
      </c>
    </row>
    <row r="6691" spans="1:1" ht="12.75" customHeight="1">
      <c r="A6691" s="129">
        <v>6691</v>
      </c>
    </row>
    <row r="6692" spans="1:1" ht="12.75" customHeight="1">
      <c r="A6692" s="129">
        <v>6692</v>
      </c>
    </row>
    <row r="6693" spans="1:1" ht="12.75" customHeight="1">
      <c r="A6693" s="129">
        <v>6693</v>
      </c>
    </row>
    <row r="6694" spans="1:1" ht="12.75" customHeight="1">
      <c r="A6694" s="129">
        <v>6694</v>
      </c>
    </row>
    <row r="6695" spans="1:1" ht="12.75" customHeight="1">
      <c r="A6695" s="129">
        <v>6695</v>
      </c>
    </row>
    <row r="6696" spans="1:1" ht="12.75" customHeight="1">
      <c r="A6696" s="129">
        <v>6696</v>
      </c>
    </row>
    <row r="6697" spans="1:1" ht="12.75" customHeight="1">
      <c r="A6697" s="129">
        <v>6697</v>
      </c>
    </row>
    <row r="6698" spans="1:1" ht="12.75" customHeight="1">
      <c r="A6698" s="129">
        <v>6698</v>
      </c>
    </row>
    <row r="6699" spans="1:1" ht="12.75" customHeight="1">
      <c r="A6699" s="129">
        <v>6699</v>
      </c>
    </row>
    <row r="6700" spans="1:1" ht="12.75" customHeight="1">
      <c r="A6700" s="129">
        <v>6700</v>
      </c>
    </row>
    <row r="6701" spans="1:1" ht="12.75" customHeight="1">
      <c r="A6701" s="129">
        <v>6701</v>
      </c>
    </row>
    <row r="6702" spans="1:1" ht="12.75" customHeight="1">
      <c r="A6702" s="129">
        <v>6702</v>
      </c>
    </row>
    <row r="6703" spans="1:1" ht="12.75" customHeight="1">
      <c r="A6703" s="129">
        <v>6703</v>
      </c>
    </row>
    <row r="6704" spans="1:1" ht="12.75" customHeight="1">
      <c r="A6704" s="129">
        <v>6704</v>
      </c>
    </row>
    <row r="6705" spans="1:1" ht="12.75" customHeight="1">
      <c r="A6705" s="129">
        <v>6705</v>
      </c>
    </row>
    <row r="6706" spans="1:1" ht="12.75" customHeight="1">
      <c r="A6706" s="129">
        <v>6706</v>
      </c>
    </row>
    <row r="6707" spans="1:1" ht="12.75" customHeight="1">
      <c r="A6707" s="129">
        <v>6707</v>
      </c>
    </row>
    <row r="6708" spans="1:1" ht="12.75" customHeight="1">
      <c r="A6708" s="129">
        <v>6708</v>
      </c>
    </row>
    <row r="6709" spans="1:1" ht="12.75" customHeight="1">
      <c r="A6709" s="129">
        <v>6709</v>
      </c>
    </row>
    <row r="6710" spans="1:1" ht="12.75" customHeight="1">
      <c r="A6710" s="129">
        <v>6710</v>
      </c>
    </row>
    <row r="6711" spans="1:1" ht="12.75" customHeight="1">
      <c r="A6711" s="129">
        <v>6711</v>
      </c>
    </row>
    <row r="6712" spans="1:1" ht="12.75" customHeight="1">
      <c r="A6712" s="129">
        <v>6712</v>
      </c>
    </row>
    <row r="6713" spans="1:1" ht="12.75" customHeight="1">
      <c r="A6713" s="129">
        <v>6713</v>
      </c>
    </row>
    <row r="6714" spans="1:1" ht="12.75" customHeight="1">
      <c r="A6714" s="129">
        <v>6714</v>
      </c>
    </row>
    <row r="6715" spans="1:1" ht="12.75" customHeight="1">
      <c r="A6715" s="129">
        <v>6715</v>
      </c>
    </row>
    <row r="6716" spans="1:1" ht="12.75" customHeight="1">
      <c r="A6716" s="129">
        <v>6716</v>
      </c>
    </row>
    <row r="6717" spans="1:1" ht="12.75" customHeight="1">
      <c r="A6717" s="129">
        <v>6717</v>
      </c>
    </row>
    <row r="6718" spans="1:1" ht="12.75" customHeight="1">
      <c r="A6718" s="129">
        <v>6718</v>
      </c>
    </row>
    <row r="6719" spans="1:1" ht="12.75" customHeight="1">
      <c r="A6719" s="129">
        <v>6719</v>
      </c>
    </row>
    <row r="6720" spans="1:1" ht="12.75" customHeight="1">
      <c r="A6720" s="129">
        <v>6720</v>
      </c>
    </row>
    <row r="6721" spans="1:1" ht="12.75" customHeight="1">
      <c r="A6721" s="129">
        <v>6721</v>
      </c>
    </row>
    <row r="6722" spans="1:1" ht="12.75" customHeight="1">
      <c r="A6722" s="129">
        <v>6722</v>
      </c>
    </row>
    <row r="6723" spans="1:1" ht="12.75" customHeight="1">
      <c r="A6723" s="129">
        <v>6723</v>
      </c>
    </row>
    <row r="6724" spans="1:1" ht="12.75" customHeight="1">
      <c r="A6724" s="129">
        <v>6724</v>
      </c>
    </row>
    <row r="6725" spans="1:1" ht="12.75" customHeight="1">
      <c r="A6725" s="129">
        <v>6725</v>
      </c>
    </row>
    <row r="6726" spans="1:1" ht="12.75" customHeight="1">
      <c r="A6726" s="129">
        <v>6726</v>
      </c>
    </row>
    <row r="6727" spans="1:1" ht="12.75" customHeight="1">
      <c r="A6727" s="129">
        <v>6727</v>
      </c>
    </row>
    <row r="6728" spans="1:1" ht="12.75" customHeight="1">
      <c r="A6728" s="129">
        <v>6728</v>
      </c>
    </row>
    <row r="6729" spans="1:1" ht="12.75" customHeight="1">
      <c r="A6729" s="129">
        <v>6729</v>
      </c>
    </row>
    <row r="6730" spans="1:1" ht="12.75" customHeight="1">
      <c r="A6730" s="129">
        <v>6730</v>
      </c>
    </row>
    <row r="6731" spans="1:1" ht="12.75" customHeight="1">
      <c r="A6731" s="129">
        <v>6731</v>
      </c>
    </row>
    <row r="6732" spans="1:1" ht="12.75" customHeight="1">
      <c r="A6732" s="129">
        <v>6732</v>
      </c>
    </row>
    <row r="6733" spans="1:1" ht="12.75" customHeight="1">
      <c r="A6733" s="129">
        <v>6733</v>
      </c>
    </row>
    <row r="6734" spans="1:1" ht="12.75" customHeight="1">
      <c r="A6734" s="129">
        <v>6734</v>
      </c>
    </row>
    <row r="6735" spans="1:1" ht="12.75" customHeight="1">
      <c r="A6735" s="129">
        <v>6735</v>
      </c>
    </row>
    <row r="6736" spans="1:1" ht="12.75" customHeight="1">
      <c r="A6736" s="129">
        <v>6736</v>
      </c>
    </row>
    <row r="6737" spans="1:1" ht="12.75" customHeight="1">
      <c r="A6737" s="129">
        <v>6737</v>
      </c>
    </row>
    <row r="6738" spans="1:1" ht="12.75" customHeight="1">
      <c r="A6738" s="129">
        <v>6738</v>
      </c>
    </row>
    <row r="6739" spans="1:1" ht="12.75" customHeight="1">
      <c r="A6739" s="129">
        <v>6739</v>
      </c>
    </row>
    <row r="6740" spans="1:1" ht="12.75" customHeight="1">
      <c r="A6740" s="129">
        <v>6740</v>
      </c>
    </row>
    <row r="6741" spans="1:1" ht="12.75" customHeight="1">
      <c r="A6741" s="129">
        <v>6741</v>
      </c>
    </row>
    <row r="6742" spans="1:1" ht="12.75" customHeight="1">
      <c r="A6742" s="129">
        <v>6742</v>
      </c>
    </row>
    <row r="6743" spans="1:1" ht="12.75" customHeight="1">
      <c r="A6743" s="129">
        <v>6743</v>
      </c>
    </row>
    <row r="6744" spans="1:1" ht="12.75" customHeight="1">
      <c r="A6744" s="129">
        <v>6744</v>
      </c>
    </row>
    <row r="6745" spans="1:1" ht="12.75" customHeight="1">
      <c r="A6745" s="129">
        <v>6745</v>
      </c>
    </row>
    <row r="6746" spans="1:1" ht="12.75" customHeight="1">
      <c r="A6746" s="129">
        <v>6746</v>
      </c>
    </row>
    <row r="6747" spans="1:1" ht="12.75" customHeight="1">
      <c r="A6747" s="129">
        <v>6747</v>
      </c>
    </row>
    <row r="6748" spans="1:1" ht="12.75" customHeight="1">
      <c r="A6748" s="129">
        <v>6748</v>
      </c>
    </row>
    <row r="6749" spans="1:1" ht="12.75" customHeight="1">
      <c r="A6749" s="129">
        <v>6749</v>
      </c>
    </row>
    <row r="6750" spans="1:1" ht="12.75" customHeight="1">
      <c r="A6750" s="129">
        <v>6750</v>
      </c>
    </row>
    <row r="6751" spans="1:1" ht="12.75" customHeight="1">
      <c r="A6751" s="129">
        <v>6751</v>
      </c>
    </row>
    <row r="6752" spans="1:1" ht="12.75" customHeight="1">
      <c r="A6752" s="129">
        <v>6752</v>
      </c>
    </row>
    <row r="6753" spans="1:1" ht="12.75" customHeight="1">
      <c r="A6753" s="129">
        <v>6753</v>
      </c>
    </row>
    <row r="6754" spans="1:1" ht="12.75" customHeight="1">
      <c r="A6754" s="129">
        <v>6754</v>
      </c>
    </row>
    <row r="6755" spans="1:1" ht="12.75" customHeight="1">
      <c r="A6755" s="129">
        <v>6755</v>
      </c>
    </row>
    <row r="6756" spans="1:1" ht="12.75" customHeight="1">
      <c r="A6756" s="129">
        <v>6756</v>
      </c>
    </row>
    <row r="6757" spans="1:1" ht="12.75" customHeight="1">
      <c r="A6757" s="129">
        <v>6757</v>
      </c>
    </row>
    <row r="6758" spans="1:1" ht="12.75" customHeight="1">
      <c r="A6758" s="129">
        <v>6758</v>
      </c>
    </row>
    <row r="6759" spans="1:1" ht="12.75" customHeight="1">
      <c r="A6759" s="129">
        <v>6759</v>
      </c>
    </row>
    <row r="6760" spans="1:1" ht="12.75" customHeight="1">
      <c r="A6760" s="129">
        <v>6760</v>
      </c>
    </row>
    <row r="6761" spans="1:1" ht="12.75" customHeight="1">
      <c r="A6761" s="129">
        <v>6761</v>
      </c>
    </row>
    <row r="6762" spans="1:1" ht="12.75" customHeight="1">
      <c r="A6762" s="129">
        <v>6762</v>
      </c>
    </row>
    <row r="6763" spans="1:1" ht="12.75" customHeight="1">
      <c r="A6763" s="129">
        <v>6763</v>
      </c>
    </row>
    <row r="6764" spans="1:1" ht="12.75" customHeight="1">
      <c r="A6764" s="129">
        <v>6764</v>
      </c>
    </row>
    <row r="6765" spans="1:1" ht="12.75" customHeight="1">
      <c r="A6765" s="129">
        <v>6765</v>
      </c>
    </row>
    <row r="6766" spans="1:1" ht="12.75" customHeight="1">
      <c r="A6766" s="129">
        <v>6766</v>
      </c>
    </row>
    <row r="6767" spans="1:1" ht="12.75" customHeight="1">
      <c r="A6767" s="129">
        <v>6767</v>
      </c>
    </row>
    <row r="6768" spans="1:1" ht="12.75" customHeight="1">
      <c r="A6768" s="129">
        <v>6768</v>
      </c>
    </row>
    <row r="6769" spans="1:1" ht="12.75" customHeight="1">
      <c r="A6769" s="129">
        <v>6769</v>
      </c>
    </row>
    <row r="6770" spans="1:1" ht="12.75" customHeight="1">
      <c r="A6770" s="129">
        <v>6770</v>
      </c>
    </row>
    <row r="6771" spans="1:1" ht="12.75" customHeight="1">
      <c r="A6771" s="129">
        <v>6771</v>
      </c>
    </row>
    <row r="6772" spans="1:1" ht="12.75" customHeight="1">
      <c r="A6772" s="129">
        <v>6772</v>
      </c>
    </row>
    <row r="6773" spans="1:1" ht="12.75" customHeight="1">
      <c r="A6773" s="129">
        <v>6773</v>
      </c>
    </row>
    <row r="6774" spans="1:1" ht="12.75" customHeight="1">
      <c r="A6774" s="129">
        <v>6774</v>
      </c>
    </row>
    <row r="6775" spans="1:1" ht="12.75" customHeight="1">
      <c r="A6775" s="129">
        <v>6775</v>
      </c>
    </row>
    <row r="6776" spans="1:1" ht="12.75" customHeight="1">
      <c r="A6776" s="129">
        <v>6776</v>
      </c>
    </row>
    <row r="6777" spans="1:1" ht="12.75" customHeight="1">
      <c r="A6777" s="129">
        <v>6777</v>
      </c>
    </row>
    <row r="6778" spans="1:1" ht="12.75" customHeight="1">
      <c r="A6778" s="129">
        <v>6778</v>
      </c>
    </row>
    <row r="6779" spans="1:1" ht="12.75" customHeight="1">
      <c r="A6779" s="129">
        <v>6779</v>
      </c>
    </row>
    <row r="6780" spans="1:1" ht="12.75" customHeight="1">
      <c r="A6780" s="129">
        <v>6780</v>
      </c>
    </row>
    <row r="6781" spans="1:1" ht="12.75" customHeight="1">
      <c r="A6781" s="129">
        <v>6781</v>
      </c>
    </row>
    <row r="6782" spans="1:1" ht="12.75" customHeight="1">
      <c r="A6782" s="129">
        <v>6782</v>
      </c>
    </row>
    <row r="6783" spans="1:1" ht="12.75" customHeight="1">
      <c r="A6783" s="129">
        <v>6783</v>
      </c>
    </row>
    <row r="6784" spans="1:1" ht="12.75" customHeight="1">
      <c r="A6784" s="129">
        <v>6784</v>
      </c>
    </row>
    <row r="6785" spans="1:1" ht="12.75" customHeight="1">
      <c r="A6785" s="129">
        <v>6785</v>
      </c>
    </row>
    <row r="6786" spans="1:1" ht="12.75" customHeight="1">
      <c r="A6786" s="129">
        <v>6786</v>
      </c>
    </row>
    <row r="6787" spans="1:1" ht="12.75" customHeight="1">
      <c r="A6787" s="129">
        <v>6787</v>
      </c>
    </row>
    <row r="6788" spans="1:1" ht="12.75" customHeight="1">
      <c r="A6788" s="129">
        <v>6788</v>
      </c>
    </row>
    <row r="6789" spans="1:1" ht="12.75" customHeight="1">
      <c r="A6789" s="129">
        <v>6789</v>
      </c>
    </row>
    <row r="6790" spans="1:1" ht="12.75" customHeight="1">
      <c r="A6790" s="129">
        <v>6790</v>
      </c>
    </row>
    <row r="6791" spans="1:1" ht="12.75" customHeight="1">
      <c r="A6791" s="129">
        <v>6791</v>
      </c>
    </row>
    <row r="6792" spans="1:1" ht="12.75" customHeight="1">
      <c r="A6792" s="129">
        <v>6792</v>
      </c>
    </row>
    <row r="6793" spans="1:1" ht="12.75" customHeight="1">
      <c r="A6793" s="129">
        <v>6793</v>
      </c>
    </row>
    <row r="6794" spans="1:1" ht="12.75" customHeight="1">
      <c r="A6794" s="129">
        <v>6794</v>
      </c>
    </row>
    <row r="6795" spans="1:1" ht="12.75" customHeight="1">
      <c r="A6795" s="129">
        <v>6795</v>
      </c>
    </row>
    <row r="6796" spans="1:1" ht="12.75" customHeight="1">
      <c r="A6796" s="129">
        <v>6796</v>
      </c>
    </row>
    <row r="6797" spans="1:1" ht="12.75" customHeight="1">
      <c r="A6797" s="129">
        <v>6797</v>
      </c>
    </row>
    <row r="6798" spans="1:1" ht="12.75" customHeight="1">
      <c r="A6798" s="129">
        <v>6798</v>
      </c>
    </row>
    <row r="6799" spans="1:1" ht="12.75" customHeight="1">
      <c r="A6799" s="129">
        <v>6799</v>
      </c>
    </row>
    <row r="6800" spans="1:1" ht="12.75" customHeight="1">
      <c r="A6800" s="129">
        <v>6800</v>
      </c>
    </row>
    <row r="6801" spans="1:1" ht="12.75" customHeight="1">
      <c r="A6801" s="129">
        <v>6801</v>
      </c>
    </row>
    <row r="6802" spans="1:1" ht="12.75" customHeight="1">
      <c r="A6802" s="129">
        <v>6802</v>
      </c>
    </row>
    <row r="6803" spans="1:1" ht="12.75" customHeight="1">
      <c r="A6803" s="129">
        <v>6803</v>
      </c>
    </row>
    <row r="6804" spans="1:1" ht="12.75" customHeight="1">
      <c r="A6804" s="129">
        <v>6804</v>
      </c>
    </row>
    <row r="6805" spans="1:1" ht="12.75" customHeight="1">
      <c r="A6805" s="129">
        <v>6805</v>
      </c>
    </row>
    <row r="6806" spans="1:1" ht="12.75" customHeight="1">
      <c r="A6806" s="129">
        <v>6806</v>
      </c>
    </row>
    <row r="6807" spans="1:1" ht="12.75" customHeight="1">
      <c r="A6807" s="129">
        <v>6807</v>
      </c>
    </row>
    <row r="6808" spans="1:1" ht="12.75" customHeight="1">
      <c r="A6808" s="129">
        <v>6808</v>
      </c>
    </row>
    <row r="6809" spans="1:1" ht="12.75" customHeight="1">
      <c r="A6809" s="129">
        <v>6809</v>
      </c>
    </row>
    <row r="6810" spans="1:1" ht="12.75" customHeight="1">
      <c r="A6810" s="129">
        <v>6810</v>
      </c>
    </row>
    <row r="6811" spans="1:1" ht="12.75" customHeight="1">
      <c r="A6811" s="129">
        <v>6811</v>
      </c>
    </row>
    <row r="6812" spans="1:1" ht="12.75" customHeight="1">
      <c r="A6812" s="129">
        <v>6812</v>
      </c>
    </row>
    <row r="6813" spans="1:1" ht="12.75" customHeight="1">
      <c r="A6813" s="129">
        <v>6813</v>
      </c>
    </row>
    <row r="6814" spans="1:1" ht="12.75" customHeight="1">
      <c r="A6814" s="129">
        <v>6814</v>
      </c>
    </row>
    <row r="6815" spans="1:1" ht="12.75" customHeight="1">
      <c r="A6815" s="129">
        <v>6815</v>
      </c>
    </row>
    <row r="6816" spans="1:1" ht="12.75" customHeight="1">
      <c r="A6816" s="129">
        <v>6816</v>
      </c>
    </row>
    <row r="6817" spans="1:1" ht="12.75" customHeight="1">
      <c r="A6817" s="129">
        <v>6817</v>
      </c>
    </row>
    <row r="6818" spans="1:1" ht="12.75" customHeight="1">
      <c r="A6818" s="129">
        <v>6818</v>
      </c>
    </row>
    <row r="6819" spans="1:1" ht="12.75" customHeight="1">
      <c r="A6819" s="129">
        <v>6819</v>
      </c>
    </row>
    <row r="6820" spans="1:1" ht="12.75" customHeight="1">
      <c r="A6820" s="129">
        <v>6820</v>
      </c>
    </row>
    <row r="6821" spans="1:1" ht="12.75" customHeight="1">
      <c r="A6821" s="129">
        <v>6821</v>
      </c>
    </row>
    <row r="6822" spans="1:1" ht="12.75" customHeight="1">
      <c r="A6822" s="129">
        <v>6822</v>
      </c>
    </row>
    <row r="6823" spans="1:1" ht="12.75" customHeight="1">
      <c r="A6823" s="129">
        <v>6823</v>
      </c>
    </row>
    <row r="6824" spans="1:1" ht="12.75" customHeight="1">
      <c r="A6824" s="129">
        <v>6824</v>
      </c>
    </row>
    <row r="6825" spans="1:1" ht="12.75" customHeight="1">
      <c r="A6825" s="129">
        <v>6825</v>
      </c>
    </row>
    <row r="6826" spans="1:1" ht="12.75" customHeight="1">
      <c r="A6826" s="129">
        <v>6826</v>
      </c>
    </row>
    <row r="6827" spans="1:1" ht="12.75" customHeight="1">
      <c r="A6827" s="129">
        <v>6827</v>
      </c>
    </row>
    <row r="6828" spans="1:1" ht="12.75" customHeight="1">
      <c r="A6828" s="129">
        <v>6828</v>
      </c>
    </row>
    <row r="6829" spans="1:1" ht="12.75" customHeight="1">
      <c r="A6829" s="129">
        <v>6829</v>
      </c>
    </row>
    <row r="6830" spans="1:1" ht="12.75" customHeight="1">
      <c r="A6830" s="129">
        <v>6830</v>
      </c>
    </row>
    <row r="6831" spans="1:1" ht="12.75" customHeight="1">
      <c r="A6831" s="129">
        <v>6831</v>
      </c>
    </row>
    <row r="6832" spans="1:1" ht="12.75" customHeight="1">
      <c r="A6832" s="129">
        <v>6832</v>
      </c>
    </row>
    <row r="6833" spans="1:1" ht="12.75" customHeight="1">
      <c r="A6833" s="129">
        <v>6833</v>
      </c>
    </row>
    <row r="6834" spans="1:1" ht="12.75" customHeight="1">
      <c r="A6834" s="129">
        <v>6834</v>
      </c>
    </row>
    <row r="6835" spans="1:1" ht="12.75" customHeight="1">
      <c r="A6835" s="129">
        <v>6835</v>
      </c>
    </row>
    <row r="6836" spans="1:1" ht="12.75" customHeight="1">
      <c r="A6836" s="129">
        <v>6836</v>
      </c>
    </row>
    <row r="6837" spans="1:1" ht="12.75" customHeight="1">
      <c r="A6837" s="129">
        <v>6837</v>
      </c>
    </row>
    <row r="6838" spans="1:1" ht="12.75" customHeight="1">
      <c r="A6838" s="129">
        <v>6838</v>
      </c>
    </row>
    <row r="6839" spans="1:1" ht="12.75" customHeight="1">
      <c r="A6839" s="129">
        <v>6839</v>
      </c>
    </row>
    <row r="6840" spans="1:1" ht="12.75" customHeight="1">
      <c r="A6840" s="129">
        <v>6840</v>
      </c>
    </row>
    <row r="6841" spans="1:1" ht="12.75" customHeight="1">
      <c r="A6841" s="129">
        <v>6841</v>
      </c>
    </row>
    <row r="6842" spans="1:1" ht="12.75" customHeight="1">
      <c r="A6842" s="129">
        <v>6842</v>
      </c>
    </row>
    <row r="6843" spans="1:1" ht="12.75" customHeight="1">
      <c r="A6843" s="129">
        <v>6843</v>
      </c>
    </row>
    <row r="6844" spans="1:1" ht="12.75" customHeight="1">
      <c r="A6844" s="129">
        <v>6844</v>
      </c>
    </row>
    <row r="6845" spans="1:1" ht="12.75" customHeight="1">
      <c r="A6845" s="129">
        <v>6845</v>
      </c>
    </row>
    <row r="6846" spans="1:1" ht="12.75" customHeight="1">
      <c r="A6846" s="129">
        <v>6846</v>
      </c>
    </row>
    <row r="6847" spans="1:1" ht="12.75" customHeight="1">
      <c r="A6847" s="129">
        <v>6847</v>
      </c>
    </row>
    <row r="6848" spans="1:1" ht="12.75" customHeight="1">
      <c r="A6848" s="129">
        <v>6848</v>
      </c>
    </row>
    <row r="6849" spans="1:1" ht="12.75" customHeight="1">
      <c r="A6849" s="129">
        <v>6849</v>
      </c>
    </row>
    <row r="6850" spans="1:1" ht="12.75" customHeight="1">
      <c r="A6850" s="129">
        <v>6850</v>
      </c>
    </row>
    <row r="6851" spans="1:1" ht="12.75" customHeight="1">
      <c r="A6851" s="129">
        <v>6851</v>
      </c>
    </row>
    <row r="6852" spans="1:1" ht="12.75" customHeight="1">
      <c r="A6852" s="129">
        <v>6852</v>
      </c>
    </row>
    <row r="6853" spans="1:1" ht="12.75" customHeight="1">
      <c r="A6853" s="129">
        <v>6853</v>
      </c>
    </row>
    <row r="6854" spans="1:1" ht="12.75" customHeight="1">
      <c r="A6854" s="129">
        <v>6854</v>
      </c>
    </row>
    <row r="6855" spans="1:1" ht="12.75" customHeight="1">
      <c r="A6855" s="129">
        <v>6855</v>
      </c>
    </row>
    <row r="6856" spans="1:1" ht="12.75" customHeight="1">
      <c r="A6856" s="129">
        <v>6856</v>
      </c>
    </row>
    <row r="6857" spans="1:1" ht="12.75" customHeight="1">
      <c r="A6857" s="129">
        <v>6857</v>
      </c>
    </row>
    <row r="6858" spans="1:1" ht="12.75" customHeight="1">
      <c r="A6858" s="129">
        <v>6858</v>
      </c>
    </row>
    <row r="6859" spans="1:1" ht="12.75" customHeight="1">
      <c r="A6859" s="129">
        <v>6859</v>
      </c>
    </row>
    <row r="6860" spans="1:1" ht="12.75" customHeight="1">
      <c r="A6860" s="129">
        <v>6860</v>
      </c>
    </row>
    <row r="6861" spans="1:1" ht="12.75" customHeight="1">
      <c r="A6861" s="129">
        <v>6861</v>
      </c>
    </row>
    <row r="6862" spans="1:1" ht="12.75" customHeight="1">
      <c r="A6862" s="129">
        <v>6862</v>
      </c>
    </row>
    <row r="6863" spans="1:1" ht="12.75" customHeight="1">
      <c r="A6863" s="129">
        <v>6863</v>
      </c>
    </row>
    <row r="6864" spans="1:1" ht="12.75" customHeight="1">
      <c r="A6864" s="129">
        <v>6864</v>
      </c>
    </row>
    <row r="6865" spans="1:1" ht="12.75" customHeight="1">
      <c r="A6865" s="129">
        <v>6865</v>
      </c>
    </row>
    <row r="6866" spans="1:1" ht="12.75" customHeight="1">
      <c r="A6866" s="129">
        <v>6866</v>
      </c>
    </row>
    <row r="6867" spans="1:1" ht="12.75" customHeight="1">
      <c r="A6867" s="129">
        <v>6867</v>
      </c>
    </row>
    <row r="6868" spans="1:1" ht="12.75" customHeight="1">
      <c r="A6868" s="129">
        <v>6868</v>
      </c>
    </row>
    <row r="6869" spans="1:1" ht="12.75" customHeight="1">
      <c r="A6869" s="129">
        <v>6869</v>
      </c>
    </row>
    <row r="6870" spans="1:1" ht="12.75" customHeight="1">
      <c r="A6870" s="129">
        <v>6870</v>
      </c>
    </row>
    <row r="6871" spans="1:1" ht="12.75" customHeight="1">
      <c r="A6871" s="129">
        <v>6871</v>
      </c>
    </row>
    <row r="6872" spans="1:1" ht="12.75" customHeight="1">
      <c r="A6872" s="129">
        <v>6872</v>
      </c>
    </row>
    <row r="6873" spans="1:1" ht="12.75" customHeight="1">
      <c r="A6873" s="129">
        <v>6873</v>
      </c>
    </row>
    <row r="6874" spans="1:1" ht="12.75" customHeight="1">
      <c r="A6874" s="129">
        <v>6874</v>
      </c>
    </row>
    <row r="6875" spans="1:1" ht="12.75" customHeight="1">
      <c r="A6875" s="129">
        <v>6875</v>
      </c>
    </row>
    <row r="6876" spans="1:1" ht="12.75" customHeight="1">
      <c r="A6876" s="129">
        <v>6876</v>
      </c>
    </row>
    <row r="6877" spans="1:1" ht="12.75" customHeight="1">
      <c r="A6877" s="129">
        <v>6877</v>
      </c>
    </row>
    <row r="6878" spans="1:1" ht="12.75" customHeight="1">
      <c r="A6878" s="129">
        <v>6878</v>
      </c>
    </row>
    <row r="6879" spans="1:1" ht="12.75" customHeight="1">
      <c r="A6879" s="129">
        <v>6879</v>
      </c>
    </row>
    <row r="6880" spans="1:1" ht="12.75" customHeight="1">
      <c r="A6880" s="129">
        <v>6880</v>
      </c>
    </row>
    <row r="6881" spans="1:1" ht="12.75" customHeight="1">
      <c r="A6881" s="129">
        <v>6881</v>
      </c>
    </row>
    <row r="6882" spans="1:1" ht="12.75" customHeight="1">
      <c r="A6882" s="129">
        <v>6882</v>
      </c>
    </row>
    <row r="6883" spans="1:1" ht="12.75" customHeight="1">
      <c r="A6883" s="129">
        <v>6883</v>
      </c>
    </row>
    <row r="6884" spans="1:1" ht="12.75" customHeight="1">
      <c r="A6884" s="129">
        <v>6884</v>
      </c>
    </row>
    <row r="6885" spans="1:1" ht="12.75" customHeight="1">
      <c r="A6885" s="129">
        <v>6885</v>
      </c>
    </row>
    <row r="6886" spans="1:1" ht="12.75" customHeight="1">
      <c r="A6886" s="129">
        <v>6886</v>
      </c>
    </row>
    <row r="6887" spans="1:1" ht="12.75" customHeight="1">
      <c r="A6887" s="129">
        <v>6887</v>
      </c>
    </row>
    <row r="6888" spans="1:1" ht="12.75" customHeight="1">
      <c r="A6888" s="129">
        <v>6888</v>
      </c>
    </row>
    <row r="6889" spans="1:1" ht="12.75" customHeight="1">
      <c r="A6889" s="129">
        <v>6889</v>
      </c>
    </row>
    <row r="6890" spans="1:1" ht="12.75" customHeight="1">
      <c r="A6890" s="129">
        <v>6890</v>
      </c>
    </row>
    <row r="6891" spans="1:1" ht="12.75" customHeight="1">
      <c r="A6891" s="129">
        <v>6891</v>
      </c>
    </row>
    <row r="6892" spans="1:1" ht="12.75" customHeight="1">
      <c r="A6892" s="129">
        <v>6892</v>
      </c>
    </row>
    <row r="6893" spans="1:1" ht="12.75" customHeight="1">
      <c r="A6893" s="129">
        <v>6893</v>
      </c>
    </row>
    <row r="6894" spans="1:1" ht="12.75" customHeight="1">
      <c r="A6894" s="129">
        <v>6894</v>
      </c>
    </row>
    <row r="6895" spans="1:1" ht="12.75" customHeight="1">
      <c r="A6895" s="129">
        <v>6895</v>
      </c>
    </row>
    <row r="6896" spans="1:1" ht="12.75" customHeight="1">
      <c r="A6896" s="129">
        <v>6896</v>
      </c>
    </row>
    <row r="6897" spans="1:1" ht="12.75" customHeight="1">
      <c r="A6897" s="129">
        <v>6897</v>
      </c>
    </row>
    <row r="6898" spans="1:1" ht="12.75" customHeight="1">
      <c r="A6898" s="129">
        <v>6898</v>
      </c>
    </row>
    <row r="6899" spans="1:1" ht="12.75" customHeight="1">
      <c r="A6899" s="129">
        <v>6899</v>
      </c>
    </row>
    <row r="6900" spans="1:1" ht="12.75" customHeight="1">
      <c r="A6900" s="129">
        <v>6900</v>
      </c>
    </row>
    <row r="6901" spans="1:1" ht="12.75" customHeight="1">
      <c r="A6901" s="129">
        <v>6901</v>
      </c>
    </row>
    <row r="6902" spans="1:1" ht="12.75" customHeight="1">
      <c r="A6902" s="129">
        <v>6902</v>
      </c>
    </row>
    <row r="6903" spans="1:1" ht="12.75" customHeight="1">
      <c r="A6903" s="129">
        <v>6903</v>
      </c>
    </row>
    <row r="6904" spans="1:1" ht="12.75" customHeight="1">
      <c r="A6904" s="129">
        <v>6904</v>
      </c>
    </row>
    <row r="6905" spans="1:1" ht="12.75" customHeight="1">
      <c r="A6905" s="129">
        <v>6905</v>
      </c>
    </row>
    <row r="6906" spans="1:1" ht="12.75" customHeight="1">
      <c r="A6906" s="129">
        <v>6906</v>
      </c>
    </row>
    <row r="6907" spans="1:1" ht="12.75" customHeight="1">
      <c r="A6907" s="129">
        <v>6907</v>
      </c>
    </row>
    <row r="6908" spans="1:1" ht="12.75" customHeight="1">
      <c r="A6908" s="129">
        <v>6908</v>
      </c>
    </row>
    <row r="6909" spans="1:1" ht="12.75" customHeight="1">
      <c r="A6909" s="129">
        <v>6909</v>
      </c>
    </row>
    <row r="6910" spans="1:1" ht="12.75" customHeight="1">
      <c r="A6910" s="129">
        <v>6910</v>
      </c>
    </row>
    <row r="6911" spans="1:1" ht="12.75" customHeight="1">
      <c r="A6911" s="129">
        <v>6911</v>
      </c>
    </row>
    <row r="6912" spans="1:1" ht="12.75" customHeight="1">
      <c r="A6912" s="129">
        <v>6912</v>
      </c>
    </row>
    <row r="6913" spans="1:1" ht="12.75" customHeight="1">
      <c r="A6913" s="129">
        <v>6913</v>
      </c>
    </row>
    <row r="6914" spans="1:1" ht="12.75" customHeight="1">
      <c r="A6914" s="129">
        <v>6914</v>
      </c>
    </row>
    <row r="6915" spans="1:1" ht="12.75" customHeight="1">
      <c r="A6915" s="129">
        <v>6915</v>
      </c>
    </row>
    <row r="6916" spans="1:1" ht="12.75" customHeight="1">
      <c r="A6916" s="129">
        <v>6916</v>
      </c>
    </row>
    <row r="6917" spans="1:1" ht="12.75" customHeight="1">
      <c r="A6917" s="129">
        <v>6917</v>
      </c>
    </row>
    <row r="6918" spans="1:1" ht="12.75" customHeight="1">
      <c r="A6918" s="129">
        <v>6918</v>
      </c>
    </row>
    <row r="6919" spans="1:1" ht="12.75" customHeight="1">
      <c r="A6919" s="129">
        <v>6919</v>
      </c>
    </row>
    <row r="6920" spans="1:1" ht="12.75" customHeight="1">
      <c r="A6920" s="129">
        <v>6920</v>
      </c>
    </row>
    <row r="6921" spans="1:1" ht="12.75" customHeight="1">
      <c r="A6921" s="129">
        <v>6921</v>
      </c>
    </row>
    <row r="6922" spans="1:1" ht="12.75" customHeight="1">
      <c r="A6922" s="129">
        <v>6922</v>
      </c>
    </row>
    <row r="6923" spans="1:1" ht="12.75" customHeight="1">
      <c r="A6923" s="129">
        <v>6923</v>
      </c>
    </row>
    <row r="6924" spans="1:1" ht="12.75" customHeight="1">
      <c r="A6924" s="129">
        <v>6924</v>
      </c>
    </row>
    <row r="6925" spans="1:1" ht="12.75" customHeight="1">
      <c r="A6925" s="129">
        <v>6925</v>
      </c>
    </row>
    <row r="6926" spans="1:1" ht="12.75" customHeight="1">
      <c r="A6926" s="129">
        <v>6926</v>
      </c>
    </row>
    <row r="6927" spans="1:1" ht="12.75" customHeight="1">
      <c r="A6927" s="129">
        <v>6927</v>
      </c>
    </row>
    <row r="6928" spans="1:1" ht="12.75" customHeight="1">
      <c r="A6928" s="129">
        <v>6928</v>
      </c>
    </row>
    <row r="6929" spans="1:1" ht="12.75" customHeight="1">
      <c r="A6929" s="129">
        <v>6929</v>
      </c>
    </row>
    <row r="6930" spans="1:1" ht="12.75" customHeight="1">
      <c r="A6930" s="129">
        <v>6930</v>
      </c>
    </row>
    <row r="6931" spans="1:1" ht="12.75" customHeight="1">
      <c r="A6931" s="129">
        <v>6931</v>
      </c>
    </row>
    <row r="6932" spans="1:1" ht="12.75" customHeight="1">
      <c r="A6932" s="129">
        <v>6932</v>
      </c>
    </row>
    <row r="6933" spans="1:1" ht="12.75" customHeight="1">
      <c r="A6933" s="129">
        <v>6933</v>
      </c>
    </row>
    <row r="6934" spans="1:1" ht="12.75" customHeight="1">
      <c r="A6934" s="129">
        <v>6934</v>
      </c>
    </row>
    <row r="6935" spans="1:1" ht="12.75" customHeight="1">
      <c r="A6935" s="129">
        <v>6935</v>
      </c>
    </row>
    <row r="6936" spans="1:1" ht="12.75" customHeight="1">
      <c r="A6936" s="129">
        <v>6936</v>
      </c>
    </row>
    <row r="6937" spans="1:1" ht="12.75" customHeight="1">
      <c r="A6937" s="129">
        <v>6937</v>
      </c>
    </row>
    <row r="6938" spans="1:1" ht="12.75" customHeight="1">
      <c r="A6938" s="129">
        <v>6938</v>
      </c>
    </row>
    <row r="6939" spans="1:1" ht="12.75" customHeight="1">
      <c r="A6939" s="129">
        <v>6939</v>
      </c>
    </row>
    <row r="6940" spans="1:1" ht="12.75" customHeight="1">
      <c r="A6940" s="129">
        <v>6940</v>
      </c>
    </row>
    <row r="6941" spans="1:1" ht="12.75" customHeight="1">
      <c r="A6941" s="129">
        <v>6941</v>
      </c>
    </row>
    <row r="6942" spans="1:1" ht="12.75" customHeight="1">
      <c r="A6942" s="129">
        <v>6942</v>
      </c>
    </row>
    <row r="6943" spans="1:1" ht="12.75" customHeight="1">
      <c r="A6943" s="129">
        <v>6943</v>
      </c>
    </row>
    <row r="6944" spans="1:1" ht="12.75" customHeight="1">
      <c r="A6944" s="129">
        <v>6944</v>
      </c>
    </row>
    <row r="6945" spans="1:1" ht="12.75" customHeight="1">
      <c r="A6945" s="129">
        <v>6945</v>
      </c>
    </row>
    <row r="6946" spans="1:1" ht="12.75" customHeight="1">
      <c r="A6946" s="129">
        <v>6946</v>
      </c>
    </row>
    <row r="6947" spans="1:1" ht="12.75" customHeight="1">
      <c r="A6947" s="129">
        <v>6947</v>
      </c>
    </row>
    <row r="6948" spans="1:1" ht="12.75" customHeight="1">
      <c r="A6948" s="129">
        <v>6948</v>
      </c>
    </row>
    <row r="6949" spans="1:1" ht="12.75" customHeight="1">
      <c r="A6949" s="129">
        <v>6949</v>
      </c>
    </row>
    <row r="6950" spans="1:1" ht="12.75" customHeight="1">
      <c r="A6950" s="129">
        <v>6950</v>
      </c>
    </row>
    <row r="6951" spans="1:1" ht="12.75" customHeight="1">
      <c r="A6951" s="129">
        <v>6951</v>
      </c>
    </row>
    <row r="6952" spans="1:1" ht="12.75" customHeight="1">
      <c r="A6952" s="129">
        <v>6952</v>
      </c>
    </row>
    <row r="6953" spans="1:1" ht="12.75" customHeight="1">
      <c r="A6953" s="129">
        <v>6953</v>
      </c>
    </row>
    <row r="6954" spans="1:1" ht="12.75" customHeight="1">
      <c r="A6954" s="129">
        <v>6954</v>
      </c>
    </row>
    <row r="6955" spans="1:1" ht="12.75" customHeight="1">
      <c r="A6955" s="129">
        <v>6955</v>
      </c>
    </row>
    <row r="6956" spans="1:1" ht="12.75" customHeight="1">
      <c r="A6956" s="129">
        <v>6956</v>
      </c>
    </row>
    <row r="6957" spans="1:1" ht="12.75" customHeight="1">
      <c r="A6957" s="129">
        <v>6957</v>
      </c>
    </row>
    <row r="6958" spans="1:1" ht="12.75" customHeight="1">
      <c r="A6958" s="129">
        <v>6958</v>
      </c>
    </row>
    <row r="6959" spans="1:1" ht="12.75" customHeight="1">
      <c r="A6959" s="129">
        <v>6959</v>
      </c>
    </row>
    <row r="6960" spans="1:1" ht="12.75" customHeight="1">
      <c r="A6960" s="129">
        <v>6960</v>
      </c>
    </row>
    <row r="6961" spans="1:1" ht="12.75" customHeight="1">
      <c r="A6961" s="129">
        <v>6961</v>
      </c>
    </row>
    <row r="6962" spans="1:1" ht="12.75" customHeight="1">
      <c r="A6962" s="129">
        <v>6962</v>
      </c>
    </row>
    <row r="6963" spans="1:1" ht="12.75" customHeight="1">
      <c r="A6963" s="129">
        <v>6963</v>
      </c>
    </row>
    <row r="6964" spans="1:1" ht="12.75" customHeight="1">
      <c r="A6964" s="129">
        <v>6964</v>
      </c>
    </row>
    <row r="6965" spans="1:1" ht="12.75" customHeight="1">
      <c r="A6965" s="129">
        <v>6965</v>
      </c>
    </row>
    <row r="6966" spans="1:1" ht="12.75" customHeight="1">
      <c r="A6966" s="129">
        <v>6966</v>
      </c>
    </row>
    <row r="6967" spans="1:1" ht="12.75" customHeight="1">
      <c r="A6967" s="129">
        <v>6967</v>
      </c>
    </row>
    <row r="6968" spans="1:1" ht="12.75" customHeight="1">
      <c r="A6968" s="129">
        <v>6968</v>
      </c>
    </row>
    <row r="6969" spans="1:1" ht="12.75" customHeight="1">
      <c r="A6969" s="129">
        <v>6969</v>
      </c>
    </row>
    <row r="6970" spans="1:1" ht="12.75" customHeight="1">
      <c r="A6970" s="129">
        <v>6970</v>
      </c>
    </row>
    <row r="6971" spans="1:1" ht="12.75" customHeight="1">
      <c r="A6971" s="129">
        <v>6971</v>
      </c>
    </row>
    <row r="6972" spans="1:1" ht="12.75" customHeight="1">
      <c r="A6972" s="129">
        <v>6972</v>
      </c>
    </row>
    <row r="6973" spans="1:1" ht="12.75" customHeight="1">
      <c r="A6973" s="129">
        <v>6973</v>
      </c>
    </row>
    <row r="6974" spans="1:1" ht="12.75" customHeight="1">
      <c r="A6974" s="129">
        <v>6974</v>
      </c>
    </row>
    <row r="6975" spans="1:1" ht="12.75" customHeight="1">
      <c r="A6975" s="129">
        <v>6975</v>
      </c>
    </row>
    <row r="6976" spans="1:1" ht="12.75" customHeight="1">
      <c r="A6976" s="129">
        <v>6976</v>
      </c>
    </row>
    <row r="6977" spans="1:1" ht="12.75" customHeight="1">
      <c r="A6977" s="129">
        <v>6977</v>
      </c>
    </row>
    <row r="6978" spans="1:1" ht="12.75" customHeight="1">
      <c r="A6978" s="129">
        <v>6978</v>
      </c>
    </row>
    <row r="6979" spans="1:1" ht="12.75" customHeight="1">
      <c r="A6979" s="129">
        <v>6979</v>
      </c>
    </row>
    <row r="6980" spans="1:1" ht="12.75" customHeight="1">
      <c r="A6980" s="129">
        <v>6980</v>
      </c>
    </row>
    <row r="6981" spans="1:1" ht="12.75" customHeight="1">
      <c r="A6981" s="129">
        <v>6981</v>
      </c>
    </row>
    <row r="6982" spans="1:1" ht="12.75" customHeight="1">
      <c r="A6982" s="129">
        <v>6982</v>
      </c>
    </row>
    <row r="6983" spans="1:1" ht="12.75" customHeight="1">
      <c r="A6983" s="129">
        <v>6983</v>
      </c>
    </row>
    <row r="6984" spans="1:1" ht="12.75" customHeight="1">
      <c r="A6984" s="129">
        <v>6984</v>
      </c>
    </row>
    <row r="6985" spans="1:1" ht="12.75" customHeight="1">
      <c r="A6985" s="129">
        <v>6985</v>
      </c>
    </row>
    <row r="6986" spans="1:1" ht="12.75" customHeight="1">
      <c r="A6986" s="129">
        <v>6986</v>
      </c>
    </row>
    <row r="6987" spans="1:1" ht="12.75" customHeight="1">
      <c r="A6987" s="129">
        <v>6987</v>
      </c>
    </row>
    <row r="6988" spans="1:1" ht="12.75" customHeight="1">
      <c r="A6988" s="129">
        <v>6988</v>
      </c>
    </row>
    <row r="6989" spans="1:1" ht="12.75" customHeight="1">
      <c r="A6989" s="129">
        <v>6989</v>
      </c>
    </row>
    <row r="6990" spans="1:1" ht="12.75" customHeight="1">
      <c r="A6990" s="129">
        <v>6990</v>
      </c>
    </row>
    <row r="6991" spans="1:1" ht="12.75" customHeight="1">
      <c r="A6991" s="129">
        <v>6991</v>
      </c>
    </row>
    <row r="6992" spans="1:1" ht="12.75" customHeight="1">
      <c r="A6992" s="129">
        <v>6992</v>
      </c>
    </row>
    <row r="6993" spans="1:1" ht="12.75" customHeight="1">
      <c r="A6993" s="129">
        <v>6993</v>
      </c>
    </row>
    <row r="6994" spans="1:1" ht="12.75" customHeight="1">
      <c r="A6994" s="129">
        <v>6994</v>
      </c>
    </row>
    <row r="6995" spans="1:1" ht="12.75" customHeight="1">
      <c r="A6995" s="129">
        <v>6995</v>
      </c>
    </row>
    <row r="6996" spans="1:1" ht="12.75" customHeight="1">
      <c r="A6996" s="129">
        <v>6996</v>
      </c>
    </row>
    <row r="6997" spans="1:1" ht="12.75" customHeight="1">
      <c r="A6997" s="129">
        <v>6997</v>
      </c>
    </row>
    <row r="6998" spans="1:1" ht="12.75" customHeight="1">
      <c r="A6998" s="129">
        <v>6998</v>
      </c>
    </row>
    <row r="6999" spans="1:1" ht="12.75" customHeight="1">
      <c r="A6999" s="129">
        <v>6999</v>
      </c>
    </row>
    <row r="7000" spans="1:1" ht="12.75" customHeight="1">
      <c r="A7000" s="129">
        <v>7000</v>
      </c>
    </row>
    <row r="7001" spans="1:1" ht="12.75" customHeight="1">
      <c r="A7001" s="129">
        <v>7001</v>
      </c>
    </row>
    <row r="7002" spans="1:1" ht="12.75" customHeight="1">
      <c r="A7002" s="129">
        <v>7002</v>
      </c>
    </row>
    <row r="7003" spans="1:1" ht="12.75" customHeight="1">
      <c r="A7003" s="129">
        <v>7003</v>
      </c>
    </row>
    <row r="7004" spans="1:1" ht="12.75" customHeight="1">
      <c r="A7004" s="129">
        <v>7004</v>
      </c>
    </row>
    <row r="7005" spans="1:1" ht="12.75" customHeight="1">
      <c r="A7005" s="129">
        <v>7005</v>
      </c>
    </row>
    <row r="7006" spans="1:1" ht="12.75" customHeight="1">
      <c r="A7006" s="129">
        <v>7006</v>
      </c>
    </row>
    <row r="7007" spans="1:1" ht="12.75" customHeight="1">
      <c r="A7007" s="129">
        <v>7007</v>
      </c>
    </row>
    <row r="7008" spans="1:1" ht="12.75" customHeight="1">
      <c r="A7008" s="129">
        <v>7008</v>
      </c>
    </row>
    <row r="7009" spans="1:1" ht="12.75" customHeight="1">
      <c r="A7009" s="129">
        <v>7009</v>
      </c>
    </row>
    <row r="7010" spans="1:1" ht="12.75" customHeight="1">
      <c r="A7010" s="129">
        <v>7010</v>
      </c>
    </row>
    <row r="7011" spans="1:1" ht="12.75" customHeight="1">
      <c r="A7011" s="129">
        <v>7011</v>
      </c>
    </row>
    <row r="7012" spans="1:1" ht="12.75" customHeight="1">
      <c r="A7012" s="129">
        <v>7012</v>
      </c>
    </row>
    <row r="7013" spans="1:1" ht="12.75" customHeight="1">
      <c r="A7013" s="129">
        <v>7013</v>
      </c>
    </row>
    <row r="7014" spans="1:1" ht="12.75" customHeight="1">
      <c r="A7014" s="129">
        <v>7014</v>
      </c>
    </row>
    <row r="7015" spans="1:1" ht="12.75" customHeight="1">
      <c r="A7015" s="129">
        <v>7015</v>
      </c>
    </row>
    <row r="7016" spans="1:1" ht="12.75" customHeight="1">
      <c r="A7016" s="129">
        <v>7016</v>
      </c>
    </row>
    <row r="7017" spans="1:1" ht="12.75" customHeight="1">
      <c r="A7017" s="129">
        <v>7017</v>
      </c>
    </row>
    <row r="7018" spans="1:1" ht="12.75" customHeight="1">
      <c r="A7018" s="129">
        <v>7018</v>
      </c>
    </row>
    <row r="7019" spans="1:1" ht="12.75" customHeight="1">
      <c r="A7019" s="129">
        <v>7019</v>
      </c>
    </row>
    <row r="7020" spans="1:1" ht="12.75" customHeight="1">
      <c r="A7020" s="129">
        <v>7020</v>
      </c>
    </row>
    <row r="7021" spans="1:1" ht="12.75" customHeight="1">
      <c r="A7021" s="129">
        <v>7021</v>
      </c>
    </row>
    <row r="7022" spans="1:1" ht="12.75" customHeight="1">
      <c r="A7022" s="129">
        <v>7022</v>
      </c>
    </row>
    <row r="7023" spans="1:1" ht="12.75" customHeight="1">
      <c r="A7023" s="129">
        <v>7023</v>
      </c>
    </row>
    <row r="7024" spans="1:1" ht="12.75" customHeight="1">
      <c r="A7024" s="129">
        <v>7024</v>
      </c>
    </row>
    <row r="7025" spans="1:1" ht="12.75" customHeight="1">
      <c r="A7025" s="129">
        <v>7025</v>
      </c>
    </row>
    <row r="7026" spans="1:1" ht="12.75" customHeight="1">
      <c r="A7026" s="129">
        <v>7026</v>
      </c>
    </row>
    <row r="7027" spans="1:1" ht="12.75" customHeight="1">
      <c r="A7027" s="129">
        <v>7027</v>
      </c>
    </row>
    <row r="7028" spans="1:1" ht="12.75" customHeight="1">
      <c r="A7028" s="129">
        <v>7028</v>
      </c>
    </row>
    <row r="7029" spans="1:1" ht="12.75" customHeight="1">
      <c r="A7029" s="129">
        <v>7029</v>
      </c>
    </row>
    <row r="7030" spans="1:1" ht="12.75" customHeight="1">
      <c r="A7030" s="129">
        <v>7030</v>
      </c>
    </row>
    <row r="7031" spans="1:1" ht="12.75" customHeight="1">
      <c r="A7031" s="129">
        <v>7031</v>
      </c>
    </row>
    <row r="7032" spans="1:1" ht="12.75" customHeight="1">
      <c r="A7032" s="129">
        <v>7032</v>
      </c>
    </row>
    <row r="7033" spans="1:1" ht="12.75" customHeight="1">
      <c r="A7033" s="129">
        <v>7033</v>
      </c>
    </row>
    <row r="7034" spans="1:1" ht="12.75" customHeight="1">
      <c r="A7034" s="129">
        <v>7034</v>
      </c>
    </row>
    <row r="7035" spans="1:1" ht="12.75" customHeight="1">
      <c r="A7035" s="129">
        <v>7035</v>
      </c>
    </row>
    <row r="7036" spans="1:1" ht="12.75" customHeight="1">
      <c r="A7036" s="129">
        <v>7036</v>
      </c>
    </row>
    <row r="7037" spans="1:1" ht="12.75" customHeight="1">
      <c r="A7037" s="129">
        <v>7037</v>
      </c>
    </row>
    <row r="7038" spans="1:1" ht="12.75" customHeight="1">
      <c r="A7038" s="129">
        <v>7038</v>
      </c>
    </row>
    <row r="7039" spans="1:1" ht="12.75" customHeight="1">
      <c r="A7039" s="129">
        <v>7039</v>
      </c>
    </row>
    <row r="7040" spans="1:1" ht="12.75" customHeight="1">
      <c r="A7040" s="129">
        <v>7040</v>
      </c>
    </row>
    <row r="7041" spans="1:1" ht="12.75" customHeight="1">
      <c r="A7041" s="129">
        <v>7041</v>
      </c>
    </row>
    <row r="7042" spans="1:1" ht="12.75" customHeight="1">
      <c r="A7042" s="129">
        <v>7042</v>
      </c>
    </row>
    <row r="7043" spans="1:1" ht="12.75" customHeight="1">
      <c r="A7043" s="129">
        <v>7043</v>
      </c>
    </row>
    <row r="7044" spans="1:1" ht="12.75" customHeight="1">
      <c r="A7044" s="129">
        <v>7044</v>
      </c>
    </row>
    <row r="7045" spans="1:1" ht="12.75" customHeight="1">
      <c r="A7045" s="129">
        <v>7045</v>
      </c>
    </row>
    <row r="7046" spans="1:1" ht="12.75" customHeight="1">
      <c r="A7046" s="129">
        <v>7046</v>
      </c>
    </row>
    <row r="7047" spans="1:1" ht="12.75" customHeight="1">
      <c r="A7047" s="129">
        <v>7047</v>
      </c>
    </row>
    <row r="7048" spans="1:1" ht="12.75" customHeight="1">
      <c r="A7048" s="129">
        <v>7048</v>
      </c>
    </row>
    <row r="7049" spans="1:1" ht="12.75" customHeight="1">
      <c r="A7049" s="129">
        <v>7049</v>
      </c>
    </row>
    <row r="7050" spans="1:1" ht="12.75" customHeight="1">
      <c r="A7050" s="129">
        <v>7050</v>
      </c>
    </row>
    <row r="7051" spans="1:1" ht="12.75" customHeight="1">
      <c r="A7051" s="129">
        <v>7051</v>
      </c>
    </row>
    <row r="7052" spans="1:1" ht="12.75" customHeight="1">
      <c r="A7052" s="129">
        <v>7052</v>
      </c>
    </row>
    <row r="7053" spans="1:1" ht="12.75" customHeight="1">
      <c r="A7053" s="129">
        <v>7053</v>
      </c>
    </row>
    <row r="7054" spans="1:1" ht="12.75" customHeight="1">
      <c r="A7054" s="129">
        <v>7054</v>
      </c>
    </row>
    <row r="7055" spans="1:1" ht="12.75" customHeight="1">
      <c r="A7055" s="129">
        <v>7055</v>
      </c>
    </row>
    <row r="7056" spans="1:1" ht="12.75" customHeight="1">
      <c r="A7056" s="129">
        <v>7056</v>
      </c>
    </row>
    <row r="7057" spans="1:1" ht="12.75" customHeight="1">
      <c r="A7057" s="129">
        <v>7057</v>
      </c>
    </row>
    <row r="7058" spans="1:1" ht="12.75" customHeight="1">
      <c r="A7058" s="129">
        <v>7058</v>
      </c>
    </row>
    <row r="7059" spans="1:1" ht="12.75" customHeight="1">
      <c r="A7059" s="129">
        <v>7059</v>
      </c>
    </row>
    <row r="7060" spans="1:1" ht="12.75" customHeight="1">
      <c r="A7060" s="129">
        <v>7060</v>
      </c>
    </row>
    <row r="7061" spans="1:1" ht="12.75" customHeight="1">
      <c r="A7061" s="129">
        <v>7061</v>
      </c>
    </row>
    <row r="7062" spans="1:1" ht="12.75" customHeight="1">
      <c r="A7062" s="129">
        <v>7062</v>
      </c>
    </row>
    <row r="7063" spans="1:1" ht="12.75" customHeight="1">
      <c r="A7063" s="129">
        <v>7063</v>
      </c>
    </row>
    <row r="7064" spans="1:1" ht="12.75" customHeight="1">
      <c r="A7064" s="129">
        <v>7064</v>
      </c>
    </row>
    <row r="7065" spans="1:1" ht="12.75" customHeight="1">
      <c r="A7065" s="129">
        <v>7065</v>
      </c>
    </row>
    <row r="7066" spans="1:1" ht="12.75" customHeight="1">
      <c r="A7066" s="129">
        <v>7066</v>
      </c>
    </row>
    <row r="7067" spans="1:1" ht="12.75" customHeight="1">
      <c r="A7067" s="129">
        <v>7067</v>
      </c>
    </row>
    <row r="7068" spans="1:1" ht="12.75" customHeight="1">
      <c r="A7068" s="129">
        <v>7068</v>
      </c>
    </row>
    <row r="7069" spans="1:1" ht="12.75" customHeight="1">
      <c r="A7069" s="129">
        <v>7069</v>
      </c>
    </row>
    <row r="7070" spans="1:1" ht="12.75" customHeight="1">
      <c r="A7070" s="129">
        <v>7070</v>
      </c>
    </row>
    <row r="7071" spans="1:1" ht="12.75" customHeight="1">
      <c r="A7071" s="129">
        <v>7071</v>
      </c>
    </row>
    <row r="7072" spans="1:1" ht="12.75" customHeight="1">
      <c r="A7072" s="129">
        <v>7072</v>
      </c>
    </row>
    <row r="7073" spans="1:1" ht="12.75" customHeight="1">
      <c r="A7073" s="129">
        <v>7073</v>
      </c>
    </row>
    <row r="7074" spans="1:1" ht="12.75" customHeight="1">
      <c r="A7074" s="129">
        <v>7074</v>
      </c>
    </row>
    <row r="7075" spans="1:1" ht="12.75" customHeight="1">
      <c r="A7075" s="129">
        <v>7075</v>
      </c>
    </row>
    <row r="7076" spans="1:1" ht="12.75" customHeight="1">
      <c r="A7076" s="129">
        <v>7076</v>
      </c>
    </row>
    <row r="7077" spans="1:1" ht="12.75" customHeight="1">
      <c r="A7077" s="129">
        <v>7077</v>
      </c>
    </row>
    <row r="7078" spans="1:1" ht="12.75" customHeight="1">
      <c r="A7078" s="129">
        <v>7078</v>
      </c>
    </row>
    <row r="7079" spans="1:1" ht="12.75" customHeight="1">
      <c r="A7079" s="129">
        <v>7079</v>
      </c>
    </row>
    <row r="7080" spans="1:1" ht="12.75" customHeight="1">
      <c r="A7080" s="129">
        <v>7080</v>
      </c>
    </row>
    <row r="7081" spans="1:1" ht="12.75" customHeight="1">
      <c r="A7081" s="129">
        <v>7081</v>
      </c>
    </row>
    <row r="7082" spans="1:1" ht="12.75" customHeight="1">
      <c r="A7082" s="129">
        <v>7082</v>
      </c>
    </row>
    <row r="7083" spans="1:1" ht="12.75" customHeight="1">
      <c r="A7083" s="129">
        <v>7083</v>
      </c>
    </row>
    <row r="7084" spans="1:1" ht="12.75" customHeight="1">
      <c r="A7084" s="129">
        <v>7084</v>
      </c>
    </row>
    <row r="7085" spans="1:1" ht="12.75" customHeight="1">
      <c r="A7085" s="129">
        <v>7085</v>
      </c>
    </row>
    <row r="7086" spans="1:1" ht="12.75" customHeight="1">
      <c r="A7086" s="129">
        <v>7086</v>
      </c>
    </row>
    <row r="7087" spans="1:1" ht="12.75" customHeight="1">
      <c r="A7087" s="129">
        <v>7087</v>
      </c>
    </row>
    <row r="7088" spans="1:1" ht="12.75" customHeight="1">
      <c r="A7088" s="129">
        <v>7088</v>
      </c>
    </row>
    <row r="7089" spans="1:1" ht="12.75" customHeight="1">
      <c r="A7089" s="129">
        <v>7089</v>
      </c>
    </row>
    <row r="7090" spans="1:1" ht="12.75" customHeight="1">
      <c r="A7090" s="129">
        <v>7090</v>
      </c>
    </row>
    <row r="7091" spans="1:1" ht="12.75" customHeight="1">
      <c r="A7091" s="129">
        <v>7091</v>
      </c>
    </row>
    <row r="7092" spans="1:1" ht="12.75" customHeight="1">
      <c r="A7092" s="129">
        <v>7092</v>
      </c>
    </row>
    <row r="7093" spans="1:1" ht="12.75" customHeight="1">
      <c r="A7093" s="129">
        <v>7093</v>
      </c>
    </row>
    <row r="7094" spans="1:1" ht="12.75" customHeight="1">
      <c r="A7094" s="129">
        <v>7094</v>
      </c>
    </row>
    <row r="7095" spans="1:1" ht="12.75" customHeight="1">
      <c r="A7095" s="129">
        <v>7095</v>
      </c>
    </row>
    <row r="7096" spans="1:1" ht="12.75" customHeight="1">
      <c r="A7096" s="129">
        <v>7096</v>
      </c>
    </row>
    <row r="7097" spans="1:1" ht="12.75" customHeight="1">
      <c r="A7097" s="129">
        <v>7097</v>
      </c>
    </row>
    <row r="7098" spans="1:1" ht="12.75" customHeight="1">
      <c r="A7098" s="129">
        <v>7098</v>
      </c>
    </row>
    <row r="7099" spans="1:1" ht="12.75" customHeight="1">
      <c r="A7099" s="129">
        <v>7099</v>
      </c>
    </row>
    <row r="7100" spans="1:1" ht="12.75" customHeight="1">
      <c r="A7100" s="129">
        <v>7100</v>
      </c>
    </row>
    <row r="7101" spans="1:1" ht="12.75" customHeight="1">
      <c r="A7101" s="129">
        <v>7101</v>
      </c>
    </row>
    <row r="7102" spans="1:1" ht="12.75" customHeight="1">
      <c r="A7102" s="129">
        <v>7102</v>
      </c>
    </row>
    <row r="7103" spans="1:1" ht="12.75" customHeight="1">
      <c r="A7103" s="129">
        <v>7103</v>
      </c>
    </row>
    <row r="7104" spans="1:1" ht="12.75" customHeight="1">
      <c r="A7104" s="129">
        <v>7104</v>
      </c>
    </row>
    <row r="7105" spans="1:1" ht="12.75" customHeight="1">
      <c r="A7105" s="129">
        <v>7105</v>
      </c>
    </row>
    <row r="7106" spans="1:1" ht="12.75" customHeight="1">
      <c r="A7106" s="129">
        <v>7106</v>
      </c>
    </row>
    <row r="7107" spans="1:1" ht="12.75" customHeight="1">
      <c r="A7107" s="129">
        <v>7107</v>
      </c>
    </row>
    <row r="7108" spans="1:1" ht="12.75" customHeight="1">
      <c r="A7108" s="129">
        <v>7108</v>
      </c>
    </row>
    <row r="7109" spans="1:1" ht="12.75" customHeight="1">
      <c r="A7109" s="129">
        <v>7109</v>
      </c>
    </row>
    <row r="7110" spans="1:1" ht="12.75" customHeight="1">
      <c r="A7110" s="129">
        <v>7110</v>
      </c>
    </row>
    <row r="7111" spans="1:1" ht="12.75" customHeight="1">
      <c r="A7111" s="129">
        <v>7111</v>
      </c>
    </row>
    <row r="7112" spans="1:1" ht="12.75" customHeight="1">
      <c r="A7112" s="129">
        <v>7112</v>
      </c>
    </row>
    <row r="7113" spans="1:1" ht="12.75" customHeight="1">
      <c r="A7113" s="129">
        <v>7113</v>
      </c>
    </row>
    <row r="7114" spans="1:1" ht="12.75" customHeight="1">
      <c r="A7114" s="129">
        <v>7114</v>
      </c>
    </row>
    <row r="7115" spans="1:1" ht="12.75" customHeight="1">
      <c r="A7115" s="129">
        <v>7115</v>
      </c>
    </row>
    <row r="7116" spans="1:1" ht="12.75" customHeight="1">
      <c r="A7116" s="129">
        <v>7116</v>
      </c>
    </row>
    <row r="7117" spans="1:1" ht="12.75" customHeight="1">
      <c r="A7117" s="129">
        <v>7117</v>
      </c>
    </row>
    <row r="7118" spans="1:1" ht="12.75" customHeight="1">
      <c r="A7118" s="129">
        <v>7118</v>
      </c>
    </row>
    <row r="7119" spans="1:1" ht="12.75" customHeight="1">
      <c r="A7119" s="129">
        <v>7119</v>
      </c>
    </row>
    <row r="7120" spans="1:1" ht="12.75" customHeight="1">
      <c r="A7120" s="129">
        <v>7120</v>
      </c>
    </row>
    <row r="7121" spans="1:1" ht="12.75" customHeight="1">
      <c r="A7121" s="129">
        <v>7121</v>
      </c>
    </row>
    <row r="7122" spans="1:1" ht="12.75" customHeight="1">
      <c r="A7122" s="129">
        <v>7122</v>
      </c>
    </row>
    <row r="7123" spans="1:1" ht="12.75" customHeight="1">
      <c r="A7123" s="129">
        <v>7123</v>
      </c>
    </row>
    <row r="7124" spans="1:1" ht="12.75" customHeight="1">
      <c r="A7124" s="129">
        <v>7124</v>
      </c>
    </row>
    <row r="7125" spans="1:1" ht="12.75" customHeight="1">
      <c r="A7125" s="129">
        <v>7125</v>
      </c>
    </row>
    <row r="7126" spans="1:1" ht="12.75" customHeight="1">
      <c r="A7126" s="129">
        <v>7126</v>
      </c>
    </row>
    <row r="7127" spans="1:1" ht="12.75" customHeight="1">
      <c r="A7127" s="129">
        <v>7127</v>
      </c>
    </row>
    <row r="7128" spans="1:1" ht="12.75" customHeight="1">
      <c r="A7128" s="129">
        <v>7128</v>
      </c>
    </row>
    <row r="7129" spans="1:1" ht="12.75" customHeight="1">
      <c r="A7129" s="129">
        <v>7129</v>
      </c>
    </row>
    <row r="7130" spans="1:1" ht="12.75" customHeight="1">
      <c r="A7130" s="129">
        <v>7130</v>
      </c>
    </row>
    <row r="7131" spans="1:1" ht="12.75" customHeight="1">
      <c r="A7131" s="129">
        <v>7131</v>
      </c>
    </row>
    <row r="7132" spans="1:1" ht="12.75" customHeight="1">
      <c r="A7132" s="129">
        <v>7132</v>
      </c>
    </row>
    <row r="7133" spans="1:1" ht="12.75" customHeight="1">
      <c r="A7133" s="129">
        <v>7133</v>
      </c>
    </row>
    <row r="7134" spans="1:1" ht="12.75" customHeight="1">
      <c r="A7134" s="129">
        <v>7134</v>
      </c>
    </row>
    <row r="7135" spans="1:1" ht="12.75" customHeight="1">
      <c r="A7135" s="129">
        <v>7135</v>
      </c>
    </row>
    <row r="7136" spans="1:1" ht="12.75" customHeight="1">
      <c r="A7136" s="129">
        <v>7136</v>
      </c>
    </row>
    <row r="7137" spans="1:1" ht="12.75" customHeight="1">
      <c r="A7137" s="129">
        <v>7137</v>
      </c>
    </row>
    <row r="7138" spans="1:1" ht="12.75" customHeight="1">
      <c r="A7138" s="129">
        <v>7138</v>
      </c>
    </row>
    <row r="7139" spans="1:1" ht="12.75" customHeight="1">
      <c r="A7139" s="129">
        <v>7139</v>
      </c>
    </row>
    <row r="7140" spans="1:1" ht="12.75" customHeight="1">
      <c r="A7140" s="129">
        <v>7140</v>
      </c>
    </row>
    <row r="7141" spans="1:1" ht="12.75" customHeight="1">
      <c r="A7141" s="129">
        <v>7141</v>
      </c>
    </row>
    <row r="7142" spans="1:1" ht="12.75" customHeight="1">
      <c r="A7142" s="129">
        <v>7142</v>
      </c>
    </row>
    <row r="7143" spans="1:1" ht="12.75" customHeight="1">
      <c r="A7143" s="129">
        <v>7143</v>
      </c>
    </row>
    <row r="7144" spans="1:1" ht="12.75" customHeight="1">
      <c r="A7144" s="129">
        <v>7144</v>
      </c>
    </row>
    <row r="7145" spans="1:1" ht="12.75" customHeight="1">
      <c r="A7145" s="129">
        <v>7145</v>
      </c>
    </row>
    <row r="7146" spans="1:1" ht="12.75" customHeight="1">
      <c r="A7146" s="129">
        <v>7146</v>
      </c>
    </row>
    <row r="7147" spans="1:1" ht="12.75" customHeight="1">
      <c r="A7147" s="129">
        <v>7147</v>
      </c>
    </row>
    <row r="7148" spans="1:1" ht="12.75" customHeight="1">
      <c r="A7148" s="129">
        <v>7148</v>
      </c>
    </row>
    <row r="7149" spans="1:1" ht="12.75" customHeight="1">
      <c r="A7149" s="129">
        <v>7149</v>
      </c>
    </row>
    <row r="7150" spans="1:1" ht="12.75" customHeight="1">
      <c r="A7150" s="129">
        <v>7150</v>
      </c>
    </row>
    <row r="7151" spans="1:1" ht="12.75" customHeight="1">
      <c r="A7151" s="129">
        <v>7151</v>
      </c>
    </row>
    <row r="7152" spans="1:1" ht="12.75" customHeight="1">
      <c r="A7152" s="129">
        <v>7152</v>
      </c>
    </row>
    <row r="7153" spans="1:1" ht="12.75" customHeight="1">
      <c r="A7153" s="129">
        <v>7153</v>
      </c>
    </row>
    <row r="7154" spans="1:1" ht="12.75" customHeight="1">
      <c r="A7154" s="129">
        <v>7154</v>
      </c>
    </row>
    <row r="7155" spans="1:1" ht="12.75" customHeight="1">
      <c r="A7155" s="129">
        <v>7155</v>
      </c>
    </row>
    <row r="7156" spans="1:1" ht="12.75" customHeight="1">
      <c r="A7156" s="129">
        <v>7156</v>
      </c>
    </row>
    <row r="7157" spans="1:1" ht="12.75" customHeight="1">
      <c r="A7157" s="129">
        <v>7157</v>
      </c>
    </row>
    <row r="7158" spans="1:1" ht="12.75" customHeight="1">
      <c r="A7158" s="129">
        <v>7158</v>
      </c>
    </row>
    <row r="7159" spans="1:1" ht="12.75" customHeight="1">
      <c r="A7159" s="129">
        <v>7159</v>
      </c>
    </row>
    <row r="7160" spans="1:1" ht="12.75" customHeight="1">
      <c r="A7160" s="129">
        <v>7160</v>
      </c>
    </row>
    <row r="7161" spans="1:1" ht="12.75" customHeight="1">
      <c r="A7161" s="129">
        <v>7161</v>
      </c>
    </row>
    <row r="7162" spans="1:1" ht="12.75" customHeight="1">
      <c r="A7162" s="129">
        <v>7162</v>
      </c>
    </row>
    <row r="7163" spans="1:1" ht="12.75" customHeight="1">
      <c r="A7163" s="129">
        <v>7163</v>
      </c>
    </row>
    <row r="7164" spans="1:1" ht="12.75" customHeight="1">
      <c r="A7164" s="129">
        <v>7164</v>
      </c>
    </row>
    <row r="7165" spans="1:1" ht="12.75" customHeight="1">
      <c r="A7165" s="129">
        <v>7165</v>
      </c>
    </row>
    <row r="7166" spans="1:1" ht="12.75" customHeight="1">
      <c r="A7166" s="129">
        <v>7166</v>
      </c>
    </row>
    <row r="7167" spans="1:1" ht="12.75" customHeight="1">
      <c r="A7167" s="129">
        <v>7167</v>
      </c>
    </row>
    <row r="7168" spans="1:1" ht="12.75" customHeight="1">
      <c r="A7168" s="129">
        <v>7168</v>
      </c>
    </row>
    <row r="7169" spans="1:1" ht="12.75" customHeight="1">
      <c r="A7169" s="129">
        <v>7169</v>
      </c>
    </row>
    <row r="7170" spans="1:1" ht="12.75" customHeight="1">
      <c r="A7170" s="129">
        <v>7170</v>
      </c>
    </row>
    <row r="7171" spans="1:1" ht="12.75" customHeight="1">
      <c r="A7171" s="129">
        <v>7171</v>
      </c>
    </row>
    <row r="7172" spans="1:1" ht="12.75" customHeight="1">
      <c r="A7172" s="129">
        <v>7172</v>
      </c>
    </row>
    <row r="7173" spans="1:1" ht="12.75" customHeight="1">
      <c r="A7173" s="129">
        <v>7173</v>
      </c>
    </row>
    <row r="7174" spans="1:1" ht="12.75" customHeight="1">
      <c r="A7174" s="129">
        <v>7174</v>
      </c>
    </row>
    <row r="7175" spans="1:1" ht="12.75" customHeight="1">
      <c r="A7175" s="129">
        <v>7175</v>
      </c>
    </row>
    <row r="7176" spans="1:1" ht="12.75" customHeight="1">
      <c r="A7176" s="129">
        <v>7176</v>
      </c>
    </row>
    <row r="7177" spans="1:1" ht="12.75" customHeight="1">
      <c r="A7177" s="129">
        <v>7177</v>
      </c>
    </row>
    <row r="7178" spans="1:1" ht="12.75" customHeight="1">
      <c r="A7178" s="129">
        <v>7178</v>
      </c>
    </row>
    <row r="7179" spans="1:1" ht="12.75" customHeight="1">
      <c r="A7179" s="129">
        <v>7179</v>
      </c>
    </row>
    <row r="7180" spans="1:1" ht="12.75" customHeight="1">
      <c r="A7180" s="129">
        <v>7180</v>
      </c>
    </row>
    <row r="7181" spans="1:1" ht="12.75" customHeight="1">
      <c r="A7181" s="129">
        <v>7181</v>
      </c>
    </row>
    <row r="7182" spans="1:1" ht="12.75" customHeight="1">
      <c r="A7182" s="129">
        <v>7182</v>
      </c>
    </row>
    <row r="7183" spans="1:1" ht="12.75" customHeight="1">
      <c r="A7183" s="129">
        <v>7183</v>
      </c>
    </row>
    <row r="7184" spans="1:1" ht="12.75" customHeight="1">
      <c r="A7184" s="129">
        <v>7184</v>
      </c>
    </row>
    <row r="7185" spans="1:1" ht="12.75" customHeight="1">
      <c r="A7185" s="129">
        <v>7185</v>
      </c>
    </row>
    <row r="7186" spans="1:1" ht="12.75" customHeight="1">
      <c r="A7186" s="129">
        <v>7186</v>
      </c>
    </row>
    <row r="7187" spans="1:1" ht="12.75" customHeight="1">
      <c r="A7187" s="129">
        <v>7187</v>
      </c>
    </row>
    <row r="7188" spans="1:1" ht="12.75" customHeight="1">
      <c r="A7188" s="129">
        <v>7188</v>
      </c>
    </row>
    <row r="7189" spans="1:1" ht="12.75" customHeight="1">
      <c r="A7189" s="129">
        <v>7189</v>
      </c>
    </row>
    <row r="7190" spans="1:1" ht="12.75" customHeight="1">
      <c r="A7190" s="129">
        <v>7190</v>
      </c>
    </row>
    <row r="7191" spans="1:1" ht="12.75" customHeight="1">
      <c r="A7191" s="129">
        <v>7191</v>
      </c>
    </row>
    <row r="7192" spans="1:1" ht="12.75" customHeight="1">
      <c r="A7192" s="129">
        <v>7192</v>
      </c>
    </row>
    <row r="7193" spans="1:1" ht="12.75" customHeight="1">
      <c r="A7193" s="129">
        <v>7193</v>
      </c>
    </row>
    <row r="7194" spans="1:1" ht="12.75" customHeight="1">
      <c r="A7194" s="129">
        <v>7194</v>
      </c>
    </row>
    <row r="7195" spans="1:1" ht="12.75" customHeight="1">
      <c r="A7195" s="129">
        <v>7195</v>
      </c>
    </row>
    <row r="7196" spans="1:1" ht="12.75" customHeight="1">
      <c r="A7196" s="129">
        <v>7196</v>
      </c>
    </row>
    <row r="7197" spans="1:1" ht="12.75" customHeight="1">
      <c r="A7197" s="129">
        <v>7197</v>
      </c>
    </row>
    <row r="7198" spans="1:1" ht="12.75" customHeight="1">
      <c r="A7198" s="129">
        <v>7198</v>
      </c>
    </row>
    <row r="7199" spans="1:1" ht="12.75" customHeight="1">
      <c r="A7199" s="129">
        <v>7199</v>
      </c>
    </row>
    <row r="7200" spans="1:1" ht="12.75" customHeight="1">
      <c r="A7200" s="129">
        <v>7200</v>
      </c>
    </row>
    <row r="7201" spans="1:1" ht="12.75" customHeight="1">
      <c r="A7201" s="129">
        <v>7201</v>
      </c>
    </row>
    <row r="7202" spans="1:1" ht="12.75" customHeight="1">
      <c r="A7202" s="129">
        <v>7202</v>
      </c>
    </row>
    <row r="7203" spans="1:1" ht="12.75" customHeight="1">
      <c r="A7203" s="129">
        <v>7203</v>
      </c>
    </row>
    <row r="7204" spans="1:1" ht="12.75" customHeight="1">
      <c r="A7204" s="129">
        <v>7204</v>
      </c>
    </row>
    <row r="7205" spans="1:1" ht="12.75" customHeight="1">
      <c r="A7205" s="129">
        <v>7205</v>
      </c>
    </row>
    <row r="7206" spans="1:1" ht="12.75" customHeight="1">
      <c r="A7206" s="129">
        <v>7206</v>
      </c>
    </row>
    <row r="7207" spans="1:1" ht="12.75" customHeight="1">
      <c r="A7207" s="129">
        <v>7207</v>
      </c>
    </row>
    <row r="7208" spans="1:1" ht="12.75" customHeight="1">
      <c r="A7208" s="129">
        <v>7208</v>
      </c>
    </row>
    <row r="7209" spans="1:1" ht="12.75" customHeight="1">
      <c r="A7209" s="129">
        <v>7209</v>
      </c>
    </row>
    <row r="7210" spans="1:1" ht="12.75" customHeight="1">
      <c r="A7210" s="129">
        <v>7210</v>
      </c>
    </row>
    <row r="7211" spans="1:1" ht="12.75" customHeight="1">
      <c r="A7211" s="129">
        <v>7211</v>
      </c>
    </row>
    <row r="7212" spans="1:1" ht="12.75" customHeight="1">
      <c r="A7212" s="129">
        <v>7212</v>
      </c>
    </row>
    <row r="7213" spans="1:1" ht="12.75" customHeight="1">
      <c r="A7213" s="129">
        <v>7213</v>
      </c>
    </row>
    <row r="7214" spans="1:1" ht="12.75" customHeight="1">
      <c r="A7214" s="129">
        <v>7214</v>
      </c>
    </row>
    <row r="7215" spans="1:1" ht="12.75" customHeight="1">
      <c r="A7215" s="129">
        <v>7215</v>
      </c>
    </row>
    <row r="7216" spans="1:1" ht="12.75" customHeight="1">
      <c r="A7216" s="129">
        <v>7216</v>
      </c>
    </row>
    <row r="7217" spans="1:1" ht="12.75" customHeight="1">
      <c r="A7217" s="129">
        <v>7217</v>
      </c>
    </row>
    <row r="7218" spans="1:1" ht="12.75" customHeight="1">
      <c r="A7218" s="129">
        <v>7218</v>
      </c>
    </row>
    <row r="7219" spans="1:1" ht="12.75" customHeight="1">
      <c r="A7219" s="129">
        <v>7219</v>
      </c>
    </row>
    <row r="7220" spans="1:1" ht="12.75" customHeight="1">
      <c r="A7220" s="129">
        <v>7220</v>
      </c>
    </row>
    <row r="7221" spans="1:1" ht="12.75" customHeight="1">
      <c r="A7221" s="129">
        <v>7221</v>
      </c>
    </row>
    <row r="7222" spans="1:1" ht="12.75" customHeight="1">
      <c r="A7222" s="129">
        <v>7222</v>
      </c>
    </row>
    <row r="7223" spans="1:1" ht="12.75" customHeight="1">
      <c r="A7223" s="129">
        <v>7223</v>
      </c>
    </row>
    <row r="7224" spans="1:1" ht="12.75" customHeight="1">
      <c r="A7224" s="129">
        <v>7224</v>
      </c>
    </row>
    <row r="7225" spans="1:1" ht="12.75" customHeight="1">
      <c r="A7225" s="129">
        <v>7225</v>
      </c>
    </row>
    <row r="7226" spans="1:1" ht="12.75" customHeight="1">
      <c r="A7226" s="129">
        <v>7226</v>
      </c>
    </row>
    <row r="7227" spans="1:1" ht="12.75" customHeight="1">
      <c r="A7227" s="129">
        <v>7227</v>
      </c>
    </row>
    <row r="7228" spans="1:1" ht="12.75" customHeight="1">
      <c r="A7228" s="129">
        <v>7228</v>
      </c>
    </row>
    <row r="7229" spans="1:1" ht="12.75" customHeight="1">
      <c r="A7229" s="129">
        <v>7229</v>
      </c>
    </row>
    <row r="7230" spans="1:1" ht="12.75" customHeight="1">
      <c r="A7230" s="129">
        <v>7230</v>
      </c>
    </row>
    <row r="7231" spans="1:1" ht="12.75" customHeight="1">
      <c r="A7231" s="129">
        <v>7231</v>
      </c>
    </row>
    <row r="7232" spans="1:1" ht="12.75" customHeight="1">
      <c r="A7232" s="129">
        <v>7232</v>
      </c>
    </row>
    <row r="7233" spans="1:1" ht="12.75" customHeight="1">
      <c r="A7233" s="129">
        <v>7233</v>
      </c>
    </row>
    <row r="7234" spans="1:1" ht="12.75" customHeight="1">
      <c r="A7234" s="129">
        <v>7234</v>
      </c>
    </row>
    <row r="7235" spans="1:1" ht="12.75" customHeight="1">
      <c r="A7235" s="129">
        <v>7235</v>
      </c>
    </row>
    <row r="7236" spans="1:1" ht="12.75" customHeight="1">
      <c r="A7236" s="129">
        <v>7236</v>
      </c>
    </row>
    <row r="7237" spans="1:1" ht="12.75" customHeight="1">
      <c r="A7237" s="129">
        <v>7237</v>
      </c>
    </row>
    <row r="7238" spans="1:1" ht="12.75" customHeight="1">
      <c r="A7238" s="129">
        <v>7238</v>
      </c>
    </row>
    <row r="7239" spans="1:1" ht="12.75" customHeight="1">
      <c r="A7239" s="129">
        <v>7239</v>
      </c>
    </row>
    <row r="7240" spans="1:1" ht="12.75" customHeight="1">
      <c r="A7240" s="129">
        <v>7240</v>
      </c>
    </row>
    <row r="7241" spans="1:1" ht="12.75" customHeight="1">
      <c r="A7241" s="129">
        <v>7241</v>
      </c>
    </row>
    <row r="7242" spans="1:1" ht="12.75" customHeight="1">
      <c r="A7242" s="129">
        <v>7242</v>
      </c>
    </row>
    <row r="7243" spans="1:1" ht="12.75" customHeight="1">
      <c r="A7243" s="129">
        <v>7243</v>
      </c>
    </row>
    <row r="7244" spans="1:1" ht="12.75" customHeight="1">
      <c r="A7244" s="129">
        <v>7244</v>
      </c>
    </row>
    <row r="7245" spans="1:1" ht="12.75" customHeight="1">
      <c r="A7245" s="129">
        <v>7245</v>
      </c>
    </row>
    <row r="7246" spans="1:1" ht="12.75" customHeight="1">
      <c r="A7246" s="129">
        <v>7246</v>
      </c>
    </row>
    <row r="7247" spans="1:1" ht="12.75" customHeight="1">
      <c r="A7247" s="129">
        <v>7247</v>
      </c>
    </row>
    <row r="7248" spans="1:1" ht="12.75" customHeight="1">
      <c r="A7248" s="129">
        <v>7248</v>
      </c>
    </row>
    <row r="7249" spans="1:1" ht="12.75" customHeight="1">
      <c r="A7249" s="129">
        <v>7249</v>
      </c>
    </row>
    <row r="7250" spans="1:1" ht="12.75" customHeight="1">
      <c r="A7250" s="129">
        <v>7250</v>
      </c>
    </row>
    <row r="7251" spans="1:1" ht="12.75" customHeight="1">
      <c r="A7251" s="129">
        <v>7251</v>
      </c>
    </row>
    <row r="7252" spans="1:1" ht="12.75" customHeight="1">
      <c r="A7252" s="129">
        <v>7252</v>
      </c>
    </row>
    <row r="7253" spans="1:1" ht="12.75" customHeight="1">
      <c r="A7253" s="129">
        <v>7253</v>
      </c>
    </row>
    <row r="7254" spans="1:1" ht="12.75" customHeight="1">
      <c r="A7254" s="129">
        <v>7254</v>
      </c>
    </row>
    <row r="7255" spans="1:1" ht="12.75" customHeight="1">
      <c r="A7255" s="129">
        <v>7255</v>
      </c>
    </row>
    <row r="7256" spans="1:1" ht="12.75" customHeight="1">
      <c r="A7256" s="129">
        <v>7256</v>
      </c>
    </row>
    <row r="7257" spans="1:1" ht="12.75" customHeight="1">
      <c r="A7257" s="129">
        <v>7257</v>
      </c>
    </row>
    <row r="7258" spans="1:1" ht="12.75" customHeight="1">
      <c r="A7258" s="129">
        <v>7258</v>
      </c>
    </row>
    <row r="7259" spans="1:1" ht="12.75" customHeight="1">
      <c r="A7259" s="129">
        <v>7259</v>
      </c>
    </row>
    <row r="7260" spans="1:1" ht="12.75" customHeight="1">
      <c r="A7260" s="129">
        <v>7260</v>
      </c>
    </row>
    <row r="7261" spans="1:1" ht="12.75" customHeight="1">
      <c r="A7261" s="129">
        <v>7261</v>
      </c>
    </row>
    <row r="7262" spans="1:1" ht="12.75" customHeight="1">
      <c r="A7262" s="129">
        <v>7262</v>
      </c>
    </row>
    <row r="7263" spans="1:1" ht="12.75" customHeight="1">
      <c r="A7263" s="129">
        <v>7263</v>
      </c>
    </row>
    <row r="7264" spans="1:1" ht="12.75" customHeight="1">
      <c r="A7264" s="129">
        <v>7264</v>
      </c>
    </row>
    <row r="7265" spans="1:1" ht="12.75" customHeight="1">
      <c r="A7265" s="129">
        <v>7265</v>
      </c>
    </row>
    <row r="7266" spans="1:1" ht="12.75" customHeight="1">
      <c r="A7266" s="129">
        <v>7266</v>
      </c>
    </row>
    <row r="7267" spans="1:1" ht="12.75" customHeight="1">
      <c r="A7267" s="129">
        <v>7267</v>
      </c>
    </row>
    <row r="7268" spans="1:1" ht="12.75" customHeight="1">
      <c r="A7268" s="129">
        <v>7268</v>
      </c>
    </row>
    <row r="7269" spans="1:1" ht="12.75" customHeight="1">
      <c r="A7269" s="129">
        <v>7269</v>
      </c>
    </row>
    <row r="7270" spans="1:1" ht="12.75" customHeight="1">
      <c r="A7270" s="129">
        <v>7270</v>
      </c>
    </row>
    <row r="7271" spans="1:1" ht="12.75" customHeight="1">
      <c r="A7271" s="129">
        <v>7271</v>
      </c>
    </row>
    <row r="7272" spans="1:1" ht="12.75" customHeight="1">
      <c r="A7272" s="129">
        <v>7272</v>
      </c>
    </row>
    <row r="7273" spans="1:1" ht="12.75" customHeight="1">
      <c r="A7273" s="129">
        <v>7273</v>
      </c>
    </row>
    <row r="7274" spans="1:1" ht="12.75" customHeight="1">
      <c r="A7274" s="129">
        <v>7274</v>
      </c>
    </row>
    <row r="7275" spans="1:1" ht="12.75" customHeight="1">
      <c r="A7275" s="129">
        <v>7275</v>
      </c>
    </row>
    <row r="7276" spans="1:1" ht="12.75" customHeight="1">
      <c r="A7276" s="129">
        <v>7276</v>
      </c>
    </row>
    <row r="7277" spans="1:1" ht="12.75" customHeight="1">
      <c r="A7277" s="129">
        <v>7277</v>
      </c>
    </row>
    <row r="7278" spans="1:1" ht="12.75" customHeight="1">
      <c r="A7278" s="129">
        <v>7278</v>
      </c>
    </row>
    <row r="7279" spans="1:1" ht="12.75" customHeight="1">
      <c r="A7279" s="129">
        <v>7279</v>
      </c>
    </row>
    <row r="7280" spans="1:1" ht="12.75" customHeight="1">
      <c r="A7280" s="129">
        <v>7280</v>
      </c>
    </row>
    <row r="7281" spans="1:1" ht="12.75" customHeight="1">
      <c r="A7281" s="129">
        <v>7281</v>
      </c>
    </row>
    <row r="7282" spans="1:1" ht="12.75" customHeight="1">
      <c r="A7282" s="129">
        <v>7282</v>
      </c>
    </row>
    <row r="7283" spans="1:1" ht="12.75" customHeight="1">
      <c r="A7283" s="129">
        <v>7283</v>
      </c>
    </row>
    <row r="7284" spans="1:1" ht="12.75" customHeight="1">
      <c r="A7284" s="129">
        <v>7284</v>
      </c>
    </row>
    <row r="7285" spans="1:1" ht="12.75" customHeight="1">
      <c r="A7285" s="129">
        <v>7285</v>
      </c>
    </row>
    <row r="7286" spans="1:1" ht="12.75" customHeight="1">
      <c r="A7286" s="129">
        <v>7286</v>
      </c>
    </row>
    <row r="7287" spans="1:1" ht="12.75" customHeight="1">
      <c r="A7287" s="129">
        <v>7287</v>
      </c>
    </row>
    <row r="7288" spans="1:1" ht="12.75" customHeight="1">
      <c r="A7288" s="129">
        <v>7288</v>
      </c>
    </row>
    <row r="7289" spans="1:1" ht="12.75" customHeight="1">
      <c r="A7289" s="129">
        <v>7289</v>
      </c>
    </row>
    <row r="7290" spans="1:1" ht="12.75" customHeight="1">
      <c r="A7290" s="129">
        <v>7290</v>
      </c>
    </row>
    <row r="7291" spans="1:1" ht="12.75" customHeight="1">
      <c r="A7291" s="129">
        <v>7291</v>
      </c>
    </row>
    <row r="7292" spans="1:1" ht="12.75" customHeight="1">
      <c r="A7292" s="129">
        <v>7292</v>
      </c>
    </row>
    <row r="7293" spans="1:1" ht="12.75" customHeight="1">
      <c r="A7293" s="129">
        <v>7293</v>
      </c>
    </row>
    <row r="7294" spans="1:1" ht="12.75" customHeight="1">
      <c r="A7294" s="129">
        <v>7294</v>
      </c>
    </row>
    <row r="7295" spans="1:1" ht="12.75" customHeight="1">
      <c r="A7295" s="129">
        <v>7295</v>
      </c>
    </row>
    <row r="7296" spans="1:1" ht="12.75" customHeight="1">
      <c r="A7296" s="129">
        <v>7296</v>
      </c>
    </row>
    <row r="7297" spans="1:1" ht="12.75" customHeight="1">
      <c r="A7297" s="129">
        <v>7297</v>
      </c>
    </row>
    <row r="7298" spans="1:1" ht="12.75" customHeight="1">
      <c r="A7298" s="129">
        <v>7298</v>
      </c>
    </row>
    <row r="7299" spans="1:1" ht="12.75" customHeight="1">
      <c r="A7299" s="129">
        <v>7299</v>
      </c>
    </row>
    <row r="7300" spans="1:1" ht="12.75" customHeight="1">
      <c r="A7300" s="129">
        <v>7300</v>
      </c>
    </row>
    <row r="7301" spans="1:1" ht="12.75" customHeight="1">
      <c r="A7301" s="129">
        <v>7301</v>
      </c>
    </row>
    <row r="7302" spans="1:1" ht="12.75" customHeight="1">
      <c r="A7302" s="129">
        <v>7302</v>
      </c>
    </row>
    <row r="7303" spans="1:1" ht="12.75" customHeight="1">
      <c r="A7303" s="129">
        <v>7303</v>
      </c>
    </row>
    <row r="7304" spans="1:1" ht="12.75" customHeight="1">
      <c r="A7304" s="129">
        <v>7304</v>
      </c>
    </row>
    <row r="7305" spans="1:1" ht="12.75" customHeight="1">
      <c r="A7305" s="129">
        <v>7305</v>
      </c>
    </row>
    <row r="7306" spans="1:1" ht="12.75" customHeight="1">
      <c r="A7306" s="129">
        <v>7306</v>
      </c>
    </row>
    <row r="7307" spans="1:1" ht="12.75" customHeight="1">
      <c r="A7307" s="129">
        <v>7307</v>
      </c>
    </row>
    <row r="7308" spans="1:1" ht="12.75" customHeight="1">
      <c r="A7308" s="129">
        <v>7308</v>
      </c>
    </row>
    <row r="7309" spans="1:1" ht="12.75" customHeight="1">
      <c r="A7309" s="129">
        <v>7309</v>
      </c>
    </row>
    <row r="7310" spans="1:1" ht="12.75" customHeight="1">
      <c r="A7310" s="129">
        <v>7310</v>
      </c>
    </row>
    <row r="7311" spans="1:1" ht="12.75" customHeight="1">
      <c r="A7311" s="129">
        <v>7311</v>
      </c>
    </row>
    <row r="7312" spans="1:1" ht="12.75" customHeight="1">
      <c r="A7312" s="129">
        <v>7312</v>
      </c>
    </row>
    <row r="7313" spans="1:1" ht="12.75" customHeight="1">
      <c r="A7313" s="129">
        <v>7313</v>
      </c>
    </row>
    <row r="7314" spans="1:1" ht="12.75" customHeight="1">
      <c r="A7314" s="129">
        <v>7314</v>
      </c>
    </row>
    <row r="7315" spans="1:1" ht="12.75" customHeight="1">
      <c r="A7315" s="129">
        <v>7315</v>
      </c>
    </row>
    <row r="7316" spans="1:1" ht="12.75" customHeight="1">
      <c r="A7316" s="129">
        <v>7316</v>
      </c>
    </row>
    <row r="7317" spans="1:1" ht="12.75" customHeight="1">
      <c r="A7317" s="129">
        <v>7317</v>
      </c>
    </row>
    <row r="7318" spans="1:1" ht="12.75" customHeight="1">
      <c r="A7318" s="129">
        <v>7318</v>
      </c>
    </row>
    <row r="7319" spans="1:1" ht="12.75" customHeight="1">
      <c r="A7319" s="129">
        <v>7319</v>
      </c>
    </row>
    <row r="7320" spans="1:1" ht="12.75" customHeight="1">
      <c r="A7320" s="129">
        <v>7320</v>
      </c>
    </row>
    <row r="7321" spans="1:1" ht="12.75" customHeight="1">
      <c r="A7321" s="129">
        <v>7321</v>
      </c>
    </row>
    <row r="7322" spans="1:1" ht="12.75" customHeight="1">
      <c r="A7322" s="129">
        <v>7322</v>
      </c>
    </row>
    <row r="7323" spans="1:1" ht="12.75" customHeight="1">
      <c r="A7323" s="129">
        <v>7323</v>
      </c>
    </row>
    <row r="7324" spans="1:1" ht="12.75" customHeight="1">
      <c r="A7324" s="129">
        <v>7324</v>
      </c>
    </row>
    <row r="7325" spans="1:1" ht="12.75" customHeight="1">
      <c r="A7325" s="129">
        <v>7325</v>
      </c>
    </row>
    <row r="7326" spans="1:1" ht="12.75" customHeight="1">
      <c r="A7326" s="129">
        <v>7326</v>
      </c>
    </row>
    <row r="7327" spans="1:1" ht="12.75" customHeight="1">
      <c r="A7327" s="129">
        <v>7327</v>
      </c>
    </row>
    <row r="7328" spans="1:1" ht="12.75" customHeight="1">
      <c r="A7328" s="129">
        <v>7328</v>
      </c>
    </row>
    <row r="7329" spans="1:1" ht="12.75" customHeight="1">
      <c r="A7329" s="129">
        <v>7329</v>
      </c>
    </row>
    <row r="7330" spans="1:1" ht="12.75" customHeight="1">
      <c r="A7330" s="129">
        <v>7330</v>
      </c>
    </row>
    <row r="7331" spans="1:1" ht="12.75" customHeight="1">
      <c r="A7331" s="129">
        <v>7331</v>
      </c>
    </row>
    <row r="7332" spans="1:1" ht="12.75" customHeight="1">
      <c r="A7332" s="129">
        <v>7332</v>
      </c>
    </row>
    <row r="7333" spans="1:1" ht="12.75" customHeight="1">
      <c r="A7333" s="129">
        <v>7333</v>
      </c>
    </row>
    <row r="7334" spans="1:1" ht="12.75" customHeight="1">
      <c r="A7334" s="129">
        <v>7334</v>
      </c>
    </row>
    <row r="7335" spans="1:1" ht="12.75" customHeight="1">
      <c r="A7335" s="129">
        <v>7335</v>
      </c>
    </row>
    <row r="7336" spans="1:1" ht="12.75" customHeight="1">
      <c r="A7336" s="129">
        <v>7336</v>
      </c>
    </row>
    <row r="7337" spans="1:1" ht="12.75" customHeight="1">
      <c r="A7337" s="129">
        <v>7337</v>
      </c>
    </row>
    <row r="7338" spans="1:1" ht="12.75" customHeight="1">
      <c r="A7338" s="129">
        <v>7338</v>
      </c>
    </row>
    <row r="7339" spans="1:1" ht="12.75" customHeight="1">
      <c r="A7339" s="129">
        <v>7339</v>
      </c>
    </row>
    <row r="7340" spans="1:1" ht="12.75" customHeight="1">
      <c r="A7340" s="129">
        <v>7340</v>
      </c>
    </row>
    <row r="7341" spans="1:1" ht="12.75" customHeight="1">
      <c r="A7341" s="129">
        <v>7341</v>
      </c>
    </row>
    <row r="7342" spans="1:1" ht="12.75" customHeight="1">
      <c r="A7342" s="129">
        <v>7342</v>
      </c>
    </row>
    <row r="7343" spans="1:1" ht="12.75" customHeight="1">
      <c r="A7343" s="129">
        <v>7343</v>
      </c>
    </row>
    <row r="7344" spans="1:1" ht="12.75" customHeight="1">
      <c r="A7344" s="129">
        <v>7344</v>
      </c>
    </row>
    <row r="7345" spans="1:1" ht="12.75" customHeight="1">
      <c r="A7345" s="129">
        <v>7345</v>
      </c>
    </row>
    <row r="7346" spans="1:1" ht="12.75" customHeight="1">
      <c r="A7346" s="129">
        <v>7346</v>
      </c>
    </row>
    <row r="7347" spans="1:1" ht="12.75" customHeight="1">
      <c r="A7347" s="129">
        <v>7347</v>
      </c>
    </row>
    <row r="7348" spans="1:1" ht="12.75" customHeight="1">
      <c r="A7348" s="129">
        <v>7348</v>
      </c>
    </row>
    <row r="7349" spans="1:1" ht="12.75" customHeight="1">
      <c r="A7349" s="129">
        <v>7349</v>
      </c>
    </row>
    <row r="7350" spans="1:1" ht="12.75" customHeight="1">
      <c r="A7350" s="129">
        <v>7350</v>
      </c>
    </row>
    <row r="7351" spans="1:1" ht="12.75" customHeight="1">
      <c r="A7351" s="129">
        <v>7351</v>
      </c>
    </row>
    <row r="7352" spans="1:1" ht="12.75" customHeight="1">
      <c r="A7352" s="129">
        <v>7352</v>
      </c>
    </row>
    <row r="7353" spans="1:1" ht="12.75" customHeight="1">
      <c r="A7353" s="129">
        <v>7353</v>
      </c>
    </row>
    <row r="7354" spans="1:1" ht="12.75" customHeight="1">
      <c r="A7354" s="129">
        <v>7354</v>
      </c>
    </row>
    <row r="7355" spans="1:1" ht="12.75" customHeight="1">
      <c r="A7355" s="129">
        <v>7355</v>
      </c>
    </row>
    <row r="7356" spans="1:1" ht="12.75" customHeight="1">
      <c r="A7356" s="129">
        <v>7356</v>
      </c>
    </row>
    <row r="7357" spans="1:1" ht="12.75" customHeight="1">
      <c r="A7357" s="129">
        <v>7357</v>
      </c>
    </row>
    <row r="7358" spans="1:1" ht="12.75" customHeight="1">
      <c r="A7358" s="129">
        <v>7358</v>
      </c>
    </row>
    <row r="7359" spans="1:1" ht="12.75" customHeight="1">
      <c r="A7359" s="129">
        <v>7359</v>
      </c>
    </row>
    <row r="7360" spans="1:1" ht="12.75" customHeight="1">
      <c r="A7360" s="129">
        <v>7360</v>
      </c>
    </row>
    <row r="7361" spans="1:1" ht="12.75" customHeight="1">
      <c r="A7361" s="129">
        <v>7361</v>
      </c>
    </row>
    <row r="7362" spans="1:1" ht="12.75" customHeight="1">
      <c r="A7362" s="129">
        <v>7362</v>
      </c>
    </row>
    <row r="7363" spans="1:1" ht="12.75" customHeight="1">
      <c r="A7363" s="129">
        <v>7363</v>
      </c>
    </row>
    <row r="7364" spans="1:1" ht="12.75" customHeight="1">
      <c r="A7364" s="129">
        <v>7364</v>
      </c>
    </row>
    <row r="7365" spans="1:1" ht="12.75" customHeight="1">
      <c r="A7365" s="129">
        <v>7365</v>
      </c>
    </row>
    <row r="7366" spans="1:1" ht="12.75" customHeight="1">
      <c r="A7366" s="129">
        <v>7366</v>
      </c>
    </row>
    <row r="7367" spans="1:1" ht="12.75" customHeight="1">
      <c r="A7367" s="129">
        <v>7367</v>
      </c>
    </row>
    <row r="7368" spans="1:1" ht="12.75" customHeight="1">
      <c r="A7368" s="129">
        <v>7368</v>
      </c>
    </row>
    <row r="7369" spans="1:1" ht="12.75" customHeight="1">
      <c r="A7369" s="129">
        <v>7369</v>
      </c>
    </row>
    <row r="7370" spans="1:1" ht="12.75" customHeight="1">
      <c r="A7370" s="129">
        <v>7370</v>
      </c>
    </row>
    <row r="7371" spans="1:1" ht="12.75" customHeight="1">
      <c r="A7371" s="129">
        <v>7371</v>
      </c>
    </row>
    <row r="7372" spans="1:1" ht="12.75" customHeight="1">
      <c r="A7372" s="129">
        <v>7372</v>
      </c>
    </row>
    <row r="7373" spans="1:1" ht="12.75" customHeight="1">
      <c r="A7373" s="129">
        <v>7373</v>
      </c>
    </row>
    <row r="7374" spans="1:1" ht="12.75" customHeight="1">
      <c r="A7374" s="129">
        <v>7374</v>
      </c>
    </row>
    <row r="7375" spans="1:1" ht="12.75" customHeight="1">
      <c r="A7375" s="129">
        <v>7375</v>
      </c>
    </row>
    <row r="7376" spans="1:1" ht="12.75" customHeight="1">
      <c r="A7376" s="129">
        <v>7376</v>
      </c>
    </row>
    <row r="7377" spans="1:1" ht="12.75" customHeight="1">
      <c r="A7377" s="129">
        <v>7377</v>
      </c>
    </row>
    <row r="7378" spans="1:1" ht="12.75" customHeight="1">
      <c r="A7378" s="129">
        <v>7378</v>
      </c>
    </row>
    <row r="7379" spans="1:1" ht="12.75" customHeight="1">
      <c r="A7379" s="129">
        <v>7379</v>
      </c>
    </row>
    <row r="7380" spans="1:1" ht="12.75" customHeight="1">
      <c r="A7380" s="129">
        <v>7380</v>
      </c>
    </row>
    <row r="7381" spans="1:1" ht="12.75" customHeight="1">
      <c r="A7381" s="129">
        <v>7381</v>
      </c>
    </row>
    <row r="7382" spans="1:1" ht="12.75" customHeight="1">
      <c r="A7382" s="129">
        <v>7382</v>
      </c>
    </row>
    <row r="7383" spans="1:1" ht="12.75" customHeight="1">
      <c r="A7383" s="129">
        <v>7383</v>
      </c>
    </row>
    <row r="7384" spans="1:1" ht="12.75" customHeight="1">
      <c r="A7384" s="129">
        <v>7384</v>
      </c>
    </row>
    <row r="7385" spans="1:1" ht="12.75" customHeight="1">
      <c r="A7385" s="129">
        <v>7385</v>
      </c>
    </row>
    <row r="7386" spans="1:1" ht="12.75" customHeight="1">
      <c r="A7386" s="129">
        <v>7386</v>
      </c>
    </row>
    <row r="7387" spans="1:1" ht="12.75" customHeight="1">
      <c r="A7387" s="129">
        <v>7387</v>
      </c>
    </row>
    <row r="7388" spans="1:1" ht="12.75" customHeight="1">
      <c r="A7388" s="129">
        <v>7388</v>
      </c>
    </row>
    <row r="7389" spans="1:1" ht="12.75" customHeight="1">
      <c r="A7389" s="129">
        <v>7389</v>
      </c>
    </row>
    <row r="7390" spans="1:1" ht="12.75" customHeight="1">
      <c r="A7390" s="129">
        <v>7390</v>
      </c>
    </row>
    <row r="7391" spans="1:1" ht="12.75" customHeight="1">
      <c r="A7391" s="129">
        <v>7391</v>
      </c>
    </row>
    <row r="7392" spans="1:1" ht="12.75" customHeight="1">
      <c r="A7392" s="129">
        <v>7392</v>
      </c>
    </row>
    <row r="7393" spans="1:1" ht="12.75" customHeight="1">
      <c r="A7393" s="129">
        <v>7393</v>
      </c>
    </row>
    <row r="7394" spans="1:1" ht="12.75" customHeight="1">
      <c r="A7394" s="129">
        <v>7394</v>
      </c>
    </row>
    <row r="7395" spans="1:1" ht="12.75" customHeight="1">
      <c r="A7395" s="129">
        <v>7395</v>
      </c>
    </row>
    <row r="7396" spans="1:1" ht="12.75" customHeight="1">
      <c r="A7396" s="129">
        <v>7396</v>
      </c>
    </row>
    <row r="7397" spans="1:1" ht="12.75" customHeight="1">
      <c r="A7397" s="129">
        <v>7397</v>
      </c>
    </row>
    <row r="7398" spans="1:1" ht="12.75" customHeight="1">
      <c r="A7398" s="129">
        <v>7398</v>
      </c>
    </row>
    <row r="7399" spans="1:1" ht="12.75" customHeight="1">
      <c r="A7399" s="129">
        <v>7399</v>
      </c>
    </row>
    <row r="7400" spans="1:1" ht="12.75" customHeight="1">
      <c r="A7400" s="129">
        <v>7400</v>
      </c>
    </row>
    <row r="7401" spans="1:1" ht="12.75" customHeight="1">
      <c r="A7401" s="129">
        <v>7401</v>
      </c>
    </row>
    <row r="7402" spans="1:1" ht="12.75" customHeight="1">
      <c r="A7402" s="129">
        <v>7402</v>
      </c>
    </row>
    <row r="7403" spans="1:1" ht="12.75" customHeight="1">
      <c r="A7403" s="129">
        <v>7403</v>
      </c>
    </row>
    <row r="7404" spans="1:1" ht="12.75" customHeight="1">
      <c r="A7404" s="129">
        <v>7404</v>
      </c>
    </row>
    <row r="7405" spans="1:1" ht="12.75" customHeight="1">
      <c r="A7405" s="129">
        <v>7405</v>
      </c>
    </row>
    <row r="7406" spans="1:1" ht="12.75" customHeight="1">
      <c r="A7406" s="129">
        <v>7406</v>
      </c>
    </row>
    <row r="7407" spans="1:1" ht="12.75" customHeight="1">
      <c r="A7407" s="129">
        <v>7407</v>
      </c>
    </row>
    <row r="7408" spans="1:1" ht="12.75" customHeight="1">
      <c r="A7408" s="129">
        <v>7408</v>
      </c>
    </row>
    <row r="7409" spans="1:1" ht="12.75" customHeight="1">
      <c r="A7409" s="129">
        <v>7409</v>
      </c>
    </row>
    <row r="7410" spans="1:1" ht="12.75" customHeight="1">
      <c r="A7410" s="129">
        <v>7410</v>
      </c>
    </row>
    <row r="7411" spans="1:1" ht="12.75" customHeight="1">
      <c r="A7411" s="129">
        <v>7411</v>
      </c>
    </row>
    <row r="7412" spans="1:1" ht="12.75" customHeight="1">
      <c r="A7412" s="129">
        <v>7412</v>
      </c>
    </row>
    <row r="7413" spans="1:1" ht="12.75" customHeight="1">
      <c r="A7413" s="129">
        <v>7413</v>
      </c>
    </row>
    <row r="7414" spans="1:1" ht="12.75" customHeight="1">
      <c r="A7414" s="129">
        <v>7414</v>
      </c>
    </row>
    <row r="7415" spans="1:1" ht="12.75" customHeight="1">
      <c r="A7415" s="129">
        <v>7415</v>
      </c>
    </row>
    <row r="7416" spans="1:1" ht="12.75" customHeight="1">
      <c r="A7416" s="129">
        <v>7416</v>
      </c>
    </row>
    <row r="7417" spans="1:1" ht="12.75" customHeight="1">
      <c r="A7417" s="129">
        <v>7417</v>
      </c>
    </row>
    <row r="7418" spans="1:1" ht="12.75" customHeight="1">
      <c r="A7418" s="129">
        <v>7418</v>
      </c>
    </row>
    <row r="7419" spans="1:1" ht="12.75" customHeight="1">
      <c r="A7419" s="129">
        <v>7419</v>
      </c>
    </row>
    <row r="7420" spans="1:1" ht="12.75" customHeight="1">
      <c r="A7420" s="129">
        <v>7420</v>
      </c>
    </row>
    <row r="7421" spans="1:1" ht="12.75" customHeight="1">
      <c r="A7421" s="129">
        <v>7421</v>
      </c>
    </row>
    <row r="7422" spans="1:1" ht="12.75" customHeight="1">
      <c r="A7422" s="129">
        <v>7422</v>
      </c>
    </row>
    <row r="7423" spans="1:1" ht="12.75" customHeight="1">
      <c r="A7423" s="129">
        <v>7423</v>
      </c>
    </row>
    <row r="7424" spans="1:1" ht="12.75" customHeight="1">
      <c r="A7424" s="129">
        <v>7424</v>
      </c>
    </row>
    <row r="7425" spans="1:1" ht="12.75" customHeight="1">
      <c r="A7425" s="129">
        <v>7425</v>
      </c>
    </row>
    <row r="7426" spans="1:1" ht="12.75" customHeight="1">
      <c r="A7426" s="129">
        <v>7426</v>
      </c>
    </row>
    <row r="7427" spans="1:1" ht="12.75" customHeight="1">
      <c r="A7427" s="129">
        <v>7427</v>
      </c>
    </row>
    <row r="7428" spans="1:1" ht="12.75" customHeight="1">
      <c r="A7428" s="129">
        <v>7428</v>
      </c>
    </row>
    <row r="7429" spans="1:1" ht="12.75" customHeight="1">
      <c r="A7429" s="129">
        <v>7429</v>
      </c>
    </row>
    <row r="7430" spans="1:1" ht="12.75" customHeight="1">
      <c r="A7430" s="129">
        <v>7430</v>
      </c>
    </row>
    <row r="7431" spans="1:1" ht="12.75" customHeight="1">
      <c r="A7431" s="129">
        <v>7431</v>
      </c>
    </row>
    <row r="7432" spans="1:1" ht="12.75" customHeight="1">
      <c r="A7432" s="129">
        <v>7432</v>
      </c>
    </row>
    <row r="7433" spans="1:1" ht="12.75" customHeight="1">
      <c r="A7433" s="129">
        <v>7433</v>
      </c>
    </row>
    <row r="7434" spans="1:1" ht="12.75" customHeight="1">
      <c r="A7434" s="129">
        <v>7434</v>
      </c>
    </row>
    <row r="7435" spans="1:1" ht="12.75" customHeight="1">
      <c r="A7435" s="129">
        <v>7435</v>
      </c>
    </row>
    <row r="7436" spans="1:1" ht="12.75" customHeight="1">
      <c r="A7436" s="129">
        <v>7436</v>
      </c>
    </row>
    <row r="7437" spans="1:1" ht="12.75" customHeight="1">
      <c r="A7437" s="129">
        <v>7437</v>
      </c>
    </row>
    <row r="7438" spans="1:1" ht="12.75" customHeight="1">
      <c r="A7438" s="129">
        <v>7438</v>
      </c>
    </row>
    <row r="7439" spans="1:1" ht="12.75" customHeight="1">
      <c r="A7439" s="129">
        <v>7439</v>
      </c>
    </row>
    <row r="7440" spans="1:1" ht="12.75" customHeight="1">
      <c r="A7440" s="129">
        <v>7440</v>
      </c>
    </row>
    <row r="7441" spans="1:1" ht="12.75" customHeight="1">
      <c r="A7441" s="129">
        <v>7441</v>
      </c>
    </row>
    <row r="7442" spans="1:1" ht="12.75" customHeight="1">
      <c r="A7442" s="129">
        <v>7442</v>
      </c>
    </row>
    <row r="7443" spans="1:1" ht="12.75" customHeight="1">
      <c r="A7443" s="129">
        <v>7443</v>
      </c>
    </row>
    <row r="7444" spans="1:1" ht="12.75" customHeight="1">
      <c r="A7444" s="129">
        <v>7444</v>
      </c>
    </row>
    <row r="7445" spans="1:1" ht="12.75" customHeight="1">
      <c r="A7445" s="129">
        <v>7445</v>
      </c>
    </row>
    <row r="7446" spans="1:1" ht="12.75" customHeight="1">
      <c r="A7446" s="129">
        <v>7446</v>
      </c>
    </row>
    <row r="7447" spans="1:1" ht="12.75" customHeight="1">
      <c r="A7447" s="129">
        <v>7447</v>
      </c>
    </row>
    <row r="7448" spans="1:1" ht="12.75" customHeight="1">
      <c r="A7448" s="129">
        <v>7448</v>
      </c>
    </row>
    <row r="7449" spans="1:1" ht="12.75" customHeight="1">
      <c r="A7449" s="129">
        <v>7449</v>
      </c>
    </row>
    <row r="7450" spans="1:1" ht="12.75" customHeight="1">
      <c r="A7450" s="129">
        <v>7450</v>
      </c>
    </row>
    <row r="7451" spans="1:1" ht="12.75" customHeight="1">
      <c r="A7451" s="129">
        <v>7451</v>
      </c>
    </row>
    <row r="7452" spans="1:1" ht="12.75" customHeight="1">
      <c r="A7452" s="129">
        <v>7452</v>
      </c>
    </row>
    <row r="7453" spans="1:1" ht="12.75" customHeight="1">
      <c r="A7453" s="129">
        <v>7453</v>
      </c>
    </row>
    <row r="7454" spans="1:1" ht="12.75" customHeight="1">
      <c r="A7454" s="129">
        <v>7454</v>
      </c>
    </row>
    <row r="7455" spans="1:1" ht="12.75" customHeight="1">
      <c r="A7455" s="129">
        <v>7455</v>
      </c>
    </row>
    <row r="7456" spans="1:1" ht="12.75" customHeight="1">
      <c r="A7456" s="129">
        <v>7456</v>
      </c>
    </row>
    <row r="7457" spans="1:1" ht="12.75" customHeight="1">
      <c r="A7457" s="129">
        <v>7457</v>
      </c>
    </row>
    <row r="7458" spans="1:1" ht="12.75" customHeight="1">
      <c r="A7458" s="129">
        <v>7458</v>
      </c>
    </row>
    <row r="7459" spans="1:1" ht="12.75" customHeight="1">
      <c r="A7459" s="129">
        <v>7459</v>
      </c>
    </row>
    <row r="7460" spans="1:1" ht="12.75" customHeight="1">
      <c r="A7460" s="129">
        <v>7460</v>
      </c>
    </row>
    <row r="7461" spans="1:1" ht="12.75" customHeight="1">
      <c r="A7461" s="129">
        <v>7461</v>
      </c>
    </row>
    <row r="7462" spans="1:1" ht="12.75" customHeight="1">
      <c r="A7462" s="129">
        <v>7462</v>
      </c>
    </row>
    <row r="7463" spans="1:1" ht="12.75" customHeight="1">
      <c r="A7463" s="129">
        <v>7463</v>
      </c>
    </row>
    <row r="7464" spans="1:1" ht="12.75" customHeight="1">
      <c r="A7464" s="129">
        <v>7464</v>
      </c>
    </row>
    <row r="7465" spans="1:1" ht="12.75" customHeight="1">
      <c r="A7465" s="129">
        <v>7465</v>
      </c>
    </row>
    <row r="7466" spans="1:1" ht="12.75" customHeight="1">
      <c r="A7466" s="129">
        <v>7466</v>
      </c>
    </row>
    <row r="7467" spans="1:1" ht="12.75" customHeight="1">
      <c r="A7467" s="129">
        <v>7467</v>
      </c>
    </row>
    <row r="7468" spans="1:1" ht="12.75" customHeight="1">
      <c r="A7468" s="129">
        <v>7468</v>
      </c>
    </row>
    <row r="7469" spans="1:1" ht="12.75" customHeight="1">
      <c r="A7469" s="129">
        <v>7469</v>
      </c>
    </row>
    <row r="7470" spans="1:1" ht="12.75" customHeight="1">
      <c r="A7470" s="129">
        <v>7470</v>
      </c>
    </row>
    <row r="7471" spans="1:1" ht="12.75" customHeight="1">
      <c r="A7471" s="129">
        <v>7471</v>
      </c>
    </row>
    <row r="7472" spans="1:1" ht="12.75" customHeight="1">
      <c r="A7472" s="129">
        <v>7472</v>
      </c>
    </row>
    <row r="7473" spans="1:1" ht="12.75" customHeight="1">
      <c r="A7473" s="129">
        <v>7473</v>
      </c>
    </row>
    <row r="7474" spans="1:1" ht="12.75" customHeight="1">
      <c r="A7474" s="129">
        <v>7474</v>
      </c>
    </row>
    <row r="7475" spans="1:1" ht="12.75" customHeight="1">
      <c r="A7475" s="129">
        <v>7475</v>
      </c>
    </row>
    <row r="7476" spans="1:1" ht="12.75" customHeight="1">
      <c r="A7476" s="129">
        <v>7476</v>
      </c>
    </row>
    <row r="7477" spans="1:1" ht="12.75" customHeight="1">
      <c r="A7477" s="129">
        <v>7477</v>
      </c>
    </row>
    <row r="7478" spans="1:1" ht="12.75" customHeight="1">
      <c r="A7478" s="129">
        <v>7478</v>
      </c>
    </row>
    <row r="7479" spans="1:1" ht="12.75" customHeight="1">
      <c r="A7479" s="129">
        <v>7479</v>
      </c>
    </row>
    <row r="7480" spans="1:1" ht="12.75" customHeight="1">
      <c r="A7480" s="129">
        <v>7480</v>
      </c>
    </row>
    <row r="7481" spans="1:1" ht="12.75" customHeight="1">
      <c r="A7481" s="129">
        <v>7481</v>
      </c>
    </row>
    <row r="7482" spans="1:1" ht="12.75" customHeight="1">
      <c r="A7482" s="129">
        <v>7482</v>
      </c>
    </row>
    <row r="7483" spans="1:1" ht="12.75" customHeight="1">
      <c r="A7483" s="129">
        <v>7483</v>
      </c>
    </row>
    <row r="7484" spans="1:1" ht="12.75" customHeight="1">
      <c r="A7484" s="129">
        <v>7484</v>
      </c>
    </row>
    <row r="7485" spans="1:1" ht="12.75" customHeight="1">
      <c r="A7485" s="129">
        <v>7485</v>
      </c>
    </row>
    <row r="7486" spans="1:1" ht="12.75" customHeight="1">
      <c r="A7486" s="129">
        <v>7486</v>
      </c>
    </row>
    <row r="7487" spans="1:1" ht="12.75" customHeight="1">
      <c r="A7487" s="129">
        <v>7487</v>
      </c>
    </row>
    <row r="7488" spans="1:1" ht="12.75" customHeight="1">
      <c r="A7488" s="129">
        <v>7488</v>
      </c>
    </row>
    <row r="7489" spans="1:1" ht="12.75" customHeight="1">
      <c r="A7489" s="129">
        <v>7489</v>
      </c>
    </row>
    <row r="7490" spans="1:1" ht="12.75" customHeight="1">
      <c r="A7490" s="129">
        <v>7490</v>
      </c>
    </row>
    <row r="7491" spans="1:1" ht="12.75" customHeight="1">
      <c r="A7491" s="129">
        <v>7491</v>
      </c>
    </row>
    <row r="7492" spans="1:1" ht="12.75" customHeight="1">
      <c r="A7492" s="129">
        <v>7492</v>
      </c>
    </row>
    <row r="7493" spans="1:1" ht="12.75" customHeight="1">
      <c r="A7493" s="129">
        <v>7493</v>
      </c>
    </row>
    <row r="7494" spans="1:1" ht="12.75" customHeight="1">
      <c r="A7494" s="129">
        <v>7494</v>
      </c>
    </row>
    <row r="7495" spans="1:1" ht="12.75" customHeight="1">
      <c r="A7495" s="129">
        <v>7495</v>
      </c>
    </row>
    <row r="7496" spans="1:1" ht="12.75" customHeight="1">
      <c r="A7496" s="129">
        <v>7496</v>
      </c>
    </row>
    <row r="7497" spans="1:1" ht="12.75" customHeight="1">
      <c r="A7497" s="129">
        <v>7497</v>
      </c>
    </row>
    <row r="7498" spans="1:1" ht="12.75" customHeight="1">
      <c r="A7498" s="129">
        <v>7498</v>
      </c>
    </row>
    <row r="7499" spans="1:1" ht="12.75" customHeight="1">
      <c r="A7499" s="129">
        <v>7499</v>
      </c>
    </row>
    <row r="7500" spans="1:1" ht="12.75" customHeight="1">
      <c r="A7500" s="129">
        <v>7500</v>
      </c>
    </row>
    <row r="7501" spans="1:1" ht="12.75" customHeight="1">
      <c r="A7501" s="129">
        <v>7501</v>
      </c>
    </row>
    <row r="7502" spans="1:1" ht="12.75" customHeight="1">
      <c r="A7502" s="129">
        <v>7502</v>
      </c>
    </row>
    <row r="7503" spans="1:1" ht="12.75" customHeight="1">
      <c r="A7503" s="129">
        <v>7503</v>
      </c>
    </row>
    <row r="7504" spans="1:1" ht="12.75" customHeight="1">
      <c r="A7504" s="129">
        <v>7504</v>
      </c>
    </row>
    <row r="7505" spans="1:1" ht="12.75" customHeight="1">
      <c r="A7505" s="129">
        <v>7505</v>
      </c>
    </row>
    <row r="7506" spans="1:1" ht="12.75" customHeight="1">
      <c r="A7506" s="129">
        <v>7506</v>
      </c>
    </row>
    <row r="7507" spans="1:1" ht="12.75" customHeight="1">
      <c r="A7507" s="129">
        <v>7507</v>
      </c>
    </row>
    <row r="7508" spans="1:1" ht="12.75" customHeight="1">
      <c r="A7508" s="129">
        <v>7508</v>
      </c>
    </row>
    <row r="7509" spans="1:1" ht="12.75" customHeight="1">
      <c r="A7509" s="129">
        <v>7509</v>
      </c>
    </row>
    <row r="7510" spans="1:1" ht="12.75" customHeight="1">
      <c r="A7510" s="129">
        <v>7510</v>
      </c>
    </row>
    <row r="7511" spans="1:1" ht="12.75" customHeight="1">
      <c r="A7511" s="129">
        <v>7511</v>
      </c>
    </row>
    <row r="7512" spans="1:1" ht="12.75" customHeight="1">
      <c r="A7512" s="129">
        <v>7512</v>
      </c>
    </row>
    <row r="7513" spans="1:1" ht="12.75" customHeight="1">
      <c r="A7513" s="129">
        <v>7513</v>
      </c>
    </row>
    <row r="7514" spans="1:1" ht="12.75" customHeight="1">
      <c r="A7514" s="129">
        <v>7514</v>
      </c>
    </row>
    <row r="7515" spans="1:1" ht="12.75" customHeight="1">
      <c r="A7515" s="129">
        <v>7515</v>
      </c>
    </row>
    <row r="7516" spans="1:1" ht="12.75" customHeight="1">
      <c r="A7516" s="129">
        <v>7516</v>
      </c>
    </row>
    <row r="7517" spans="1:1" ht="12.75" customHeight="1">
      <c r="A7517" s="129">
        <v>7517</v>
      </c>
    </row>
    <row r="7518" spans="1:1" ht="12.75" customHeight="1">
      <c r="A7518" s="129">
        <v>7518</v>
      </c>
    </row>
    <row r="7519" spans="1:1" ht="12.75" customHeight="1">
      <c r="A7519" s="129">
        <v>7519</v>
      </c>
    </row>
    <row r="7520" spans="1:1" ht="12.75" customHeight="1">
      <c r="A7520" s="129">
        <v>7520</v>
      </c>
    </row>
    <row r="7521" spans="1:1" ht="12.75" customHeight="1">
      <c r="A7521" s="129">
        <v>7521</v>
      </c>
    </row>
    <row r="7522" spans="1:1" ht="12.75" customHeight="1">
      <c r="A7522" s="129">
        <v>7522</v>
      </c>
    </row>
    <row r="7523" spans="1:1" ht="12.75" customHeight="1">
      <c r="A7523" s="129">
        <v>7523</v>
      </c>
    </row>
    <row r="7524" spans="1:1" ht="12.75" customHeight="1">
      <c r="A7524" s="129">
        <v>7524</v>
      </c>
    </row>
    <row r="7525" spans="1:1" ht="12.75" customHeight="1">
      <c r="A7525" s="129">
        <v>7525</v>
      </c>
    </row>
    <row r="7526" spans="1:1" ht="12.75" customHeight="1">
      <c r="A7526" s="129">
        <v>7526</v>
      </c>
    </row>
    <row r="7527" spans="1:1" ht="12.75" customHeight="1">
      <c r="A7527" s="129">
        <v>7527</v>
      </c>
    </row>
    <row r="7528" spans="1:1" ht="12.75" customHeight="1">
      <c r="A7528" s="129">
        <v>7528</v>
      </c>
    </row>
    <row r="7529" spans="1:1" ht="12.75" customHeight="1">
      <c r="A7529" s="129">
        <v>7529</v>
      </c>
    </row>
    <row r="7530" spans="1:1" ht="12.75" customHeight="1">
      <c r="A7530" s="129">
        <v>7530</v>
      </c>
    </row>
    <row r="7531" spans="1:1" ht="12.75" customHeight="1">
      <c r="A7531" s="129">
        <v>7531</v>
      </c>
    </row>
    <row r="7532" spans="1:1" ht="12.75" customHeight="1">
      <c r="A7532" s="129">
        <v>7532</v>
      </c>
    </row>
    <row r="7533" spans="1:1" ht="12.75" customHeight="1">
      <c r="A7533" s="129">
        <v>7533</v>
      </c>
    </row>
    <row r="7534" spans="1:1" ht="12.75" customHeight="1">
      <c r="A7534" s="129">
        <v>7534</v>
      </c>
    </row>
    <row r="7535" spans="1:1" ht="12.75" customHeight="1">
      <c r="A7535" s="129">
        <v>7535</v>
      </c>
    </row>
    <row r="7536" spans="1:1" ht="12.75" customHeight="1">
      <c r="A7536" s="129">
        <v>7536</v>
      </c>
    </row>
    <row r="7537" spans="1:1" ht="12.75" customHeight="1">
      <c r="A7537" s="129">
        <v>7537</v>
      </c>
    </row>
    <row r="7538" spans="1:1" ht="12.75" customHeight="1">
      <c r="A7538" s="129">
        <v>7538</v>
      </c>
    </row>
    <row r="7539" spans="1:1" ht="12.75" customHeight="1">
      <c r="A7539" s="129">
        <v>7539</v>
      </c>
    </row>
    <row r="7540" spans="1:1" ht="12.75" customHeight="1">
      <c r="A7540" s="129">
        <v>7540</v>
      </c>
    </row>
    <row r="7541" spans="1:1" ht="12.75" customHeight="1">
      <c r="A7541" s="129">
        <v>7541</v>
      </c>
    </row>
    <row r="7542" spans="1:1" ht="12.75" customHeight="1">
      <c r="A7542" s="129">
        <v>7542</v>
      </c>
    </row>
    <row r="7543" spans="1:1" ht="12.75" customHeight="1">
      <c r="A7543" s="129">
        <v>7543</v>
      </c>
    </row>
    <row r="7544" spans="1:1" ht="12.75" customHeight="1">
      <c r="A7544" s="129">
        <v>7544</v>
      </c>
    </row>
    <row r="7545" spans="1:1" ht="12.75" customHeight="1">
      <c r="A7545" s="129">
        <v>7545</v>
      </c>
    </row>
    <row r="7546" spans="1:1" ht="12.75" customHeight="1">
      <c r="A7546" s="129">
        <v>7546</v>
      </c>
    </row>
    <row r="7547" spans="1:1" ht="12.75" customHeight="1">
      <c r="A7547" s="129">
        <v>7547</v>
      </c>
    </row>
    <row r="7548" spans="1:1" ht="12.75" customHeight="1">
      <c r="A7548" s="129">
        <v>7548</v>
      </c>
    </row>
    <row r="7549" spans="1:1" ht="12.75" customHeight="1">
      <c r="A7549" s="129">
        <v>7549</v>
      </c>
    </row>
    <row r="7550" spans="1:1" ht="12.75" customHeight="1">
      <c r="A7550" s="129">
        <v>7550</v>
      </c>
    </row>
    <row r="7551" spans="1:1" ht="12.75" customHeight="1">
      <c r="A7551" s="129">
        <v>7551</v>
      </c>
    </row>
    <row r="7552" spans="1:1" ht="12.75" customHeight="1">
      <c r="A7552" s="129">
        <v>7552</v>
      </c>
    </row>
    <row r="7553" spans="1:1" ht="12.75" customHeight="1">
      <c r="A7553" s="129">
        <v>7553</v>
      </c>
    </row>
    <row r="7554" spans="1:1" ht="12.75" customHeight="1">
      <c r="A7554" s="129">
        <v>7554</v>
      </c>
    </row>
    <row r="7555" spans="1:1" ht="12.75" customHeight="1">
      <c r="A7555" s="129">
        <v>7555</v>
      </c>
    </row>
    <row r="7556" spans="1:1" ht="12.75" customHeight="1">
      <c r="A7556" s="129">
        <v>7556</v>
      </c>
    </row>
    <row r="7557" spans="1:1" ht="12.75" customHeight="1">
      <c r="A7557" s="129">
        <v>7557</v>
      </c>
    </row>
    <row r="7558" spans="1:1" ht="12.75" customHeight="1">
      <c r="A7558" s="129">
        <v>7558</v>
      </c>
    </row>
    <row r="7559" spans="1:1" ht="12.75" customHeight="1">
      <c r="A7559" s="129">
        <v>7559</v>
      </c>
    </row>
    <row r="7560" spans="1:1" ht="12.75" customHeight="1">
      <c r="A7560" s="129">
        <v>7560</v>
      </c>
    </row>
    <row r="7561" spans="1:1" ht="12.75" customHeight="1">
      <c r="A7561" s="129">
        <v>7561</v>
      </c>
    </row>
    <row r="7562" spans="1:1" ht="12.75" customHeight="1">
      <c r="A7562" s="129">
        <v>7562</v>
      </c>
    </row>
    <row r="7563" spans="1:1" ht="12.75" customHeight="1">
      <c r="A7563" s="129">
        <v>7563</v>
      </c>
    </row>
    <row r="7564" spans="1:1" ht="12.75" customHeight="1">
      <c r="A7564" s="129">
        <v>7564</v>
      </c>
    </row>
    <row r="7565" spans="1:1" ht="12.75" customHeight="1">
      <c r="A7565" s="129">
        <v>7565</v>
      </c>
    </row>
    <row r="7566" spans="1:1" ht="12.75" customHeight="1">
      <c r="A7566" s="129">
        <v>7566</v>
      </c>
    </row>
    <row r="7567" spans="1:1" ht="12.75" customHeight="1">
      <c r="A7567" s="129">
        <v>7567</v>
      </c>
    </row>
    <row r="7568" spans="1:1" ht="12.75" customHeight="1">
      <c r="A7568" s="129">
        <v>7568</v>
      </c>
    </row>
    <row r="7569" spans="1:1" ht="12.75" customHeight="1">
      <c r="A7569" s="129">
        <v>7569</v>
      </c>
    </row>
    <row r="7570" spans="1:1" ht="12.75" customHeight="1">
      <c r="A7570" s="129">
        <v>7570</v>
      </c>
    </row>
    <row r="7571" spans="1:1" ht="12.75" customHeight="1">
      <c r="A7571" s="129">
        <v>7571</v>
      </c>
    </row>
    <row r="7572" spans="1:1" ht="12.75" customHeight="1">
      <c r="A7572" s="129">
        <v>7572</v>
      </c>
    </row>
    <row r="7573" spans="1:1" ht="12.75" customHeight="1">
      <c r="A7573" s="129">
        <v>7573</v>
      </c>
    </row>
    <row r="7574" spans="1:1" ht="12.75" customHeight="1">
      <c r="A7574" s="129">
        <v>7574</v>
      </c>
    </row>
    <row r="7575" spans="1:1" ht="12.75" customHeight="1">
      <c r="A7575" s="129">
        <v>7575</v>
      </c>
    </row>
    <row r="7576" spans="1:1" ht="12.75" customHeight="1">
      <c r="A7576" s="129">
        <v>7576</v>
      </c>
    </row>
    <row r="7577" spans="1:1" ht="12.75" customHeight="1">
      <c r="A7577" s="129">
        <v>7577</v>
      </c>
    </row>
    <row r="7578" spans="1:1" ht="12.75" customHeight="1">
      <c r="A7578" s="129">
        <v>7578</v>
      </c>
    </row>
    <row r="7579" spans="1:1" ht="12.75" customHeight="1">
      <c r="A7579" s="129">
        <v>7579</v>
      </c>
    </row>
    <row r="7580" spans="1:1" ht="12.75" customHeight="1">
      <c r="A7580" s="129">
        <v>7580</v>
      </c>
    </row>
    <row r="7581" spans="1:1" ht="12.75" customHeight="1">
      <c r="A7581" s="129">
        <v>7581</v>
      </c>
    </row>
    <row r="7582" spans="1:1" ht="12.75" customHeight="1">
      <c r="A7582" s="129">
        <v>7582</v>
      </c>
    </row>
    <row r="7583" spans="1:1" ht="12.75" customHeight="1">
      <c r="A7583" s="129">
        <v>7583</v>
      </c>
    </row>
    <row r="7584" spans="1:1" ht="12.75" customHeight="1">
      <c r="A7584" s="129">
        <v>7584</v>
      </c>
    </row>
    <row r="7585" spans="1:1" ht="12.75" customHeight="1">
      <c r="A7585" s="129">
        <v>7585</v>
      </c>
    </row>
    <row r="7586" spans="1:1" ht="12.75" customHeight="1">
      <c r="A7586" s="129">
        <v>7586</v>
      </c>
    </row>
    <row r="7587" spans="1:1" ht="12.75" customHeight="1">
      <c r="A7587" s="129">
        <v>7587</v>
      </c>
    </row>
    <row r="7588" spans="1:1" ht="12.75" customHeight="1">
      <c r="A7588" s="129">
        <v>7588</v>
      </c>
    </row>
    <row r="7589" spans="1:1" ht="12.75" customHeight="1">
      <c r="A7589" s="129">
        <v>7589</v>
      </c>
    </row>
    <row r="7590" spans="1:1" ht="12.75" customHeight="1">
      <c r="A7590" s="129">
        <v>7590</v>
      </c>
    </row>
    <row r="7591" spans="1:1" ht="12.75" customHeight="1">
      <c r="A7591" s="129">
        <v>7591</v>
      </c>
    </row>
    <row r="7592" spans="1:1" ht="12.75" customHeight="1">
      <c r="A7592" s="129">
        <v>7592</v>
      </c>
    </row>
    <row r="7593" spans="1:1" ht="12.75" customHeight="1">
      <c r="A7593" s="129">
        <v>7593</v>
      </c>
    </row>
    <row r="7594" spans="1:1" ht="12.75" customHeight="1">
      <c r="A7594" s="129">
        <v>7594</v>
      </c>
    </row>
    <row r="7595" spans="1:1" ht="12.75" customHeight="1">
      <c r="A7595" s="129">
        <v>7595</v>
      </c>
    </row>
    <row r="7596" spans="1:1" ht="12.75" customHeight="1">
      <c r="A7596" s="129">
        <v>7596</v>
      </c>
    </row>
    <row r="7597" spans="1:1" ht="12.75" customHeight="1">
      <c r="A7597" s="129">
        <v>7597</v>
      </c>
    </row>
    <row r="7598" spans="1:1" ht="12.75" customHeight="1">
      <c r="A7598" s="129">
        <v>7598</v>
      </c>
    </row>
    <row r="7599" spans="1:1" ht="12.75" customHeight="1">
      <c r="A7599" s="129">
        <v>7599</v>
      </c>
    </row>
    <row r="7600" spans="1:1" ht="12.75" customHeight="1">
      <c r="A7600" s="129">
        <v>7600</v>
      </c>
    </row>
    <row r="7601" spans="1:1" ht="12.75" customHeight="1">
      <c r="A7601" s="129">
        <v>7601</v>
      </c>
    </row>
    <row r="7602" spans="1:1" ht="12.75" customHeight="1">
      <c r="A7602" s="129">
        <v>7602</v>
      </c>
    </row>
    <row r="7603" spans="1:1" ht="12.75" customHeight="1">
      <c r="A7603" s="129">
        <v>7603</v>
      </c>
    </row>
    <row r="7604" spans="1:1" ht="12.75" customHeight="1">
      <c r="A7604" s="129">
        <v>7604</v>
      </c>
    </row>
    <row r="7605" spans="1:1" ht="12.75" customHeight="1">
      <c r="A7605" s="129">
        <v>7605</v>
      </c>
    </row>
    <row r="7606" spans="1:1" ht="12.75" customHeight="1">
      <c r="A7606" s="129">
        <v>7606</v>
      </c>
    </row>
    <row r="7607" spans="1:1" ht="12.75" customHeight="1">
      <c r="A7607" s="129">
        <v>7607</v>
      </c>
    </row>
    <row r="7608" spans="1:1" ht="12.75" customHeight="1">
      <c r="A7608" s="129">
        <v>7608</v>
      </c>
    </row>
    <row r="7609" spans="1:1" ht="12.75" customHeight="1">
      <c r="A7609" s="129">
        <v>7609</v>
      </c>
    </row>
    <row r="7610" spans="1:1" ht="12.75" customHeight="1">
      <c r="A7610" s="129">
        <v>7610</v>
      </c>
    </row>
    <row r="7611" spans="1:1" ht="12.75" customHeight="1">
      <c r="A7611" s="129">
        <v>7611</v>
      </c>
    </row>
    <row r="7612" spans="1:1" ht="12.75" customHeight="1">
      <c r="A7612" s="129">
        <v>7612</v>
      </c>
    </row>
    <row r="7613" spans="1:1" ht="12.75" customHeight="1">
      <c r="A7613" s="129">
        <v>7613</v>
      </c>
    </row>
    <row r="7614" spans="1:1" ht="12.75" customHeight="1">
      <c r="A7614" s="129">
        <v>7614</v>
      </c>
    </row>
    <row r="7615" spans="1:1" ht="12.75" customHeight="1">
      <c r="A7615" s="129">
        <v>7615</v>
      </c>
    </row>
    <row r="7616" spans="1:1" ht="12.75" customHeight="1">
      <c r="A7616" s="129">
        <v>7616</v>
      </c>
    </row>
    <row r="7617" spans="1:1" ht="12.75" customHeight="1">
      <c r="A7617" s="129">
        <v>7617</v>
      </c>
    </row>
    <row r="7618" spans="1:1" ht="12.75" customHeight="1">
      <c r="A7618" s="129">
        <v>7618</v>
      </c>
    </row>
    <row r="7619" spans="1:1" ht="12.75" customHeight="1">
      <c r="A7619" s="129">
        <v>7619</v>
      </c>
    </row>
    <row r="7620" spans="1:1" ht="12.75" customHeight="1">
      <c r="A7620" s="129">
        <v>7620</v>
      </c>
    </row>
    <row r="7621" spans="1:1" ht="12.75" customHeight="1">
      <c r="A7621" s="129">
        <v>7621</v>
      </c>
    </row>
    <row r="7622" spans="1:1" ht="12.75" customHeight="1">
      <c r="A7622" s="129">
        <v>7622</v>
      </c>
    </row>
    <row r="7623" spans="1:1" ht="12.75" customHeight="1">
      <c r="A7623" s="129">
        <v>7623</v>
      </c>
    </row>
    <row r="7624" spans="1:1" ht="12.75" customHeight="1">
      <c r="A7624" s="129">
        <v>7624</v>
      </c>
    </row>
    <row r="7625" spans="1:1" ht="12.75" customHeight="1">
      <c r="A7625" s="129">
        <v>7625</v>
      </c>
    </row>
    <row r="7626" spans="1:1" ht="12.75" customHeight="1">
      <c r="A7626" s="129">
        <v>7626</v>
      </c>
    </row>
    <row r="7627" spans="1:1" ht="12.75" customHeight="1">
      <c r="A7627" s="129">
        <v>7627</v>
      </c>
    </row>
    <row r="7628" spans="1:1" ht="12.75" customHeight="1">
      <c r="A7628" s="129">
        <v>7628</v>
      </c>
    </row>
    <row r="7629" spans="1:1" ht="12.75" customHeight="1">
      <c r="A7629" s="129">
        <v>7629</v>
      </c>
    </row>
    <row r="7630" spans="1:1" ht="12.75" customHeight="1">
      <c r="A7630" s="129">
        <v>7630</v>
      </c>
    </row>
    <row r="7631" spans="1:1" ht="12.75" customHeight="1">
      <c r="A7631" s="129">
        <v>7631</v>
      </c>
    </row>
    <row r="7632" spans="1:1" ht="12.75" customHeight="1">
      <c r="A7632" s="129">
        <v>7632</v>
      </c>
    </row>
    <row r="7633" spans="1:1" ht="12.75" customHeight="1">
      <c r="A7633" s="129">
        <v>7633</v>
      </c>
    </row>
    <row r="7634" spans="1:1" ht="12.75" customHeight="1">
      <c r="A7634" s="129">
        <v>7634</v>
      </c>
    </row>
    <row r="7635" spans="1:1" ht="12.75" customHeight="1">
      <c r="A7635" s="129">
        <v>7635</v>
      </c>
    </row>
    <row r="7636" spans="1:1" ht="12.75" customHeight="1">
      <c r="A7636" s="129">
        <v>7636</v>
      </c>
    </row>
    <row r="7637" spans="1:1" ht="12.75" customHeight="1">
      <c r="A7637" s="129">
        <v>7637</v>
      </c>
    </row>
    <row r="7638" spans="1:1" ht="12.75" customHeight="1">
      <c r="A7638" s="129">
        <v>7638</v>
      </c>
    </row>
    <row r="7639" spans="1:1" ht="12.75" customHeight="1">
      <c r="A7639" s="129">
        <v>7639</v>
      </c>
    </row>
    <row r="7640" spans="1:1" ht="12.75" customHeight="1">
      <c r="A7640" s="129">
        <v>7640</v>
      </c>
    </row>
    <row r="7641" spans="1:1" ht="12.75" customHeight="1">
      <c r="A7641" s="129">
        <v>7641</v>
      </c>
    </row>
    <row r="7642" spans="1:1" ht="12.75" customHeight="1">
      <c r="A7642" s="129">
        <v>7642</v>
      </c>
    </row>
    <row r="7643" spans="1:1" ht="12.75" customHeight="1">
      <c r="A7643" s="129">
        <v>7643</v>
      </c>
    </row>
    <row r="7644" spans="1:1" ht="12.75" customHeight="1">
      <c r="A7644" s="129">
        <v>7644</v>
      </c>
    </row>
    <row r="7645" spans="1:1" ht="12.75" customHeight="1">
      <c r="A7645" s="129">
        <v>7645</v>
      </c>
    </row>
    <row r="7646" spans="1:1" ht="12.75" customHeight="1">
      <c r="A7646" s="129">
        <v>7646</v>
      </c>
    </row>
    <row r="7647" spans="1:1" ht="12.75" customHeight="1">
      <c r="A7647" s="129">
        <v>7647</v>
      </c>
    </row>
    <row r="7648" spans="1:1" ht="12.75" customHeight="1">
      <c r="A7648" s="129">
        <v>7648</v>
      </c>
    </row>
    <row r="7649" spans="1:1" ht="12.75" customHeight="1">
      <c r="A7649" s="129">
        <v>7649</v>
      </c>
    </row>
    <row r="7650" spans="1:1" ht="12.75" customHeight="1">
      <c r="A7650" s="129">
        <v>7650</v>
      </c>
    </row>
    <row r="7651" spans="1:1" ht="12.75" customHeight="1">
      <c r="A7651" s="129">
        <v>7651</v>
      </c>
    </row>
    <row r="7652" spans="1:1" ht="12.75" customHeight="1">
      <c r="A7652" s="129">
        <v>7652</v>
      </c>
    </row>
    <row r="7653" spans="1:1" ht="12.75" customHeight="1">
      <c r="A7653" s="129">
        <v>7653</v>
      </c>
    </row>
    <row r="7654" spans="1:1" ht="12.75" customHeight="1">
      <c r="A7654" s="129">
        <v>7654</v>
      </c>
    </row>
    <row r="7655" spans="1:1" ht="12.75" customHeight="1">
      <c r="A7655" s="129">
        <v>7655</v>
      </c>
    </row>
    <row r="7656" spans="1:1" ht="12.75" customHeight="1">
      <c r="A7656" s="129">
        <v>7656</v>
      </c>
    </row>
    <row r="7657" spans="1:1" ht="12.75" customHeight="1">
      <c r="A7657" s="129">
        <v>7657</v>
      </c>
    </row>
    <row r="7658" spans="1:1" ht="12.75" customHeight="1">
      <c r="A7658" s="129">
        <v>7658</v>
      </c>
    </row>
    <row r="7659" spans="1:1" ht="12.75" customHeight="1">
      <c r="A7659" s="129">
        <v>7659</v>
      </c>
    </row>
    <row r="7660" spans="1:1" ht="12.75" customHeight="1">
      <c r="A7660" s="129">
        <v>7660</v>
      </c>
    </row>
    <row r="7661" spans="1:1" ht="12.75" customHeight="1">
      <c r="A7661" s="129">
        <v>7661</v>
      </c>
    </row>
    <row r="7662" spans="1:1" ht="12.75" customHeight="1">
      <c r="A7662" s="129">
        <v>7662</v>
      </c>
    </row>
    <row r="7663" spans="1:1" ht="12.75" customHeight="1">
      <c r="A7663" s="129">
        <v>7663</v>
      </c>
    </row>
    <row r="7664" spans="1:1" ht="12.75" customHeight="1">
      <c r="A7664" s="129">
        <v>7664</v>
      </c>
    </row>
    <row r="7665" spans="1:1" ht="12.75" customHeight="1">
      <c r="A7665" s="129">
        <v>7665</v>
      </c>
    </row>
    <row r="7666" spans="1:1" ht="12.75" customHeight="1">
      <c r="A7666" s="129">
        <v>7666</v>
      </c>
    </row>
    <row r="7667" spans="1:1" ht="12.75" customHeight="1">
      <c r="A7667" s="129">
        <v>7667</v>
      </c>
    </row>
    <row r="7668" spans="1:1" ht="12.75" customHeight="1">
      <c r="A7668" s="129">
        <v>7668</v>
      </c>
    </row>
    <row r="7669" spans="1:1" ht="12.75" customHeight="1">
      <c r="A7669" s="129">
        <v>7669</v>
      </c>
    </row>
    <row r="7670" spans="1:1" ht="12.75" customHeight="1">
      <c r="A7670" s="129">
        <v>7670</v>
      </c>
    </row>
    <row r="7671" spans="1:1" ht="12.75" customHeight="1">
      <c r="A7671" s="129">
        <v>7671</v>
      </c>
    </row>
    <row r="7672" spans="1:1" ht="12.75" customHeight="1">
      <c r="A7672" s="129">
        <v>7672</v>
      </c>
    </row>
    <row r="7673" spans="1:1" ht="12.75" customHeight="1">
      <c r="A7673" s="129">
        <v>7673</v>
      </c>
    </row>
    <row r="7674" spans="1:1" ht="12.75" customHeight="1">
      <c r="A7674" s="129">
        <v>7674</v>
      </c>
    </row>
    <row r="7675" spans="1:1" ht="12.75" customHeight="1">
      <c r="A7675" s="129">
        <v>7675</v>
      </c>
    </row>
    <row r="7676" spans="1:1" ht="12.75" customHeight="1">
      <c r="A7676" s="129">
        <v>7676</v>
      </c>
    </row>
    <row r="7677" spans="1:1" ht="12.75" customHeight="1">
      <c r="A7677" s="129">
        <v>7677</v>
      </c>
    </row>
    <row r="7678" spans="1:1" ht="12.75" customHeight="1">
      <c r="A7678" s="129">
        <v>7678</v>
      </c>
    </row>
    <row r="7679" spans="1:1" ht="12.75" customHeight="1">
      <c r="A7679" s="129">
        <v>7679</v>
      </c>
    </row>
    <row r="7680" spans="1:1" ht="12.75" customHeight="1">
      <c r="A7680" s="129">
        <v>7680</v>
      </c>
    </row>
    <row r="7681" spans="1:1" ht="12.75" customHeight="1">
      <c r="A7681" s="129">
        <v>7681</v>
      </c>
    </row>
    <row r="7682" spans="1:1" ht="12.75" customHeight="1">
      <c r="A7682" s="129">
        <v>7682</v>
      </c>
    </row>
    <row r="7683" spans="1:1" ht="12.75" customHeight="1">
      <c r="A7683" s="129">
        <v>7683</v>
      </c>
    </row>
    <row r="7684" spans="1:1" ht="12.75" customHeight="1">
      <c r="A7684" s="129">
        <v>7684</v>
      </c>
    </row>
    <row r="7685" spans="1:1" ht="12.75" customHeight="1">
      <c r="A7685" s="129">
        <v>7685</v>
      </c>
    </row>
    <row r="7686" spans="1:1" ht="12.75" customHeight="1">
      <c r="A7686" s="129">
        <v>7686</v>
      </c>
    </row>
    <row r="7687" spans="1:1" ht="12.75" customHeight="1">
      <c r="A7687" s="129">
        <v>7687</v>
      </c>
    </row>
    <row r="7688" spans="1:1" ht="12.75" customHeight="1">
      <c r="A7688" s="129">
        <v>7688</v>
      </c>
    </row>
    <row r="7689" spans="1:1" ht="12.75" customHeight="1">
      <c r="A7689" s="129">
        <v>7689</v>
      </c>
    </row>
    <row r="7690" spans="1:1" ht="12.75" customHeight="1">
      <c r="A7690" s="129">
        <v>7690</v>
      </c>
    </row>
    <row r="7691" spans="1:1" ht="12.75" customHeight="1">
      <c r="A7691" s="129">
        <v>7691</v>
      </c>
    </row>
    <row r="7692" spans="1:1" ht="12.75" customHeight="1">
      <c r="A7692" s="129">
        <v>7692</v>
      </c>
    </row>
    <row r="7693" spans="1:1" ht="12.75" customHeight="1">
      <c r="A7693" s="129">
        <v>7693</v>
      </c>
    </row>
    <row r="7694" spans="1:1" ht="12.75" customHeight="1">
      <c r="A7694" s="129">
        <v>7694</v>
      </c>
    </row>
    <row r="7695" spans="1:1" ht="12.75" customHeight="1">
      <c r="A7695" s="129">
        <v>7695</v>
      </c>
    </row>
    <row r="7696" spans="1:1" ht="12.75" customHeight="1">
      <c r="A7696" s="129">
        <v>7696</v>
      </c>
    </row>
    <row r="7697" spans="1:1" ht="12.75" customHeight="1">
      <c r="A7697" s="129">
        <v>7697</v>
      </c>
    </row>
    <row r="7698" spans="1:1" ht="12.75" customHeight="1">
      <c r="A7698" s="129">
        <v>7698</v>
      </c>
    </row>
    <row r="7699" spans="1:1" ht="12.75" customHeight="1">
      <c r="A7699" s="129">
        <v>7699</v>
      </c>
    </row>
    <row r="7700" spans="1:1" ht="12.75" customHeight="1">
      <c r="A7700" s="129">
        <v>7700</v>
      </c>
    </row>
    <row r="7701" spans="1:1" ht="12.75" customHeight="1">
      <c r="A7701" s="129">
        <v>7701</v>
      </c>
    </row>
    <row r="7702" spans="1:1" ht="12.75" customHeight="1">
      <c r="A7702" s="129">
        <v>7702</v>
      </c>
    </row>
    <row r="7703" spans="1:1" ht="12.75" customHeight="1">
      <c r="A7703" s="129">
        <v>7703</v>
      </c>
    </row>
    <row r="7704" spans="1:1" ht="12.75" customHeight="1">
      <c r="A7704" s="129">
        <v>7704</v>
      </c>
    </row>
    <row r="7705" spans="1:1" ht="12.75" customHeight="1">
      <c r="A7705" s="129">
        <v>7705</v>
      </c>
    </row>
    <row r="7706" spans="1:1" ht="12.75" customHeight="1">
      <c r="A7706" s="129">
        <v>7706</v>
      </c>
    </row>
    <row r="7707" spans="1:1" ht="12.75" customHeight="1">
      <c r="A7707" s="129">
        <v>7707</v>
      </c>
    </row>
    <row r="7708" spans="1:1" ht="12.75" customHeight="1">
      <c r="A7708" s="129">
        <v>7708</v>
      </c>
    </row>
    <row r="7709" spans="1:1" ht="12.75" customHeight="1">
      <c r="A7709" s="129">
        <v>7709</v>
      </c>
    </row>
    <row r="7710" spans="1:1" ht="12.75" customHeight="1">
      <c r="A7710" s="129">
        <v>7710</v>
      </c>
    </row>
    <row r="7711" spans="1:1" ht="12.75" customHeight="1">
      <c r="A7711" s="129">
        <v>7711</v>
      </c>
    </row>
    <row r="7712" spans="1:1" ht="12.75" customHeight="1">
      <c r="A7712" s="129">
        <v>7712</v>
      </c>
    </row>
    <row r="7713" spans="1:1" ht="12.75" customHeight="1">
      <c r="A7713" s="129">
        <v>7713</v>
      </c>
    </row>
    <row r="7714" spans="1:1" ht="12.75" customHeight="1">
      <c r="A7714" s="129">
        <v>7714</v>
      </c>
    </row>
    <row r="7715" spans="1:1" ht="12.75" customHeight="1">
      <c r="A7715" s="129">
        <v>7715</v>
      </c>
    </row>
    <row r="7716" spans="1:1" ht="12.75" customHeight="1">
      <c r="A7716" s="129">
        <v>7716</v>
      </c>
    </row>
    <row r="7717" spans="1:1" ht="12.75" customHeight="1">
      <c r="A7717" s="129">
        <v>7717</v>
      </c>
    </row>
    <row r="7718" spans="1:1" ht="12.75" customHeight="1">
      <c r="A7718" s="129">
        <v>7718</v>
      </c>
    </row>
    <row r="7719" spans="1:1" ht="12.75" customHeight="1">
      <c r="A7719" s="129">
        <v>7719</v>
      </c>
    </row>
    <row r="7720" spans="1:1" ht="12.75" customHeight="1">
      <c r="A7720" s="129">
        <v>7720</v>
      </c>
    </row>
    <row r="7721" spans="1:1" ht="12.75" customHeight="1">
      <c r="A7721" s="129">
        <v>7721</v>
      </c>
    </row>
    <row r="7722" spans="1:1" ht="12.75" customHeight="1">
      <c r="A7722" s="129">
        <v>7722</v>
      </c>
    </row>
    <row r="7723" spans="1:1" ht="12.75" customHeight="1">
      <c r="A7723" s="129">
        <v>7723</v>
      </c>
    </row>
    <row r="7724" spans="1:1" ht="12.75" customHeight="1">
      <c r="A7724" s="129">
        <v>7724</v>
      </c>
    </row>
    <row r="7725" spans="1:1" ht="12.75" customHeight="1">
      <c r="A7725" s="129">
        <v>7725</v>
      </c>
    </row>
    <row r="7726" spans="1:1" ht="12.75" customHeight="1">
      <c r="A7726" s="129">
        <v>7726</v>
      </c>
    </row>
    <row r="7727" spans="1:1" ht="12.75" customHeight="1">
      <c r="A7727" s="129">
        <v>7727</v>
      </c>
    </row>
    <row r="7728" spans="1:1" ht="12.75" customHeight="1">
      <c r="A7728" s="129">
        <v>7728</v>
      </c>
    </row>
    <row r="7729" spans="1:1" ht="12.75" customHeight="1">
      <c r="A7729" s="129">
        <v>7729</v>
      </c>
    </row>
    <row r="7730" spans="1:1" ht="12.75" customHeight="1">
      <c r="A7730" s="129">
        <v>7730</v>
      </c>
    </row>
    <row r="7731" spans="1:1" ht="12.75" customHeight="1">
      <c r="A7731" s="129">
        <v>7731</v>
      </c>
    </row>
    <row r="7732" spans="1:1" ht="12.75" customHeight="1">
      <c r="A7732" s="129">
        <v>7732</v>
      </c>
    </row>
    <row r="7733" spans="1:1" ht="12.75" customHeight="1">
      <c r="A7733" s="129">
        <v>7733</v>
      </c>
    </row>
    <row r="7734" spans="1:1" ht="12.75" customHeight="1">
      <c r="A7734" s="129">
        <v>7734</v>
      </c>
    </row>
    <row r="7735" spans="1:1" ht="12.75" customHeight="1">
      <c r="A7735" s="129">
        <v>7735</v>
      </c>
    </row>
    <row r="7736" spans="1:1" ht="12.75" customHeight="1">
      <c r="A7736" s="129">
        <v>7736</v>
      </c>
    </row>
    <row r="7737" spans="1:1" ht="12.75" customHeight="1">
      <c r="A7737" s="129">
        <v>7737</v>
      </c>
    </row>
    <row r="7738" spans="1:1" ht="12.75" customHeight="1">
      <c r="A7738" s="129">
        <v>7738</v>
      </c>
    </row>
    <row r="7739" spans="1:1" ht="12.75" customHeight="1">
      <c r="A7739" s="129">
        <v>7739</v>
      </c>
    </row>
    <row r="7740" spans="1:1" ht="12.75" customHeight="1">
      <c r="A7740" s="129">
        <v>7740</v>
      </c>
    </row>
    <row r="7741" spans="1:1" ht="12.75" customHeight="1">
      <c r="A7741" s="129">
        <v>7741</v>
      </c>
    </row>
    <row r="7742" spans="1:1" ht="12.75" customHeight="1">
      <c r="A7742" s="129">
        <v>7742</v>
      </c>
    </row>
    <row r="7743" spans="1:1" ht="12.75" customHeight="1">
      <c r="A7743" s="129">
        <v>7743</v>
      </c>
    </row>
    <row r="7744" spans="1:1" ht="12.75" customHeight="1">
      <c r="A7744" s="129">
        <v>7744</v>
      </c>
    </row>
    <row r="7745" spans="1:1" ht="12.75" customHeight="1">
      <c r="A7745" s="129">
        <v>7745</v>
      </c>
    </row>
    <row r="7746" spans="1:1" ht="12.75" customHeight="1">
      <c r="A7746" s="129">
        <v>7746</v>
      </c>
    </row>
    <row r="7747" spans="1:1" ht="12.75" customHeight="1">
      <c r="A7747" s="129">
        <v>7747</v>
      </c>
    </row>
    <row r="7748" spans="1:1" ht="12.75" customHeight="1">
      <c r="A7748" s="129">
        <v>7748</v>
      </c>
    </row>
    <row r="7749" spans="1:1" ht="12.75" customHeight="1">
      <c r="A7749" s="129">
        <v>7749</v>
      </c>
    </row>
    <row r="7750" spans="1:1" ht="12.75" customHeight="1">
      <c r="A7750" s="129">
        <v>7750</v>
      </c>
    </row>
    <row r="7751" spans="1:1" ht="12.75" customHeight="1">
      <c r="A7751" s="129">
        <v>7751</v>
      </c>
    </row>
    <row r="7752" spans="1:1" ht="12.75" customHeight="1">
      <c r="A7752" s="129">
        <v>7752</v>
      </c>
    </row>
    <row r="7753" spans="1:1" ht="12.75" customHeight="1">
      <c r="A7753" s="129">
        <v>7753</v>
      </c>
    </row>
    <row r="7754" spans="1:1" ht="12.75" customHeight="1">
      <c r="A7754" s="129">
        <v>7754</v>
      </c>
    </row>
    <row r="7755" spans="1:1" ht="12.75" customHeight="1">
      <c r="A7755" s="129">
        <v>7755</v>
      </c>
    </row>
    <row r="7756" spans="1:1" ht="12.75" customHeight="1">
      <c r="A7756" s="129">
        <v>7756</v>
      </c>
    </row>
    <row r="7757" spans="1:1" ht="12.75" customHeight="1">
      <c r="A7757" s="129">
        <v>7757</v>
      </c>
    </row>
    <row r="7758" spans="1:1" ht="12.75" customHeight="1">
      <c r="A7758" s="129">
        <v>7758</v>
      </c>
    </row>
    <row r="7759" spans="1:1" ht="12.75" customHeight="1">
      <c r="A7759" s="129">
        <v>7759</v>
      </c>
    </row>
    <row r="7760" spans="1:1" ht="12.75" customHeight="1">
      <c r="A7760" s="129">
        <v>7760</v>
      </c>
    </row>
    <row r="7761" spans="1:1" ht="12.75" customHeight="1">
      <c r="A7761" s="129">
        <v>7761</v>
      </c>
    </row>
    <row r="7762" spans="1:1" ht="12.75" customHeight="1">
      <c r="A7762" s="129">
        <v>7762</v>
      </c>
    </row>
    <row r="7763" spans="1:1" ht="12.75" customHeight="1">
      <c r="A7763" s="129">
        <v>7763</v>
      </c>
    </row>
    <row r="7764" spans="1:1" ht="12.75" customHeight="1">
      <c r="A7764" s="129">
        <v>7764</v>
      </c>
    </row>
    <row r="7765" spans="1:1" ht="12.75" customHeight="1">
      <c r="A7765" s="129">
        <v>7765</v>
      </c>
    </row>
    <row r="7766" spans="1:1" ht="12.75" customHeight="1">
      <c r="A7766" s="129">
        <v>7766</v>
      </c>
    </row>
    <row r="7767" spans="1:1" ht="12.75" customHeight="1">
      <c r="A7767" s="129">
        <v>7767</v>
      </c>
    </row>
    <row r="7768" spans="1:1" ht="12.75" customHeight="1">
      <c r="A7768" s="129">
        <v>7768</v>
      </c>
    </row>
    <row r="7769" spans="1:1" ht="12.75" customHeight="1">
      <c r="A7769" s="129">
        <v>7769</v>
      </c>
    </row>
    <row r="7770" spans="1:1" ht="12.75" customHeight="1">
      <c r="A7770" s="129">
        <v>7770</v>
      </c>
    </row>
    <row r="7771" spans="1:1" ht="12.75" customHeight="1">
      <c r="A7771" s="129">
        <v>7771</v>
      </c>
    </row>
    <row r="7772" spans="1:1" ht="12.75" customHeight="1">
      <c r="A7772" s="129">
        <v>7772</v>
      </c>
    </row>
    <row r="7773" spans="1:1" ht="12.75" customHeight="1">
      <c r="A7773" s="129">
        <v>7773</v>
      </c>
    </row>
    <row r="7774" spans="1:1" ht="12.75" customHeight="1">
      <c r="A7774" s="129">
        <v>7774</v>
      </c>
    </row>
    <row r="7775" spans="1:1" ht="12.75" customHeight="1">
      <c r="A7775" s="129">
        <v>7775</v>
      </c>
    </row>
    <row r="7776" spans="1:1" ht="12.75" customHeight="1">
      <c r="A7776" s="129">
        <v>7776</v>
      </c>
    </row>
    <row r="7777" spans="1:1" ht="12.75" customHeight="1">
      <c r="A7777" s="129">
        <v>7777</v>
      </c>
    </row>
    <row r="7778" spans="1:1" ht="12.75" customHeight="1">
      <c r="A7778" s="129">
        <v>7778</v>
      </c>
    </row>
    <row r="7779" spans="1:1" ht="12.75" customHeight="1">
      <c r="A7779" s="129">
        <v>7779</v>
      </c>
    </row>
    <row r="7780" spans="1:1" ht="12.75" customHeight="1">
      <c r="A7780" s="129">
        <v>7780</v>
      </c>
    </row>
    <row r="7781" spans="1:1" ht="12.75" customHeight="1">
      <c r="A7781" s="129">
        <v>7781</v>
      </c>
    </row>
    <row r="7782" spans="1:1" ht="12.75" customHeight="1">
      <c r="A7782" s="129">
        <v>7782</v>
      </c>
    </row>
    <row r="7783" spans="1:1" ht="12.75" customHeight="1">
      <c r="A7783" s="129">
        <v>7783</v>
      </c>
    </row>
    <row r="7784" spans="1:1" ht="12.75" customHeight="1">
      <c r="A7784" s="129">
        <v>7784</v>
      </c>
    </row>
    <row r="7785" spans="1:1" ht="12.75" customHeight="1">
      <c r="A7785" s="129">
        <v>7785</v>
      </c>
    </row>
    <row r="7786" spans="1:1" ht="12.75" customHeight="1">
      <c r="A7786" s="129">
        <v>7786</v>
      </c>
    </row>
    <row r="7787" spans="1:1" ht="12.75" customHeight="1">
      <c r="A7787" s="129">
        <v>7787</v>
      </c>
    </row>
    <row r="7788" spans="1:1" ht="12.75" customHeight="1">
      <c r="A7788" s="129">
        <v>7788</v>
      </c>
    </row>
    <row r="7789" spans="1:1" ht="12.75" customHeight="1">
      <c r="A7789" s="129">
        <v>7789</v>
      </c>
    </row>
    <row r="7790" spans="1:1" ht="12.75" customHeight="1">
      <c r="A7790" s="129">
        <v>7790</v>
      </c>
    </row>
    <row r="7791" spans="1:1" ht="12.75" customHeight="1">
      <c r="A7791" s="129">
        <v>7791</v>
      </c>
    </row>
    <row r="7792" spans="1:1" ht="12.75" customHeight="1">
      <c r="A7792" s="129">
        <v>7792</v>
      </c>
    </row>
    <row r="7793" spans="1:1" ht="12.75" customHeight="1">
      <c r="A7793" s="129">
        <v>7793</v>
      </c>
    </row>
    <row r="7794" spans="1:1" ht="12.75" customHeight="1">
      <c r="A7794" s="129">
        <v>7794</v>
      </c>
    </row>
    <row r="7795" spans="1:1" ht="12.75" customHeight="1">
      <c r="A7795" s="129">
        <v>7795</v>
      </c>
    </row>
    <row r="7796" spans="1:1" ht="12.75" customHeight="1">
      <c r="A7796" s="129">
        <v>7796</v>
      </c>
    </row>
    <row r="7797" spans="1:1" ht="12.75" customHeight="1">
      <c r="A7797" s="129">
        <v>7797</v>
      </c>
    </row>
    <row r="7798" spans="1:1" ht="12.75" customHeight="1">
      <c r="A7798" s="129">
        <v>7798</v>
      </c>
    </row>
    <row r="7799" spans="1:1" ht="12.75" customHeight="1">
      <c r="A7799" s="129">
        <v>7799</v>
      </c>
    </row>
    <row r="7800" spans="1:1" ht="12.75" customHeight="1">
      <c r="A7800" s="129">
        <v>7800</v>
      </c>
    </row>
    <row r="7801" spans="1:1" ht="12.75" customHeight="1">
      <c r="A7801" s="129">
        <v>7801</v>
      </c>
    </row>
    <row r="7802" spans="1:1" ht="12.75" customHeight="1">
      <c r="A7802" s="129">
        <v>7802</v>
      </c>
    </row>
    <row r="7803" spans="1:1" ht="12.75" customHeight="1">
      <c r="A7803" s="129">
        <v>7803</v>
      </c>
    </row>
    <row r="7804" spans="1:1" ht="12.75" customHeight="1">
      <c r="A7804" s="129">
        <v>7804</v>
      </c>
    </row>
    <row r="7805" spans="1:1" ht="12.75" customHeight="1">
      <c r="A7805" s="129">
        <v>7805</v>
      </c>
    </row>
    <row r="7806" spans="1:1" ht="12.75" customHeight="1">
      <c r="A7806" s="129">
        <v>7806</v>
      </c>
    </row>
    <row r="7807" spans="1:1" ht="12.75" customHeight="1">
      <c r="A7807" s="129">
        <v>7807</v>
      </c>
    </row>
    <row r="7808" spans="1:1" ht="12.75" customHeight="1">
      <c r="A7808" s="129">
        <v>7808</v>
      </c>
    </row>
    <row r="7809" spans="1:1" ht="12.75" customHeight="1">
      <c r="A7809" s="129">
        <v>7809</v>
      </c>
    </row>
    <row r="7810" spans="1:1" ht="12.75" customHeight="1">
      <c r="A7810" s="129">
        <v>7810</v>
      </c>
    </row>
    <row r="7811" spans="1:1" ht="12.75" customHeight="1">
      <c r="A7811" s="129">
        <v>7811</v>
      </c>
    </row>
    <row r="7812" spans="1:1" ht="12.75" customHeight="1">
      <c r="A7812" s="129">
        <v>7812</v>
      </c>
    </row>
    <row r="7813" spans="1:1" ht="12.75" customHeight="1">
      <c r="A7813" s="129">
        <v>7813</v>
      </c>
    </row>
    <row r="7814" spans="1:1" ht="12.75" customHeight="1">
      <c r="A7814" s="129">
        <v>7814</v>
      </c>
    </row>
    <row r="7815" spans="1:1" ht="12.75" customHeight="1">
      <c r="A7815" s="129">
        <v>7815</v>
      </c>
    </row>
    <row r="7816" spans="1:1" ht="12.75" customHeight="1">
      <c r="A7816" s="129">
        <v>7816</v>
      </c>
    </row>
    <row r="7817" spans="1:1" ht="12.75" customHeight="1">
      <c r="A7817" s="129">
        <v>7817</v>
      </c>
    </row>
    <row r="7818" spans="1:1" ht="12.75" customHeight="1">
      <c r="A7818" s="129">
        <v>7818</v>
      </c>
    </row>
    <row r="7819" spans="1:1" ht="12.75" customHeight="1">
      <c r="A7819" s="129">
        <v>7819</v>
      </c>
    </row>
    <row r="7820" spans="1:1" ht="12.75" customHeight="1">
      <c r="A7820" s="129">
        <v>7820</v>
      </c>
    </row>
    <row r="7821" spans="1:1" ht="12.75" customHeight="1">
      <c r="A7821" s="129">
        <v>7821</v>
      </c>
    </row>
    <row r="7822" spans="1:1" ht="12.75" customHeight="1">
      <c r="A7822" s="129">
        <v>7822</v>
      </c>
    </row>
    <row r="7823" spans="1:1" ht="12.75" customHeight="1">
      <c r="A7823" s="129">
        <v>7823</v>
      </c>
    </row>
    <row r="7824" spans="1:1" ht="12.75" customHeight="1">
      <c r="A7824" s="129">
        <v>7824</v>
      </c>
    </row>
    <row r="7825" spans="1:1" ht="12.75" customHeight="1">
      <c r="A7825" s="129">
        <v>7825</v>
      </c>
    </row>
    <row r="7826" spans="1:1" ht="12.75" customHeight="1">
      <c r="A7826" s="129">
        <v>7826</v>
      </c>
    </row>
    <row r="7827" spans="1:1" ht="12.75" customHeight="1">
      <c r="A7827" s="129">
        <v>7827</v>
      </c>
    </row>
    <row r="7828" spans="1:1" ht="12.75" customHeight="1">
      <c r="A7828" s="129">
        <v>7828</v>
      </c>
    </row>
    <row r="7829" spans="1:1" ht="12.75" customHeight="1">
      <c r="A7829" s="129">
        <v>7829</v>
      </c>
    </row>
    <row r="7830" spans="1:1" ht="12.75" customHeight="1">
      <c r="A7830" s="129">
        <v>7830</v>
      </c>
    </row>
    <row r="7831" spans="1:1" ht="12.75" customHeight="1">
      <c r="A7831" s="129">
        <v>7831</v>
      </c>
    </row>
    <row r="7832" spans="1:1" ht="12.75" customHeight="1">
      <c r="A7832" s="129">
        <v>7832</v>
      </c>
    </row>
    <row r="7833" spans="1:1" ht="12.75" customHeight="1">
      <c r="A7833" s="129">
        <v>7833</v>
      </c>
    </row>
    <row r="7834" spans="1:1" ht="12.75" customHeight="1">
      <c r="A7834" s="129">
        <v>7834</v>
      </c>
    </row>
    <row r="7835" spans="1:1" ht="12.75" customHeight="1">
      <c r="A7835" s="129">
        <v>7835</v>
      </c>
    </row>
    <row r="7836" spans="1:1" ht="12.75" customHeight="1">
      <c r="A7836" s="129">
        <v>7836</v>
      </c>
    </row>
    <row r="7837" spans="1:1" ht="12.75" customHeight="1">
      <c r="A7837" s="129">
        <v>7837</v>
      </c>
    </row>
    <row r="7838" spans="1:1" ht="12.75" customHeight="1">
      <c r="A7838" s="129">
        <v>7838</v>
      </c>
    </row>
    <row r="7839" spans="1:1" ht="12.75" customHeight="1">
      <c r="A7839" s="129">
        <v>7839</v>
      </c>
    </row>
    <row r="7840" spans="1:1" ht="12.75" customHeight="1">
      <c r="A7840" s="129">
        <v>7840</v>
      </c>
    </row>
    <row r="7841" spans="1:1" ht="12.75" customHeight="1">
      <c r="A7841" s="129">
        <v>7841</v>
      </c>
    </row>
    <row r="7842" spans="1:1" ht="12.75" customHeight="1">
      <c r="A7842" s="129">
        <v>7842</v>
      </c>
    </row>
    <row r="7843" spans="1:1" ht="12.75" customHeight="1">
      <c r="A7843" s="129">
        <v>7843</v>
      </c>
    </row>
    <row r="7844" spans="1:1" ht="12.75" customHeight="1">
      <c r="A7844" s="129">
        <v>7844</v>
      </c>
    </row>
    <row r="7845" spans="1:1" ht="12.75" customHeight="1">
      <c r="A7845" s="129">
        <v>7845</v>
      </c>
    </row>
    <row r="7846" spans="1:1" ht="12.75" customHeight="1">
      <c r="A7846" s="129">
        <v>7846</v>
      </c>
    </row>
    <row r="7847" spans="1:1" ht="12.75" customHeight="1">
      <c r="A7847" s="129">
        <v>7847</v>
      </c>
    </row>
    <row r="7848" spans="1:1" ht="12.75" customHeight="1">
      <c r="A7848" s="129">
        <v>7848</v>
      </c>
    </row>
    <row r="7849" spans="1:1" ht="12.75" customHeight="1">
      <c r="A7849" s="129">
        <v>7849</v>
      </c>
    </row>
    <row r="7850" spans="1:1" ht="12.75" customHeight="1">
      <c r="A7850" s="129">
        <v>7850</v>
      </c>
    </row>
    <row r="7851" spans="1:1" ht="12.75" customHeight="1">
      <c r="A7851" s="129">
        <v>7851</v>
      </c>
    </row>
    <row r="7852" spans="1:1" ht="12.75" customHeight="1">
      <c r="A7852" s="129">
        <v>7852</v>
      </c>
    </row>
    <row r="7853" spans="1:1" ht="12.75" customHeight="1">
      <c r="A7853" s="129">
        <v>7853</v>
      </c>
    </row>
    <row r="7854" spans="1:1" ht="12.75" customHeight="1">
      <c r="A7854" s="129">
        <v>7854</v>
      </c>
    </row>
    <row r="7855" spans="1:1" ht="12.75" customHeight="1">
      <c r="A7855" s="129">
        <v>7855</v>
      </c>
    </row>
    <row r="7856" spans="1:1" ht="12.75" customHeight="1">
      <c r="A7856" s="129">
        <v>7856</v>
      </c>
    </row>
    <row r="7857" spans="1:1" ht="12.75" customHeight="1">
      <c r="A7857" s="129">
        <v>7857</v>
      </c>
    </row>
    <row r="7858" spans="1:1" ht="12.75" customHeight="1">
      <c r="A7858" s="129">
        <v>7858</v>
      </c>
    </row>
    <row r="7859" spans="1:1" ht="12.75" customHeight="1">
      <c r="A7859" s="129">
        <v>7859</v>
      </c>
    </row>
    <row r="7860" spans="1:1" ht="12.75" customHeight="1">
      <c r="A7860" s="129">
        <v>7860</v>
      </c>
    </row>
    <row r="7861" spans="1:1" ht="12.75" customHeight="1">
      <c r="A7861" s="129">
        <v>7861</v>
      </c>
    </row>
    <row r="7862" spans="1:1" ht="12.75" customHeight="1">
      <c r="A7862" s="129">
        <v>7862</v>
      </c>
    </row>
    <row r="7863" spans="1:1" ht="12.75" customHeight="1">
      <c r="A7863" s="129">
        <v>7863</v>
      </c>
    </row>
    <row r="7864" spans="1:1" ht="12.75" customHeight="1">
      <c r="A7864" s="129">
        <v>7864</v>
      </c>
    </row>
    <row r="7865" spans="1:1" ht="12.75" customHeight="1">
      <c r="A7865" s="129">
        <v>7865</v>
      </c>
    </row>
    <row r="7866" spans="1:1" ht="12.75" customHeight="1">
      <c r="A7866" s="129">
        <v>7866</v>
      </c>
    </row>
    <row r="7867" spans="1:1" ht="12.75" customHeight="1">
      <c r="A7867" s="129">
        <v>7867</v>
      </c>
    </row>
    <row r="7868" spans="1:1" ht="12.75" customHeight="1">
      <c r="A7868" s="129">
        <v>7868</v>
      </c>
    </row>
    <row r="7869" spans="1:1" ht="12.75" customHeight="1">
      <c r="A7869" s="129">
        <v>7869</v>
      </c>
    </row>
    <row r="7870" spans="1:1" ht="12.75" customHeight="1">
      <c r="A7870" s="129">
        <v>7870</v>
      </c>
    </row>
    <row r="7871" spans="1:1" ht="12.75" customHeight="1">
      <c r="A7871" s="129">
        <v>7871</v>
      </c>
    </row>
    <row r="7872" spans="1:1" ht="12.75" customHeight="1">
      <c r="A7872" s="129">
        <v>7872</v>
      </c>
    </row>
    <row r="7873" spans="1:1" ht="12.75" customHeight="1">
      <c r="A7873" s="129">
        <v>7873</v>
      </c>
    </row>
    <row r="7874" spans="1:1" ht="12.75" customHeight="1">
      <c r="A7874" s="129">
        <v>7874</v>
      </c>
    </row>
    <row r="7875" spans="1:1" ht="12.75" customHeight="1">
      <c r="A7875" s="129">
        <v>7875</v>
      </c>
    </row>
    <row r="7876" spans="1:1" ht="12.75" customHeight="1">
      <c r="A7876" s="129">
        <v>7876</v>
      </c>
    </row>
    <row r="7877" spans="1:1" ht="12.75" customHeight="1">
      <c r="A7877" s="129">
        <v>7877</v>
      </c>
    </row>
    <row r="7878" spans="1:1" ht="12.75" customHeight="1">
      <c r="A7878" s="129">
        <v>7878</v>
      </c>
    </row>
    <row r="7879" spans="1:1" ht="12.75" customHeight="1">
      <c r="A7879" s="129">
        <v>7879</v>
      </c>
    </row>
    <row r="7880" spans="1:1" ht="12.75" customHeight="1">
      <c r="A7880" s="129">
        <v>7880</v>
      </c>
    </row>
    <row r="7881" spans="1:1" ht="12.75" customHeight="1">
      <c r="A7881" s="129">
        <v>7881</v>
      </c>
    </row>
    <row r="7882" spans="1:1" ht="12.75" customHeight="1">
      <c r="A7882" s="129">
        <v>7882</v>
      </c>
    </row>
    <row r="7883" spans="1:1" ht="12.75" customHeight="1">
      <c r="A7883" s="129">
        <v>7883</v>
      </c>
    </row>
    <row r="7884" spans="1:1" ht="12.75" customHeight="1">
      <c r="A7884" s="129">
        <v>7884</v>
      </c>
    </row>
    <row r="7885" spans="1:1" ht="12.75" customHeight="1">
      <c r="A7885" s="129">
        <v>7885</v>
      </c>
    </row>
    <row r="7886" spans="1:1" ht="12.75" customHeight="1">
      <c r="A7886" s="129">
        <v>7886</v>
      </c>
    </row>
    <row r="7887" spans="1:1" ht="12.75" customHeight="1">
      <c r="A7887" s="129">
        <v>7887</v>
      </c>
    </row>
    <row r="7888" spans="1:1" ht="12.75" customHeight="1">
      <c r="A7888" s="129">
        <v>7888</v>
      </c>
    </row>
    <row r="7889" spans="1:1" ht="12.75" customHeight="1">
      <c r="A7889" s="129">
        <v>7889</v>
      </c>
    </row>
    <row r="7890" spans="1:1" ht="12.75" customHeight="1">
      <c r="A7890" s="129">
        <v>7890</v>
      </c>
    </row>
    <row r="7891" spans="1:1" ht="12.75" customHeight="1">
      <c r="A7891" s="129">
        <v>7891</v>
      </c>
    </row>
    <row r="7892" spans="1:1" ht="12.75" customHeight="1">
      <c r="A7892" s="129">
        <v>7892</v>
      </c>
    </row>
    <row r="7893" spans="1:1" ht="12.75" customHeight="1">
      <c r="A7893" s="129">
        <v>7893</v>
      </c>
    </row>
    <row r="7894" spans="1:1" ht="12.75" customHeight="1">
      <c r="A7894" s="129">
        <v>7894</v>
      </c>
    </row>
    <row r="7895" spans="1:1" ht="12.75" customHeight="1">
      <c r="A7895" s="129">
        <v>7895</v>
      </c>
    </row>
    <row r="7896" spans="1:1" ht="12.75" customHeight="1">
      <c r="A7896" s="129">
        <v>7896</v>
      </c>
    </row>
    <row r="7897" spans="1:1" ht="12.75" customHeight="1">
      <c r="A7897" s="129">
        <v>7897</v>
      </c>
    </row>
    <row r="7898" spans="1:1" ht="12.75" customHeight="1">
      <c r="A7898" s="129">
        <v>7898</v>
      </c>
    </row>
    <row r="7899" spans="1:1" ht="12.75" customHeight="1">
      <c r="A7899" s="129">
        <v>7899</v>
      </c>
    </row>
    <row r="7900" spans="1:1" ht="12.75" customHeight="1">
      <c r="A7900" s="129">
        <v>7900</v>
      </c>
    </row>
    <row r="7901" spans="1:1" ht="12.75" customHeight="1">
      <c r="A7901" s="129">
        <v>7901</v>
      </c>
    </row>
    <row r="7902" spans="1:1" ht="12.75" customHeight="1">
      <c r="A7902" s="129">
        <v>7902</v>
      </c>
    </row>
    <row r="7903" spans="1:1" ht="12.75" customHeight="1">
      <c r="A7903" s="129">
        <v>7903</v>
      </c>
    </row>
    <row r="7904" spans="1:1" ht="12.75" customHeight="1">
      <c r="A7904" s="129">
        <v>7904</v>
      </c>
    </row>
    <row r="7905" spans="1:1" ht="12.75" customHeight="1">
      <c r="A7905" s="129">
        <v>7905</v>
      </c>
    </row>
    <row r="7906" spans="1:1" ht="12.75" customHeight="1">
      <c r="A7906" s="129">
        <v>7906</v>
      </c>
    </row>
    <row r="7907" spans="1:1" ht="12.75" customHeight="1">
      <c r="A7907" s="129">
        <v>7907</v>
      </c>
    </row>
    <row r="7908" spans="1:1" ht="12.75" customHeight="1">
      <c r="A7908" s="129">
        <v>7908</v>
      </c>
    </row>
    <row r="7909" spans="1:1" ht="12.75" customHeight="1">
      <c r="A7909" s="129">
        <v>7909</v>
      </c>
    </row>
    <row r="7910" spans="1:1" ht="12.75" customHeight="1">
      <c r="A7910" s="129">
        <v>7910</v>
      </c>
    </row>
    <row r="7911" spans="1:1" ht="12.75" customHeight="1">
      <c r="A7911" s="129">
        <v>7911</v>
      </c>
    </row>
    <row r="7912" spans="1:1" ht="12.75" customHeight="1">
      <c r="A7912" s="129">
        <v>7912</v>
      </c>
    </row>
    <row r="7913" spans="1:1" ht="12.75" customHeight="1">
      <c r="A7913" s="129">
        <v>7913</v>
      </c>
    </row>
    <row r="7914" spans="1:1" ht="12.75" customHeight="1">
      <c r="A7914" s="129">
        <v>7914</v>
      </c>
    </row>
    <row r="7915" spans="1:1" ht="12.75" customHeight="1">
      <c r="A7915" s="129">
        <v>7915</v>
      </c>
    </row>
    <row r="7916" spans="1:1" ht="12.75" customHeight="1">
      <c r="A7916" s="129">
        <v>7916</v>
      </c>
    </row>
    <row r="7917" spans="1:1" ht="12.75" customHeight="1">
      <c r="A7917" s="129">
        <v>7917</v>
      </c>
    </row>
    <row r="7918" spans="1:1" ht="12.75" customHeight="1">
      <c r="A7918" s="129">
        <v>7918</v>
      </c>
    </row>
    <row r="7919" spans="1:1" ht="12.75" customHeight="1">
      <c r="A7919" s="129">
        <v>7919</v>
      </c>
    </row>
    <row r="7920" spans="1:1" ht="12.75" customHeight="1">
      <c r="A7920" s="129">
        <v>7920</v>
      </c>
    </row>
    <row r="7921" spans="1:1" ht="12.75" customHeight="1">
      <c r="A7921" s="129">
        <v>7921</v>
      </c>
    </row>
    <row r="7922" spans="1:1" ht="12.75" customHeight="1">
      <c r="A7922" s="129">
        <v>7922</v>
      </c>
    </row>
    <row r="7923" spans="1:1" ht="12.75" customHeight="1">
      <c r="A7923" s="129">
        <v>7923</v>
      </c>
    </row>
    <row r="7924" spans="1:1" ht="12.75" customHeight="1">
      <c r="A7924" s="129">
        <v>7924</v>
      </c>
    </row>
    <row r="7925" spans="1:1" ht="12.75" customHeight="1">
      <c r="A7925" s="129">
        <v>7925</v>
      </c>
    </row>
    <row r="7926" spans="1:1" ht="12.75" customHeight="1">
      <c r="A7926" s="129">
        <v>7926</v>
      </c>
    </row>
    <row r="7927" spans="1:1" ht="12.75" customHeight="1">
      <c r="A7927" s="129">
        <v>7927</v>
      </c>
    </row>
    <row r="7928" spans="1:1" ht="12.75" customHeight="1">
      <c r="A7928" s="129">
        <v>7928</v>
      </c>
    </row>
    <row r="7929" spans="1:1" ht="12.75" customHeight="1">
      <c r="A7929" s="129">
        <v>7929</v>
      </c>
    </row>
    <row r="7930" spans="1:1" ht="12.75" customHeight="1">
      <c r="A7930" s="129">
        <v>7930</v>
      </c>
    </row>
    <row r="7931" spans="1:1" ht="12.75" customHeight="1">
      <c r="A7931" s="129">
        <v>7931</v>
      </c>
    </row>
    <row r="7932" spans="1:1" ht="12.75" customHeight="1">
      <c r="A7932" s="129">
        <v>7932</v>
      </c>
    </row>
    <row r="7933" spans="1:1" ht="12.75" customHeight="1">
      <c r="A7933" s="129">
        <v>7933</v>
      </c>
    </row>
    <row r="7934" spans="1:1" ht="12.75" customHeight="1">
      <c r="A7934" s="129">
        <v>7934</v>
      </c>
    </row>
    <row r="7935" spans="1:1" ht="12.75" customHeight="1">
      <c r="A7935" s="129">
        <v>7935</v>
      </c>
    </row>
    <row r="7936" spans="1:1" ht="12.75" customHeight="1">
      <c r="A7936" s="129">
        <v>7936</v>
      </c>
    </row>
    <row r="7937" spans="1:1" ht="12.75" customHeight="1">
      <c r="A7937" s="129">
        <v>7937</v>
      </c>
    </row>
    <row r="7938" spans="1:1" ht="12.75" customHeight="1">
      <c r="A7938" s="129">
        <v>7938</v>
      </c>
    </row>
    <row r="7939" spans="1:1" ht="12.75" customHeight="1">
      <c r="A7939" s="129">
        <v>7939</v>
      </c>
    </row>
    <row r="7940" spans="1:1" ht="12.75" customHeight="1">
      <c r="A7940" s="129">
        <v>7940</v>
      </c>
    </row>
    <row r="7941" spans="1:1" ht="12.75" customHeight="1">
      <c r="A7941" s="129">
        <v>7941</v>
      </c>
    </row>
    <row r="7942" spans="1:1" ht="12.75" customHeight="1">
      <c r="A7942" s="129">
        <v>7942</v>
      </c>
    </row>
    <row r="7943" spans="1:1" ht="12.75" customHeight="1">
      <c r="A7943" s="129">
        <v>7943</v>
      </c>
    </row>
    <row r="7944" spans="1:1" ht="12.75" customHeight="1">
      <c r="A7944" s="129">
        <v>7944</v>
      </c>
    </row>
    <row r="7945" spans="1:1" ht="12.75" customHeight="1">
      <c r="A7945" s="129">
        <v>7945</v>
      </c>
    </row>
    <row r="7946" spans="1:1" ht="12.75" customHeight="1">
      <c r="A7946" s="129">
        <v>7946</v>
      </c>
    </row>
    <row r="7947" spans="1:1" ht="12.75" customHeight="1">
      <c r="A7947" s="129">
        <v>7947</v>
      </c>
    </row>
    <row r="7948" spans="1:1" ht="12.75" customHeight="1">
      <c r="A7948" s="129">
        <v>7948</v>
      </c>
    </row>
    <row r="7949" spans="1:1" ht="12.75" customHeight="1">
      <c r="A7949" s="129">
        <v>7949</v>
      </c>
    </row>
    <row r="7950" spans="1:1" ht="12.75" customHeight="1">
      <c r="A7950" s="129">
        <v>7950</v>
      </c>
    </row>
    <row r="7951" spans="1:1" ht="12.75" customHeight="1">
      <c r="A7951" s="129">
        <v>7951</v>
      </c>
    </row>
    <row r="7952" spans="1:1" ht="12.75" customHeight="1">
      <c r="A7952" s="129">
        <v>7952</v>
      </c>
    </row>
    <row r="7953" spans="1:1" ht="12.75" customHeight="1">
      <c r="A7953" s="129">
        <v>7953</v>
      </c>
    </row>
    <row r="7954" spans="1:1" ht="12.75" customHeight="1">
      <c r="A7954" s="129">
        <v>7954</v>
      </c>
    </row>
    <row r="7955" spans="1:1" ht="12.75" customHeight="1">
      <c r="A7955" s="129">
        <v>7955</v>
      </c>
    </row>
    <row r="7956" spans="1:1" ht="12.75" customHeight="1">
      <c r="A7956" s="129">
        <v>7956</v>
      </c>
    </row>
    <row r="7957" spans="1:1" ht="12.75" customHeight="1">
      <c r="A7957" s="129">
        <v>7957</v>
      </c>
    </row>
    <row r="7958" spans="1:1" ht="12.75" customHeight="1">
      <c r="A7958" s="129">
        <v>7958</v>
      </c>
    </row>
    <row r="7959" spans="1:1" ht="12.75" customHeight="1">
      <c r="A7959" s="129">
        <v>7959</v>
      </c>
    </row>
    <row r="7960" spans="1:1" ht="12.75" customHeight="1">
      <c r="A7960" s="129">
        <v>7960</v>
      </c>
    </row>
    <row r="7961" spans="1:1" ht="12.75" customHeight="1">
      <c r="A7961" s="129">
        <v>7961</v>
      </c>
    </row>
    <row r="7962" spans="1:1" ht="12.75" customHeight="1">
      <c r="A7962" s="129">
        <v>7962</v>
      </c>
    </row>
    <row r="7963" spans="1:1" ht="12.75" customHeight="1">
      <c r="A7963" s="129">
        <v>7963</v>
      </c>
    </row>
    <row r="7964" spans="1:1" ht="12.75" customHeight="1">
      <c r="A7964" s="129">
        <v>7964</v>
      </c>
    </row>
    <row r="7965" spans="1:1" ht="12.75" customHeight="1">
      <c r="A7965" s="129">
        <v>7965</v>
      </c>
    </row>
    <row r="7966" spans="1:1" ht="12.75" customHeight="1">
      <c r="A7966" s="129">
        <v>7966</v>
      </c>
    </row>
    <row r="7967" spans="1:1" ht="12.75" customHeight="1">
      <c r="A7967" s="129">
        <v>7967</v>
      </c>
    </row>
    <row r="7968" spans="1:1" ht="12.75" customHeight="1">
      <c r="A7968" s="129">
        <v>7968</v>
      </c>
    </row>
    <row r="7969" spans="1:1" ht="12.75" customHeight="1">
      <c r="A7969" s="129">
        <v>7969</v>
      </c>
    </row>
    <row r="7970" spans="1:1" ht="12.75" customHeight="1">
      <c r="A7970" s="129">
        <v>7970</v>
      </c>
    </row>
    <row r="7971" spans="1:1" ht="12.75" customHeight="1">
      <c r="A7971" s="129">
        <v>7971</v>
      </c>
    </row>
    <row r="7972" spans="1:1" ht="12.75" customHeight="1">
      <c r="A7972" s="129">
        <v>7972</v>
      </c>
    </row>
    <row r="7973" spans="1:1" ht="12.75" customHeight="1">
      <c r="A7973" s="129">
        <v>7973</v>
      </c>
    </row>
    <row r="7974" spans="1:1" ht="12.75" customHeight="1">
      <c r="A7974" s="129">
        <v>7974</v>
      </c>
    </row>
    <row r="7975" spans="1:1" ht="12.75" customHeight="1">
      <c r="A7975" s="129">
        <v>7975</v>
      </c>
    </row>
    <row r="7976" spans="1:1" ht="12.75" customHeight="1">
      <c r="A7976" s="129">
        <v>7976</v>
      </c>
    </row>
    <row r="7977" spans="1:1" ht="12.75" customHeight="1">
      <c r="A7977" s="129">
        <v>7977</v>
      </c>
    </row>
    <row r="7978" spans="1:1" ht="12.75" customHeight="1">
      <c r="A7978" s="129">
        <v>7978</v>
      </c>
    </row>
    <row r="7979" spans="1:1" ht="12.75" customHeight="1">
      <c r="A7979" s="129">
        <v>7979</v>
      </c>
    </row>
    <row r="7980" spans="1:1" ht="12.75" customHeight="1">
      <c r="A7980" s="129">
        <v>7980</v>
      </c>
    </row>
    <row r="7981" spans="1:1" ht="12.75" customHeight="1">
      <c r="A7981" s="129">
        <v>7981</v>
      </c>
    </row>
    <row r="7982" spans="1:1" ht="12.75" customHeight="1">
      <c r="A7982" s="129">
        <v>7982</v>
      </c>
    </row>
    <row r="7983" spans="1:1" ht="12.75" customHeight="1">
      <c r="A7983" s="129">
        <v>7983</v>
      </c>
    </row>
    <row r="7984" spans="1:1" ht="12.75" customHeight="1">
      <c r="A7984" s="129">
        <v>7984</v>
      </c>
    </row>
    <row r="7985" spans="1:1" ht="12.75" customHeight="1">
      <c r="A7985" s="129">
        <v>7985</v>
      </c>
    </row>
    <row r="7986" spans="1:1" ht="12.75" customHeight="1">
      <c r="A7986" s="129">
        <v>7986</v>
      </c>
    </row>
    <row r="7987" spans="1:1" ht="12.75" customHeight="1">
      <c r="A7987" s="129">
        <v>7987</v>
      </c>
    </row>
    <row r="7988" spans="1:1" ht="12.75" customHeight="1">
      <c r="A7988" s="129">
        <v>7988</v>
      </c>
    </row>
    <row r="7989" spans="1:1" ht="12.75" customHeight="1">
      <c r="A7989" s="129">
        <v>7989</v>
      </c>
    </row>
    <row r="7990" spans="1:1" ht="12.75" customHeight="1">
      <c r="A7990" s="129">
        <v>7990</v>
      </c>
    </row>
    <row r="7991" spans="1:1" ht="12.75" customHeight="1">
      <c r="A7991" s="129">
        <v>7991</v>
      </c>
    </row>
    <row r="7992" spans="1:1" ht="12.75" customHeight="1">
      <c r="A7992" s="129">
        <v>7992</v>
      </c>
    </row>
    <row r="7993" spans="1:1" ht="12.75" customHeight="1">
      <c r="A7993" s="129">
        <v>7993</v>
      </c>
    </row>
    <row r="7994" spans="1:1" ht="12.75" customHeight="1">
      <c r="A7994" s="129">
        <v>7994</v>
      </c>
    </row>
    <row r="7995" spans="1:1" ht="12.75" customHeight="1">
      <c r="A7995" s="129">
        <v>7995</v>
      </c>
    </row>
    <row r="7996" spans="1:1" ht="12.75" customHeight="1">
      <c r="A7996" s="129">
        <v>7996</v>
      </c>
    </row>
    <row r="7997" spans="1:1" ht="12.75" customHeight="1">
      <c r="A7997" s="129">
        <v>7997</v>
      </c>
    </row>
    <row r="7998" spans="1:1" ht="12.75" customHeight="1">
      <c r="A7998" s="129">
        <v>7998</v>
      </c>
    </row>
    <row r="7999" spans="1:1" ht="12.75" customHeight="1">
      <c r="A7999" s="129">
        <v>7999</v>
      </c>
    </row>
    <row r="8000" spans="1:1" ht="12.75" customHeight="1">
      <c r="A8000" s="129">
        <v>8000</v>
      </c>
    </row>
    <row r="8001" spans="1:1" ht="12.75" customHeight="1">
      <c r="A8001" s="129">
        <v>8001</v>
      </c>
    </row>
    <row r="8002" spans="1:1" ht="12.75" customHeight="1">
      <c r="A8002" s="129">
        <v>8002</v>
      </c>
    </row>
    <row r="8003" spans="1:1" ht="12.75" customHeight="1">
      <c r="A8003" s="129">
        <v>8003</v>
      </c>
    </row>
    <row r="8004" spans="1:1" ht="12.75" customHeight="1">
      <c r="A8004" s="129">
        <v>8004</v>
      </c>
    </row>
    <row r="8005" spans="1:1" ht="12.75" customHeight="1">
      <c r="A8005" s="129">
        <v>8005</v>
      </c>
    </row>
    <row r="8006" spans="1:1" ht="12.75" customHeight="1">
      <c r="A8006" s="129">
        <v>8006</v>
      </c>
    </row>
    <row r="8007" spans="1:1" ht="12.75" customHeight="1">
      <c r="A8007" s="129">
        <v>8007</v>
      </c>
    </row>
    <row r="8008" spans="1:1" ht="12.75" customHeight="1">
      <c r="A8008" s="129">
        <v>8008</v>
      </c>
    </row>
    <row r="8009" spans="1:1" ht="12.75" customHeight="1">
      <c r="A8009" s="129">
        <v>8009</v>
      </c>
    </row>
    <row r="8010" spans="1:1" ht="12.75" customHeight="1">
      <c r="A8010" s="129">
        <v>8010</v>
      </c>
    </row>
    <row r="8011" spans="1:1" ht="12.75" customHeight="1">
      <c r="A8011" s="129">
        <v>8011</v>
      </c>
    </row>
    <row r="8012" spans="1:1" ht="12.75" customHeight="1">
      <c r="A8012" s="129">
        <v>8012</v>
      </c>
    </row>
    <row r="8013" spans="1:1" ht="12.75" customHeight="1">
      <c r="A8013" s="129">
        <v>8013</v>
      </c>
    </row>
    <row r="8014" spans="1:1" ht="12.75" customHeight="1">
      <c r="A8014" s="129">
        <v>8014</v>
      </c>
    </row>
    <row r="8015" spans="1:1" ht="12.75" customHeight="1">
      <c r="A8015" s="129">
        <v>8015</v>
      </c>
    </row>
    <row r="8016" spans="1:1" ht="12.75" customHeight="1">
      <c r="A8016" s="129">
        <v>8016</v>
      </c>
    </row>
    <row r="8017" spans="1:1" ht="12.75" customHeight="1">
      <c r="A8017" s="129">
        <v>8017</v>
      </c>
    </row>
    <row r="8018" spans="1:1" ht="12.75" customHeight="1">
      <c r="A8018" s="129">
        <v>8018</v>
      </c>
    </row>
    <row r="8019" spans="1:1" ht="12.75" customHeight="1">
      <c r="A8019" s="129">
        <v>8019</v>
      </c>
    </row>
    <row r="8020" spans="1:1" ht="12.75" customHeight="1">
      <c r="A8020" s="129">
        <v>8020</v>
      </c>
    </row>
    <row r="8021" spans="1:1" ht="12.75" customHeight="1">
      <c r="A8021" s="129">
        <v>8021</v>
      </c>
    </row>
    <row r="8022" spans="1:1" ht="12.75" customHeight="1">
      <c r="A8022" s="129">
        <v>8022</v>
      </c>
    </row>
    <row r="8023" spans="1:1" ht="12.75" customHeight="1">
      <c r="A8023" s="129">
        <v>8023</v>
      </c>
    </row>
    <row r="8024" spans="1:1" ht="12.75" customHeight="1">
      <c r="A8024" s="129">
        <v>8024</v>
      </c>
    </row>
    <row r="8025" spans="1:1" ht="12.75" customHeight="1">
      <c r="A8025" s="129">
        <v>8025</v>
      </c>
    </row>
    <row r="8026" spans="1:1" ht="12.75" customHeight="1">
      <c r="A8026" s="129">
        <v>8026</v>
      </c>
    </row>
    <row r="8027" spans="1:1" ht="12.75" customHeight="1">
      <c r="A8027" s="129">
        <v>8027</v>
      </c>
    </row>
    <row r="8028" spans="1:1" ht="12.75" customHeight="1">
      <c r="A8028" s="129">
        <v>8028</v>
      </c>
    </row>
    <row r="8029" spans="1:1" ht="12.75" customHeight="1">
      <c r="A8029" s="129">
        <v>8029</v>
      </c>
    </row>
    <row r="8030" spans="1:1" ht="12.75" customHeight="1">
      <c r="A8030" s="129">
        <v>8030</v>
      </c>
    </row>
    <row r="8031" spans="1:1" ht="12.75" customHeight="1">
      <c r="A8031" s="129">
        <v>8031</v>
      </c>
    </row>
    <row r="8032" spans="1:1" ht="12.75" customHeight="1">
      <c r="A8032" s="129">
        <v>8032</v>
      </c>
    </row>
    <row r="8033" spans="1:1" ht="12.75" customHeight="1">
      <c r="A8033" s="129">
        <v>8033</v>
      </c>
    </row>
    <row r="8034" spans="1:1" ht="12.75" customHeight="1">
      <c r="A8034" s="129">
        <v>8034</v>
      </c>
    </row>
    <row r="8035" spans="1:1" ht="12.75" customHeight="1">
      <c r="A8035" s="129">
        <v>8035</v>
      </c>
    </row>
    <row r="8036" spans="1:1" ht="12.75" customHeight="1">
      <c r="A8036" s="129">
        <v>8036</v>
      </c>
    </row>
    <row r="8037" spans="1:1" ht="12.75" customHeight="1">
      <c r="A8037" s="129">
        <v>8037</v>
      </c>
    </row>
    <row r="8038" spans="1:1" ht="12.75" customHeight="1">
      <c r="A8038" s="129">
        <v>8038</v>
      </c>
    </row>
    <row r="8039" spans="1:1" ht="12.75" customHeight="1">
      <c r="A8039" s="129">
        <v>8039</v>
      </c>
    </row>
    <row r="8040" spans="1:1" ht="12.75" customHeight="1">
      <c r="A8040" s="129">
        <v>8040</v>
      </c>
    </row>
    <row r="8041" spans="1:1" ht="12.75" customHeight="1">
      <c r="A8041" s="129">
        <v>8041</v>
      </c>
    </row>
    <row r="8042" spans="1:1" ht="12.75" customHeight="1">
      <c r="A8042" s="129">
        <v>8042</v>
      </c>
    </row>
    <row r="8043" spans="1:1" ht="12.75" customHeight="1">
      <c r="A8043" s="129">
        <v>8043</v>
      </c>
    </row>
    <row r="8044" spans="1:1" ht="12.75" customHeight="1">
      <c r="A8044" s="129">
        <v>8044</v>
      </c>
    </row>
    <row r="8045" spans="1:1" ht="12.75" customHeight="1">
      <c r="A8045" s="129">
        <v>8045</v>
      </c>
    </row>
    <row r="8046" spans="1:1" ht="12.75" customHeight="1">
      <c r="A8046" s="129">
        <v>8046</v>
      </c>
    </row>
    <row r="8047" spans="1:1" ht="12.75" customHeight="1">
      <c r="A8047" s="129">
        <v>8047</v>
      </c>
    </row>
    <row r="8048" spans="1:1" ht="12.75" customHeight="1">
      <c r="A8048" s="129">
        <v>8048</v>
      </c>
    </row>
    <row r="8049" spans="1:1" ht="12.75" customHeight="1">
      <c r="A8049" s="129">
        <v>8049</v>
      </c>
    </row>
    <row r="8050" spans="1:1" ht="12.75" customHeight="1">
      <c r="A8050" s="129">
        <v>8050</v>
      </c>
    </row>
    <row r="8051" spans="1:1" ht="12.75" customHeight="1">
      <c r="A8051" s="129">
        <v>8051</v>
      </c>
    </row>
    <row r="8052" spans="1:1" ht="12.75" customHeight="1">
      <c r="A8052" s="129">
        <v>8052</v>
      </c>
    </row>
    <row r="8053" spans="1:1" ht="12.75" customHeight="1">
      <c r="A8053" s="129">
        <v>8053</v>
      </c>
    </row>
    <row r="8054" spans="1:1" ht="12.75" customHeight="1">
      <c r="A8054" s="129">
        <v>8054</v>
      </c>
    </row>
    <row r="8055" spans="1:1" ht="12.75" customHeight="1">
      <c r="A8055" s="129">
        <v>8055</v>
      </c>
    </row>
    <row r="8056" spans="1:1" ht="12.75" customHeight="1">
      <c r="A8056" s="129">
        <v>8056</v>
      </c>
    </row>
    <row r="8057" spans="1:1" ht="12.75" customHeight="1">
      <c r="A8057" s="129">
        <v>8057</v>
      </c>
    </row>
    <row r="8058" spans="1:1" ht="12.75" customHeight="1">
      <c r="A8058" s="129">
        <v>8058</v>
      </c>
    </row>
    <row r="8059" spans="1:1" ht="12.75" customHeight="1">
      <c r="A8059" s="129">
        <v>8059</v>
      </c>
    </row>
    <row r="8060" spans="1:1" ht="12.75" customHeight="1">
      <c r="A8060" s="129">
        <v>8060</v>
      </c>
    </row>
    <row r="8061" spans="1:1" ht="12.75" customHeight="1">
      <c r="A8061" s="129">
        <v>8061</v>
      </c>
    </row>
    <row r="8062" spans="1:1" ht="12.75" customHeight="1">
      <c r="A8062" s="129">
        <v>8062</v>
      </c>
    </row>
    <row r="8063" spans="1:1" ht="12.75" customHeight="1">
      <c r="A8063" s="129">
        <v>8063</v>
      </c>
    </row>
    <row r="8064" spans="1:1" ht="12.75" customHeight="1">
      <c r="A8064" s="129">
        <v>8064</v>
      </c>
    </row>
    <row r="8065" spans="1:1" ht="12.75" customHeight="1">
      <c r="A8065" s="129">
        <v>8065</v>
      </c>
    </row>
    <row r="8066" spans="1:1" ht="12.75" customHeight="1">
      <c r="A8066" s="129">
        <v>8066</v>
      </c>
    </row>
    <row r="8067" spans="1:1" ht="12.75" customHeight="1">
      <c r="A8067" s="129">
        <v>8067</v>
      </c>
    </row>
    <row r="8068" spans="1:1" ht="12.75" customHeight="1">
      <c r="A8068" s="129">
        <v>8068</v>
      </c>
    </row>
    <row r="8069" spans="1:1" ht="12.75" customHeight="1">
      <c r="A8069" s="129">
        <v>8069</v>
      </c>
    </row>
    <row r="8070" spans="1:1" ht="12.75" customHeight="1">
      <c r="A8070" s="129">
        <v>8070</v>
      </c>
    </row>
    <row r="8071" spans="1:1" ht="12.75" customHeight="1">
      <c r="A8071" s="129">
        <v>8071</v>
      </c>
    </row>
    <row r="8072" spans="1:1" ht="12.75" customHeight="1">
      <c r="A8072" s="129">
        <v>8072</v>
      </c>
    </row>
    <row r="8073" spans="1:1" ht="12.75" customHeight="1">
      <c r="A8073" s="129">
        <v>8073</v>
      </c>
    </row>
    <row r="8074" spans="1:1" ht="12.75" customHeight="1">
      <c r="A8074" s="129">
        <v>8074</v>
      </c>
    </row>
    <row r="8075" spans="1:1" ht="12.75" customHeight="1">
      <c r="A8075" s="129">
        <v>8075</v>
      </c>
    </row>
    <row r="8076" spans="1:1" ht="12.75" customHeight="1">
      <c r="A8076" s="129">
        <v>8076</v>
      </c>
    </row>
    <row r="8077" spans="1:1" ht="12.75" customHeight="1">
      <c r="A8077" s="129">
        <v>8077</v>
      </c>
    </row>
    <row r="8078" spans="1:1" ht="12.75" customHeight="1">
      <c r="A8078" s="129">
        <v>8078</v>
      </c>
    </row>
    <row r="8079" spans="1:1" ht="12.75" customHeight="1">
      <c r="A8079" s="129">
        <v>8079</v>
      </c>
    </row>
    <row r="8080" spans="1:1" ht="12.75" customHeight="1">
      <c r="A8080" s="129">
        <v>8080</v>
      </c>
    </row>
    <row r="8081" spans="1:1" ht="12.75" customHeight="1">
      <c r="A8081" s="129">
        <v>8081</v>
      </c>
    </row>
    <row r="8082" spans="1:1" ht="12.75" customHeight="1">
      <c r="A8082" s="129">
        <v>8082</v>
      </c>
    </row>
    <row r="8083" spans="1:1" ht="12.75" customHeight="1">
      <c r="A8083" s="129">
        <v>8083</v>
      </c>
    </row>
    <row r="8084" spans="1:1" ht="12.75" customHeight="1">
      <c r="A8084" s="129">
        <v>8084</v>
      </c>
    </row>
    <row r="8085" spans="1:1" ht="12.75" customHeight="1">
      <c r="A8085" s="129">
        <v>8085</v>
      </c>
    </row>
    <row r="8086" spans="1:1" ht="12.75" customHeight="1">
      <c r="A8086" s="129">
        <v>8086</v>
      </c>
    </row>
    <row r="8087" spans="1:1" ht="12.75" customHeight="1">
      <c r="A8087" s="129">
        <v>8087</v>
      </c>
    </row>
    <row r="8088" spans="1:1" ht="12.75" customHeight="1">
      <c r="A8088" s="129">
        <v>8088</v>
      </c>
    </row>
    <row r="8089" spans="1:1" ht="12.75" customHeight="1">
      <c r="A8089" s="129">
        <v>8089</v>
      </c>
    </row>
    <row r="8090" spans="1:1" ht="12.75" customHeight="1">
      <c r="A8090" s="129">
        <v>8090</v>
      </c>
    </row>
    <row r="8091" spans="1:1" ht="12.75" customHeight="1">
      <c r="A8091" s="129">
        <v>8091</v>
      </c>
    </row>
    <row r="8092" spans="1:1" ht="12.75" customHeight="1">
      <c r="A8092" s="129">
        <v>8092</v>
      </c>
    </row>
    <row r="8093" spans="1:1" ht="12.75" customHeight="1">
      <c r="A8093" s="129">
        <v>8093</v>
      </c>
    </row>
    <row r="8094" spans="1:1" ht="12.75" customHeight="1">
      <c r="A8094" s="129">
        <v>8094</v>
      </c>
    </row>
    <row r="8095" spans="1:1" ht="12.75" customHeight="1">
      <c r="A8095" s="129">
        <v>8095</v>
      </c>
    </row>
    <row r="8096" spans="1:1" ht="12.75" customHeight="1">
      <c r="A8096" s="129">
        <v>8096</v>
      </c>
    </row>
    <row r="8097" spans="1:1" ht="12.75" customHeight="1">
      <c r="A8097" s="129">
        <v>8097</v>
      </c>
    </row>
    <row r="8098" spans="1:1" ht="12.75" customHeight="1">
      <c r="A8098" s="129">
        <v>8098</v>
      </c>
    </row>
    <row r="8099" spans="1:1" ht="12.75" customHeight="1">
      <c r="A8099" s="129">
        <v>8099</v>
      </c>
    </row>
    <row r="8100" spans="1:1" ht="12.75" customHeight="1">
      <c r="A8100" s="129">
        <v>8100</v>
      </c>
    </row>
    <row r="8101" spans="1:1" ht="12.75" customHeight="1">
      <c r="A8101" s="129">
        <v>8101</v>
      </c>
    </row>
    <row r="8102" spans="1:1" ht="12.75" customHeight="1">
      <c r="A8102" s="129">
        <v>8102</v>
      </c>
    </row>
    <row r="8103" spans="1:1" ht="12.75" customHeight="1">
      <c r="A8103" s="129">
        <v>8103</v>
      </c>
    </row>
    <row r="8104" spans="1:1" ht="12.75" customHeight="1">
      <c r="A8104" s="129">
        <v>8104</v>
      </c>
    </row>
    <row r="8105" spans="1:1" ht="12.75" customHeight="1">
      <c r="A8105" s="129">
        <v>8105</v>
      </c>
    </row>
    <row r="8106" spans="1:1" ht="12.75" customHeight="1">
      <c r="A8106" s="129">
        <v>8106</v>
      </c>
    </row>
    <row r="8107" spans="1:1" ht="12.75" customHeight="1">
      <c r="A8107" s="129">
        <v>8107</v>
      </c>
    </row>
    <row r="8108" spans="1:1" ht="12.75" customHeight="1">
      <c r="A8108" s="129">
        <v>8108</v>
      </c>
    </row>
    <row r="8109" spans="1:1" ht="12.75" customHeight="1">
      <c r="A8109" s="129">
        <v>8109</v>
      </c>
    </row>
    <row r="8110" spans="1:1" ht="12.75" customHeight="1">
      <c r="A8110" s="129">
        <v>8110</v>
      </c>
    </row>
    <row r="8111" spans="1:1" ht="12.75" customHeight="1">
      <c r="A8111" s="129">
        <v>8111</v>
      </c>
    </row>
    <row r="8112" spans="1:1" ht="12.75" customHeight="1">
      <c r="A8112" s="129">
        <v>8112</v>
      </c>
    </row>
    <row r="8113" spans="1:1" ht="12.75" customHeight="1">
      <c r="A8113" s="129">
        <v>8113</v>
      </c>
    </row>
    <row r="8114" spans="1:1" ht="12.75" customHeight="1">
      <c r="A8114" s="129">
        <v>8114</v>
      </c>
    </row>
    <row r="8115" spans="1:1" ht="12.75" customHeight="1">
      <c r="A8115" s="129">
        <v>8115</v>
      </c>
    </row>
    <row r="8116" spans="1:1" ht="12.75" customHeight="1">
      <c r="A8116" s="129">
        <v>8116</v>
      </c>
    </row>
    <row r="8117" spans="1:1" ht="12.75" customHeight="1">
      <c r="A8117" s="129">
        <v>8117</v>
      </c>
    </row>
    <row r="8118" spans="1:1" ht="12.75" customHeight="1">
      <c r="A8118" s="129">
        <v>8118</v>
      </c>
    </row>
    <row r="8119" spans="1:1" ht="12.75" customHeight="1">
      <c r="A8119" s="129">
        <v>8119</v>
      </c>
    </row>
    <row r="8120" spans="1:1" ht="12.75" customHeight="1">
      <c r="A8120" s="129">
        <v>8120</v>
      </c>
    </row>
    <row r="8121" spans="1:1" ht="12.75" customHeight="1">
      <c r="A8121" s="129">
        <v>8121</v>
      </c>
    </row>
    <row r="8122" spans="1:1" ht="12.75" customHeight="1">
      <c r="A8122" s="129">
        <v>8122</v>
      </c>
    </row>
    <row r="8123" spans="1:1" ht="12.75" customHeight="1">
      <c r="A8123" s="129">
        <v>8123</v>
      </c>
    </row>
    <row r="8124" spans="1:1" ht="12.75" customHeight="1">
      <c r="A8124" s="129">
        <v>8124</v>
      </c>
    </row>
    <row r="8125" spans="1:1" ht="12.75" customHeight="1">
      <c r="A8125" s="129">
        <v>8125</v>
      </c>
    </row>
    <row r="8126" spans="1:1" ht="12.75" customHeight="1">
      <c r="A8126" s="129">
        <v>8126</v>
      </c>
    </row>
    <row r="8127" spans="1:1" ht="12.75" customHeight="1">
      <c r="A8127" s="129">
        <v>8127</v>
      </c>
    </row>
    <row r="8128" spans="1:1" ht="12.75" customHeight="1">
      <c r="A8128" s="129">
        <v>8128</v>
      </c>
    </row>
    <row r="8129" spans="1:1" ht="12.75" customHeight="1">
      <c r="A8129" s="129">
        <v>8129</v>
      </c>
    </row>
    <row r="8130" spans="1:1" ht="12.75" customHeight="1">
      <c r="A8130" s="129">
        <v>8130</v>
      </c>
    </row>
    <row r="8131" spans="1:1" ht="12.75" customHeight="1">
      <c r="A8131" s="129">
        <v>8131</v>
      </c>
    </row>
    <row r="8132" spans="1:1" ht="12.75" customHeight="1">
      <c r="A8132" s="129">
        <v>8132</v>
      </c>
    </row>
    <row r="8133" spans="1:1" ht="12.75" customHeight="1">
      <c r="A8133" s="129">
        <v>8133</v>
      </c>
    </row>
    <row r="8134" spans="1:1" ht="12.75" customHeight="1">
      <c r="A8134" s="129">
        <v>8134</v>
      </c>
    </row>
    <row r="8135" spans="1:1" ht="12.75" customHeight="1">
      <c r="A8135" s="129">
        <v>8135</v>
      </c>
    </row>
    <row r="8136" spans="1:1" ht="12.75" customHeight="1">
      <c r="A8136" s="129">
        <v>8136</v>
      </c>
    </row>
    <row r="8137" spans="1:1" ht="12.75" customHeight="1">
      <c r="A8137" s="129">
        <v>8137</v>
      </c>
    </row>
    <row r="8138" spans="1:1" ht="12.75" customHeight="1">
      <c r="A8138" s="129">
        <v>8138</v>
      </c>
    </row>
    <row r="8139" spans="1:1" ht="12.75" customHeight="1">
      <c r="A8139" s="129">
        <v>8139</v>
      </c>
    </row>
    <row r="8140" spans="1:1" ht="12.75" customHeight="1">
      <c r="A8140" s="129">
        <v>8140</v>
      </c>
    </row>
    <row r="8141" spans="1:1" ht="12.75" customHeight="1">
      <c r="A8141" s="129">
        <v>8141</v>
      </c>
    </row>
    <row r="8142" spans="1:1" ht="12.75" customHeight="1">
      <c r="A8142" s="129">
        <v>8142</v>
      </c>
    </row>
    <row r="8143" spans="1:1" ht="12.75" customHeight="1">
      <c r="A8143" s="129">
        <v>8143</v>
      </c>
    </row>
    <row r="8144" spans="1:1" ht="12.75" customHeight="1">
      <c r="A8144" s="129">
        <v>8144</v>
      </c>
    </row>
    <row r="8145" spans="1:1" ht="12.75" customHeight="1">
      <c r="A8145" s="129">
        <v>8145</v>
      </c>
    </row>
    <row r="8146" spans="1:1" ht="12.75" customHeight="1">
      <c r="A8146" s="129">
        <v>8146</v>
      </c>
    </row>
    <row r="8147" spans="1:1" ht="12.75" customHeight="1">
      <c r="A8147" s="129">
        <v>8147</v>
      </c>
    </row>
    <row r="8148" spans="1:1" ht="12.75" customHeight="1">
      <c r="A8148" s="129">
        <v>8148</v>
      </c>
    </row>
    <row r="8149" spans="1:1" ht="12.75" customHeight="1">
      <c r="A8149" s="129">
        <v>8149</v>
      </c>
    </row>
    <row r="8150" spans="1:1" ht="12.75" customHeight="1">
      <c r="A8150" s="129">
        <v>8150</v>
      </c>
    </row>
    <row r="8151" spans="1:1" ht="12.75" customHeight="1">
      <c r="A8151" s="129">
        <v>8151</v>
      </c>
    </row>
    <row r="8152" spans="1:1" ht="12.75" customHeight="1">
      <c r="A8152" s="129">
        <v>8152</v>
      </c>
    </row>
    <row r="8153" spans="1:1" ht="12.75" customHeight="1">
      <c r="A8153" s="129">
        <v>8153</v>
      </c>
    </row>
    <row r="8154" spans="1:1" ht="12.75" customHeight="1">
      <c r="A8154" s="129">
        <v>8154</v>
      </c>
    </row>
    <row r="8155" spans="1:1" ht="12.75" customHeight="1">
      <c r="A8155" s="129">
        <v>8155</v>
      </c>
    </row>
    <row r="8156" spans="1:1" ht="12.75" customHeight="1">
      <c r="A8156" s="129">
        <v>8156</v>
      </c>
    </row>
    <row r="8157" spans="1:1" ht="12.75" customHeight="1">
      <c r="A8157" s="129">
        <v>8157</v>
      </c>
    </row>
    <row r="8158" spans="1:1" ht="12.75" customHeight="1">
      <c r="A8158" s="129">
        <v>8158</v>
      </c>
    </row>
    <row r="8159" spans="1:1" ht="12.75" customHeight="1">
      <c r="A8159" s="129">
        <v>8159</v>
      </c>
    </row>
    <row r="8160" spans="1:1" ht="12.75" customHeight="1">
      <c r="A8160" s="129">
        <v>8160</v>
      </c>
    </row>
    <row r="8161" spans="1:1" ht="12.75" customHeight="1">
      <c r="A8161" s="129">
        <v>8161</v>
      </c>
    </row>
    <row r="8162" spans="1:1" ht="12.75" customHeight="1">
      <c r="A8162" s="129">
        <v>8162</v>
      </c>
    </row>
    <row r="8163" spans="1:1" ht="12.75" customHeight="1">
      <c r="A8163" s="129">
        <v>8163</v>
      </c>
    </row>
    <row r="8164" spans="1:1" ht="12.75" customHeight="1">
      <c r="A8164" s="129">
        <v>8164</v>
      </c>
    </row>
    <row r="8165" spans="1:1" ht="12.75" customHeight="1">
      <c r="A8165" s="129">
        <v>8165</v>
      </c>
    </row>
    <row r="8166" spans="1:1" ht="12.75" customHeight="1">
      <c r="A8166" s="129">
        <v>8166</v>
      </c>
    </row>
    <row r="8167" spans="1:1" ht="12.75" customHeight="1">
      <c r="A8167" s="129">
        <v>8167</v>
      </c>
    </row>
    <row r="8168" spans="1:1" ht="12.75" customHeight="1">
      <c r="A8168" s="129">
        <v>8168</v>
      </c>
    </row>
    <row r="8169" spans="1:1" ht="12.75" customHeight="1">
      <c r="A8169" s="129">
        <v>8169</v>
      </c>
    </row>
    <row r="8170" spans="1:1" ht="12.75" customHeight="1">
      <c r="A8170" s="129">
        <v>8170</v>
      </c>
    </row>
    <row r="8171" spans="1:1" ht="12.75" customHeight="1">
      <c r="A8171" s="129">
        <v>8171</v>
      </c>
    </row>
    <row r="8172" spans="1:1" ht="12.75" customHeight="1">
      <c r="A8172" s="129">
        <v>8172</v>
      </c>
    </row>
    <row r="8173" spans="1:1" ht="12.75" customHeight="1">
      <c r="A8173" s="129">
        <v>8173</v>
      </c>
    </row>
    <row r="8174" spans="1:1" ht="12.75" customHeight="1">
      <c r="A8174" s="129">
        <v>8174</v>
      </c>
    </row>
    <row r="8175" spans="1:1" ht="12.75" customHeight="1">
      <c r="A8175" s="129">
        <v>8175</v>
      </c>
    </row>
    <row r="8176" spans="1:1" ht="12.75" customHeight="1">
      <c r="A8176" s="129">
        <v>8176</v>
      </c>
    </row>
    <row r="8177" spans="1:1" ht="12.75" customHeight="1">
      <c r="A8177" s="129">
        <v>8177</v>
      </c>
    </row>
    <row r="8178" spans="1:1" ht="12.75" customHeight="1">
      <c r="A8178" s="129">
        <v>8178</v>
      </c>
    </row>
    <row r="8179" spans="1:1" ht="12.75" customHeight="1">
      <c r="A8179" s="129">
        <v>8179</v>
      </c>
    </row>
    <row r="8180" spans="1:1" ht="12.75" customHeight="1">
      <c r="A8180" s="129">
        <v>8180</v>
      </c>
    </row>
    <row r="8181" spans="1:1" ht="12.75" customHeight="1">
      <c r="A8181" s="129">
        <v>8181</v>
      </c>
    </row>
    <row r="8182" spans="1:1" ht="12.75" customHeight="1">
      <c r="A8182" s="129">
        <v>8182</v>
      </c>
    </row>
    <row r="8183" spans="1:1" ht="12.75" customHeight="1">
      <c r="A8183" s="129">
        <v>8183</v>
      </c>
    </row>
    <row r="8184" spans="1:1" ht="12.75" customHeight="1">
      <c r="A8184" s="129">
        <v>8184</v>
      </c>
    </row>
    <row r="8185" spans="1:1" ht="12.75" customHeight="1">
      <c r="A8185" s="129">
        <v>8185</v>
      </c>
    </row>
    <row r="8186" spans="1:1" ht="12.75" customHeight="1">
      <c r="A8186" s="129">
        <v>8186</v>
      </c>
    </row>
    <row r="8187" spans="1:1" ht="12.75" customHeight="1">
      <c r="A8187" s="129">
        <v>8187</v>
      </c>
    </row>
    <row r="8188" spans="1:1" ht="12.75" customHeight="1">
      <c r="A8188" s="129">
        <v>8188</v>
      </c>
    </row>
    <row r="8189" spans="1:1" ht="12.75" customHeight="1">
      <c r="A8189" s="129">
        <v>8189</v>
      </c>
    </row>
    <row r="8190" spans="1:1" ht="12.75" customHeight="1">
      <c r="A8190" s="129">
        <v>8190</v>
      </c>
    </row>
    <row r="8191" spans="1:1" ht="12.75" customHeight="1">
      <c r="A8191" s="129">
        <v>8191</v>
      </c>
    </row>
    <row r="8192" spans="1:1" ht="12.75" customHeight="1">
      <c r="A8192" s="129">
        <v>8192</v>
      </c>
    </row>
    <row r="8193" spans="1:1" ht="12.75" customHeight="1">
      <c r="A8193" s="129">
        <v>8193</v>
      </c>
    </row>
    <row r="8194" spans="1:1" ht="12.75" customHeight="1">
      <c r="A8194" s="129">
        <v>8194</v>
      </c>
    </row>
    <row r="8195" spans="1:1" ht="12.75" customHeight="1">
      <c r="A8195" s="129">
        <v>8195</v>
      </c>
    </row>
    <row r="8196" spans="1:1" ht="12.75" customHeight="1">
      <c r="A8196" s="129">
        <v>8196</v>
      </c>
    </row>
    <row r="8197" spans="1:1" ht="12.75" customHeight="1">
      <c r="A8197" s="129">
        <v>8197</v>
      </c>
    </row>
    <row r="8198" spans="1:1" ht="12.75" customHeight="1">
      <c r="A8198" s="129">
        <v>8198</v>
      </c>
    </row>
    <row r="8199" spans="1:1" ht="12.75" customHeight="1">
      <c r="A8199" s="129">
        <v>8199</v>
      </c>
    </row>
    <row r="8200" spans="1:1" ht="12.75" customHeight="1">
      <c r="A8200" s="129">
        <v>8200</v>
      </c>
    </row>
    <row r="8201" spans="1:1" ht="12.75" customHeight="1">
      <c r="A8201" s="129">
        <v>8201</v>
      </c>
    </row>
    <row r="8202" spans="1:1" ht="12.75" customHeight="1">
      <c r="A8202" s="129">
        <v>8202</v>
      </c>
    </row>
    <row r="8203" spans="1:1" ht="12.75" customHeight="1">
      <c r="A8203" s="129">
        <v>8203</v>
      </c>
    </row>
    <row r="8204" spans="1:1" ht="12.75" customHeight="1">
      <c r="A8204" s="129">
        <v>8204</v>
      </c>
    </row>
    <row r="8205" spans="1:1" ht="12.75" customHeight="1">
      <c r="A8205" s="129">
        <v>8205</v>
      </c>
    </row>
    <row r="8206" spans="1:1" ht="12.75" customHeight="1">
      <c r="A8206" s="129">
        <v>8206</v>
      </c>
    </row>
    <row r="8207" spans="1:1" ht="12.75" customHeight="1">
      <c r="A8207" s="129">
        <v>8207</v>
      </c>
    </row>
    <row r="8208" spans="1:1" ht="12.75" customHeight="1">
      <c r="A8208" s="129">
        <v>8208</v>
      </c>
    </row>
    <row r="8209" spans="1:1" ht="12.75" customHeight="1">
      <c r="A8209" s="129">
        <v>8209</v>
      </c>
    </row>
    <row r="8210" spans="1:1" ht="12.75" customHeight="1">
      <c r="A8210" s="129">
        <v>8210</v>
      </c>
    </row>
    <row r="8211" spans="1:1" ht="12.75" customHeight="1">
      <c r="A8211" s="129">
        <v>8211</v>
      </c>
    </row>
    <row r="8212" spans="1:1" ht="12.75" customHeight="1">
      <c r="A8212" s="129">
        <v>8212</v>
      </c>
    </row>
    <row r="8213" spans="1:1" ht="12.75" customHeight="1">
      <c r="A8213" s="129">
        <v>8213</v>
      </c>
    </row>
    <row r="8214" spans="1:1" ht="12.75" customHeight="1">
      <c r="A8214" s="129">
        <v>8214</v>
      </c>
    </row>
    <row r="8215" spans="1:1" ht="12.75" customHeight="1">
      <c r="A8215" s="129">
        <v>8215</v>
      </c>
    </row>
    <row r="8216" spans="1:1" ht="12.75" customHeight="1">
      <c r="A8216" s="129">
        <v>8216</v>
      </c>
    </row>
    <row r="8217" spans="1:1" ht="12.75" customHeight="1">
      <c r="A8217" s="129">
        <v>8217</v>
      </c>
    </row>
    <row r="8218" spans="1:1" ht="12.75" customHeight="1">
      <c r="A8218" s="129">
        <v>8218</v>
      </c>
    </row>
    <row r="8219" spans="1:1" ht="12.75" customHeight="1">
      <c r="A8219" s="129">
        <v>8219</v>
      </c>
    </row>
    <row r="8220" spans="1:1" ht="12.75" customHeight="1">
      <c r="A8220" s="129">
        <v>8220</v>
      </c>
    </row>
    <row r="8221" spans="1:1" ht="12.75" customHeight="1">
      <c r="A8221" s="129">
        <v>8221</v>
      </c>
    </row>
    <row r="8222" spans="1:1" ht="12.75" customHeight="1">
      <c r="A8222" s="129">
        <v>8222</v>
      </c>
    </row>
    <row r="8223" spans="1:1" ht="12.75" customHeight="1">
      <c r="A8223" s="129">
        <v>8223</v>
      </c>
    </row>
    <row r="8224" spans="1:1" ht="12.75" customHeight="1">
      <c r="A8224" s="129">
        <v>8224</v>
      </c>
    </row>
    <row r="8225" spans="1:1" ht="12.75" customHeight="1">
      <c r="A8225" s="129">
        <v>8225</v>
      </c>
    </row>
    <row r="8226" spans="1:1" ht="12.75" customHeight="1">
      <c r="A8226" s="129">
        <v>8226</v>
      </c>
    </row>
    <row r="8227" spans="1:1" ht="12.75" customHeight="1">
      <c r="A8227" s="129">
        <v>8227</v>
      </c>
    </row>
    <row r="8228" spans="1:1" ht="12.75" customHeight="1">
      <c r="A8228" s="129">
        <v>8228</v>
      </c>
    </row>
    <row r="8229" spans="1:1" ht="12.75" customHeight="1">
      <c r="A8229" s="129">
        <v>8229</v>
      </c>
    </row>
    <row r="8230" spans="1:1" ht="12.75" customHeight="1">
      <c r="A8230" s="129">
        <v>8230</v>
      </c>
    </row>
    <row r="8231" spans="1:1" ht="12.75" customHeight="1">
      <c r="A8231" s="129">
        <v>8231</v>
      </c>
    </row>
    <row r="8232" spans="1:1" ht="12.75" customHeight="1">
      <c r="A8232" s="129">
        <v>8232</v>
      </c>
    </row>
    <row r="8233" spans="1:1" ht="12.75" customHeight="1">
      <c r="A8233" s="129">
        <v>8233</v>
      </c>
    </row>
    <row r="8234" spans="1:1" ht="12.75" customHeight="1">
      <c r="A8234" s="129">
        <v>8234</v>
      </c>
    </row>
    <row r="8235" spans="1:1" ht="12.75" customHeight="1">
      <c r="A8235" s="129">
        <v>8235</v>
      </c>
    </row>
    <row r="8236" spans="1:1" ht="12.75" customHeight="1">
      <c r="A8236" s="129">
        <v>8236</v>
      </c>
    </row>
    <row r="8237" spans="1:1" ht="12.75" customHeight="1">
      <c r="A8237" s="129">
        <v>8237</v>
      </c>
    </row>
    <row r="8238" spans="1:1" ht="12.75" customHeight="1">
      <c r="A8238" s="129">
        <v>8238</v>
      </c>
    </row>
    <row r="8239" spans="1:1" ht="12.75" customHeight="1">
      <c r="A8239" s="129">
        <v>8239</v>
      </c>
    </row>
    <row r="8240" spans="1:1" ht="12.75" customHeight="1">
      <c r="A8240" s="129">
        <v>8240</v>
      </c>
    </row>
    <row r="8241" spans="1:1" ht="12.75" customHeight="1">
      <c r="A8241" s="129">
        <v>8241</v>
      </c>
    </row>
    <row r="8242" spans="1:1" ht="12.75" customHeight="1">
      <c r="A8242" s="129">
        <v>8242</v>
      </c>
    </row>
    <row r="8243" spans="1:1" ht="12.75" customHeight="1">
      <c r="A8243" s="129">
        <v>8243</v>
      </c>
    </row>
    <row r="8244" spans="1:1" ht="12.75" customHeight="1">
      <c r="A8244" s="129">
        <v>8244</v>
      </c>
    </row>
    <row r="8245" spans="1:1" ht="12.75" customHeight="1">
      <c r="A8245" s="129">
        <v>8245</v>
      </c>
    </row>
    <row r="8246" spans="1:1" ht="12.75" customHeight="1">
      <c r="A8246" s="129">
        <v>8246</v>
      </c>
    </row>
    <row r="8247" spans="1:1" ht="12.75" customHeight="1">
      <c r="A8247" s="129">
        <v>8247</v>
      </c>
    </row>
    <row r="8248" spans="1:1" ht="12.75" customHeight="1">
      <c r="A8248" s="129">
        <v>8248</v>
      </c>
    </row>
    <row r="8249" spans="1:1" ht="12.75" customHeight="1">
      <c r="A8249" s="129">
        <v>8249</v>
      </c>
    </row>
    <row r="8250" spans="1:1" ht="12.75" customHeight="1">
      <c r="A8250" s="129">
        <v>8250</v>
      </c>
    </row>
    <row r="8251" spans="1:1" ht="12.75" customHeight="1">
      <c r="A8251" s="129">
        <v>8251</v>
      </c>
    </row>
    <row r="8252" spans="1:1" ht="12.75" customHeight="1">
      <c r="A8252" s="129">
        <v>8252</v>
      </c>
    </row>
    <row r="8253" spans="1:1" ht="12.75" customHeight="1">
      <c r="A8253" s="129">
        <v>8253</v>
      </c>
    </row>
    <row r="8254" spans="1:1" ht="12.75" customHeight="1">
      <c r="A8254" s="129">
        <v>8254</v>
      </c>
    </row>
    <row r="8255" spans="1:1" ht="12.75" customHeight="1">
      <c r="A8255" s="129">
        <v>8255</v>
      </c>
    </row>
    <row r="8256" spans="1:1" ht="12.75" customHeight="1">
      <c r="A8256" s="129">
        <v>8256</v>
      </c>
    </row>
    <row r="8257" spans="1:1" ht="12.75" customHeight="1">
      <c r="A8257" s="129">
        <v>8257</v>
      </c>
    </row>
    <row r="8258" spans="1:1" ht="12.75" customHeight="1">
      <c r="A8258" s="129">
        <v>8258</v>
      </c>
    </row>
    <row r="8259" spans="1:1" ht="12.75" customHeight="1">
      <c r="A8259" s="129">
        <v>8259</v>
      </c>
    </row>
    <row r="8260" spans="1:1" ht="12.75" customHeight="1">
      <c r="A8260" s="129">
        <v>8260</v>
      </c>
    </row>
    <row r="8261" spans="1:1" ht="12.75" customHeight="1">
      <c r="A8261" s="129">
        <v>8261</v>
      </c>
    </row>
    <row r="8262" spans="1:1" ht="12.75" customHeight="1">
      <c r="A8262" s="129">
        <v>8262</v>
      </c>
    </row>
    <row r="8263" spans="1:1" ht="12.75" customHeight="1">
      <c r="A8263" s="129">
        <v>8263</v>
      </c>
    </row>
    <row r="8264" spans="1:1" ht="12.75" customHeight="1">
      <c r="A8264" s="129">
        <v>8264</v>
      </c>
    </row>
    <row r="8265" spans="1:1" ht="12.75" customHeight="1">
      <c r="A8265" s="129">
        <v>8265</v>
      </c>
    </row>
    <row r="8266" spans="1:1" ht="12.75" customHeight="1">
      <c r="A8266" s="129">
        <v>8266</v>
      </c>
    </row>
    <row r="8267" spans="1:1" ht="12.75" customHeight="1">
      <c r="A8267" s="129">
        <v>8267</v>
      </c>
    </row>
    <row r="8268" spans="1:1" ht="12.75" customHeight="1">
      <c r="A8268" s="129">
        <v>8268</v>
      </c>
    </row>
    <row r="8269" spans="1:1" ht="12.75" customHeight="1">
      <c r="A8269" s="129">
        <v>8269</v>
      </c>
    </row>
    <row r="8270" spans="1:1" ht="12.75" customHeight="1">
      <c r="A8270" s="129">
        <v>8270</v>
      </c>
    </row>
    <row r="8271" spans="1:1" ht="12.75" customHeight="1">
      <c r="A8271" s="129">
        <v>8271</v>
      </c>
    </row>
    <row r="8272" spans="1:1" ht="12.75" customHeight="1">
      <c r="A8272" s="129">
        <v>8272</v>
      </c>
    </row>
    <row r="8273" spans="1:1" ht="12.75" customHeight="1">
      <c r="A8273" s="129">
        <v>8273</v>
      </c>
    </row>
    <row r="8274" spans="1:1" ht="12.75" customHeight="1">
      <c r="A8274" s="129">
        <v>8274</v>
      </c>
    </row>
    <row r="8275" spans="1:1" ht="12.75" customHeight="1">
      <c r="A8275" s="129">
        <v>8275</v>
      </c>
    </row>
    <row r="8276" spans="1:1" ht="12.75" customHeight="1">
      <c r="A8276" s="129">
        <v>8276</v>
      </c>
    </row>
    <row r="8277" spans="1:1" ht="12.75" customHeight="1">
      <c r="A8277" s="129">
        <v>8277</v>
      </c>
    </row>
    <row r="8278" spans="1:1" ht="12.75" customHeight="1">
      <c r="A8278" s="129">
        <v>8278</v>
      </c>
    </row>
    <row r="8279" spans="1:1" ht="12.75" customHeight="1">
      <c r="A8279" s="129">
        <v>8279</v>
      </c>
    </row>
    <row r="8280" spans="1:1" ht="12.75" customHeight="1">
      <c r="A8280" s="129">
        <v>8280</v>
      </c>
    </row>
    <row r="8281" spans="1:1" ht="12.75" customHeight="1">
      <c r="A8281" s="129">
        <v>8281</v>
      </c>
    </row>
    <row r="8282" spans="1:1" ht="12.75" customHeight="1">
      <c r="A8282" s="129">
        <v>8282</v>
      </c>
    </row>
    <row r="8283" spans="1:1" ht="12.75" customHeight="1">
      <c r="A8283" s="129">
        <v>8283</v>
      </c>
    </row>
    <row r="8284" spans="1:1" ht="12.75" customHeight="1">
      <c r="A8284" s="129">
        <v>8284</v>
      </c>
    </row>
    <row r="8285" spans="1:1" ht="12.75" customHeight="1">
      <c r="A8285" s="129">
        <v>8285</v>
      </c>
    </row>
    <row r="8286" spans="1:1" ht="12.75" customHeight="1">
      <c r="A8286" s="129">
        <v>8286</v>
      </c>
    </row>
    <row r="8287" spans="1:1" ht="12.75" customHeight="1">
      <c r="A8287" s="129">
        <v>8287</v>
      </c>
    </row>
    <row r="8288" spans="1:1" ht="12.75" customHeight="1">
      <c r="A8288" s="129">
        <v>8288</v>
      </c>
    </row>
    <row r="8289" spans="1:1" ht="12.75" customHeight="1">
      <c r="A8289" s="129">
        <v>8289</v>
      </c>
    </row>
    <row r="8290" spans="1:1" ht="12.75" customHeight="1">
      <c r="A8290" s="129">
        <v>8290</v>
      </c>
    </row>
    <row r="8291" spans="1:1" ht="12.75" customHeight="1">
      <c r="A8291" s="129">
        <v>8291</v>
      </c>
    </row>
    <row r="8292" spans="1:1" ht="12.75" customHeight="1">
      <c r="A8292" s="129">
        <v>8292</v>
      </c>
    </row>
    <row r="8293" spans="1:1" ht="12.75" customHeight="1">
      <c r="A8293" s="129">
        <v>8293</v>
      </c>
    </row>
    <row r="8294" spans="1:1" ht="12.75" customHeight="1">
      <c r="A8294" s="129">
        <v>8294</v>
      </c>
    </row>
    <row r="8295" spans="1:1" ht="12.75" customHeight="1">
      <c r="A8295" s="129">
        <v>8295</v>
      </c>
    </row>
    <row r="8296" spans="1:1" ht="12.75" customHeight="1">
      <c r="A8296" s="129">
        <v>8296</v>
      </c>
    </row>
    <row r="8297" spans="1:1" ht="12.75" customHeight="1">
      <c r="A8297" s="129">
        <v>8297</v>
      </c>
    </row>
    <row r="8298" spans="1:1" ht="12.75" customHeight="1">
      <c r="A8298" s="129">
        <v>8298</v>
      </c>
    </row>
    <row r="8299" spans="1:1" ht="12.75" customHeight="1">
      <c r="A8299" s="129">
        <v>8299</v>
      </c>
    </row>
    <row r="8300" spans="1:1" ht="12.75" customHeight="1">
      <c r="A8300" s="129">
        <v>8300</v>
      </c>
    </row>
    <row r="8301" spans="1:1" ht="12.75" customHeight="1">
      <c r="A8301" s="129">
        <v>8301</v>
      </c>
    </row>
    <row r="8302" spans="1:1" ht="12.75" customHeight="1">
      <c r="A8302" s="129">
        <v>8302</v>
      </c>
    </row>
    <row r="8303" spans="1:1" ht="12.75" customHeight="1">
      <c r="A8303" s="129">
        <v>8303</v>
      </c>
    </row>
    <row r="8304" spans="1:1" ht="12.75" customHeight="1">
      <c r="A8304" s="129">
        <v>8304</v>
      </c>
    </row>
    <row r="8305" spans="1:1" ht="12.75" customHeight="1">
      <c r="A8305" s="129">
        <v>8305</v>
      </c>
    </row>
    <row r="8306" spans="1:1" ht="12.75" customHeight="1">
      <c r="A8306" s="129">
        <v>8306</v>
      </c>
    </row>
    <row r="8307" spans="1:1" ht="12.75" customHeight="1">
      <c r="A8307" s="129">
        <v>8307</v>
      </c>
    </row>
    <row r="8308" spans="1:1" ht="12.75" customHeight="1">
      <c r="A8308" s="129">
        <v>8308</v>
      </c>
    </row>
    <row r="8309" spans="1:1" ht="12.75" customHeight="1">
      <c r="A8309" s="129">
        <v>8309</v>
      </c>
    </row>
    <row r="8310" spans="1:1" ht="12.75" customHeight="1">
      <c r="A8310" s="129">
        <v>8310</v>
      </c>
    </row>
    <row r="8311" spans="1:1" ht="12.75" customHeight="1">
      <c r="A8311" s="129">
        <v>8311</v>
      </c>
    </row>
    <row r="8312" spans="1:1" ht="12.75" customHeight="1">
      <c r="A8312" s="129">
        <v>8312</v>
      </c>
    </row>
    <row r="8313" spans="1:1" ht="12.75" customHeight="1">
      <c r="A8313" s="129">
        <v>8313</v>
      </c>
    </row>
    <row r="8314" spans="1:1" ht="12.75" customHeight="1">
      <c r="A8314" s="129">
        <v>8314</v>
      </c>
    </row>
    <row r="8315" spans="1:1" ht="12.75" customHeight="1">
      <c r="A8315" s="129">
        <v>8315</v>
      </c>
    </row>
    <row r="8316" spans="1:1" ht="12.75" customHeight="1">
      <c r="A8316" s="129">
        <v>8316</v>
      </c>
    </row>
    <row r="8317" spans="1:1" ht="12.75" customHeight="1">
      <c r="A8317" s="129">
        <v>8317</v>
      </c>
    </row>
    <row r="8318" spans="1:1" ht="12.75" customHeight="1">
      <c r="A8318" s="129">
        <v>8318</v>
      </c>
    </row>
    <row r="8319" spans="1:1" ht="12.75" customHeight="1">
      <c r="A8319" s="129">
        <v>8319</v>
      </c>
    </row>
    <row r="8320" spans="1:1" ht="12.75" customHeight="1">
      <c r="A8320" s="129">
        <v>8320</v>
      </c>
    </row>
    <row r="8321" spans="1:1" ht="12.75" customHeight="1">
      <c r="A8321" s="129">
        <v>8321</v>
      </c>
    </row>
    <row r="8322" spans="1:1" ht="12.75" customHeight="1">
      <c r="A8322" s="129">
        <v>8322</v>
      </c>
    </row>
    <row r="8323" spans="1:1" ht="12.75" customHeight="1">
      <c r="A8323" s="129">
        <v>8323</v>
      </c>
    </row>
    <row r="8324" spans="1:1" ht="12.75" customHeight="1">
      <c r="A8324" s="129">
        <v>8324</v>
      </c>
    </row>
    <row r="8325" spans="1:1" ht="12.75" customHeight="1">
      <c r="A8325" s="129">
        <v>8325</v>
      </c>
    </row>
    <row r="8326" spans="1:1" ht="12.75" customHeight="1">
      <c r="A8326" s="129">
        <v>8326</v>
      </c>
    </row>
    <row r="8327" spans="1:1" ht="12.75" customHeight="1">
      <c r="A8327" s="129">
        <v>8327</v>
      </c>
    </row>
    <row r="8328" spans="1:1" ht="12.75" customHeight="1">
      <c r="A8328" s="129">
        <v>8328</v>
      </c>
    </row>
    <row r="8329" spans="1:1" ht="12.75" customHeight="1">
      <c r="A8329" s="129">
        <v>8329</v>
      </c>
    </row>
    <row r="8330" spans="1:1" ht="12.75" customHeight="1">
      <c r="A8330" s="129">
        <v>8330</v>
      </c>
    </row>
    <row r="8331" spans="1:1" ht="12.75" customHeight="1">
      <c r="A8331" s="129">
        <v>8331</v>
      </c>
    </row>
    <row r="8332" spans="1:1" ht="12.75" customHeight="1">
      <c r="A8332" s="129">
        <v>8332</v>
      </c>
    </row>
    <row r="8333" spans="1:1" ht="12.75" customHeight="1">
      <c r="A8333" s="129">
        <v>8333</v>
      </c>
    </row>
    <row r="8334" spans="1:1" ht="12.75" customHeight="1">
      <c r="A8334" s="129">
        <v>8334</v>
      </c>
    </row>
    <row r="8335" spans="1:1" ht="12.75" customHeight="1">
      <c r="A8335" s="129">
        <v>8335</v>
      </c>
    </row>
    <row r="8336" spans="1:1" ht="12.75" customHeight="1">
      <c r="A8336" s="129">
        <v>8336</v>
      </c>
    </row>
    <row r="8337" spans="1:1" ht="12.75" customHeight="1">
      <c r="A8337" s="129">
        <v>8337</v>
      </c>
    </row>
    <row r="8338" spans="1:1" ht="12.75" customHeight="1">
      <c r="A8338" s="129">
        <v>8338</v>
      </c>
    </row>
    <row r="8339" spans="1:1" ht="12.75" customHeight="1">
      <c r="A8339" s="129">
        <v>8339</v>
      </c>
    </row>
    <row r="8340" spans="1:1" ht="12.75" customHeight="1">
      <c r="A8340" s="129">
        <v>8340</v>
      </c>
    </row>
    <row r="8341" spans="1:1" ht="12.75" customHeight="1">
      <c r="A8341" s="129">
        <v>8341</v>
      </c>
    </row>
    <row r="8342" spans="1:1" ht="12.75" customHeight="1">
      <c r="A8342" s="129">
        <v>8342</v>
      </c>
    </row>
    <row r="8343" spans="1:1" ht="12.75" customHeight="1">
      <c r="A8343" s="129">
        <v>8343</v>
      </c>
    </row>
    <row r="8344" spans="1:1" ht="12.75" customHeight="1">
      <c r="A8344" s="129">
        <v>8344</v>
      </c>
    </row>
    <row r="8345" spans="1:1" ht="12.75" customHeight="1">
      <c r="A8345" s="129">
        <v>8345</v>
      </c>
    </row>
    <row r="8346" spans="1:1" ht="12.75" customHeight="1">
      <c r="A8346" s="129">
        <v>8346</v>
      </c>
    </row>
    <row r="8347" spans="1:1" ht="12.75" customHeight="1">
      <c r="A8347" s="129">
        <v>8347</v>
      </c>
    </row>
    <row r="8348" spans="1:1" ht="12.75" customHeight="1">
      <c r="A8348" s="129">
        <v>8348</v>
      </c>
    </row>
    <row r="8349" spans="1:1" ht="12.75" customHeight="1">
      <c r="A8349" s="129">
        <v>8349</v>
      </c>
    </row>
    <row r="8350" spans="1:1" ht="12.75" customHeight="1">
      <c r="A8350" s="129">
        <v>8350</v>
      </c>
    </row>
    <row r="8351" spans="1:1" ht="12.75" customHeight="1">
      <c r="A8351" s="129">
        <v>8351</v>
      </c>
    </row>
    <row r="8352" spans="1:1" ht="12.75" customHeight="1">
      <c r="A8352" s="129">
        <v>8352</v>
      </c>
    </row>
    <row r="8353" spans="1:1" ht="12.75" customHeight="1">
      <c r="A8353" s="129">
        <v>8353</v>
      </c>
    </row>
    <row r="8354" spans="1:1" ht="12.75" customHeight="1">
      <c r="A8354" s="129">
        <v>8354</v>
      </c>
    </row>
    <row r="8355" spans="1:1" ht="12.75" customHeight="1">
      <c r="A8355" s="129">
        <v>8355</v>
      </c>
    </row>
    <row r="8356" spans="1:1" ht="12.75" customHeight="1">
      <c r="A8356" s="129">
        <v>8356</v>
      </c>
    </row>
    <row r="8357" spans="1:1" ht="12.75" customHeight="1">
      <c r="A8357" s="129">
        <v>8357</v>
      </c>
    </row>
    <row r="8358" spans="1:1" ht="12.75" customHeight="1">
      <c r="A8358" s="129">
        <v>8358</v>
      </c>
    </row>
    <row r="8359" spans="1:1" ht="12.75" customHeight="1">
      <c r="A8359" s="129">
        <v>8359</v>
      </c>
    </row>
    <row r="8360" spans="1:1" ht="12.75" customHeight="1">
      <c r="A8360" s="129">
        <v>8360</v>
      </c>
    </row>
    <row r="8361" spans="1:1" ht="12.75" customHeight="1">
      <c r="A8361" s="129">
        <v>8361</v>
      </c>
    </row>
    <row r="8362" spans="1:1" ht="12.75" customHeight="1">
      <c r="A8362" s="129">
        <v>8362</v>
      </c>
    </row>
    <row r="8363" spans="1:1" ht="12.75" customHeight="1">
      <c r="A8363" s="129">
        <v>8363</v>
      </c>
    </row>
    <row r="8364" spans="1:1" ht="12.75" customHeight="1">
      <c r="A8364" s="129">
        <v>8364</v>
      </c>
    </row>
    <row r="8365" spans="1:1" ht="12.75" customHeight="1">
      <c r="A8365" s="129">
        <v>8365</v>
      </c>
    </row>
    <row r="8366" spans="1:1" ht="12.75" customHeight="1">
      <c r="A8366" s="129">
        <v>8366</v>
      </c>
    </row>
    <row r="8367" spans="1:1" ht="12.75" customHeight="1">
      <c r="A8367" s="129">
        <v>8367</v>
      </c>
    </row>
    <row r="8368" spans="1:1" ht="12.75" customHeight="1">
      <c r="A8368" s="129">
        <v>8368</v>
      </c>
    </row>
    <row r="8369" spans="1:1" ht="12.75" customHeight="1">
      <c r="A8369" s="129">
        <v>8369</v>
      </c>
    </row>
    <row r="8370" spans="1:1" ht="12.75" customHeight="1">
      <c r="A8370" s="129">
        <v>8370</v>
      </c>
    </row>
    <row r="8371" spans="1:1" ht="12.75" customHeight="1">
      <c r="A8371" s="129">
        <v>8371</v>
      </c>
    </row>
    <row r="8372" spans="1:1" ht="12.75" customHeight="1">
      <c r="A8372" s="129">
        <v>8372</v>
      </c>
    </row>
    <row r="8373" spans="1:1" ht="12.75" customHeight="1">
      <c r="A8373" s="129">
        <v>8373</v>
      </c>
    </row>
    <row r="8374" spans="1:1" ht="12.75" customHeight="1">
      <c r="A8374" s="129">
        <v>8374</v>
      </c>
    </row>
    <row r="8375" spans="1:1" ht="12.75" customHeight="1">
      <c r="A8375" s="129">
        <v>8375</v>
      </c>
    </row>
    <row r="8376" spans="1:1" ht="12.75" customHeight="1">
      <c r="A8376" s="129">
        <v>8376</v>
      </c>
    </row>
    <row r="8377" spans="1:1" ht="12.75" customHeight="1">
      <c r="A8377" s="129">
        <v>8377</v>
      </c>
    </row>
    <row r="8378" spans="1:1" ht="12.75" customHeight="1">
      <c r="A8378" s="129">
        <v>8378</v>
      </c>
    </row>
    <row r="8379" spans="1:1" ht="12.75" customHeight="1">
      <c r="A8379" s="129">
        <v>8379</v>
      </c>
    </row>
    <row r="8380" spans="1:1" ht="12.75" customHeight="1">
      <c r="A8380" s="129">
        <v>8380</v>
      </c>
    </row>
    <row r="8381" spans="1:1" ht="12.75" customHeight="1">
      <c r="A8381" s="129">
        <v>8381</v>
      </c>
    </row>
    <row r="8382" spans="1:1" ht="12.75" customHeight="1">
      <c r="A8382" s="129">
        <v>8382</v>
      </c>
    </row>
    <row r="8383" spans="1:1" ht="12.75" customHeight="1">
      <c r="A8383" s="129">
        <v>8383</v>
      </c>
    </row>
    <row r="8384" spans="1:1" ht="12.75" customHeight="1">
      <c r="A8384" s="129">
        <v>8384</v>
      </c>
    </row>
    <row r="8385" spans="1:1" ht="12.75" customHeight="1">
      <c r="A8385" s="129">
        <v>8385</v>
      </c>
    </row>
    <row r="8386" spans="1:1" ht="12.75" customHeight="1">
      <c r="A8386" s="129">
        <v>8386</v>
      </c>
    </row>
    <row r="8387" spans="1:1" ht="12.75" customHeight="1">
      <c r="A8387" s="129">
        <v>8387</v>
      </c>
    </row>
    <row r="8388" spans="1:1" ht="12.75" customHeight="1">
      <c r="A8388" s="129">
        <v>8388</v>
      </c>
    </row>
    <row r="8389" spans="1:1" ht="12.75" customHeight="1">
      <c r="A8389" s="129">
        <v>8389</v>
      </c>
    </row>
    <row r="8390" spans="1:1" ht="12.75" customHeight="1">
      <c r="A8390" s="129">
        <v>8390</v>
      </c>
    </row>
    <row r="8391" spans="1:1" ht="12.75" customHeight="1">
      <c r="A8391" s="129">
        <v>8391</v>
      </c>
    </row>
    <row r="8392" spans="1:1" ht="12.75" customHeight="1">
      <c r="A8392" s="129">
        <v>8392</v>
      </c>
    </row>
    <row r="8393" spans="1:1" ht="12.75" customHeight="1">
      <c r="A8393" s="129">
        <v>8393</v>
      </c>
    </row>
    <row r="8394" spans="1:1" ht="12.75" customHeight="1">
      <c r="A8394" s="129">
        <v>8394</v>
      </c>
    </row>
    <row r="8395" spans="1:1" ht="12.75" customHeight="1">
      <c r="A8395" s="129">
        <v>8395</v>
      </c>
    </row>
    <row r="8396" spans="1:1" ht="12.75" customHeight="1">
      <c r="A8396" s="129">
        <v>8396</v>
      </c>
    </row>
    <row r="8397" spans="1:1" ht="12.75" customHeight="1">
      <c r="A8397" s="129">
        <v>8397</v>
      </c>
    </row>
    <row r="8398" spans="1:1" ht="12.75" customHeight="1">
      <c r="A8398" s="129">
        <v>8398</v>
      </c>
    </row>
    <row r="8399" spans="1:1" ht="12.75" customHeight="1">
      <c r="A8399" s="129">
        <v>8399</v>
      </c>
    </row>
    <row r="8400" spans="1:1" ht="12.75" customHeight="1">
      <c r="A8400" s="129">
        <v>8400</v>
      </c>
    </row>
    <row r="8401" spans="1:1" ht="12.75" customHeight="1">
      <c r="A8401" s="129">
        <v>8401</v>
      </c>
    </row>
    <row r="8402" spans="1:1" ht="12.75" customHeight="1">
      <c r="A8402" s="129">
        <v>8402</v>
      </c>
    </row>
    <row r="8403" spans="1:1" ht="12.75" customHeight="1">
      <c r="A8403" s="129">
        <v>8403</v>
      </c>
    </row>
    <row r="8404" spans="1:1" ht="12.75" customHeight="1">
      <c r="A8404" s="129">
        <v>8404</v>
      </c>
    </row>
    <row r="8405" spans="1:1" ht="12.75" customHeight="1">
      <c r="A8405" s="129">
        <v>8405</v>
      </c>
    </row>
    <row r="8406" spans="1:1" ht="12.75" customHeight="1">
      <c r="A8406" s="129">
        <v>8406</v>
      </c>
    </row>
    <row r="8407" spans="1:1" ht="12.75" customHeight="1">
      <c r="A8407" s="129">
        <v>8407</v>
      </c>
    </row>
    <row r="8408" spans="1:1" ht="12.75" customHeight="1">
      <c r="A8408" s="129">
        <v>8408</v>
      </c>
    </row>
    <row r="8409" spans="1:1" ht="12.75" customHeight="1">
      <c r="A8409" s="129">
        <v>8409</v>
      </c>
    </row>
    <row r="8410" spans="1:1" ht="12.75" customHeight="1">
      <c r="A8410" s="129">
        <v>8410</v>
      </c>
    </row>
    <row r="8411" spans="1:1" ht="12.75" customHeight="1">
      <c r="A8411" s="129">
        <v>8411</v>
      </c>
    </row>
    <row r="8412" spans="1:1" ht="12.75" customHeight="1">
      <c r="A8412" s="129">
        <v>8412</v>
      </c>
    </row>
    <row r="8413" spans="1:1" ht="12.75" customHeight="1">
      <c r="A8413" s="129">
        <v>8413</v>
      </c>
    </row>
    <row r="8414" spans="1:1" ht="12.75" customHeight="1">
      <c r="A8414" s="129">
        <v>8414</v>
      </c>
    </row>
    <row r="8415" spans="1:1" ht="12.75" customHeight="1">
      <c r="A8415" s="129">
        <v>8415</v>
      </c>
    </row>
    <row r="8416" spans="1:1" ht="12.75" customHeight="1">
      <c r="A8416" s="129">
        <v>8416</v>
      </c>
    </row>
    <row r="8417" spans="1:1" ht="12.75" customHeight="1">
      <c r="A8417" s="129">
        <v>8417</v>
      </c>
    </row>
    <row r="8418" spans="1:1" ht="12.75" customHeight="1">
      <c r="A8418" s="129">
        <v>8418</v>
      </c>
    </row>
    <row r="8419" spans="1:1" ht="12.75" customHeight="1">
      <c r="A8419" s="129">
        <v>8419</v>
      </c>
    </row>
    <row r="8420" spans="1:1" ht="12.75" customHeight="1">
      <c r="A8420" s="129">
        <v>8420</v>
      </c>
    </row>
    <row r="8421" spans="1:1" ht="12.75" customHeight="1">
      <c r="A8421" s="129">
        <v>8421</v>
      </c>
    </row>
    <row r="8422" spans="1:1" ht="12.75" customHeight="1">
      <c r="A8422" s="129">
        <v>8422</v>
      </c>
    </row>
    <row r="8423" spans="1:1" ht="12.75" customHeight="1">
      <c r="A8423" s="129">
        <v>8423</v>
      </c>
    </row>
    <row r="8424" spans="1:1" ht="12.75" customHeight="1">
      <c r="A8424" s="129">
        <v>8424</v>
      </c>
    </row>
    <row r="8425" spans="1:1" ht="12.75" customHeight="1">
      <c r="A8425" s="129">
        <v>8425</v>
      </c>
    </row>
    <row r="8426" spans="1:1" ht="12.75" customHeight="1">
      <c r="A8426" s="129">
        <v>8426</v>
      </c>
    </row>
    <row r="8427" spans="1:1" ht="12.75" customHeight="1">
      <c r="A8427" s="129">
        <v>8427</v>
      </c>
    </row>
    <row r="8428" spans="1:1" ht="12.75" customHeight="1">
      <c r="A8428" s="129">
        <v>8428</v>
      </c>
    </row>
    <row r="8429" spans="1:1" ht="12.75" customHeight="1">
      <c r="A8429" s="129">
        <v>8429</v>
      </c>
    </row>
    <row r="8430" spans="1:1" ht="12.75" customHeight="1">
      <c r="A8430" s="129">
        <v>8430</v>
      </c>
    </row>
    <row r="8431" spans="1:1" ht="12.75" customHeight="1">
      <c r="A8431" s="129">
        <v>8431</v>
      </c>
    </row>
    <row r="8432" spans="1:1" ht="12.75" customHeight="1">
      <c r="A8432" s="129">
        <v>8432</v>
      </c>
    </row>
    <row r="8433" spans="1:1" ht="12.75" customHeight="1">
      <c r="A8433" s="129">
        <v>8433</v>
      </c>
    </row>
    <row r="8434" spans="1:1" ht="12.75" customHeight="1">
      <c r="A8434" s="129">
        <v>8434</v>
      </c>
    </row>
    <row r="8435" spans="1:1" ht="12.75" customHeight="1">
      <c r="A8435" s="129">
        <v>8435</v>
      </c>
    </row>
    <row r="8436" spans="1:1" ht="12.75" customHeight="1">
      <c r="A8436" s="129">
        <v>8436</v>
      </c>
    </row>
    <row r="8437" spans="1:1" ht="12.75" customHeight="1">
      <c r="A8437" s="129">
        <v>8437</v>
      </c>
    </row>
    <row r="8438" spans="1:1" ht="12.75" customHeight="1">
      <c r="A8438" s="129">
        <v>8438</v>
      </c>
    </row>
    <row r="8439" spans="1:1" ht="12.75" customHeight="1">
      <c r="A8439" s="129">
        <v>8439</v>
      </c>
    </row>
    <row r="8440" spans="1:1" ht="12.75" customHeight="1">
      <c r="A8440" s="129">
        <v>8440</v>
      </c>
    </row>
    <row r="8441" spans="1:1" ht="12.75" customHeight="1">
      <c r="A8441" s="129">
        <v>8441</v>
      </c>
    </row>
    <row r="8442" spans="1:1" ht="12.75" customHeight="1">
      <c r="A8442" s="129">
        <v>8442</v>
      </c>
    </row>
    <row r="8443" spans="1:1" ht="12.75" customHeight="1">
      <c r="A8443" s="129">
        <v>8443</v>
      </c>
    </row>
    <row r="8444" spans="1:1" ht="12.75" customHeight="1">
      <c r="A8444" s="129">
        <v>8444</v>
      </c>
    </row>
    <row r="8445" spans="1:1" ht="12.75" customHeight="1">
      <c r="A8445" s="129">
        <v>8445</v>
      </c>
    </row>
    <row r="8446" spans="1:1" ht="12.75" customHeight="1">
      <c r="A8446" s="129">
        <v>8446</v>
      </c>
    </row>
    <row r="8447" spans="1:1" ht="12.75" customHeight="1">
      <c r="A8447" s="129">
        <v>8447</v>
      </c>
    </row>
    <row r="8448" spans="1:1" ht="12.75" customHeight="1">
      <c r="A8448" s="129">
        <v>8448</v>
      </c>
    </row>
    <row r="8449" spans="1:1" ht="12.75" customHeight="1">
      <c r="A8449" s="129">
        <v>8449</v>
      </c>
    </row>
    <row r="8450" spans="1:1" ht="12.75" customHeight="1">
      <c r="A8450" s="129">
        <v>8450</v>
      </c>
    </row>
    <row r="8451" spans="1:1" ht="12.75" customHeight="1">
      <c r="A8451" s="129">
        <v>8451</v>
      </c>
    </row>
    <row r="8452" spans="1:1" ht="12.75" customHeight="1">
      <c r="A8452" s="129">
        <v>8452</v>
      </c>
    </row>
    <row r="8453" spans="1:1" ht="12.75" customHeight="1">
      <c r="A8453" s="129">
        <v>8453</v>
      </c>
    </row>
    <row r="8454" spans="1:1" ht="12.75" customHeight="1">
      <c r="A8454" s="129">
        <v>8454</v>
      </c>
    </row>
    <row r="8455" spans="1:1" ht="12.75" customHeight="1">
      <c r="A8455" s="129">
        <v>8455</v>
      </c>
    </row>
    <row r="8456" spans="1:1" ht="12.75" customHeight="1">
      <c r="A8456" s="129">
        <v>8456</v>
      </c>
    </row>
    <row r="8457" spans="1:1" ht="12.75" customHeight="1">
      <c r="A8457" s="129">
        <v>8457</v>
      </c>
    </row>
    <row r="8458" spans="1:1" ht="12.75" customHeight="1">
      <c r="A8458" s="129">
        <v>8458</v>
      </c>
    </row>
    <row r="8459" spans="1:1" ht="12.75" customHeight="1">
      <c r="A8459" s="129">
        <v>8459</v>
      </c>
    </row>
    <row r="8460" spans="1:1" ht="12.75" customHeight="1">
      <c r="A8460" s="129">
        <v>8460</v>
      </c>
    </row>
    <row r="8461" spans="1:1" ht="12.75" customHeight="1">
      <c r="A8461" s="129">
        <v>8461</v>
      </c>
    </row>
    <row r="8462" spans="1:1" ht="12.75" customHeight="1">
      <c r="A8462" s="129">
        <v>8462</v>
      </c>
    </row>
    <row r="8463" spans="1:1" ht="12.75" customHeight="1">
      <c r="A8463" s="129">
        <v>8463</v>
      </c>
    </row>
    <row r="8464" spans="1:1" ht="12.75" customHeight="1">
      <c r="A8464" s="129">
        <v>8464</v>
      </c>
    </row>
    <row r="8465" spans="1:1" ht="12.75" customHeight="1">
      <c r="A8465" s="129">
        <v>8465</v>
      </c>
    </row>
    <row r="8466" spans="1:1" ht="12.75" customHeight="1">
      <c r="A8466" s="129">
        <v>8466</v>
      </c>
    </row>
    <row r="8467" spans="1:1" ht="12.75" customHeight="1">
      <c r="A8467" s="129">
        <v>8467</v>
      </c>
    </row>
    <row r="8468" spans="1:1" ht="12.75" customHeight="1">
      <c r="A8468" s="129">
        <v>8468</v>
      </c>
    </row>
    <row r="8469" spans="1:1" ht="12.75" customHeight="1">
      <c r="A8469" s="129">
        <v>8469</v>
      </c>
    </row>
    <row r="8470" spans="1:1" ht="12.75" customHeight="1">
      <c r="A8470" s="129">
        <v>8470</v>
      </c>
    </row>
    <row r="8471" spans="1:1" ht="12.75" customHeight="1">
      <c r="A8471" s="129">
        <v>8471</v>
      </c>
    </row>
    <row r="8472" spans="1:1" ht="12.75" customHeight="1">
      <c r="A8472" s="129">
        <v>8472</v>
      </c>
    </row>
    <row r="8473" spans="1:1" ht="12.75" customHeight="1">
      <c r="A8473" s="129">
        <v>8473</v>
      </c>
    </row>
    <row r="8474" spans="1:1" ht="12.75" customHeight="1">
      <c r="A8474" s="129">
        <v>8474</v>
      </c>
    </row>
    <row r="8475" spans="1:1" ht="12.75" customHeight="1">
      <c r="A8475" s="129">
        <v>8475</v>
      </c>
    </row>
    <row r="8476" spans="1:1" ht="12.75" customHeight="1">
      <c r="A8476" s="129">
        <v>8476</v>
      </c>
    </row>
    <row r="8477" spans="1:1" ht="12.75" customHeight="1">
      <c r="A8477" s="129">
        <v>8477</v>
      </c>
    </row>
    <row r="8478" spans="1:1" ht="12.75" customHeight="1">
      <c r="A8478" s="129">
        <v>8478</v>
      </c>
    </row>
    <row r="8479" spans="1:1" ht="12.75" customHeight="1">
      <c r="A8479" s="129">
        <v>8479</v>
      </c>
    </row>
    <row r="8480" spans="1:1" ht="12.75" customHeight="1">
      <c r="A8480" s="129">
        <v>8480</v>
      </c>
    </row>
    <row r="8481" spans="1:1" ht="12.75" customHeight="1">
      <c r="A8481" s="129">
        <v>8481</v>
      </c>
    </row>
    <row r="8482" spans="1:1" ht="12.75" customHeight="1">
      <c r="A8482" s="129">
        <v>8482</v>
      </c>
    </row>
    <row r="8483" spans="1:1" ht="12.75" customHeight="1">
      <c r="A8483" s="129">
        <v>8483</v>
      </c>
    </row>
    <row r="8484" spans="1:1" ht="12.75" customHeight="1">
      <c r="A8484" s="129">
        <v>8484</v>
      </c>
    </row>
    <row r="8485" spans="1:1" ht="12.75" customHeight="1">
      <c r="A8485" s="129">
        <v>8485</v>
      </c>
    </row>
    <row r="8486" spans="1:1" ht="12.75" customHeight="1">
      <c r="A8486" s="129">
        <v>8486</v>
      </c>
    </row>
    <row r="8487" spans="1:1" ht="12.75" customHeight="1">
      <c r="A8487" s="129">
        <v>8487</v>
      </c>
    </row>
    <row r="8488" spans="1:1" ht="12.75" customHeight="1">
      <c r="A8488" s="129">
        <v>8488</v>
      </c>
    </row>
    <row r="8489" spans="1:1" ht="12.75" customHeight="1">
      <c r="A8489" s="129">
        <v>8489</v>
      </c>
    </row>
    <row r="8490" spans="1:1" ht="12.75" customHeight="1">
      <c r="A8490" s="129">
        <v>8490</v>
      </c>
    </row>
    <row r="8491" spans="1:1" ht="12.75" customHeight="1">
      <c r="A8491" s="129">
        <v>8491</v>
      </c>
    </row>
    <row r="8492" spans="1:1" ht="12.75" customHeight="1">
      <c r="A8492" s="129">
        <v>8492</v>
      </c>
    </row>
    <row r="8493" spans="1:1" ht="12.75" customHeight="1">
      <c r="A8493" s="129">
        <v>8493</v>
      </c>
    </row>
    <row r="8494" spans="1:1" ht="12.75" customHeight="1">
      <c r="A8494" s="129">
        <v>8494</v>
      </c>
    </row>
    <row r="8495" spans="1:1" ht="12.75" customHeight="1">
      <c r="A8495" s="129">
        <v>8495</v>
      </c>
    </row>
    <row r="8496" spans="1:1" ht="12.75" customHeight="1">
      <c r="A8496" s="129">
        <v>8496</v>
      </c>
    </row>
    <row r="8497" spans="1:1" ht="12.75" customHeight="1">
      <c r="A8497" s="129">
        <v>8497</v>
      </c>
    </row>
    <row r="8498" spans="1:1" ht="12.75" customHeight="1">
      <c r="A8498" s="129">
        <v>8498</v>
      </c>
    </row>
    <row r="8499" spans="1:1" ht="12.75" customHeight="1">
      <c r="A8499" s="129">
        <v>8499</v>
      </c>
    </row>
    <row r="8500" spans="1:1" ht="12.75" customHeight="1">
      <c r="A8500" s="129">
        <v>8500</v>
      </c>
    </row>
    <row r="8501" spans="1:1" ht="12.75" customHeight="1">
      <c r="A8501" s="129">
        <v>8501</v>
      </c>
    </row>
    <row r="8502" spans="1:1" ht="12.75" customHeight="1">
      <c r="A8502" s="129">
        <v>8502</v>
      </c>
    </row>
    <row r="8503" spans="1:1" ht="12.75" customHeight="1">
      <c r="A8503" s="129">
        <v>8503</v>
      </c>
    </row>
    <row r="8504" spans="1:1" ht="12.75" customHeight="1">
      <c r="A8504" s="129">
        <v>8504</v>
      </c>
    </row>
    <row r="8505" spans="1:1" ht="12.75" customHeight="1">
      <c r="A8505" s="129">
        <v>8505</v>
      </c>
    </row>
    <row r="8506" spans="1:1" ht="12.75" customHeight="1">
      <c r="A8506" s="129">
        <v>8506</v>
      </c>
    </row>
    <row r="8507" spans="1:1" ht="12.75" customHeight="1">
      <c r="A8507" s="129">
        <v>8507</v>
      </c>
    </row>
    <row r="8508" spans="1:1" ht="12.75" customHeight="1">
      <c r="A8508" s="129">
        <v>8508</v>
      </c>
    </row>
    <row r="8509" spans="1:1" ht="12.75" customHeight="1">
      <c r="A8509" s="129">
        <v>8509</v>
      </c>
    </row>
    <row r="8510" spans="1:1" ht="12.75" customHeight="1">
      <c r="A8510" s="129">
        <v>8510</v>
      </c>
    </row>
    <row r="8511" spans="1:1" ht="12.75" customHeight="1">
      <c r="A8511" s="129">
        <v>8511</v>
      </c>
    </row>
    <row r="8512" spans="1:1" ht="12.75" customHeight="1">
      <c r="A8512" s="129">
        <v>8512</v>
      </c>
    </row>
    <row r="8513" spans="1:1" ht="12.75" customHeight="1">
      <c r="A8513" s="129">
        <v>8513</v>
      </c>
    </row>
    <row r="8514" spans="1:1" ht="12.75" customHeight="1">
      <c r="A8514" s="129">
        <v>8514</v>
      </c>
    </row>
    <row r="8515" spans="1:1" ht="12.75" customHeight="1">
      <c r="A8515" s="129">
        <v>8515</v>
      </c>
    </row>
    <row r="8516" spans="1:1" ht="12.75" customHeight="1">
      <c r="A8516" s="129">
        <v>8516</v>
      </c>
    </row>
    <row r="8517" spans="1:1" ht="12.75" customHeight="1">
      <c r="A8517" s="129">
        <v>8517</v>
      </c>
    </row>
    <row r="8518" spans="1:1" ht="12.75" customHeight="1">
      <c r="A8518" s="129">
        <v>8518</v>
      </c>
    </row>
    <row r="8519" spans="1:1" ht="12.75" customHeight="1">
      <c r="A8519" s="129">
        <v>8519</v>
      </c>
    </row>
    <row r="8520" spans="1:1" ht="12.75" customHeight="1">
      <c r="A8520" s="129">
        <v>8520</v>
      </c>
    </row>
    <row r="8521" spans="1:1" ht="12.75" customHeight="1">
      <c r="A8521" s="129">
        <v>8521</v>
      </c>
    </row>
    <row r="8522" spans="1:1" ht="12.75" customHeight="1">
      <c r="A8522" s="129">
        <v>8522</v>
      </c>
    </row>
    <row r="8523" spans="1:1" ht="12.75" customHeight="1">
      <c r="A8523" s="129">
        <v>8523</v>
      </c>
    </row>
    <row r="8524" spans="1:1" ht="12.75" customHeight="1">
      <c r="A8524" s="129">
        <v>8524</v>
      </c>
    </row>
    <row r="8525" spans="1:1" ht="12.75" customHeight="1">
      <c r="A8525" s="129">
        <v>8525</v>
      </c>
    </row>
    <row r="8526" spans="1:1" ht="12.75" customHeight="1">
      <c r="A8526" s="129">
        <v>8526</v>
      </c>
    </row>
    <row r="8527" spans="1:1" ht="12.75" customHeight="1">
      <c r="A8527" s="129">
        <v>8527</v>
      </c>
    </row>
    <row r="8528" spans="1:1" ht="12.75" customHeight="1">
      <c r="A8528" s="129">
        <v>8528</v>
      </c>
    </row>
    <row r="8529" spans="1:1" ht="12.75" customHeight="1">
      <c r="A8529" s="129">
        <v>8529</v>
      </c>
    </row>
    <row r="8530" spans="1:1" ht="12.75" customHeight="1">
      <c r="A8530" s="129">
        <v>8530</v>
      </c>
    </row>
    <row r="8531" spans="1:1" ht="12.75" customHeight="1">
      <c r="A8531" s="129">
        <v>8531</v>
      </c>
    </row>
    <row r="8532" spans="1:1" ht="12.75" customHeight="1">
      <c r="A8532" s="129">
        <v>8532</v>
      </c>
    </row>
    <row r="8533" spans="1:1" ht="12.75" customHeight="1">
      <c r="A8533" s="129">
        <v>8533</v>
      </c>
    </row>
    <row r="8534" spans="1:1" ht="12.75" customHeight="1">
      <c r="A8534" s="129">
        <v>8534</v>
      </c>
    </row>
    <row r="8535" spans="1:1" ht="12.75" customHeight="1">
      <c r="A8535" s="129">
        <v>8535</v>
      </c>
    </row>
    <row r="8536" spans="1:1" ht="12.75" customHeight="1">
      <c r="A8536" s="129">
        <v>8536</v>
      </c>
    </row>
    <row r="8537" spans="1:1" ht="12.75" customHeight="1">
      <c r="A8537" s="129">
        <v>8537</v>
      </c>
    </row>
    <row r="8538" spans="1:1" ht="12.75" customHeight="1">
      <c r="A8538" s="129">
        <v>8538</v>
      </c>
    </row>
    <row r="8539" spans="1:1" ht="12.75" customHeight="1">
      <c r="A8539" s="129">
        <v>8539</v>
      </c>
    </row>
    <row r="8540" spans="1:1" ht="12.75" customHeight="1">
      <c r="A8540" s="129">
        <v>8540</v>
      </c>
    </row>
    <row r="8541" spans="1:1" ht="12.75" customHeight="1">
      <c r="A8541" s="129">
        <v>8541</v>
      </c>
    </row>
    <row r="8542" spans="1:1" ht="12.75" customHeight="1">
      <c r="A8542" s="129">
        <v>8542</v>
      </c>
    </row>
    <row r="8543" spans="1:1" ht="12.75" customHeight="1">
      <c r="A8543" s="129">
        <v>8543</v>
      </c>
    </row>
    <row r="8544" spans="1:1" ht="12.75" customHeight="1">
      <c r="A8544" s="129">
        <v>8544</v>
      </c>
    </row>
    <row r="8545" spans="1:1" ht="12.75" customHeight="1">
      <c r="A8545" s="129">
        <v>8545</v>
      </c>
    </row>
    <row r="8546" spans="1:1" ht="12.75" customHeight="1">
      <c r="A8546" s="129">
        <v>8546</v>
      </c>
    </row>
    <row r="8547" spans="1:1" ht="12.75" customHeight="1">
      <c r="A8547" s="129">
        <v>8547</v>
      </c>
    </row>
    <row r="8548" spans="1:1" ht="12.75" customHeight="1">
      <c r="A8548" s="129">
        <v>8548</v>
      </c>
    </row>
    <row r="8549" spans="1:1" ht="12.75" customHeight="1">
      <c r="A8549" s="129">
        <v>8549</v>
      </c>
    </row>
    <row r="8550" spans="1:1" ht="12.75" customHeight="1">
      <c r="A8550" s="129">
        <v>8550</v>
      </c>
    </row>
    <row r="8551" spans="1:1" ht="12.75" customHeight="1">
      <c r="A8551" s="129">
        <v>8551</v>
      </c>
    </row>
    <row r="8552" spans="1:1" ht="12.75" customHeight="1">
      <c r="A8552" s="129">
        <v>8552</v>
      </c>
    </row>
    <row r="8553" spans="1:1" ht="12.75" customHeight="1">
      <c r="A8553" s="129">
        <v>8553</v>
      </c>
    </row>
    <row r="8554" spans="1:1" ht="12.75" customHeight="1">
      <c r="A8554" s="129">
        <v>8554</v>
      </c>
    </row>
    <row r="8555" spans="1:1" ht="12.75" customHeight="1">
      <c r="A8555" s="129">
        <v>8555</v>
      </c>
    </row>
    <row r="8556" spans="1:1" ht="12.75" customHeight="1">
      <c r="A8556" s="129">
        <v>8556</v>
      </c>
    </row>
    <row r="8557" spans="1:1" ht="12.75" customHeight="1">
      <c r="A8557" s="129">
        <v>8557</v>
      </c>
    </row>
    <row r="8558" spans="1:1" ht="12.75" customHeight="1">
      <c r="A8558" s="129">
        <v>8558</v>
      </c>
    </row>
    <row r="8559" spans="1:1" ht="12.75" customHeight="1">
      <c r="A8559" s="129">
        <v>8559</v>
      </c>
    </row>
    <row r="8560" spans="1:1" ht="12.75" customHeight="1">
      <c r="A8560" s="129">
        <v>8560</v>
      </c>
    </row>
    <row r="8561" spans="1:1" ht="12.75" customHeight="1">
      <c r="A8561" s="129">
        <v>8561</v>
      </c>
    </row>
    <row r="8562" spans="1:1" ht="12.75" customHeight="1">
      <c r="A8562" s="129">
        <v>8562</v>
      </c>
    </row>
    <row r="8563" spans="1:1" ht="12.75" customHeight="1">
      <c r="A8563" s="129">
        <v>8563</v>
      </c>
    </row>
    <row r="8564" spans="1:1" ht="12.75" customHeight="1">
      <c r="A8564" s="129">
        <v>8564</v>
      </c>
    </row>
    <row r="8565" spans="1:1" ht="12.75" customHeight="1">
      <c r="A8565" s="129">
        <v>8565</v>
      </c>
    </row>
    <row r="8566" spans="1:1" ht="12.75" customHeight="1">
      <c r="A8566" s="129">
        <v>8566</v>
      </c>
    </row>
    <row r="8567" spans="1:1" ht="12.75" customHeight="1">
      <c r="A8567" s="129">
        <v>8567</v>
      </c>
    </row>
    <row r="8568" spans="1:1" ht="12.75" customHeight="1">
      <c r="A8568" s="129">
        <v>8568</v>
      </c>
    </row>
    <row r="8569" spans="1:1" ht="12.75" customHeight="1">
      <c r="A8569" s="129">
        <v>8569</v>
      </c>
    </row>
    <row r="8570" spans="1:1" ht="12.75" customHeight="1">
      <c r="A8570" s="129">
        <v>8570</v>
      </c>
    </row>
    <row r="8571" spans="1:1" ht="12.75" customHeight="1">
      <c r="A8571" s="129">
        <v>8571</v>
      </c>
    </row>
    <row r="8572" spans="1:1" ht="12.75" customHeight="1">
      <c r="A8572" s="129">
        <v>8572</v>
      </c>
    </row>
    <row r="8573" spans="1:1" ht="12.75" customHeight="1">
      <c r="A8573" s="129">
        <v>8573</v>
      </c>
    </row>
    <row r="8574" spans="1:1" ht="12.75" customHeight="1">
      <c r="A8574" s="129">
        <v>8574</v>
      </c>
    </row>
    <row r="8575" spans="1:1" ht="12.75" customHeight="1">
      <c r="A8575" s="129">
        <v>8575</v>
      </c>
    </row>
    <row r="8576" spans="1:1" ht="12.75" customHeight="1">
      <c r="A8576" s="129">
        <v>8576</v>
      </c>
    </row>
    <row r="8577" spans="1:1" ht="12.75" customHeight="1">
      <c r="A8577" s="129">
        <v>8577</v>
      </c>
    </row>
    <row r="8578" spans="1:1" ht="12.75" customHeight="1">
      <c r="A8578" s="129">
        <v>8578</v>
      </c>
    </row>
    <row r="8579" spans="1:1" ht="12.75" customHeight="1">
      <c r="A8579" s="129">
        <v>8579</v>
      </c>
    </row>
    <row r="8580" spans="1:1" ht="12.75" customHeight="1">
      <c r="A8580" s="129">
        <v>8580</v>
      </c>
    </row>
    <row r="8581" spans="1:1" ht="12.75" customHeight="1">
      <c r="A8581" s="129">
        <v>8581</v>
      </c>
    </row>
    <row r="8582" spans="1:1" ht="12.75" customHeight="1">
      <c r="A8582" s="129">
        <v>8582</v>
      </c>
    </row>
    <row r="8583" spans="1:1" ht="12.75" customHeight="1">
      <c r="A8583" s="129">
        <v>8583</v>
      </c>
    </row>
    <row r="8584" spans="1:1" ht="12.75" customHeight="1">
      <c r="A8584" s="129">
        <v>8584</v>
      </c>
    </row>
    <row r="8585" spans="1:1" ht="12.75" customHeight="1">
      <c r="A8585" s="129">
        <v>8585</v>
      </c>
    </row>
    <row r="8586" spans="1:1" ht="12.75" customHeight="1">
      <c r="A8586" s="129">
        <v>8586</v>
      </c>
    </row>
    <row r="8587" spans="1:1" ht="12.75" customHeight="1">
      <c r="A8587" s="129">
        <v>8587</v>
      </c>
    </row>
    <row r="8588" spans="1:1" ht="12.75" customHeight="1">
      <c r="A8588" s="129">
        <v>8588</v>
      </c>
    </row>
    <row r="8589" spans="1:1" ht="12.75" customHeight="1">
      <c r="A8589" s="129">
        <v>8589</v>
      </c>
    </row>
    <row r="8590" spans="1:1" ht="12.75" customHeight="1">
      <c r="A8590" s="129">
        <v>8590</v>
      </c>
    </row>
    <row r="8591" spans="1:1" ht="12.75" customHeight="1">
      <c r="A8591" s="129">
        <v>8591</v>
      </c>
    </row>
    <row r="8592" spans="1:1" ht="12.75" customHeight="1">
      <c r="A8592" s="129">
        <v>8592</v>
      </c>
    </row>
    <row r="8593" spans="1:1" ht="12.75" customHeight="1">
      <c r="A8593" s="129">
        <v>8593</v>
      </c>
    </row>
    <row r="8594" spans="1:1" ht="12.75" customHeight="1">
      <c r="A8594" s="129">
        <v>8594</v>
      </c>
    </row>
    <row r="8595" spans="1:1" ht="12.75" customHeight="1">
      <c r="A8595" s="129">
        <v>8595</v>
      </c>
    </row>
    <row r="8596" spans="1:1" ht="12.75" customHeight="1">
      <c r="A8596" s="129">
        <v>8596</v>
      </c>
    </row>
    <row r="8597" spans="1:1" ht="12.75" customHeight="1">
      <c r="A8597" s="129">
        <v>8597</v>
      </c>
    </row>
    <row r="8598" spans="1:1" ht="12.75" customHeight="1">
      <c r="A8598" s="129">
        <v>8598</v>
      </c>
    </row>
    <row r="8599" spans="1:1" ht="12.75" customHeight="1">
      <c r="A8599" s="129">
        <v>8599</v>
      </c>
    </row>
    <row r="8600" spans="1:1" ht="12.75" customHeight="1">
      <c r="A8600" s="129">
        <v>8600</v>
      </c>
    </row>
    <row r="8601" spans="1:1" ht="12.75" customHeight="1">
      <c r="A8601" s="129">
        <v>8601</v>
      </c>
    </row>
    <row r="8602" spans="1:1" ht="12.75" customHeight="1">
      <c r="A8602" s="129">
        <v>8602</v>
      </c>
    </row>
    <row r="8603" spans="1:1" ht="12.75" customHeight="1">
      <c r="A8603" s="129">
        <v>8603</v>
      </c>
    </row>
    <row r="8604" spans="1:1" ht="12.75" customHeight="1">
      <c r="A8604" s="129">
        <v>8604</v>
      </c>
    </row>
    <row r="8605" spans="1:1" ht="12.75" customHeight="1">
      <c r="A8605" s="129">
        <v>8605</v>
      </c>
    </row>
    <row r="8606" spans="1:1" ht="12.75" customHeight="1">
      <c r="A8606" s="129">
        <v>8606</v>
      </c>
    </row>
    <row r="8607" spans="1:1" ht="12.75" customHeight="1">
      <c r="A8607" s="129">
        <v>8607</v>
      </c>
    </row>
    <row r="8608" spans="1:1" ht="12.75" customHeight="1">
      <c r="A8608" s="129">
        <v>8608</v>
      </c>
    </row>
    <row r="8609" spans="1:1" ht="12.75" customHeight="1">
      <c r="A8609" s="129">
        <v>8609</v>
      </c>
    </row>
    <row r="8610" spans="1:1" ht="12.75" customHeight="1">
      <c r="A8610" s="129">
        <v>8610</v>
      </c>
    </row>
    <row r="8611" spans="1:1" ht="12.75" customHeight="1">
      <c r="A8611" s="129">
        <v>8611</v>
      </c>
    </row>
    <row r="8612" spans="1:1" ht="12.75" customHeight="1">
      <c r="A8612" s="129">
        <v>8612</v>
      </c>
    </row>
    <row r="8613" spans="1:1" ht="12.75" customHeight="1">
      <c r="A8613" s="129">
        <v>8613</v>
      </c>
    </row>
    <row r="8614" spans="1:1" ht="12.75" customHeight="1">
      <c r="A8614" s="129">
        <v>8614</v>
      </c>
    </row>
    <row r="8615" spans="1:1" ht="12.75" customHeight="1">
      <c r="A8615" s="129">
        <v>8615</v>
      </c>
    </row>
    <row r="8616" spans="1:1" ht="12.75" customHeight="1">
      <c r="A8616" s="129">
        <v>8616</v>
      </c>
    </row>
    <row r="8617" spans="1:1" ht="12.75" customHeight="1">
      <c r="A8617" s="129">
        <v>8617</v>
      </c>
    </row>
    <row r="8618" spans="1:1" ht="12.75" customHeight="1">
      <c r="A8618" s="129">
        <v>8618</v>
      </c>
    </row>
    <row r="8619" spans="1:1" ht="12.75" customHeight="1">
      <c r="A8619" s="129">
        <v>8619</v>
      </c>
    </row>
    <row r="8620" spans="1:1" ht="12.75" customHeight="1">
      <c r="A8620" s="129">
        <v>8620</v>
      </c>
    </row>
    <row r="8621" spans="1:1" ht="12.75" customHeight="1">
      <c r="A8621" s="129">
        <v>8621</v>
      </c>
    </row>
    <row r="8622" spans="1:1" ht="12.75" customHeight="1">
      <c r="A8622" s="129">
        <v>8622</v>
      </c>
    </row>
    <row r="8623" spans="1:1" ht="12.75" customHeight="1">
      <c r="A8623" s="129">
        <v>8623</v>
      </c>
    </row>
    <row r="8624" spans="1:1" ht="12.75" customHeight="1">
      <c r="A8624" s="129">
        <v>8624</v>
      </c>
    </row>
    <row r="8625" spans="1:1" ht="12.75" customHeight="1">
      <c r="A8625" s="129">
        <v>8625</v>
      </c>
    </row>
    <row r="8626" spans="1:1" ht="12.75" customHeight="1">
      <c r="A8626" s="129">
        <v>8626</v>
      </c>
    </row>
    <row r="8627" spans="1:1" ht="12.75" customHeight="1">
      <c r="A8627" s="129">
        <v>8627</v>
      </c>
    </row>
    <row r="8628" spans="1:1" ht="12.75" customHeight="1">
      <c r="A8628" s="129">
        <v>8628</v>
      </c>
    </row>
    <row r="8629" spans="1:1" ht="12.75" customHeight="1">
      <c r="A8629" s="129">
        <v>8629</v>
      </c>
    </row>
    <row r="8630" spans="1:1" ht="12.75" customHeight="1">
      <c r="A8630" s="129">
        <v>8630</v>
      </c>
    </row>
    <row r="8631" spans="1:1" ht="12.75" customHeight="1">
      <c r="A8631" s="129">
        <v>8631</v>
      </c>
    </row>
    <row r="8632" spans="1:1" ht="12.75" customHeight="1">
      <c r="A8632" s="129">
        <v>8632</v>
      </c>
    </row>
    <row r="8633" spans="1:1" ht="12.75" customHeight="1">
      <c r="A8633" s="129">
        <v>8633</v>
      </c>
    </row>
    <row r="8634" spans="1:1" ht="12.75" customHeight="1">
      <c r="A8634" s="129">
        <v>8634</v>
      </c>
    </row>
    <row r="8635" spans="1:1" ht="12.75" customHeight="1">
      <c r="A8635" s="129">
        <v>8635</v>
      </c>
    </row>
    <row r="8636" spans="1:1" ht="12.75" customHeight="1">
      <c r="A8636" s="129">
        <v>8636</v>
      </c>
    </row>
    <row r="8637" spans="1:1" ht="12.75" customHeight="1">
      <c r="A8637" s="129">
        <v>8637</v>
      </c>
    </row>
    <row r="8638" spans="1:1" ht="12.75" customHeight="1">
      <c r="A8638" s="129">
        <v>8638</v>
      </c>
    </row>
    <row r="8639" spans="1:1" ht="12.75" customHeight="1">
      <c r="A8639" s="129">
        <v>8639</v>
      </c>
    </row>
    <row r="8640" spans="1:1" ht="12.75" customHeight="1">
      <c r="A8640" s="129">
        <v>8640</v>
      </c>
    </row>
    <row r="8641" spans="1:1" ht="12.75" customHeight="1">
      <c r="A8641" s="129">
        <v>8641</v>
      </c>
    </row>
    <row r="8642" spans="1:1" ht="12.75" customHeight="1">
      <c r="A8642" s="129">
        <v>8642</v>
      </c>
    </row>
    <row r="8643" spans="1:1" ht="12.75" customHeight="1">
      <c r="A8643" s="129">
        <v>8643</v>
      </c>
    </row>
    <row r="8644" spans="1:1" ht="12.75" customHeight="1">
      <c r="A8644" s="129">
        <v>8644</v>
      </c>
    </row>
    <row r="8645" spans="1:1" ht="12.75" customHeight="1">
      <c r="A8645" s="129">
        <v>8645</v>
      </c>
    </row>
    <row r="8646" spans="1:1" ht="12.75" customHeight="1">
      <c r="A8646" s="129">
        <v>8646</v>
      </c>
    </row>
    <row r="8647" spans="1:1" ht="12.75" customHeight="1">
      <c r="A8647" s="129">
        <v>8647</v>
      </c>
    </row>
    <row r="8648" spans="1:1" ht="12.75" customHeight="1">
      <c r="A8648" s="129">
        <v>8648</v>
      </c>
    </row>
    <row r="8649" spans="1:1" ht="12.75" customHeight="1">
      <c r="A8649" s="129">
        <v>8649</v>
      </c>
    </row>
    <row r="8650" spans="1:1" ht="12.75" customHeight="1">
      <c r="A8650" s="129">
        <v>8650</v>
      </c>
    </row>
    <row r="8651" spans="1:1" ht="12.75" customHeight="1">
      <c r="A8651" s="129">
        <v>8651</v>
      </c>
    </row>
    <row r="8652" spans="1:1" ht="12.75" customHeight="1">
      <c r="A8652" s="129">
        <v>8652</v>
      </c>
    </row>
    <row r="8653" spans="1:1" ht="12.75" customHeight="1">
      <c r="A8653" s="129">
        <v>8653</v>
      </c>
    </row>
    <row r="8654" spans="1:1" ht="12.75" customHeight="1">
      <c r="A8654" s="129">
        <v>8654</v>
      </c>
    </row>
    <row r="8655" spans="1:1" ht="12.75" customHeight="1">
      <c r="A8655" s="129">
        <v>8655</v>
      </c>
    </row>
    <row r="8656" spans="1:1" ht="12.75" customHeight="1">
      <c r="A8656" s="129">
        <v>8656</v>
      </c>
    </row>
    <row r="8657" spans="1:1" ht="12.75" customHeight="1">
      <c r="A8657" s="129">
        <v>8657</v>
      </c>
    </row>
    <row r="8658" spans="1:1" ht="12.75" customHeight="1">
      <c r="A8658" s="129">
        <v>8658</v>
      </c>
    </row>
    <row r="8659" spans="1:1" ht="12.75" customHeight="1">
      <c r="A8659" s="129">
        <v>8659</v>
      </c>
    </row>
    <row r="8660" spans="1:1" ht="12.75" customHeight="1">
      <c r="A8660" s="129">
        <v>8660</v>
      </c>
    </row>
    <row r="8661" spans="1:1" ht="12.75" customHeight="1">
      <c r="A8661" s="129">
        <v>8661</v>
      </c>
    </row>
    <row r="8662" spans="1:1" ht="12.75" customHeight="1">
      <c r="A8662" s="129">
        <v>8662</v>
      </c>
    </row>
    <row r="8663" spans="1:1" ht="12.75" customHeight="1">
      <c r="A8663" s="129">
        <v>8663</v>
      </c>
    </row>
    <row r="8664" spans="1:1" ht="12.75" customHeight="1">
      <c r="A8664" s="129">
        <v>8664</v>
      </c>
    </row>
    <row r="8665" spans="1:1" ht="12.75" customHeight="1">
      <c r="A8665" s="129">
        <v>8665</v>
      </c>
    </row>
    <row r="8666" spans="1:1" ht="12.75" customHeight="1">
      <c r="A8666" s="129">
        <v>8666</v>
      </c>
    </row>
    <row r="8667" spans="1:1" ht="12.75" customHeight="1">
      <c r="A8667" s="129">
        <v>8667</v>
      </c>
    </row>
    <row r="8668" spans="1:1" ht="12.75" customHeight="1">
      <c r="A8668" s="129">
        <v>8668</v>
      </c>
    </row>
    <row r="8669" spans="1:1" ht="12.75" customHeight="1">
      <c r="A8669" s="129">
        <v>8669</v>
      </c>
    </row>
    <row r="8670" spans="1:1" ht="12.75" customHeight="1">
      <c r="A8670" s="129">
        <v>8670</v>
      </c>
    </row>
    <row r="8671" spans="1:1" ht="12.75" customHeight="1">
      <c r="A8671" s="129">
        <v>8671</v>
      </c>
    </row>
    <row r="8672" spans="1:1" ht="12.75" customHeight="1">
      <c r="A8672" s="129">
        <v>8672</v>
      </c>
    </row>
    <row r="8673" spans="1:1" ht="12.75" customHeight="1">
      <c r="A8673" s="129">
        <v>8673</v>
      </c>
    </row>
    <row r="8674" spans="1:1" ht="12.75" customHeight="1">
      <c r="A8674" s="129">
        <v>8674</v>
      </c>
    </row>
    <row r="8675" spans="1:1" ht="12.75" customHeight="1">
      <c r="A8675" s="129">
        <v>8675</v>
      </c>
    </row>
    <row r="8676" spans="1:1" ht="12.75" customHeight="1">
      <c r="A8676" s="129">
        <v>8676</v>
      </c>
    </row>
    <row r="8677" spans="1:1" ht="12.75" customHeight="1">
      <c r="A8677" s="129">
        <v>8677</v>
      </c>
    </row>
    <row r="8678" spans="1:1" ht="12.75" customHeight="1">
      <c r="A8678" s="129">
        <v>8678</v>
      </c>
    </row>
    <row r="8679" spans="1:1" ht="12.75" customHeight="1">
      <c r="A8679" s="129">
        <v>8679</v>
      </c>
    </row>
    <row r="8680" spans="1:1" ht="12.75" customHeight="1">
      <c r="A8680" s="129">
        <v>8680</v>
      </c>
    </row>
    <row r="8681" spans="1:1" ht="12.75" customHeight="1">
      <c r="A8681" s="129">
        <v>8681</v>
      </c>
    </row>
    <row r="8682" spans="1:1" ht="12.75" customHeight="1">
      <c r="A8682" s="129">
        <v>8682</v>
      </c>
    </row>
    <row r="8683" spans="1:1" ht="12.75" customHeight="1">
      <c r="A8683" s="129">
        <v>8683</v>
      </c>
    </row>
    <row r="8684" spans="1:1" ht="12.75" customHeight="1">
      <c r="A8684" s="129">
        <v>8684</v>
      </c>
    </row>
    <row r="8685" spans="1:1" ht="12.75" customHeight="1">
      <c r="A8685" s="129">
        <v>8685</v>
      </c>
    </row>
    <row r="8686" spans="1:1" ht="12.75" customHeight="1">
      <c r="A8686" s="129">
        <v>8686</v>
      </c>
    </row>
    <row r="8687" spans="1:1" ht="12.75" customHeight="1">
      <c r="A8687" s="129">
        <v>8687</v>
      </c>
    </row>
    <row r="8688" spans="1:1" ht="12.75" customHeight="1">
      <c r="A8688" s="129">
        <v>8688</v>
      </c>
    </row>
    <row r="8689" spans="1:1" ht="12.75" customHeight="1">
      <c r="A8689" s="129">
        <v>8689</v>
      </c>
    </row>
    <row r="8690" spans="1:1" ht="12.75" customHeight="1">
      <c r="A8690" s="129">
        <v>8690</v>
      </c>
    </row>
    <row r="8691" spans="1:1" ht="12.75" customHeight="1">
      <c r="A8691" s="129">
        <v>8691</v>
      </c>
    </row>
    <row r="8692" spans="1:1" ht="12.75" customHeight="1">
      <c r="A8692" s="129">
        <v>8692</v>
      </c>
    </row>
    <row r="8693" spans="1:1" ht="12.75" customHeight="1">
      <c r="A8693" s="129">
        <v>8693</v>
      </c>
    </row>
    <row r="8694" spans="1:1" ht="12.75" customHeight="1">
      <c r="A8694" s="129">
        <v>8694</v>
      </c>
    </row>
    <row r="8695" spans="1:1" ht="12.75" customHeight="1">
      <c r="A8695" s="129">
        <v>8695</v>
      </c>
    </row>
    <row r="8696" spans="1:1" ht="12.75" customHeight="1">
      <c r="A8696" s="129">
        <v>8696</v>
      </c>
    </row>
    <row r="8697" spans="1:1" ht="12.75" customHeight="1">
      <c r="A8697" s="129">
        <v>8697</v>
      </c>
    </row>
    <row r="8698" spans="1:1" ht="12.75" customHeight="1">
      <c r="A8698" s="129">
        <v>8698</v>
      </c>
    </row>
    <row r="8699" spans="1:1" ht="12.75" customHeight="1">
      <c r="A8699" s="129">
        <v>8699</v>
      </c>
    </row>
    <row r="8700" spans="1:1" ht="12.75" customHeight="1">
      <c r="A8700" s="129">
        <v>8700</v>
      </c>
    </row>
    <row r="8701" spans="1:1" ht="12.75" customHeight="1">
      <c r="A8701" s="129">
        <v>8701</v>
      </c>
    </row>
    <row r="8702" spans="1:1" ht="12.75" customHeight="1">
      <c r="A8702" s="129">
        <v>8702</v>
      </c>
    </row>
    <row r="8703" spans="1:1" ht="12.75" customHeight="1">
      <c r="A8703" s="129">
        <v>8703</v>
      </c>
    </row>
    <row r="8704" spans="1:1" ht="12.75" customHeight="1">
      <c r="A8704" s="129">
        <v>8704</v>
      </c>
    </row>
    <row r="8705" spans="1:1" ht="12.75" customHeight="1">
      <c r="A8705" s="129">
        <v>8705</v>
      </c>
    </row>
    <row r="8706" spans="1:1" ht="12.75" customHeight="1">
      <c r="A8706" s="129">
        <v>8706</v>
      </c>
    </row>
    <row r="8707" spans="1:1" ht="12.75" customHeight="1">
      <c r="A8707" s="129">
        <v>8707</v>
      </c>
    </row>
    <row r="8708" spans="1:1" ht="12.75" customHeight="1">
      <c r="A8708" s="129">
        <v>8708</v>
      </c>
    </row>
    <row r="8709" spans="1:1" ht="12.75" customHeight="1">
      <c r="A8709" s="129">
        <v>8709</v>
      </c>
    </row>
    <row r="8710" spans="1:1" ht="12.75" customHeight="1">
      <c r="A8710" s="129">
        <v>8710</v>
      </c>
    </row>
    <row r="8711" spans="1:1" ht="12.75" customHeight="1">
      <c r="A8711" s="129">
        <v>8711</v>
      </c>
    </row>
    <row r="8712" spans="1:1" ht="12.75" customHeight="1">
      <c r="A8712" s="129">
        <v>8712</v>
      </c>
    </row>
    <row r="8713" spans="1:1" ht="12.75" customHeight="1">
      <c r="A8713" s="129">
        <v>8713</v>
      </c>
    </row>
    <row r="8714" spans="1:1" ht="12.75" customHeight="1">
      <c r="A8714" s="129">
        <v>8714</v>
      </c>
    </row>
    <row r="8715" spans="1:1" ht="12.75" customHeight="1">
      <c r="A8715" s="129">
        <v>8715</v>
      </c>
    </row>
    <row r="8716" spans="1:1" ht="12.75" customHeight="1">
      <c r="A8716" s="129">
        <v>8716</v>
      </c>
    </row>
    <row r="8717" spans="1:1" ht="12.75" customHeight="1">
      <c r="A8717" s="129">
        <v>8717</v>
      </c>
    </row>
    <row r="8718" spans="1:1" ht="12.75" customHeight="1">
      <c r="A8718" s="129">
        <v>8718</v>
      </c>
    </row>
    <row r="8719" spans="1:1" ht="12.75" customHeight="1">
      <c r="A8719" s="129">
        <v>8719</v>
      </c>
    </row>
    <row r="8720" spans="1:1" ht="12.75" customHeight="1">
      <c r="A8720" s="129">
        <v>8720</v>
      </c>
    </row>
    <row r="8721" spans="1:1" ht="12.75" customHeight="1">
      <c r="A8721" s="129">
        <v>8721</v>
      </c>
    </row>
    <row r="8722" spans="1:1" ht="12.75" customHeight="1">
      <c r="A8722" s="129">
        <v>8722</v>
      </c>
    </row>
    <row r="8723" spans="1:1" ht="12.75" customHeight="1">
      <c r="A8723" s="129">
        <v>8723</v>
      </c>
    </row>
    <row r="8724" spans="1:1" ht="12.75" customHeight="1">
      <c r="A8724" s="129">
        <v>8724</v>
      </c>
    </row>
    <row r="8725" spans="1:1" ht="12.75" customHeight="1">
      <c r="A8725" s="129">
        <v>8725</v>
      </c>
    </row>
    <row r="8726" spans="1:1" ht="12.75" customHeight="1">
      <c r="A8726" s="129">
        <v>8726</v>
      </c>
    </row>
    <row r="8727" spans="1:1" ht="12.75" customHeight="1">
      <c r="A8727" s="129">
        <v>8727</v>
      </c>
    </row>
    <row r="8728" spans="1:1" ht="12.75" customHeight="1">
      <c r="A8728" s="129">
        <v>8728</v>
      </c>
    </row>
    <row r="8729" spans="1:1" ht="12.75" customHeight="1">
      <c r="A8729" s="129">
        <v>8729</v>
      </c>
    </row>
    <row r="8730" spans="1:1" ht="12.75" customHeight="1">
      <c r="A8730" s="129">
        <v>8730</v>
      </c>
    </row>
    <row r="8731" spans="1:1" ht="12.75" customHeight="1">
      <c r="A8731" s="129">
        <v>8731</v>
      </c>
    </row>
    <row r="8732" spans="1:1" ht="12.75" customHeight="1">
      <c r="A8732" s="129">
        <v>8732</v>
      </c>
    </row>
    <row r="8733" spans="1:1" ht="12.75" customHeight="1">
      <c r="A8733" s="129">
        <v>8733</v>
      </c>
    </row>
    <row r="8734" spans="1:1" ht="12.75" customHeight="1">
      <c r="A8734" s="129">
        <v>8734</v>
      </c>
    </row>
    <row r="8735" spans="1:1" ht="12.75" customHeight="1">
      <c r="A8735" s="129">
        <v>8735</v>
      </c>
    </row>
    <row r="8736" spans="1:1" ht="12.75" customHeight="1">
      <c r="A8736" s="129">
        <v>8736</v>
      </c>
    </row>
    <row r="8737" spans="1:1" ht="12.75" customHeight="1">
      <c r="A8737" s="129">
        <v>8737</v>
      </c>
    </row>
    <row r="8738" spans="1:1" ht="12.75" customHeight="1">
      <c r="A8738" s="129">
        <v>8738</v>
      </c>
    </row>
    <row r="8739" spans="1:1" ht="12.75" customHeight="1">
      <c r="A8739" s="129">
        <v>8739</v>
      </c>
    </row>
    <row r="8740" spans="1:1" ht="12.75" customHeight="1">
      <c r="A8740" s="129">
        <v>8740</v>
      </c>
    </row>
    <row r="8741" spans="1:1" ht="12.75" customHeight="1">
      <c r="A8741" s="129">
        <v>8741</v>
      </c>
    </row>
    <row r="8742" spans="1:1" ht="12.75" customHeight="1">
      <c r="A8742" s="129">
        <v>8742</v>
      </c>
    </row>
    <row r="8743" spans="1:1" ht="12.75" customHeight="1">
      <c r="A8743" s="129">
        <v>8743</v>
      </c>
    </row>
    <row r="8744" spans="1:1" ht="12.75" customHeight="1">
      <c r="A8744" s="129">
        <v>8744</v>
      </c>
    </row>
    <row r="8745" spans="1:1" ht="12.75" customHeight="1">
      <c r="A8745" s="129">
        <v>8745</v>
      </c>
    </row>
    <row r="8746" spans="1:1" ht="12.75" customHeight="1">
      <c r="A8746" s="129">
        <v>8746</v>
      </c>
    </row>
    <row r="8747" spans="1:1" ht="12.75" customHeight="1">
      <c r="A8747" s="129">
        <v>8747</v>
      </c>
    </row>
    <row r="8748" spans="1:1" ht="12.75" customHeight="1">
      <c r="A8748" s="129">
        <v>8748</v>
      </c>
    </row>
    <row r="8749" spans="1:1" ht="12.75" customHeight="1">
      <c r="A8749" s="129">
        <v>8749</v>
      </c>
    </row>
    <row r="8750" spans="1:1" ht="12.75" customHeight="1">
      <c r="A8750" s="129">
        <v>8750</v>
      </c>
    </row>
    <row r="8751" spans="1:1" ht="12.75" customHeight="1">
      <c r="A8751" s="129">
        <v>8751</v>
      </c>
    </row>
    <row r="8752" spans="1:1" ht="12.75" customHeight="1">
      <c r="A8752" s="129">
        <v>8752</v>
      </c>
    </row>
    <row r="8753" spans="1:1" ht="12.75" customHeight="1">
      <c r="A8753" s="129">
        <v>8753</v>
      </c>
    </row>
    <row r="8754" spans="1:1" ht="12.75" customHeight="1">
      <c r="A8754" s="129">
        <v>8754</v>
      </c>
    </row>
    <row r="8755" spans="1:1" ht="12.75" customHeight="1">
      <c r="A8755" s="129">
        <v>8755</v>
      </c>
    </row>
    <row r="8756" spans="1:1" ht="12.75" customHeight="1">
      <c r="A8756" s="129">
        <v>8756</v>
      </c>
    </row>
    <row r="8757" spans="1:1" ht="12.75" customHeight="1">
      <c r="A8757" s="129">
        <v>8757</v>
      </c>
    </row>
    <row r="8758" spans="1:1" ht="12.75" customHeight="1">
      <c r="A8758" s="129">
        <v>8758</v>
      </c>
    </row>
    <row r="8759" spans="1:1" ht="12.75" customHeight="1">
      <c r="A8759" s="129">
        <v>8759</v>
      </c>
    </row>
    <row r="8760" spans="1:1" ht="12.75" customHeight="1">
      <c r="A8760" s="129">
        <v>8760</v>
      </c>
    </row>
    <row r="8761" spans="1:1" ht="12.75" customHeight="1">
      <c r="A8761" s="129">
        <v>8761</v>
      </c>
    </row>
    <row r="8762" spans="1:1" ht="12.75" customHeight="1">
      <c r="A8762" s="129">
        <v>8762</v>
      </c>
    </row>
    <row r="8763" spans="1:1" ht="12.75" customHeight="1">
      <c r="A8763" s="129">
        <v>8763</v>
      </c>
    </row>
    <row r="8764" spans="1:1" ht="12.75" customHeight="1">
      <c r="A8764" s="129">
        <v>8764</v>
      </c>
    </row>
    <row r="8765" spans="1:1" ht="12.75" customHeight="1">
      <c r="A8765" s="129">
        <v>8765</v>
      </c>
    </row>
    <row r="8766" spans="1:1" ht="12.75" customHeight="1">
      <c r="A8766" s="129">
        <v>8766</v>
      </c>
    </row>
    <row r="8767" spans="1:1" ht="12.75" customHeight="1">
      <c r="A8767" s="129">
        <v>8767</v>
      </c>
    </row>
    <row r="8768" spans="1:1" ht="12.75" customHeight="1">
      <c r="A8768" s="129">
        <v>8768</v>
      </c>
    </row>
    <row r="8769" spans="1:1" ht="12.75" customHeight="1">
      <c r="A8769" s="129">
        <v>8769</v>
      </c>
    </row>
    <row r="8770" spans="1:1" ht="12.75" customHeight="1">
      <c r="A8770" s="129">
        <v>8770</v>
      </c>
    </row>
    <row r="8771" spans="1:1" ht="12.75" customHeight="1">
      <c r="A8771" s="129">
        <v>8771</v>
      </c>
    </row>
    <row r="8772" spans="1:1" ht="12.75" customHeight="1">
      <c r="A8772" s="129">
        <v>8772</v>
      </c>
    </row>
    <row r="8773" spans="1:1" ht="12.75" customHeight="1">
      <c r="A8773" s="129">
        <v>8773</v>
      </c>
    </row>
    <row r="8774" spans="1:1" ht="12.75" customHeight="1">
      <c r="A8774" s="129">
        <v>8774</v>
      </c>
    </row>
    <row r="8775" spans="1:1" ht="12.75" customHeight="1">
      <c r="A8775" s="129">
        <v>8775</v>
      </c>
    </row>
    <row r="8776" spans="1:1" ht="12.75" customHeight="1">
      <c r="A8776" s="129">
        <v>8776</v>
      </c>
    </row>
    <row r="8777" spans="1:1" ht="12.75" customHeight="1">
      <c r="A8777" s="129">
        <v>8777</v>
      </c>
    </row>
    <row r="8778" spans="1:1" ht="12.75" customHeight="1">
      <c r="A8778" s="129">
        <v>8778</v>
      </c>
    </row>
    <row r="8779" spans="1:1" ht="12.75" customHeight="1">
      <c r="A8779" s="129">
        <v>8779</v>
      </c>
    </row>
    <row r="8780" spans="1:1" ht="12.75" customHeight="1">
      <c r="A8780" s="129">
        <v>8780</v>
      </c>
    </row>
    <row r="8781" spans="1:1" ht="12.75" customHeight="1">
      <c r="A8781" s="129">
        <v>8781</v>
      </c>
    </row>
    <row r="8782" spans="1:1" ht="12.75" customHeight="1">
      <c r="A8782" s="129">
        <v>8782</v>
      </c>
    </row>
    <row r="8783" spans="1:1" ht="12.75" customHeight="1">
      <c r="A8783" s="129">
        <v>8783</v>
      </c>
    </row>
    <row r="8784" spans="1:1" ht="12.75" customHeight="1">
      <c r="A8784" s="129">
        <v>8784</v>
      </c>
    </row>
    <row r="8785" spans="1:1" ht="12.75" customHeight="1">
      <c r="A8785" s="129">
        <v>8785</v>
      </c>
    </row>
    <row r="8786" spans="1:1" ht="12.75" customHeight="1">
      <c r="A8786" s="129">
        <v>8786</v>
      </c>
    </row>
    <row r="8787" spans="1:1" ht="12.75" customHeight="1">
      <c r="A8787" s="129">
        <v>8787</v>
      </c>
    </row>
    <row r="8788" spans="1:1" ht="12.75" customHeight="1">
      <c r="A8788" s="129">
        <v>8788</v>
      </c>
    </row>
    <row r="8789" spans="1:1" ht="12.75" customHeight="1">
      <c r="A8789" s="129">
        <v>8789</v>
      </c>
    </row>
    <row r="8790" spans="1:1" ht="12.75" customHeight="1">
      <c r="A8790" s="129">
        <v>8790</v>
      </c>
    </row>
    <row r="8791" spans="1:1" ht="12.75" customHeight="1">
      <c r="A8791" s="129">
        <v>8791</v>
      </c>
    </row>
    <row r="8792" spans="1:1" ht="12.75" customHeight="1">
      <c r="A8792" s="129">
        <v>8792</v>
      </c>
    </row>
    <row r="8793" spans="1:1" ht="12.75" customHeight="1">
      <c r="A8793" s="129">
        <v>8793</v>
      </c>
    </row>
    <row r="8794" spans="1:1" ht="12.75" customHeight="1">
      <c r="A8794" s="129">
        <v>8794</v>
      </c>
    </row>
    <row r="8795" spans="1:1" ht="12.75" customHeight="1">
      <c r="A8795" s="129">
        <v>8795</v>
      </c>
    </row>
    <row r="8796" spans="1:1" ht="12.75" customHeight="1">
      <c r="A8796" s="129">
        <v>8796</v>
      </c>
    </row>
    <row r="8797" spans="1:1" ht="12.75" customHeight="1">
      <c r="A8797" s="129">
        <v>8797</v>
      </c>
    </row>
    <row r="8798" spans="1:1" ht="12.75" customHeight="1">
      <c r="A8798" s="129">
        <v>8798</v>
      </c>
    </row>
    <row r="8799" spans="1:1" ht="12.75" customHeight="1">
      <c r="A8799" s="129">
        <v>8799</v>
      </c>
    </row>
    <row r="8800" spans="1:1" ht="12.75" customHeight="1">
      <c r="A8800" s="129">
        <v>8800</v>
      </c>
    </row>
    <row r="8801" spans="1:1" ht="12.75" customHeight="1">
      <c r="A8801" s="129">
        <v>8801</v>
      </c>
    </row>
    <row r="8802" spans="1:1" ht="12.75" customHeight="1">
      <c r="A8802" s="129">
        <v>8802</v>
      </c>
    </row>
    <row r="8803" spans="1:1" ht="12.75" customHeight="1">
      <c r="A8803" s="129">
        <v>8803</v>
      </c>
    </row>
    <row r="8804" spans="1:1" ht="12.75" customHeight="1">
      <c r="A8804" s="129">
        <v>8804</v>
      </c>
    </row>
    <row r="8805" spans="1:1" ht="12.75" customHeight="1">
      <c r="A8805" s="129">
        <v>8805</v>
      </c>
    </row>
    <row r="8806" spans="1:1" ht="12.75" customHeight="1">
      <c r="A8806" s="129">
        <v>8806</v>
      </c>
    </row>
    <row r="8807" spans="1:1" ht="12.75" customHeight="1">
      <c r="A8807" s="129">
        <v>8807</v>
      </c>
    </row>
    <row r="8808" spans="1:1" ht="12.75" customHeight="1">
      <c r="A8808" s="129">
        <v>8808</v>
      </c>
    </row>
    <row r="8809" spans="1:1" ht="12.75" customHeight="1">
      <c r="A8809" s="129">
        <v>8809</v>
      </c>
    </row>
    <row r="8810" spans="1:1" ht="12.75" customHeight="1">
      <c r="A8810" s="129">
        <v>8810</v>
      </c>
    </row>
    <row r="8811" spans="1:1" ht="12.75" customHeight="1">
      <c r="A8811" s="129">
        <v>8811</v>
      </c>
    </row>
    <row r="8812" spans="1:1" ht="12.75" customHeight="1">
      <c r="A8812" s="129">
        <v>8812</v>
      </c>
    </row>
    <row r="8813" spans="1:1" ht="12.75" customHeight="1">
      <c r="A8813" s="129">
        <v>8813</v>
      </c>
    </row>
    <row r="8814" spans="1:1" ht="12.75" customHeight="1">
      <c r="A8814" s="129">
        <v>8814</v>
      </c>
    </row>
    <row r="8815" spans="1:1" ht="12.75" customHeight="1">
      <c r="A8815" s="129">
        <v>8815</v>
      </c>
    </row>
    <row r="8816" spans="1:1" ht="12.75" customHeight="1">
      <c r="A8816" s="129">
        <v>8816</v>
      </c>
    </row>
    <row r="8817" spans="1:1" ht="12.75" customHeight="1">
      <c r="A8817" s="129">
        <v>8817</v>
      </c>
    </row>
    <row r="8818" spans="1:1" ht="12.75" customHeight="1">
      <c r="A8818" s="129">
        <v>8818</v>
      </c>
    </row>
    <row r="8819" spans="1:1" ht="12.75" customHeight="1">
      <c r="A8819" s="129">
        <v>8819</v>
      </c>
    </row>
    <row r="8820" spans="1:1" ht="12.75" customHeight="1">
      <c r="A8820" s="129">
        <v>8820</v>
      </c>
    </row>
    <row r="8821" spans="1:1" ht="12.75" customHeight="1">
      <c r="A8821" s="129">
        <v>8821</v>
      </c>
    </row>
    <row r="8822" spans="1:1" ht="12.75" customHeight="1">
      <c r="A8822" s="129">
        <v>8822</v>
      </c>
    </row>
    <row r="8823" spans="1:1" ht="12.75" customHeight="1">
      <c r="A8823" s="129">
        <v>8823</v>
      </c>
    </row>
    <row r="8824" spans="1:1" ht="12.75" customHeight="1">
      <c r="A8824" s="129">
        <v>8824</v>
      </c>
    </row>
    <row r="8825" spans="1:1" ht="12.75" customHeight="1">
      <c r="A8825" s="129">
        <v>8825</v>
      </c>
    </row>
    <row r="8826" spans="1:1" ht="12.75" customHeight="1">
      <c r="A8826" s="129">
        <v>8826</v>
      </c>
    </row>
    <row r="8827" spans="1:1" ht="12.75" customHeight="1">
      <c r="A8827" s="129">
        <v>8827</v>
      </c>
    </row>
    <row r="8828" spans="1:1" ht="12.75" customHeight="1">
      <c r="A8828" s="129">
        <v>8828</v>
      </c>
    </row>
    <row r="8829" spans="1:1" ht="12.75" customHeight="1">
      <c r="A8829" s="129">
        <v>8829</v>
      </c>
    </row>
    <row r="8830" spans="1:1" ht="12.75" customHeight="1">
      <c r="A8830" s="129">
        <v>8830</v>
      </c>
    </row>
    <row r="8831" spans="1:1" ht="12.75" customHeight="1">
      <c r="A8831" s="129">
        <v>8831</v>
      </c>
    </row>
    <row r="8832" spans="1:1" ht="12.75" customHeight="1">
      <c r="A8832" s="129">
        <v>8832</v>
      </c>
    </row>
    <row r="8833" spans="1:1" ht="12.75" customHeight="1">
      <c r="A8833" s="129">
        <v>8833</v>
      </c>
    </row>
    <row r="8834" spans="1:1" ht="12.75" customHeight="1">
      <c r="A8834" s="129">
        <v>8834</v>
      </c>
    </row>
    <row r="8835" spans="1:1" ht="12.75" customHeight="1">
      <c r="A8835" s="129">
        <v>8835</v>
      </c>
    </row>
    <row r="8836" spans="1:1" ht="12.75" customHeight="1">
      <c r="A8836" s="129">
        <v>8836</v>
      </c>
    </row>
    <row r="8837" spans="1:1" ht="12.75" customHeight="1">
      <c r="A8837" s="129">
        <v>8837</v>
      </c>
    </row>
    <row r="8838" spans="1:1" ht="12.75" customHeight="1">
      <c r="A8838" s="129">
        <v>8838</v>
      </c>
    </row>
    <row r="8839" spans="1:1" ht="12.75" customHeight="1">
      <c r="A8839" s="129">
        <v>8839</v>
      </c>
    </row>
    <row r="8840" spans="1:1" ht="12.75" customHeight="1">
      <c r="A8840" s="129">
        <v>8840</v>
      </c>
    </row>
    <row r="8841" spans="1:1" ht="12.75" customHeight="1">
      <c r="A8841" s="129">
        <v>8841</v>
      </c>
    </row>
    <row r="8842" spans="1:1" ht="12.75" customHeight="1">
      <c r="A8842" s="129">
        <v>8842</v>
      </c>
    </row>
    <row r="8843" spans="1:1" ht="12.75" customHeight="1">
      <c r="A8843" s="129">
        <v>8843</v>
      </c>
    </row>
    <row r="8844" spans="1:1" ht="12.75" customHeight="1">
      <c r="A8844" s="129">
        <v>8844</v>
      </c>
    </row>
    <row r="8845" spans="1:1" ht="12.75" customHeight="1">
      <c r="A8845" s="129">
        <v>8845</v>
      </c>
    </row>
    <row r="8846" spans="1:1" ht="12.75" customHeight="1">
      <c r="A8846" s="129">
        <v>8846</v>
      </c>
    </row>
    <row r="8847" spans="1:1" ht="12.75" customHeight="1">
      <c r="A8847" s="129">
        <v>8847</v>
      </c>
    </row>
    <row r="8848" spans="1:1" ht="12.75" customHeight="1">
      <c r="A8848" s="129">
        <v>8848</v>
      </c>
    </row>
    <row r="8849" spans="1:1" ht="12.75" customHeight="1">
      <c r="A8849" s="129">
        <v>8849</v>
      </c>
    </row>
    <row r="8850" spans="1:1" ht="12.75" customHeight="1">
      <c r="A8850" s="129">
        <v>8850</v>
      </c>
    </row>
    <row r="8851" spans="1:1" ht="12.75" customHeight="1">
      <c r="A8851" s="129">
        <v>8851</v>
      </c>
    </row>
    <row r="8852" spans="1:1" ht="12.75" customHeight="1">
      <c r="A8852" s="129">
        <v>8852</v>
      </c>
    </row>
    <row r="8853" spans="1:1" ht="12.75" customHeight="1">
      <c r="A8853" s="129">
        <v>8853</v>
      </c>
    </row>
    <row r="8854" spans="1:1" ht="12.75" customHeight="1">
      <c r="A8854" s="129">
        <v>8854</v>
      </c>
    </row>
    <row r="8855" spans="1:1" ht="12.75" customHeight="1">
      <c r="A8855" s="129">
        <v>8855</v>
      </c>
    </row>
    <row r="8856" spans="1:1" ht="12.75" customHeight="1">
      <c r="A8856" s="129">
        <v>8856</v>
      </c>
    </row>
    <row r="8857" spans="1:1" ht="12.75" customHeight="1">
      <c r="A8857" s="129">
        <v>8857</v>
      </c>
    </row>
    <row r="8858" spans="1:1" ht="12.75" customHeight="1">
      <c r="A8858" s="129">
        <v>8858</v>
      </c>
    </row>
    <row r="8859" spans="1:1" ht="12.75" customHeight="1">
      <c r="A8859" s="129">
        <v>8859</v>
      </c>
    </row>
    <row r="8860" spans="1:1" ht="12.75" customHeight="1">
      <c r="A8860" s="129">
        <v>8860</v>
      </c>
    </row>
    <row r="8861" spans="1:1" ht="12.75" customHeight="1">
      <c r="A8861" s="129">
        <v>8861</v>
      </c>
    </row>
    <row r="8862" spans="1:1" ht="12.75" customHeight="1">
      <c r="A8862" s="129">
        <v>8862</v>
      </c>
    </row>
    <row r="8863" spans="1:1" ht="12.75" customHeight="1">
      <c r="A8863" s="129">
        <v>8863</v>
      </c>
    </row>
    <row r="8864" spans="1:1" ht="12.75" customHeight="1">
      <c r="A8864" s="129">
        <v>8864</v>
      </c>
    </row>
    <row r="8865" spans="1:1" ht="12.75" customHeight="1">
      <c r="A8865" s="129">
        <v>8865</v>
      </c>
    </row>
    <row r="8866" spans="1:1" ht="12.75" customHeight="1">
      <c r="A8866" s="129">
        <v>8866</v>
      </c>
    </row>
    <row r="8867" spans="1:1" ht="12.75" customHeight="1">
      <c r="A8867" s="129">
        <v>8867</v>
      </c>
    </row>
    <row r="8868" spans="1:1" ht="12.75" customHeight="1">
      <c r="A8868" s="129">
        <v>8868</v>
      </c>
    </row>
    <row r="8869" spans="1:1" ht="12.75" customHeight="1">
      <c r="A8869" s="129">
        <v>8869</v>
      </c>
    </row>
    <row r="8870" spans="1:1" ht="12.75" customHeight="1">
      <c r="A8870" s="129">
        <v>8870</v>
      </c>
    </row>
    <row r="8871" spans="1:1" ht="12.75" customHeight="1">
      <c r="A8871" s="129">
        <v>8871</v>
      </c>
    </row>
    <row r="8872" spans="1:1" ht="12.75" customHeight="1">
      <c r="A8872" s="129">
        <v>8872</v>
      </c>
    </row>
    <row r="8873" spans="1:1" ht="12.75" customHeight="1">
      <c r="A8873" s="129">
        <v>8873</v>
      </c>
    </row>
    <row r="8874" spans="1:1" ht="12.75" customHeight="1">
      <c r="A8874" s="129">
        <v>8874</v>
      </c>
    </row>
    <row r="8875" spans="1:1" ht="12.75" customHeight="1">
      <c r="A8875" s="129">
        <v>8875</v>
      </c>
    </row>
    <row r="8876" spans="1:1" ht="12.75" customHeight="1">
      <c r="A8876" s="129">
        <v>8876</v>
      </c>
    </row>
    <row r="8877" spans="1:1" ht="12.75" customHeight="1">
      <c r="A8877" s="129">
        <v>8877</v>
      </c>
    </row>
    <row r="8878" spans="1:1" ht="12.75" customHeight="1">
      <c r="A8878" s="129">
        <v>8878</v>
      </c>
    </row>
    <row r="8879" spans="1:1" ht="12.75" customHeight="1">
      <c r="A8879" s="129">
        <v>8879</v>
      </c>
    </row>
    <row r="8880" spans="1:1" ht="12.75" customHeight="1">
      <c r="A8880" s="129">
        <v>8880</v>
      </c>
    </row>
    <row r="8881" spans="1:1" ht="12.75" customHeight="1">
      <c r="A8881" s="129">
        <v>8881</v>
      </c>
    </row>
    <row r="8882" spans="1:1" ht="12.75" customHeight="1">
      <c r="A8882" s="129">
        <v>8882</v>
      </c>
    </row>
    <row r="8883" spans="1:1" ht="12.75" customHeight="1">
      <c r="A8883" s="129">
        <v>8883</v>
      </c>
    </row>
    <row r="8884" spans="1:1" ht="12.75" customHeight="1">
      <c r="A8884" s="129">
        <v>8884</v>
      </c>
    </row>
    <row r="8885" spans="1:1" ht="12.75" customHeight="1">
      <c r="A8885" s="129">
        <v>8885</v>
      </c>
    </row>
    <row r="8886" spans="1:1" ht="12.75" customHeight="1">
      <c r="A8886" s="129">
        <v>8886</v>
      </c>
    </row>
    <row r="8887" spans="1:1" ht="12.75" customHeight="1">
      <c r="A8887" s="129">
        <v>8887</v>
      </c>
    </row>
    <row r="8888" spans="1:1" ht="12.75" customHeight="1">
      <c r="A8888" s="129">
        <v>8888</v>
      </c>
    </row>
    <row r="8889" spans="1:1" ht="12.75" customHeight="1">
      <c r="A8889" s="129">
        <v>8889</v>
      </c>
    </row>
    <row r="8890" spans="1:1" ht="12.75" customHeight="1">
      <c r="A8890" s="129">
        <v>8890</v>
      </c>
    </row>
    <row r="8891" spans="1:1" ht="12.75" customHeight="1">
      <c r="A8891" s="129">
        <v>8891</v>
      </c>
    </row>
    <row r="8892" spans="1:1" ht="12.75" customHeight="1">
      <c r="A8892" s="129">
        <v>8892</v>
      </c>
    </row>
    <row r="8893" spans="1:1" ht="12.75" customHeight="1">
      <c r="A8893" s="129">
        <v>8893</v>
      </c>
    </row>
    <row r="8894" spans="1:1" ht="12.75" customHeight="1">
      <c r="A8894" s="129">
        <v>8894</v>
      </c>
    </row>
    <row r="8895" spans="1:1" ht="12.75" customHeight="1">
      <c r="A8895" s="129">
        <v>8895</v>
      </c>
    </row>
    <row r="8896" spans="1:1" ht="12.75" customHeight="1">
      <c r="A8896" s="129">
        <v>8896</v>
      </c>
    </row>
    <row r="8897" spans="1:1" ht="12.75" customHeight="1">
      <c r="A8897" s="129">
        <v>8897</v>
      </c>
    </row>
    <row r="8898" spans="1:1" ht="12.75" customHeight="1">
      <c r="A8898" s="129">
        <v>8898</v>
      </c>
    </row>
    <row r="8899" spans="1:1" ht="12.75" customHeight="1">
      <c r="A8899" s="129">
        <v>8899</v>
      </c>
    </row>
    <row r="8900" spans="1:1" ht="12.75" customHeight="1">
      <c r="A8900" s="129">
        <v>8900</v>
      </c>
    </row>
    <row r="8901" spans="1:1" ht="12.75" customHeight="1">
      <c r="A8901" s="129">
        <v>8901</v>
      </c>
    </row>
    <row r="8902" spans="1:1" ht="12.75" customHeight="1">
      <c r="A8902" s="129">
        <v>8902</v>
      </c>
    </row>
    <row r="8903" spans="1:1" ht="12.75" customHeight="1">
      <c r="A8903" s="129">
        <v>8903</v>
      </c>
    </row>
    <row r="8904" spans="1:1" ht="12.75" customHeight="1">
      <c r="A8904" s="129">
        <v>8904</v>
      </c>
    </row>
    <row r="8905" spans="1:1" ht="12.75" customHeight="1">
      <c r="A8905" s="129">
        <v>8905</v>
      </c>
    </row>
    <row r="8906" spans="1:1" ht="12.75" customHeight="1">
      <c r="A8906" s="129">
        <v>8906</v>
      </c>
    </row>
    <row r="8907" spans="1:1" ht="12.75" customHeight="1">
      <c r="A8907" s="129">
        <v>8907</v>
      </c>
    </row>
    <row r="8908" spans="1:1" ht="12.75" customHeight="1">
      <c r="A8908" s="129">
        <v>8908</v>
      </c>
    </row>
    <row r="8909" spans="1:1" ht="12.75" customHeight="1">
      <c r="A8909" s="129">
        <v>8909</v>
      </c>
    </row>
    <row r="8910" spans="1:1" ht="12.75" customHeight="1">
      <c r="A8910" s="129">
        <v>8910</v>
      </c>
    </row>
    <row r="8911" spans="1:1" ht="12.75" customHeight="1">
      <c r="A8911" s="129">
        <v>8911</v>
      </c>
    </row>
    <row r="8912" spans="1:1" ht="12.75" customHeight="1">
      <c r="A8912" s="129">
        <v>8912</v>
      </c>
    </row>
    <row r="8913" spans="1:1" ht="12.75" customHeight="1">
      <c r="A8913" s="129">
        <v>8913</v>
      </c>
    </row>
    <row r="8914" spans="1:1" ht="12.75" customHeight="1">
      <c r="A8914" s="129">
        <v>8914</v>
      </c>
    </row>
    <row r="8915" spans="1:1" ht="12.75" customHeight="1">
      <c r="A8915" s="129">
        <v>8915</v>
      </c>
    </row>
    <row r="8916" spans="1:1" ht="12.75" customHeight="1">
      <c r="A8916" s="129">
        <v>8916</v>
      </c>
    </row>
    <row r="8917" spans="1:1" ht="12.75" customHeight="1">
      <c r="A8917" s="129">
        <v>8917</v>
      </c>
    </row>
    <row r="8918" spans="1:1" ht="12.75" customHeight="1">
      <c r="A8918" s="129">
        <v>8918</v>
      </c>
    </row>
    <row r="8919" spans="1:1" ht="12.75" customHeight="1">
      <c r="A8919" s="129">
        <v>8919</v>
      </c>
    </row>
    <row r="8920" spans="1:1" ht="12.75" customHeight="1">
      <c r="A8920" s="129">
        <v>8920</v>
      </c>
    </row>
    <row r="8921" spans="1:1" ht="12.75" customHeight="1">
      <c r="A8921" s="129">
        <v>8921</v>
      </c>
    </row>
    <row r="8922" spans="1:1" ht="12.75" customHeight="1">
      <c r="A8922" s="129">
        <v>8922</v>
      </c>
    </row>
    <row r="8923" spans="1:1" ht="12.75" customHeight="1">
      <c r="A8923" s="129">
        <v>8923</v>
      </c>
    </row>
    <row r="8924" spans="1:1" ht="12.75" customHeight="1">
      <c r="A8924" s="129">
        <v>8924</v>
      </c>
    </row>
    <row r="8925" spans="1:1" ht="12.75" customHeight="1">
      <c r="A8925" s="129">
        <v>8925</v>
      </c>
    </row>
    <row r="8926" spans="1:1" ht="12.75" customHeight="1">
      <c r="A8926" s="129">
        <v>8926</v>
      </c>
    </row>
    <row r="8927" spans="1:1" ht="12.75" customHeight="1">
      <c r="A8927" s="129">
        <v>8927</v>
      </c>
    </row>
    <row r="8928" spans="1:1" ht="12.75" customHeight="1">
      <c r="A8928" s="129">
        <v>8928</v>
      </c>
    </row>
    <row r="8929" spans="1:1" ht="12.75" customHeight="1">
      <c r="A8929" s="129">
        <v>8929</v>
      </c>
    </row>
    <row r="8930" spans="1:1" ht="12.75" customHeight="1">
      <c r="A8930" s="129">
        <v>8930</v>
      </c>
    </row>
    <row r="8931" spans="1:1" ht="12.75" customHeight="1">
      <c r="A8931" s="129">
        <v>8931</v>
      </c>
    </row>
    <row r="8932" spans="1:1" ht="12.75" customHeight="1">
      <c r="A8932" s="129">
        <v>8932</v>
      </c>
    </row>
    <row r="8933" spans="1:1" ht="12.75" customHeight="1">
      <c r="A8933" s="129">
        <v>8933</v>
      </c>
    </row>
    <row r="8934" spans="1:1" ht="12.75" customHeight="1">
      <c r="A8934" s="129">
        <v>8934</v>
      </c>
    </row>
    <row r="8935" spans="1:1" ht="12.75" customHeight="1">
      <c r="A8935" s="129">
        <v>8935</v>
      </c>
    </row>
    <row r="8936" spans="1:1" ht="12.75" customHeight="1">
      <c r="A8936" s="129">
        <v>8936</v>
      </c>
    </row>
    <row r="8937" spans="1:1" ht="12.75" customHeight="1">
      <c r="A8937" s="129">
        <v>8937</v>
      </c>
    </row>
    <row r="8938" spans="1:1" ht="12.75" customHeight="1">
      <c r="A8938" s="129">
        <v>8938</v>
      </c>
    </row>
    <row r="8939" spans="1:1" ht="12.75" customHeight="1">
      <c r="A8939" s="129">
        <v>8939</v>
      </c>
    </row>
    <row r="8940" spans="1:1" ht="12.75" customHeight="1">
      <c r="A8940" s="129">
        <v>8940</v>
      </c>
    </row>
    <row r="8941" spans="1:1" ht="12.75" customHeight="1">
      <c r="A8941" s="129">
        <v>8941</v>
      </c>
    </row>
    <row r="8942" spans="1:1" ht="12.75" customHeight="1">
      <c r="A8942" s="129">
        <v>8942</v>
      </c>
    </row>
    <row r="8943" spans="1:1" ht="12.75" customHeight="1">
      <c r="A8943" s="129">
        <v>8943</v>
      </c>
    </row>
    <row r="8944" spans="1:1" ht="12.75" customHeight="1">
      <c r="A8944" s="129">
        <v>8944</v>
      </c>
    </row>
    <row r="8945" spans="1:1" ht="12.75" customHeight="1">
      <c r="A8945" s="129">
        <v>8945</v>
      </c>
    </row>
    <row r="8946" spans="1:1" ht="12.75" customHeight="1">
      <c r="A8946" s="129">
        <v>8946</v>
      </c>
    </row>
    <row r="8947" spans="1:1" ht="12.75" customHeight="1">
      <c r="A8947" s="129">
        <v>8947</v>
      </c>
    </row>
    <row r="8948" spans="1:1" ht="12.75" customHeight="1">
      <c r="A8948" s="129">
        <v>8948</v>
      </c>
    </row>
    <row r="8949" spans="1:1" ht="12.75" customHeight="1">
      <c r="A8949" s="129">
        <v>8949</v>
      </c>
    </row>
    <row r="8950" spans="1:1" ht="12.75" customHeight="1">
      <c r="A8950" s="129">
        <v>8950</v>
      </c>
    </row>
    <row r="8951" spans="1:1" ht="12.75" customHeight="1">
      <c r="A8951" s="129">
        <v>8951</v>
      </c>
    </row>
    <row r="8952" spans="1:1" ht="12.75" customHeight="1">
      <c r="A8952" s="129">
        <v>8952</v>
      </c>
    </row>
    <row r="8953" spans="1:1" ht="12.75" customHeight="1">
      <c r="A8953" s="129">
        <v>8953</v>
      </c>
    </row>
    <row r="8954" spans="1:1" ht="12.75" customHeight="1">
      <c r="A8954" s="129">
        <v>8954</v>
      </c>
    </row>
    <row r="8955" spans="1:1" ht="12.75" customHeight="1">
      <c r="A8955" s="129">
        <v>8955</v>
      </c>
    </row>
    <row r="8956" spans="1:1" ht="12.75" customHeight="1">
      <c r="A8956" s="129">
        <v>8956</v>
      </c>
    </row>
    <row r="8957" spans="1:1" ht="12.75" customHeight="1">
      <c r="A8957" s="129">
        <v>8957</v>
      </c>
    </row>
    <row r="8958" spans="1:1" ht="12.75" customHeight="1">
      <c r="A8958" s="129">
        <v>8958</v>
      </c>
    </row>
    <row r="8959" spans="1:1" ht="12.75" customHeight="1">
      <c r="A8959" s="129">
        <v>8959</v>
      </c>
    </row>
    <row r="8960" spans="1:1" ht="12.75" customHeight="1">
      <c r="A8960" s="129">
        <v>8960</v>
      </c>
    </row>
    <row r="8961" spans="1:1" ht="12.75" customHeight="1">
      <c r="A8961" s="129">
        <v>8961</v>
      </c>
    </row>
    <row r="8962" spans="1:1" ht="12.75" customHeight="1">
      <c r="A8962" s="129">
        <v>8962</v>
      </c>
    </row>
    <row r="8963" spans="1:1" ht="12.75" customHeight="1">
      <c r="A8963" s="129">
        <v>8963</v>
      </c>
    </row>
    <row r="8964" spans="1:1" ht="12.75" customHeight="1">
      <c r="A8964" s="129">
        <v>8964</v>
      </c>
    </row>
    <row r="8965" spans="1:1" ht="12.75" customHeight="1">
      <c r="A8965" s="129">
        <v>8965</v>
      </c>
    </row>
    <row r="8966" spans="1:1" ht="12.75" customHeight="1">
      <c r="A8966" s="129">
        <v>8966</v>
      </c>
    </row>
    <row r="8967" spans="1:1" ht="12.75" customHeight="1">
      <c r="A8967" s="129">
        <v>8967</v>
      </c>
    </row>
    <row r="8968" spans="1:1" ht="12.75" customHeight="1">
      <c r="A8968" s="129">
        <v>8968</v>
      </c>
    </row>
    <row r="8969" spans="1:1" ht="12.75" customHeight="1">
      <c r="A8969" s="129">
        <v>8969</v>
      </c>
    </row>
    <row r="8970" spans="1:1" ht="12.75" customHeight="1">
      <c r="A8970" s="129">
        <v>8970</v>
      </c>
    </row>
    <row r="8971" spans="1:1" ht="12.75" customHeight="1">
      <c r="A8971" s="129">
        <v>8971</v>
      </c>
    </row>
    <row r="8972" spans="1:1" ht="12.75" customHeight="1">
      <c r="A8972" s="129">
        <v>8972</v>
      </c>
    </row>
    <row r="8973" spans="1:1" ht="12.75" customHeight="1">
      <c r="A8973" s="129">
        <v>8973</v>
      </c>
    </row>
    <row r="8974" spans="1:1" ht="12.75" customHeight="1">
      <c r="A8974" s="129">
        <v>8974</v>
      </c>
    </row>
    <row r="8975" spans="1:1" ht="12.75" customHeight="1">
      <c r="A8975" s="129">
        <v>8975</v>
      </c>
    </row>
    <row r="8976" spans="1:1" ht="12.75" customHeight="1">
      <c r="A8976" s="129">
        <v>8976</v>
      </c>
    </row>
    <row r="8977" spans="1:1" ht="12.75" customHeight="1">
      <c r="A8977" s="129">
        <v>8977</v>
      </c>
    </row>
    <row r="8978" spans="1:1" ht="12.75" customHeight="1">
      <c r="A8978" s="129">
        <v>8978</v>
      </c>
    </row>
    <row r="8979" spans="1:1" ht="12.75" customHeight="1">
      <c r="A8979" s="129">
        <v>8979</v>
      </c>
    </row>
    <row r="8980" spans="1:1" ht="12.75" customHeight="1">
      <c r="A8980" s="129">
        <v>8980</v>
      </c>
    </row>
    <row r="8981" spans="1:1" ht="12.75" customHeight="1">
      <c r="A8981" s="129">
        <v>8981</v>
      </c>
    </row>
    <row r="8982" spans="1:1" ht="12.75" customHeight="1">
      <c r="A8982" s="129">
        <v>8982</v>
      </c>
    </row>
    <row r="8983" spans="1:1" ht="12.75" customHeight="1">
      <c r="A8983" s="129">
        <v>8983</v>
      </c>
    </row>
    <row r="8984" spans="1:1" ht="12.75" customHeight="1">
      <c r="A8984" s="129">
        <v>8984</v>
      </c>
    </row>
    <row r="8985" spans="1:1" ht="12.75" customHeight="1">
      <c r="A8985" s="129">
        <v>8985</v>
      </c>
    </row>
    <row r="8986" spans="1:1" ht="12.75" customHeight="1">
      <c r="A8986" s="129">
        <v>8986</v>
      </c>
    </row>
    <row r="8987" spans="1:1" ht="12.75" customHeight="1">
      <c r="A8987" s="129">
        <v>8987</v>
      </c>
    </row>
    <row r="8988" spans="1:1" ht="12.75" customHeight="1">
      <c r="A8988" s="129">
        <v>8988</v>
      </c>
    </row>
    <row r="8989" spans="1:1" ht="12.75" customHeight="1">
      <c r="A8989" s="129">
        <v>8989</v>
      </c>
    </row>
    <row r="8990" spans="1:1" ht="12.75" customHeight="1">
      <c r="A8990" s="129">
        <v>8990</v>
      </c>
    </row>
    <row r="8991" spans="1:1" ht="12.75" customHeight="1">
      <c r="A8991" s="129">
        <v>8991</v>
      </c>
    </row>
    <row r="8992" spans="1:1" ht="12.75" customHeight="1">
      <c r="A8992" s="129">
        <v>8992</v>
      </c>
    </row>
    <row r="8993" spans="1:1" ht="12.75" customHeight="1">
      <c r="A8993" s="129">
        <v>8993</v>
      </c>
    </row>
    <row r="8994" spans="1:1" ht="12.75" customHeight="1">
      <c r="A8994" s="129">
        <v>8994</v>
      </c>
    </row>
    <row r="8995" spans="1:1" ht="12.75" customHeight="1">
      <c r="A8995" s="129">
        <v>8995</v>
      </c>
    </row>
    <row r="8996" spans="1:1" ht="12.75" customHeight="1">
      <c r="A8996" s="129">
        <v>8996</v>
      </c>
    </row>
    <row r="8997" spans="1:1" ht="12.75" customHeight="1">
      <c r="A8997" s="129">
        <v>8997</v>
      </c>
    </row>
    <row r="8998" spans="1:1" ht="12.75" customHeight="1">
      <c r="A8998" s="129">
        <v>8998</v>
      </c>
    </row>
    <row r="8999" spans="1:1" ht="12.75" customHeight="1">
      <c r="A8999" s="129">
        <v>8999</v>
      </c>
    </row>
    <row r="9000" spans="1:1" ht="12.75" customHeight="1">
      <c r="A9000" s="129">
        <v>9000</v>
      </c>
    </row>
    <row r="9001" spans="1:1" ht="12.75" customHeight="1">
      <c r="A9001" s="129">
        <v>9001</v>
      </c>
    </row>
    <row r="9002" spans="1:1" ht="12.75" customHeight="1">
      <c r="A9002" s="129">
        <v>9002</v>
      </c>
    </row>
    <row r="9003" spans="1:1" ht="12.75" customHeight="1">
      <c r="A9003" s="129">
        <v>9003</v>
      </c>
    </row>
    <row r="9004" spans="1:1" ht="12.75" customHeight="1">
      <c r="A9004" s="129">
        <v>9004</v>
      </c>
    </row>
    <row r="9005" spans="1:1" ht="12.75" customHeight="1">
      <c r="A9005" s="129">
        <v>9005</v>
      </c>
    </row>
    <row r="9006" spans="1:1" ht="12.75" customHeight="1">
      <c r="A9006" s="129">
        <v>9006</v>
      </c>
    </row>
    <row r="9007" spans="1:1" ht="12.75" customHeight="1">
      <c r="A9007" s="129">
        <v>9007</v>
      </c>
    </row>
    <row r="9008" spans="1:1" ht="12.75" customHeight="1">
      <c r="A9008" s="129">
        <v>9008</v>
      </c>
    </row>
    <row r="9009" spans="1:1" ht="12.75" customHeight="1">
      <c r="A9009" s="129">
        <v>9009</v>
      </c>
    </row>
    <row r="9010" spans="1:1" ht="12.75" customHeight="1">
      <c r="A9010" s="129">
        <v>9010</v>
      </c>
    </row>
    <row r="9011" spans="1:1" ht="12.75" customHeight="1">
      <c r="A9011" s="129">
        <v>9011</v>
      </c>
    </row>
    <row r="9012" spans="1:1" ht="12.75" customHeight="1">
      <c r="A9012" s="129">
        <v>9012</v>
      </c>
    </row>
    <row r="9013" spans="1:1" ht="12.75" customHeight="1">
      <c r="A9013" s="129">
        <v>9013</v>
      </c>
    </row>
    <row r="9014" spans="1:1" ht="12.75" customHeight="1">
      <c r="A9014" s="129">
        <v>9014</v>
      </c>
    </row>
    <row r="9015" spans="1:1" ht="12.75" customHeight="1">
      <c r="A9015" s="129">
        <v>9015</v>
      </c>
    </row>
    <row r="9016" spans="1:1" ht="12.75" customHeight="1">
      <c r="A9016" s="129">
        <v>9016</v>
      </c>
    </row>
    <row r="9017" spans="1:1" ht="12.75" customHeight="1">
      <c r="A9017" s="129">
        <v>9017</v>
      </c>
    </row>
    <row r="9018" spans="1:1" ht="12.75" customHeight="1">
      <c r="A9018" s="129">
        <v>9018</v>
      </c>
    </row>
    <row r="9019" spans="1:1" ht="12.75" customHeight="1">
      <c r="A9019" s="129">
        <v>9019</v>
      </c>
    </row>
    <row r="9020" spans="1:1" ht="12.75" customHeight="1">
      <c r="A9020" s="129">
        <v>9020</v>
      </c>
    </row>
    <row r="9021" spans="1:1" ht="12.75" customHeight="1">
      <c r="A9021" s="129">
        <v>9021</v>
      </c>
    </row>
    <row r="9022" spans="1:1" ht="12.75" customHeight="1">
      <c r="A9022" s="129">
        <v>9022</v>
      </c>
    </row>
    <row r="9023" spans="1:1" ht="12.75" customHeight="1">
      <c r="A9023" s="129">
        <v>9023</v>
      </c>
    </row>
    <row r="9024" spans="1:1" ht="12.75" customHeight="1">
      <c r="A9024" s="129">
        <v>9024</v>
      </c>
    </row>
    <row r="9025" spans="1:1" ht="12.75" customHeight="1">
      <c r="A9025" s="129">
        <v>9025</v>
      </c>
    </row>
    <row r="9026" spans="1:1" ht="12.75" customHeight="1">
      <c r="A9026" s="129">
        <v>9026</v>
      </c>
    </row>
    <row r="9027" spans="1:1" ht="12.75" customHeight="1">
      <c r="A9027" s="129">
        <v>9027</v>
      </c>
    </row>
    <row r="9028" spans="1:1" ht="12.75" customHeight="1">
      <c r="A9028" s="129">
        <v>9028</v>
      </c>
    </row>
    <row r="9029" spans="1:1" ht="12.75" customHeight="1">
      <c r="A9029" s="129">
        <v>9029</v>
      </c>
    </row>
    <row r="9030" spans="1:1" ht="12.75" customHeight="1">
      <c r="A9030" s="129">
        <v>9030</v>
      </c>
    </row>
    <row r="9031" spans="1:1" ht="12.75" customHeight="1">
      <c r="A9031" s="129">
        <v>9031</v>
      </c>
    </row>
    <row r="9032" spans="1:1" ht="12.75" customHeight="1">
      <c r="A9032" s="129">
        <v>9032</v>
      </c>
    </row>
    <row r="9033" spans="1:1" ht="12.75" customHeight="1">
      <c r="A9033" s="129">
        <v>9033</v>
      </c>
    </row>
    <row r="9034" spans="1:1" ht="12.75" customHeight="1">
      <c r="A9034" s="129">
        <v>9034</v>
      </c>
    </row>
    <row r="9035" spans="1:1" ht="12.75" customHeight="1">
      <c r="A9035" s="129">
        <v>9035</v>
      </c>
    </row>
    <row r="9036" spans="1:1" ht="12.75" customHeight="1">
      <c r="A9036" s="129">
        <v>9036</v>
      </c>
    </row>
    <row r="9037" spans="1:1" ht="12.75" customHeight="1">
      <c r="A9037" s="129">
        <v>9037</v>
      </c>
    </row>
    <row r="9038" spans="1:1" ht="12.75" customHeight="1">
      <c r="A9038" s="129">
        <v>9038</v>
      </c>
    </row>
    <row r="9039" spans="1:1" ht="12.75" customHeight="1">
      <c r="A9039" s="129">
        <v>9039</v>
      </c>
    </row>
    <row r="9040" spans="1:1" ht="12.75" customHeight="1">
      <c r="A9040" s="129">
        <v>9040</v>
      </c>
    </row>
    <row r="9041" spans="1:1" ht="12.75" customHeight="1">
      <c r="A9041" s="129">
        <v>9041</v>
      </c>
    </row>
    <row r="9042" spans="1:1" ht="12.75" customHeight="1">
      <c r="A9042" s="129">
        <v>9042</v>
      </c>
    </row>
    <row r="9043" spans="1:1" ht="12.75" customHeight="1">
      <c r="A9043" s="129">
        <v>9043</v>
      </c>
    </row>
    <row r="9044" spans="1:1" ht="12.75" customHeight="1">
      <c r="A9044" s="129">
        <v>9044</v>
      </c>
    </row>
    <row r="9045" spans="1:1" ht="12.75" customHeight="1">
      <c r="A9045" s="129">
        <v>9045</v>
      </c>
    </row>
    <row r="9046" spans="1:1" ht="12.75" customHeight="1">
      <c r="A9046" s="129">
        <v>9046</v>
      </c>
    </row>
    <row r="9047" spans="1:1" ht="12.75" customHeight="1">
      <c r="A9047" s="129">
        <v>9047</v>
      </c>
    </row>
    <row r="9048" spans="1:1" ht="12.75" customHeight="1">
      <c r="A9048" s="129">
        <v>9048</v>
      </c>
    </row>
    <row r="9049" spans="1:1" ht="12.75" customHeight="1">
      <c r="A9049" s="129">
        <v>9049</v>
      </c>
    </row>
    <row r="9050" spans="1:1" ht="12.75" customHeight="1">
      <c r="A9050" s="129">
        <v>9050</v>
      </c>
    </row>
    <row r="9051" spans="1:1" ht="12.75" customHeight="1">
      <c r="A9051" s="129">
        <v>9051</v>
      </c>
    </row>
    <row r="9052" spans="1:1" ht="12.75" customHeight="1">
      <c r="A9052" s="129">
        <v>9052</v>
      </c>
    </row>
    <row r="9053" spans="1:1" ht="12.75" customHeight="1">
      <c r="A9053" s="129">
        <v>9053</v>
      </c>
    </row>
    <row r="9054" spans="1:1" ht="12.75" customHeight="1">
      <c r="A9054" s="129">
        <v>9054</v>
      </c>
    </row>
    <row r="9055" spans="1:1" ht="12.75" customHeight="1">
      <c r="A9055" s="129">
        <v>9055</v>
      </c>
    </row>
    <row r="9056" spans="1:1" ht="12.75" customHeight="1">
      <c r="A9056" s="129">
        <v>9056</v>
      </c>
    </row>
    <row r="9057" spans="1:1" ht="12.75" customHeight="1">
      <c r="A9057" s="129">
        <v>9057</v>
      </c>
    </row>
    <row r="9058" spans="1:1" ht="12.75" customHeight="1">
      <c r="A9058" s="129">
        <v>9058</v>
      </c>
    </row>
    <row r="9059" spans="1:1" ht="12.75" customHeight="1">
      <c r="A9059" s="129">
        <v>9059</v>
      </c>
    </row>
    <row r="9060" spans="1:1" ht="12.75" customHeight="1">
      <c r="A9060" s="129">
        <v>9060</v>
      </c>
    </row>
    <row r="9061" spans="1:1" ht="12.75" customHeight="1">
      <c r="A9061" s="129">
        <v>9061</v>
      </c>
    </row>
    <row r="9062" spans="1:1" ht="12.75" customHeight="1">
      <c r="A9062" s="129">
        <v>9062</v>
      </c>
    </row>
    <row r="9063" spans="1:1" ht="12.75" customHeight="1">
      <c r="A9063" s="129">
        <v>9063</v>
      </c>
    </row>
    <row r="9064" spans="1:1" ht="12.75" customHeight="1">
      <c r="A9064" s="129">
        <v>9064</v>
      </c>
    </row>
    <row r="9065" spans="1:1" ht="12.75" customHeight="1">
      <c r="A9065" s="129">
        <v>9065</v>
      </c>
    </row>
    <row r="9066" spans="1:1" ht="12.75" customHeight="1">
      <c r="A9066" s="129">
        <v>9066</v>
      </c>
    </row>
    <row r="9067" spans="1:1" ht="12.75" customHeight="1">
      <c r="A9067" s="129">
        <v>9067</v>
      </c>
    </row>
    <row r="9068" spans="1:1" ht="12.75" customHeight="1">
      <c r="A9068" s="129">
        <v>9068</v>
      </c>
    </row>
    <row r="9069" spans="1:1" ht="12.75" customHeight="1">
      <c r="A9069" s="129">
        <v>9069</v>
      </c>
    </row>
    <row r="9070" spans="1:1" ht="12.75" customHeight="1">
      <c r="A9070" s="129">
        <v>9070</v>
      </c>
    </row>
    <row r="9071" spans="1:1" ht="12.75" customHeight="1">
      <c r="A9071" s="129">
        <v>9071</v>
      </c>
    </row>
    <row r="9072" spans="1:1" ht="12.75" customHeight="1">
      <c r="A9072" s="129">
        <v>9072</v>
      </c>
    </row>
    <row r="9073" spans="1:1" ht="12.75" customHeight="1">
      <c r="A9073" s="129">
        <v>9073</v>
      </c>
    </row>
    <row r="9074" spans="1:1" ht="12.75" customHeight="1">
      <c r="A9074" s="129">
        <v>9074</v>
      </c>
    </row>
    <row r="9075" spans="1:1" ht="12.75" customHeight="1">
      <c r="A9075" s="129">
        <v>9075</v>
      </c>
    </row>
    <row r="9076" spans="1:1" ht="12.75" customHeight="1">
      <c r="A9076" s="129">
        <v>9076</v>
      </c>
    </row>
    <row r="9077" spans="1:1" ht="12.75" customHeight="1">
      <c r="A9077" s="129">
        <v>9077</v>
      </c>
    </row>
    <row r="9078" spans="1:1" ht="12.75" customHeight="1">
      <c r="A9078" s="129">
        <v>9078</v>
      </c>
    </row>
    <row r="9079" spans="1:1" ht="12.75" customHeight="1">
      <c r="A9079" s="129">
        <v>9079</v>
      </c>
    </row>
    <row r="9080" spans="1:1" ht="12.75" customHeight="1">
      <c r="A9080" s="129">
        <v>9080</v>
      </c>
    </row>
    <row r="9081" spans="1:1" ht="12.75" customHeight="1">
      <c r="A9081" s="129">
        <v>9081</v>
      </c>
    </row>
    <row r="9082" spans="1:1" ht="12.75" customHeight="1">
      <c r="A9082" s="129">
        <v>9082</v>
      </c>
    </row>
    <row r="9083" spans="1:1" ht="12.75" customHeight="1">
      <c r="A9083" s="129">
        <v>9083</v>
      </c>
    </row>
    <row r="9084" spans="1:1" ht="12.75" customHeight="1">
      <c r="A9084" s="129">
        <v>9084</v>
      </c>
    </row>
    <row r="9085" spans="1:1" ht="12.75" customHeight="1">
      <c r="A9085" s="129">
        <v>9085</v>
      </c>
    </row>
    <row r="9086" spans="1:1" ht="12.75" customHeight="1">
      <c r="A9086" s="129">
        <v>9086</v>
      </c>
    </row>
    <row r="9087" spans="1:1" ht="12.75" customHeight="1">
      <c r="A9087" s="129">
        <v>9087</v>
      </c>
    </row>
    <row r="9088" spans="1:1" ht="12.75" customHeight="1">
      <c r="A9088" s="129">
        <v>9088</v>
      </c>
    </row>
    <row r="9089" spans="1:1" ht="12.75" customHeight="1">
      <c r="A9089" s="129">
        <v>9089</v>
      </c>
    </row>
    <row r="9090" spans="1:1" ht="12.75" customHeight="1">
      <c r="A9090" s="129">
        <v>9090</v>
      </c>
    </row>
    <row r="9091" spans="1:1" ht="12.75" customHeight="1">
      <c r="A9091" s="129">
        <v>9091</v>
      </c>
    </row>
    <row r="9092" spans="1:1" ht="12.75" customHeight="1">
      <c r="A9092" s="129">
        <v>9092</v>
      </c>
    </row>
    <row r="9093" spans="1:1" ht="12.75" customHeight="1">
      <c r="A9093" s="129">
        <v>9093</v>
      </c>
    </row>
    <row r="9094" spans="1:1" ht="12.75" customHeight="1">
      <c r="A9094" s="129">
        <v>9094</v>
      </c>
    </row>
    <row r="9095" spans="1:1" ht="12.75" customHeight="1">
      <c r="A9095" s="129">
        <v>9095</v>
      </c>
    </row>
    <row r="9096" spans="1:1" ht="12.75" customHeight="1">
      <c r="A9096" s="129">
        <v>9096</v>
      </c>
    </row>
    <row r="9097" spans="1:1" ht="12.75" customHeight="1">
      <c r="A9097" s="129">
        <v>9097</v>
      </c>
    </row>
    <row r="9098" spans="1:1" ht="12.75" customHeight="1">
      <c r="A9098" s="129">
        <v>9098</v>
      </c>
    </row>
    <row r="9099" spans="1:1" ht="12.75" customHeight="1">
      <c r="A9099" s="129">
        <v>9099</v>
      </c>
    </row>
    <row r="9100" spans="1:1" ht="12.75" customHeight="1">
      <c r="A9100" s="129">
        <v>9100</v>
      </c>
    </row>
    <row r="9101" spans="1:1" ht="12.75" customHeight="1">
      <c r="A9101" s="129">
        <v>9101</v>
      </c>
    </row>
    <row r="9102" spans="1:1" ht="12.75" customHeight="1">
      <c r="A9102" s="129">
        <v>9102</v>
      </c>
    </row>
    <row r="9103" spans="1:1" ht="12.75" customHeight="1">
      <c r="A9103" s="129">
        <v>9103</v>
      </c>
    </row>
    <row r="9104" spans="1:1" ht="12.75" customHeight="1">
      <c r="A9104" s="129">
        <v>9104</v>
      </c>
    </row>
    <row r="9105" spans="1:1" ht="12.75" customHeight="1">
      <c r="A9105" s="129">
        <v>9105</v>
      </c>
    </row>
    <row r="9106" spans="1:1" ht="12.75" customHeight="1">
      <c r="A9106" s="129">
        <v>9106</v>
      </c>
    </row>
    <row r="9107" spans="1:1" ht="12.75" customHeight="1">
      <c r="A9107" s="129">
        <v>9107</v>
      </c>
    </row>
    <row r="9108" spans="1:1" ht="12.75" customHeight="1">
      <c r="A9108" s="129">
        <v>9108</v>
      </c>
    </row>
    <row r="9109" spans="1:1" ht="12.75" customHeight="1">
      <c r="A9109" s="129">
        <v>9109</v>
      </c>
    </row>
    <row r="9110" spans="1:1" ht="12.75" customHeight="1">
      <c r="A9110" s="129">
        <v>9110</v>
      </c>
    </row>
    <row r="9111" spans="1:1" ht="12.75" customHeight="1">
      <c r="A9111" s="129">
        <v>9111</v>
      </c>
    </row>
    <row r="9112" spans="1:1" ht="12.75" customHeight="1">
      <c r="A9112" s="129">
        <v>9112</v>
      </c>
    </row>
    <row r="9113" spans="1:1" ht="12.75" customHeight="1">
      <c r="A9113" s="129">
        <v>9113</v>
      </c>
    </row>
    <row r="9114" spans="1:1" ht="12.75" customHeight="1">
      <c r="A9114" s="129">
        <v>9114</v>
      </c>
    </row>
    <row r="9115" spans="1:1" ht="12.75" customHeight="1">
      <c r="A9115" s="129">
        <v>9115</v>
      </c>
    </row>
    <row r="9116" spans="1:1" ht="12.75" customHeight="1">
      <c r="A9116" s="129">
        <v>9116</v>
      </c>
    </row>
    <row r="9117" spans="1:1" ht="12.75" customHeight="1">
      <c r="A9117" s="129">
        <v>9117</v>
      </c>
    </row>
    <row r="9118" spans="1:1" ht="12.75" customHeight="1">
      <c r="A9118" s="129">
        <v>9118</v>
      </c>
    </row>
    <row r="9119" spans="1:1" ht="12.75" customHeight="1">
      <c r="A9119" s="129">
        <v>9119</v>
      </c>
    </row>
    <row r="9120" spans="1:1" ht="12.75" customHeight="1">
      <c r="A9120" s="129">
        <v>9120</v>
      </c>
    </row>
    <row r="9121" spans="1:1" ht="12.75" customHeight="1">
      <c r="A9121" s="129">
        <v>9121</v>
      </c>
    </row>
    <row r="9122" spans="1:1" ht="12.75" customHeight="1">
      <c r="A9122" s="129">
        <v>9122</v>
      </c>
    </row>
    <row r="9123" spans="1:1" ht="12.75" customHeight="1">
      <c r="A9123" s="129">
        <v>9123</v>
      </c>
    </row>
    <row r="9124" spans="1:1" ht="12.75" customHeight="1">
      <c r="A9124" s="129">
        <v>9124</v>
      </c>
    </row>
    <row r="9125" spans="1:1" ht="12.75" customHeight="1">
      <c r="A9125" s="129">
        <v>9125</v>
      </c>
    </row>
    <row r="9126" spans="1:1" ht="12.75" customHeight="1">
      <c r="A9126" s="129">
        <v>9126</v>
      </c>
    </row>
    <row r="9127" spans="1:1" ht="12.75" customHeight="1">
      <c r="A9127" s="129">
        <v>9127</v>
      </c>
    </row>
    <row r="9128" spans="1:1" ht="12.75" customHeight="1">
      <c r="A9128" s="129">
        <v>9128</v>
      </c>
    </row>
    <row r="9129" spans="1:1" ht="12.75" customHeight="1">
      <c r="A9129" s="129">
        <v>9129</v>
      </c>
    </row>
    <row r="9130" spans="1:1" ht="12.75" customHeight="1">
      <c r="A9130" s="129">
        <v>9130</v>
      </c>
    </row>
    <row r="9131" spans="1:1" ht="12.75" customHeight="1">
      <c r="A9131" s="129">
        <v>9131</v>
      </c>
    </row>
    <row r="9132" spans="1:1" ht="12.75" customHeight="1">
      <c r="A9132" s="129">
        <v>9132</v>
      </c>
    </row>
    <row r="9133" spans="1:1" ht="12.75" customHeight="1">
      <c r="A9133" s="129">
        <v>9133</v>
      </c>
    </row>
    <row r="9134" spans="1:1" ht="12.75" customHeight="1">
      <c r="A9134" s="129">
        <v>9134</v>
      </c>
    </row>
    <row r="9135" spans="1:1" ht="12.75" customHeight="1">
      <c r="A9135" s="129">
        <v>9135</v>
      </c>
    </row>
    <row r="9136" spans="1:1" ht="12.75" customHeight="1">
      <c r="A9136" s="129">
        <v>9136</v>
      </c>
    </row>
    <row r="9137" spans="1:1" ht="12.75" customHeight="1">
      <c r="A9137" s="129">
        <v>9137</v>
      </c>
    </row>
    <row r="9138" spans="1:1" ht="12.75" customHeight="1">
      <c r="A9138" s="129">
        <v>9138</v>
      </c>
    </row>
    <row r="9139" spans="1:1" ht="12.75" customHeight="1">
      <c r="A9139" s="129">
        <v>9139</v>
      </c>
    </row>
    <row r="9140" spans="1:1" ht="12.75" customHeight="1">
      <c r="A9140" s="129">
        <v>9140</v>
      </c>
    </row>
    <row r="9141" spans="1:1" ht="12.75" customHeight="1">
      <c r="A9141" s="129">
        <v>9141</v>
      </c>
    </row>
    <row r="9142" spans="1:1" ht="12.75" customHeight="1">
      <c r="A9142" s="129">
        <v>9142</v>
      </c>
    </row>
    <row r="9143" spans="1:1" ht="12.75" customHeight="1">
      <c r="A9143" s="129">
        <v>9143</v>
      </c>
    </row>
    <row r="9144" spans="1:1" ht="12.75" customHeight="1">
      <c r="A9144" s="129">
        <v>9144</v>
      </c>
    </row>
    <row r="9145" spans="1:1" ht="12.75" customHeight="1">
      <c r="A9145" s="129">
        <v>9145</v>
      </c>
    </row>
    <row r="9146" spans="1:1" ht="12.75" customHeight="1">
      <c r="A9146" s="129">
        <v>9146</v>
      </c>
    </row>
    <row r="9147" spans="1:1" ht="12.75" customHeight="1">
      <c r="A9147" s="129">
        <v>9147</v>
      </c>
    </row>
    <row r="9148" spans="1:1" ht="12.75" customHeight="1">
      <c r="A9148" s="129">
        <v>9148</v>
      </c>
    </row>
    <row r="9149" spans="1:1" ht="12.75" customHeight="1">
      <c r="A9149" s="129">
        <v>9149</v>
      </c>
    </row>
    <row r="9150" spans="1:1" ht="12.75" customHeight="1">
      <c r="A9150" s="129">
        <v>9150</v>
      </c>
    </row>
    <row r="9151" spans="1:1" ht="12.75" customHeight="1">
      <c r="A9151" s="129">
        <v>9151</v>
      </c>
    </row>
    <row r="9152" spans="1:1" ht="12.75" customHeight="1">
      <c r="A9152" s="129">
        <v>9152</v>
      </c>
    </row>
    <row r="9153" spans="1:1" ht="12.75" customHeight="1">
      <c r="A9153" s="129">
        <v>9153</v>
      </c>
    </row>
    <row r="9154" spans="1:1" ht="12.75" customHeight="1">
      <c r="A9154" s="129">
        <v>9154</v>
      </c>
    </row>
    <row r="9155" spans="1:1" ht="12.75" customHeight="1">
      <c r="A9155" s="129">
        <v>9155</v>
      </c>
    </row>
    <row r="9156" spans="1:1" ht="12.75" customHeight="1">
      <c r="A9156" s="129">
        <v>9156</v>
      </c>
    </row>
    <row r="9157" spans="1:1" ht="12.75" customHeight="1">
      <c r="A9157" s="129">
        <v>9157</v>
      </c>
    </row>
    <row r="9158" spans="1:1" ht="12.75" customHeight="1">
      <c r="A9158" s="129">
        <v>9158</v>
      </c>
    </row>
    <row r="9159" spans="1:1" ht="12.75" customHeight="1">
      <c r="A9159" s="129">
        <v>9159</v>
      </c>
    </row>
    <row r="9160" spans="1:1" ht="12.75" customHeight="1">
      <c r="A9160" s="129">
        <v>9160</v>
      </c>
    </row>
    <row r="9161" spans="1:1" ht="12.75" customHeight="1">
      <c r="A9161" s="129">
        <v>9161</v>
      </c>
    </row>
    <row r="9162" spans="1:1" ht="12.75" customHeight="1">
      <c r="A9162" s="129">
        <v>9162</v>
      </c>
    </row>
    <row r="9163" spans="1:1" ht="12.75" customHeight="1">
      <c r="A9163" s="129">
        <v>9163</v>
      </c>
    </row>
    <row r="9164" spans="1:1" ht="12.75" customHeight="1">
      <c r="A9164" s="129">
        <v>9164</v>
      </c>
    </row>
    <row r="9165" spans="1:1" ht="12.75" customHeight="1">
      <c r="A9165" s="129">
        <v>9165</v>
      </c>
    </row>
    <row r="9166" spans="1:1" ht="12.75" customHeight="1">
      <c r="A9166" s="129">
        <v>9166</v>
      </c>
    </row>
    <row r="9167" spans="1:1" ht="12.75" customHeight="1">
      <c r="A9167" s="129">
        <v>9167</v>
      </c>
    </row>
    <row r="9168" spans="1:1" ht="12.75" customHeight="1">
      <c r="A9168" s="129">
        <v>9168</v>
      </c>
    </row>
    <row r="9169" spans="1:1" ht="12.75" customHeight="1">
      <c r="A9169" s="129">
        <v>9169</v>
      </c>
    </row>
    <row r="9170" spans="1:1" ht="12.75" customHeight="1">
      <c r="A9170" s="129">
        <v>9170</v>
      </c>
    </row>
    <row r="9171" spans="1:1" ht="12.75" customHeight="1">
      <c r="A9171" s="129">
        <v>9171</v>
      </c>
    </row>
    <row r="9172" spans="1:1" ht="12.75" customHeight="1">
      <c r="A9172" s="129">
        <v>9172</v>
      </c>
    </row>
    <row r="9173" spans="1:1" ht="12.75" customHeight="1">
      <c r="A9173" s="129">
        <v>9173</v>
      </c>
    </row>
    <row r="9174" spans="1:1" ht="12.75" customHeight="1">
      <c r="A9174" s="129">
        <v>9174</v>
      </c>
    </row>
    <row r="9175" spans="1:1" ht="12.75" customHeight="1">
      <c r="A9175" s="129">
        <v>9175</v>
      </c>
    </row>
    <row r="9176" spans="1:1" ht="12.75" customHeight="1">
      <c r="A9176" s="129">
        <v>9176</v>
      </c>
    </row>
    <row r="9177" spans="1:1" ht="12.75" customHeight="1">
      <c r="A9177" s="129">
        <v>9177</v>
      </c>
    </row>
    <row r="9178" spans="1:1" ht="12.75" customHeight="1">
      <c r="A9178" s="129">
        <v>9178</v>
      </c>
    </row>
    <row r="9179" spans="1:1" ht="12.75" customHeight="1">
      <c r="A9179" s="129">
        <v>9179</v>
      </c>
    </row>
    <row r="9180" spans="1:1" ht="12.75" customHeight="1">
      <c r="A9180" s="129">
        <v>9180</v>
      </c>
    </row>
    <row r="9181" spans="1:1" ht="12.75" customHeight="1">
      <c r="A9181" s="129">
        <v>9181</v>
      </c>
    </row>
    <row r="9182" spans="1:1" ht="12.75" customHeight="1">
      <c r="A9182" s="129">
        <v>9182</v>
      </c>
    </row>
    <row r="9183" spans="1:1" ht="12.75" customHeight="1">
      <c r="A9183" s="129">
        <v>9183</v>
      </c>
    </row>
    <row r="9184" spans="1:1" ht="12.75" customHeight="1">
      <c r="A9184" s="129">
        <v>9184</v>
      </c>
    </row>
    <row r="9185" spans="1:1" ht="12.75" customHeight="1">
      <c r="A9185" s="129">
        <v>9185</v>
      </c>
    </row>
    <row r="9186" spans="1:1" ht="12.75" customHeight="1">
      <c r="A9186" s="129">
        <v>9186</v>
      </c>
    </row>
    <row r="9187" spans="1:1" ht="12.75" customHeight="1">
      <c r="A9187" s="129">
        <v>9187</v>
      </c>
    </row>
    <row r="9188" spans="1:1" ht="12.75" customHeight="1">
      <c r="A9188" s="129">
        <v>9188</v>
      </c>
    </row>
    <row r="9189" spans="1:1" ht="12.75" customHeight="1">
      <c r="A9189" s="129">
        <v>9189</v>
      </c>
    </row>
    <row r="9190" spans="1:1" ht="12.75" customHeight="1">
      <c r="A9190" s="129">
        <v>9190</v>
      </c>
    </row>
    <row r="9191" spans="1:1" ht="12.75" customHeight="1">
      <c r="A9191" s="129">
        <v>9191</v>
      </c>
    </row>
    <row r="9192" spans="1:1" ht="12.75" customHeight="1">
      <c r="A9192" s="129">
        <v>9192</v>
      </c>
    </row>
    <row r="9193" spans="1:1" ht="12.75" customHeight="1">
      <c r="A9193" s="129">
        <v>9193</v>
      </c>
    </row>
    <row r="9194" spans="1:1" ht="12.75" customHeight="1">
      <c r="A9194" s="129">
        <v>9194</v>
      </c>
    </row>
    <row r="9195" spans="1:1" ht="12.75" customHeight="1">
      <c r="A9195" s="129">
        <v>9195</v>
      </c>
    </row>
    <row r="9196" spans="1:1" ht="12.75" customHeight="1">
      <c r="A9196" s="129">
        <v>9196</v>
      </c>
    </row>
    <row r="9197" spans="1:1" ht="12.75" customHeight="1">
      <c r="A9197" s="129">
        <v>9197</v>
      </c>
    </row>
    <row r="9198" spans="1:1" ht="12.75" customHeight="1">
      <c r="A9198" s="129">
        <v>9198</v>
      </c>
    </row>
    <row r="9199" spans="1:1" ht="12.75" customHeight="1">
      <c r="A9199" s="129">
        <v>9199</v>
      </c>
    </row>
    <row r="9200" spans="1:1" ht="12.75" customHeight="1">
      <c r="A9200" s="129">
        <v>9200</v>
      </c>
    </row>
    <row r="9201" spans="1:1" ht="12.75" customHeight="1">
      <c r="A9201" s="129">
        <v>9201</v>
      </c>
    </row>
    <row r="9202" spans="1:1" ht="12.75" customHeight="1">
      <c r="A9202" s="129">
        <v>9202</v>
      </c>
    </row>
    <row r="9203" spans="1:1" ht="12.75" customHeight="1">
      <c r="A9203" s="129">
        <v>9203</v>
      </c>
    </row>
    <row r="9204" spans="1:1" ht="12.75" customHeight="1">
      <c r="A9204" s="129">
        <v>9204</v>
      </c>
    </row>
    <row r="9205" spans="1:1" ht="12.75" customHeight="1">
      <c r="A9205" s="129">
        <v>9205</v>
      </c>
    </row>
    <row r="9206" spans="1:1" ht="12.75" customHeight="1">
      <c r="A9206" s="129">
        <v>9206</v>
      </c>
    </row>
    <row r="9207" spans="1:1" ht="12.75" customHeight="1">
      <c r="A9207" s="129">
        <v>9207</v>
      </c>
    </row>
    <row r="9208" spans="1:1" ht="12.75" customHeight="1">
      <c r="A9208" s="129">
        <v>9208</v>
      </c>
    </row>
    <row r="9209" spans="1:1" ht="12.75" customHeight="1">
      <c r="A9209" s="129">
        <v>9209</v>
      </c>
    </row>
    <row r="9210" spans="1:1" ht="12.75" customHeight="1">
      <c r="A9210" s="129">
        <v>9210</v>
      </c>
    </row>
    <row r="9211" spans="1:1" ht="12.75" customHeight="1">
      <c r="A9211" s="129">
        <v>9211</v>
      </c>
    </row>
    <row r="9212" spans="1:1" ht="12.75" customHeight="1">
      <c r="A9212" s="129">
        <v>9212</v>
      </c>
    </row>
    <row r="9213" spans="1:1" ht="12.75" customHeight="1">
      <c r="A9213" s="129">
        <v>9213</v>
      </c>
    </row>
    <row r="9214" spans="1:1" ht="12.75" customHeight="1">
      <c r="A9214" s="129">
        <v>9214</v>
      </c>
    </row>
    <row r="9215" spans="1:1" ht="12.75" customHeight="1">
      <c r="A9215" s="129">
        <v>9215</v>
      </c>
    </row>
    <row r="9216" spans="1:1" ht="12.75" customHeight="1">
      <c r="A9216" s="129">
        <v>9216</v>
      </c>
    </row>
    <row r="9217" spans="1:1" ht="12.75" customHeight="1">
      <c r="A9217" s="129">
        <v>9217</v>
      </c>
    </row>
    <row r="9218" spans="1:1" ht="12.75" customHeight="1">
      <c r="A9218" s="129">
        <v>9218</v>
      </c>
    </row>
    <row r="9219" spans="1:1" ht="12.75" customHeight="1">
      <c r="A9219" s="129">
        <v>9219</v>
      </c>
    </row>
    <row r="9220" spans="1:1" ht="12.75" customHeight="1">
      <c r="A9220" s="129">
        <v>9220</v>
      </c>
    </row>
    <row r="9221" spans="1:1" ht="12.75" customHeight="1">
      <c r="A9221" s="129">
        <v>9221</v>
      </c>
    </row>
    <row r="9222" spans="1:1" ht="12.75" customHeight="1">
      <c r="A9222" s="129">
        <v>9222</v>
      </c>
    </row>
    <row r="9223" spans="1:1" ht="12.75" customHeight="1">
      <c r="A9223" s="129">
        <v>9223</v>
      </c>
    </row>
    <row r="9224" spans="1:1" ht="12.75" customHeight="1">
      <c r="A9224" s="129">
        <v>9224</v>
      </c>
    </row>
    <row r="9225" spans="1:1" ht="12.75" customHeight="1">
      <c r="A9225" s="129">
        <v>9225</v>
      </c>
    </row>
    <row r="9226" spans="1:1" ht="12.75" customHeight="1">
      <c r="A9226" s="129">
        <v>9226</v>
      </c>
    </row>
    <row r="9227" spans="1:1" ht="12.75" customHeight="1">
      <c r="A9227" s="129">
        <v>9227</v>
      </c>
    </row>
    <row r="9228" spans="1:1" ht="12.75" customHeight="1">
      <c r="A9228" s="129">
        <v>9228</v>
      </c>
    </row>
    <row r="9229" spans="1:1" ht="12.75" customHeight="1">
      <c r="A9229" s="129">
        <v>9229</v>
      </c>
    </row>
    <row r="9230" spans="1:1" ht="12.75" customHeight="1">
      <c r="A9230" s="129">
        <v>9230</v>
      </c>
    </row>
    <row r="9231" spans="1:1" ht="12.75" customHeight="1">
      <c r="A9231" s="129">
        <v>9231</v>
      </c>
    </row>
    <row r="9232" spans="1:1" ht="12.75" customHeight="1">
      <c r="A9232" s="129">
        <v>9232</v>
      </c>
    </row>
    <row r="9233" spans="1:1" ht="12.75" customHeight="1">
      <c r="A9233" s="129">
        <v>9233</v>
      </c>
    </row>
    <row r="9234" spans="1:1" ht="12.75" customHeight="1">
      <c r="A9234" s="129">
        <v>9234</v>
      </c>
    </row>
    <row r="9235" spans="1:1" ht="12.75" customHeight="1">
      <c r="A9235" s="129">
        <v>9235</v>
      </c>
    </row>
    <row r="9236" spans="1:1" ht="12.75" customHeight="1">
      <c r="A9236" s="129">
        <v>9236</v>
      </c>
    </row>
    <row r="9237" spans="1:1" ht="12.75" customHeight="1">
      <c r="A9237" s="129">
        <v>9237</v>
      </c>
    </row>
    <row r="9238" spans="1:1" ht="12.75" customHeight="1">
      <c r="A9238" s="129">
        <v>9238</v>
      </c>
    </row>
    <row r="9239" spans="1:1" ht="12.75" customHeight="1">
      <c r="A9239" s="129">
        <v>9239</v>
      </c>
    </row>
    <row r="9240" spans="1:1" ht="12.75" customHeight="1">
      <c r="A9240" s="129">
        <v>9240</v>
      </c>
    </row>
    <row r="9241" spans="1:1" ht="12.75" customHeight="1">
      <c r="A9241" s="129">
        <v>9241</v>
      </c>
    </row>
    <row r="9242" spans="1:1" ht="12.75" customHeight="1">
      <c r="A9242" s="129">
        <v>9242</v>
      </c>
    </row>
    <row r="9243" spans="1:1" ht="12.75" customHeight="1">
      <c r="A9243" s="129">
        <v>9243</v>
      </c>
    </row>
    <row r="9244" spans="1:1" ht="12.75" customHeight="1">
      <c r="A9244" s="129">
        <v>9244</v>
      </c>
    </row>
    <row r="9245" spans="1:1" ht="12.75" customHeight="1">
      <c r="A9245" s="129">
        <v>9245</v>
      </c>
    </row>
    <row r="9246" spans="1:1" ht="12.75" customHeight="1">
      <c r="A9246" s="129">
        <v>9246</v>
      </c>
    </row>
    <row r="9247" spans="1:1" ht="12.75" customHeight="1">
      <c r="A9247" s="129">
        <v>9247</v>
      </c>
    </row>
    <row r="9248" spans="1:1" ht="12.75" customHeight="1">
      <c r="A9248" s="129">
        <v>9248</v>
      </c>
    </row>
    <row r="9249" spans="1:1" ht="12.75" customHeight="1">
      <c r="A9249" s="129">
        <v>9249</v>
      </c>
    </row>
    <row r="9250" spans="1:1" ht="12.75" customHeight="1">
      <c r="A9250" s="129">
        <v>9250</v>
      </c>
    </row>
    <row r="9251" spans="1:1" ht="12.75" customHeight="1">
      <c r="A9251" s="129">
        <v>9251</v>
      </c>
    </row>
    <row r="9252" spans="1:1" ht="12.75" customHeight="1">
      <c r="A9252" s="129">
        <v>9252</v>
      </c>
    </row>
    <row r="9253" spans="1:1" ht="12.75" customHeight="1">
      <c r="A9253" s="129">
        <v>9253</v>
      </c>
    </row>
    <row r="9254" spans="1:1" ht="12.75" customHeight="1">
      <c r="A9254" s="129">
        <v>9254</v>
      </c>
    </row>
    <row r="9255" spans="1:1" ht="12.75" customHeight="1">
      <c r="A9255" s="129">
        <v>9255</v>
      </c>
    </row>
    <row r="9256" spans="1:1" ht="12.75" customHeight="1">
      <c r="A9256" s="129">
        <v>9256</v>
      </c>
    </row>
    <row r="9257" spans="1:1" ht="12.75" customHeight="1">
      <c r="A9257" s="129">
        <v>9257</v>
      </c>
    </row>
    <row r="9258" spans="1:1" ht="12.75" customHeight="1">
      <c r="A9258" s="129">
        <v>9258</v>
      </c>
    </row>
    <row r="9259" spans="1:1" ht="12.75" customHeight="1">
      <c r="A9259" s="129">
        <v>9259</v>
      </c>
    </row>
    <row r="9260" spans="1:1" ht="12.75" customHeight="1">
      <c r="A9260" s="129">
        <v>9260</v>
      </c>
    </row>
    <row r="9261" spans="1:1" ht="12.75" customHeight="1">
      <c r="A9261" s="129">
        <v>9261</v>
      </c>
    </row>
    <row r="9262" spans="1:1" ht="12.75" customHeight="1">
      <c r="A9262" s="129">
        <v>9262</v>
      </c>
    </row>
    <row r="9263" spans="1:1" ht="12.75" customHeight="1">
      <c r="A9263" s="129">
        <v>9263</v>
      </c>
    </row>
    <row r="9264" spans="1:1" ht="12.75" customHeight="1">
      <c r="A9264" s="129">
        <v>9264</v>
      </c>
    </row>
    <row r="9265" spans="1:1" ht="12.75" customHeight="1">
      <c r="A9265" s="129">
        <v>9265</v>
      </c>
    </row>
    <row r="9266" spans="1:1" ht="12.75" customHeight="1">
      <c r="A9266" s="129">
        <v>9266</v>
      </c>
    </row>
    <row r="9267" spans="1:1" ht="12.75" customHeight="1">
      <c r="A9267" s="129">
        <v>9267</v>
      </c>
    </row>
    <row r="9268" spans="1:1" ht="12.75" customHeight="1">
      <c r="A9268" s="129">
        <v>9268</v>
      </c>
    </row>
    <row r="9269" spans="1:1" ht="12.75" customHeight="1">
      <c r="A9269" s="129">
        <v>9269</v>
      </c>
    </row>
    <row r="9270" spans="1:1" ht="12.75" customHeight="1">
      <c r="A9270" s="129">
        <v>9270</v>
      </c>
    </row>
    <row r="9271" spans="1:1" ht="12.75" customHeight="1">
      <c r="A9271" s="129">
        <v>9271</v>
      </c>
    </row>
    <row r="9272" spans="1:1" ht="12.75" customHeight="1">
      <c r="A9272" s="129">
        <v>9272</v>
      </c>
    </row>
    <row r="9273" spans="1:1" ht="12.75" customHeight="1">
      <c r="A9273" s="129">
        <v>9273</v>
      </c>
    </row>
    <row r="9274" spans="1:1" ht="12.75" customHeight="1">
      <c r="A9274" s="129">
        <v>9274</v>
      </c>
    </row>
    <row r="9275" spans="1:1" ht="12.75" customHeight="1">
      <c r="A9275" s="129">
        <v>9275</v>
      </c>
    </row>
    <row r="9276" spans="1:1" ht="12.75" customHeight="1">
      <c r="A9276" s="129">
        <v>9276</v>
      </c>
    </row>
    <row r="9277" spans="1:1" ht="12.75" customHeight="1">
      <c r="A9277" s="129">
        <v>9277</v>
      </c>
    </row>
    <row r="9278" spans="1:1" ht="12.75" customHeight="1">
      <c r="A9278" s="129">
        <v>9278</v>
      </c>
    </row>
    <row r="9279" spans="1:1" ht="12.75" customHeight="1">
      <c r="A9279" s="129">
        <v>9279</v>
      </c>
    </row>
    <row r="9280" spans="1:1" ht="12.75" customHeight="1">
      <c r="A9280" s="129">
        <v>9280</v>
      </c>
    </row>
    <row r="9281" spans="1:1" ht="12.75" customHeight="1">
      <c r="A9281" s="129">
        <v>9281</v>
      </c>
    </row>
    <row r="9282" spans="1:1" ht="12.75" customHeight="1">
      <c r="A9282" s="129">
        <v>9282</v>
      </c>
    </row>
    <row r="9283" spans="1:1" ht="12.75" customHeight="1">
      <c r="A9283" s="129">
        <v>9283</v>
      </c>
    </row>
    <row r="9284" spans="1:1" ht="12.75" customHeight="1">
      <c r="A9284" s="129">
        <v>9284</v>
      </c>
    </row>
    <row r="9285" spans="1:1" ht="12.75" customHeight="1">
      <c r="A9285" s="129">
        <v>9285</v>
      </c>
    </row>
    <row r="9286" spans="1:1" ht="12.75" customHeight="1">
      <c r="A9286" s="129">
        <v>9286</v>
      </c>
    </row>
    <row r="9287" spans="1:1" ht="12.75" customHeight="1">
      <c r="A9287" s="129">
        <v>9287</v>
      </c>
    </row>
    <row r="9288" spans="1:1" ht="12.75" customHeight="1">
      <c r="A9288" s="129">
        <v>9288</v>
      </c>
    </row>
    <row r="9289" spans="1:1" ht="12.75" customHeight="1">
      <c r="A9289" s="129">
        <v>9289</v>
      </c>
    </row>
    <row r="9290" spans="1:1" ht="12.75" customHeight="1">
      <c r="A9290" s="129">
        <v>9290</v>
      </c>
    </row>
    <row r="9291" spans="1:1" ht="12.75" customHeight="1">
      <c r="A9291" s="129">
        <v>9291</v>
      </c>
    </row>
    <row r="9292" spans="1:1" ht="12.75" customHeight="1">
      <c r="A9292" s="129">
        <v>9292</v>
      </c>
    </row>
    <row r="9293" spans="1:1" ht="12.75" customHeight="1">
      <c r="A9293" s="129">
        <v>9293</v>
      </c>
    </row>
    <row r="9294" spans="1:1" ht="12.75" customHeight="1">
      <c r="A9294" s="129">
        <v>9294</v>
      </c>
    </row>
    <row r="9295" spans="1:1" ht="12.75" customHeight="1">
      <c r="A9295" s="129">
        <v>9295</v>
      </c>
    </row>
    <row r="9296" spans="1:1" ht="12.75" customHeight="1">
      <c r="A9296" s="129">
        <v>9296</v>
      </c>
    </row>
    <row r="9297" spans="1:1" ht="12.75" customHeight="1">
      <c r="A9297" s="129">
        <v>9297</v>
      </c>
    </row>
    <row r="9298" spans="1:1" ht="12.75" customHeight="1">
      <c r="A9298" s="129">
        <v>9298</v>
      </c>
    </row>
    <row r="9299" spans="1:1" ht="12.75" customHeight="1">
      <c r="A9299" s="129">
        <v>9299</v>
      </c>
    </row>
    <row r="9300" spans="1:1" ht="12.75" customHeight="1">
      <c r="A9300" s="129">
        <v>9300</v>
      </c>
    </row>
    <row r="9301" spans="1:1" ht="12.75" customHeight="1">
      <c r="A9301" s="129">
        <v>9301</v>
      </c>
    </row>
    <row r="9302" spans="1:1" ht="12.75" customHeight="1">
      <c r="A9302" s="129">
        <v>9302</v>
      </c>
    </row>
    <row r="9303" spans="1:1" ht="12.75" customHeight="1">
      <c r="A9303" s="129">
        <v>9303</v>
      </c>
    </row>
    <row r="9304" spans="1:1" ht="12.75" customHeight="1">
      <c r="A9304" s="129">
        <v>9304</v>
      </c>
    </row>
    <row r="9305" spans="1:1" ht="12.75" customHeight="1">
      <c r="A9305" s="129">
        <v>9305</v>
      </c>
    </row>
    <row r="9306" spans="1:1" ht="12.75" customHeight="1">
      <c r="A9306" s="129">
        <v>9306</v>
      </c>
    </row>
    <row r="9307" spans="1:1" ht="12.75" customHeight="1">
      <c r="A9307" s="129">
        <v>9307</v>
      </c>
    </row>
    <row r="9308" spans="1:1" ht="12.75" customHeight="1">
      <c r="A9308" s="129">
        <v>9308</v>
      </c>
    </row>
    <row r="9309" spans="1:1" ht="12.75" customHeight="1">
      <c r="A9309" s="129">
        <v>9309</v>
      </c>
    </row>
    <row r="9310" spans="1:1" ht="12.75" customHeight="1">
      <c r="A9310" s="129">
        <v>9310</v>
      </c>
    </row>
    <row r="9311" spans="1:1" ht="12.75" customHeight="1">
      <c r="A9311" s="129">
        <v>9311</v>
      </c>
    </row>
    <row r="9312" spans="1:1" ht="12.75" customHeight="1">
      <c r="A9312" s="129">
        <v>9312</v>
      </c>
    </row>
    <row r="9313" spans="1:1" ht="12.75" customHeight="1">
      <c r="A9313" s="129">
        <v>9313</v>
      </c>
    </row>
    <row r="9314" spans="1:1" ht="12.75" customHeight="1">
      <c r="A9314" s="129">
        <v>9314</v>
      </c>
    </row>
    <row r="9315" spans="1:1" ht="12.75" customHeight="1">
      <c r="A9315" s="129">
        <v>9315</v>
      </c>
    </row>
    <row r="9316" spans="1:1" ht="12.75" customHeight="1">
      <c r="A9316" s="129">
        <v>9316</v>
      </c>
    </row>
    <row r="9317" spans="1:1" ht="12.75" customHeight="1">
      <c r="A9317" s="129">
        <v>9317</v>
      </c>
    </row>
    <row r="9318" spans="1:1" ht="12.75" customHeight="1">
      <c r="A9318" s="129">
        <v>9318</v>
      </c>
    </row>
    <row r="9319" spans="1:1" ht="12.75" customHeight="1">
      <c r="A9319" s="129">
        <v>9319</v>
      </c>
    </row>
    <row r="9320" spans="1:1" ht="12.75" customHeight="1">
      <c r="A9320" s="129">
        <v>9320</v>
      </c>
    </row>
    <row r="9321" spans="1:1" ht="12.75" customHeight="1">
      <c r="A9321" s="129">
        <v>9321</v>
      </c>
    </row>
    <row r="9322" spans="1:1" ht="12.75" customHeight="1">
      <c r="A9322" s="129">
        <v>9322</v>
      </c>
    </row>
    <row r="9323" spans="1:1" ht="12.75" customHeight="1">
      <c r="A9323" s="129">
        <v>9323</v>
      </c>
    </row>
    <row r="9324" spans="1:1" ht="12.75" customHeight="1">
      <c r="A9324" s="129">
        <v>9324</v>
      </c>
    </row>
    <row r="9325" spans="1:1" ht="12.75" customHeight="1">
      <c r="A9325" s="129">
        <v>9325</v>
      </c>
    </row>
    <row r="9326" spans="1:1" ht="12.75" customHeight="1">
      <c r="A9326" s="129">
        <v>9326</v>
      </c>
    </row>
    <row r="9327" spans="1:1" ht="12.75" customHeight="1">
      <c r="A9327" s="129">
        <v>9327</v>
      </c>
    </row>
    <row r="9328" spans="1:1" ht="12.75" customHeight="1">
      <c r="A9328" s="129">
        <v>9328</v>
      </c>
    </row>
    <row r="9329" spans="1:1" ht="12.75" customHeight="1">
      <c r="A9329" s="129">
        <v>9329</v>
      </c>
    </row>
    <row r="9330" spans="1:1" ht="12.75" customHeight="1">
      <c r="A9330" s="129">
        <v>9330</v>
      </c>
    </row>
    <row r="9331" spans="1:1" ht="12.75" customHeight="1">
      <c r="A9331" s="129">
        <v>9331</v>
      </c>
    </row>
    <row r="9332" spans="1:1" ht="12.75" customHeight="1">
      <c r="A9332" s="129">
        <v>9332</v>
      </c>
    </row>
    <row r="9333" spans="1:1" ht="12.75" customHeight="1">
      <c r="A9333" s="129">
        <v>9333</v>
      </c>
    </row>
    <row r="9334" spans="1:1" ht="12.75" customHeight="1">
      <c r="A9334" s="129">
        <v>9334</v>
      </c>
    </row>
    <row r="9335" spans="1:1" ht="12.75" customHeight="1">
      <c r="A9335" s="129">
        <v>9335</v>
      </c>
    </row>
    <row r="9336" spans="1:1" ht="12.75" customHeight="1">
      <c r="A9336" s="129">
        <v>9336</v>
      </c>
    </row>
    <row r="9337" spans="1:1" ht="12.75" customHeight="1">
      <c r="A9337" s="129">
        <v>9337</v>
      </c>
    </row>
    <row r="9338" spans="1:1" ht="12.75" customHeight="1">
      <c r="A9338" s="129">
        <v>9338</v>
      </c>
    </row>
    <row r="9339" spans="1:1" ht="12.75" customHeight="1">
      <c r="A9339" s="129">
        <v>9339</v>
      </c>
    </row>
    <row r="9340" spans="1:1" ht="12.75" customHeight="1">
      <c r="A9340" s="129">
        <v>9340</v>
      </c>
    </row>
    <row r="9341" spans="1:1" ht="12.75" customHeight="1">
      <c r="A9341" s="129">
        <v>9341</v>
      </c>
    </row>
    <row r="9342" spans="1:1" ht="12.75" customHeight="1">
      <c r="A9342" s="129">
        <v>9342</v>
      </c>
    </row>
    <row r="9343" spans="1:1" ht="12.75" customHeight="1">
      <c r="A9343" s="129">
        <v>9343</v>
      </c>
    </row>
    <row r="9344" spans="1:1" ht="12.75" customHeight="1">
      <c r="A9344" s="129">
        <v>9344</v>
      </c>
    </row>
    <row r="9345" spans="1:1" ht="12.75" customHeight="1">
      <c r="A9345" s="129">
        <v>9345</v>
      </c>
    </row>
    <row r="9346" spans="1:1" ht="12.75" customHeight="1">
      <c r="A9346" s="129">
        <v>9346</v>
      </c>
    </row>
    <row r="9347" spans="1:1" ht="12.75" customHeight="1">
      <c r="A9347" s="129">
        <v>9347</v>
      </c>
    </row>
    <row r="9348" spans="1:1" ht="12.75" customHeight="1">
      <c r="A9348" s="129">
        <v>9348</v>
      </c>
    </row>
    <row r="9349" spans="1:1" ht="12.75" customHeight="1">
      <c r="A9349" s="129">
        <v>9349</v>
      </c>
    </row>
    <row r="9350" spans="1:1" ht="12.75" customHeight="1">
      <c r="A9350" s="129">
        <v>9350</v>
      </c>
    </row>
    <row r="9351" spans="1:1" ht="12.75" customHeight="1">
      <c r="A9351" s="129">
        <v>9351</v>
      </c>
    </row>
    <row r="9352" spans="1:1" ht="12.75" customHeight="1">
      <c r="A9352" s="129">
        <v>9352</v>
      </c>
    </row>
    <row r="9353" spans="1:1" ht="12.75" customHeight="1">
      <c r="A9353" s="129">
        <v>9353</v>
      </c>
    </row>
    <row r="9354" spans="1:1" ht="12.75" customHeight="1">
      <c r="A9354" s="129">
        <v>9354</v>
      </c>
    </row>
    <row r="9355" spans="1:1" ht="12.75" customHeight="1">
      <c r="A9355" s="129">
        <v>9355</v>
      </c>
    </row>
    <row r="9356" spans="1:1" ht="12.75" customHeight="1">
      <c r="A9356" s="129">
        <v>9356</v>
      </c>
    </row>
    <row r="9357" spans="1:1" ht="12.75" customHeight="1">
      <c r="A9357" s="129">
        <v>9357</v>
      </c>
    </row>
    <row r="9358" spans="1:1" ht="12.75" customHeight="1">
      <c r="A9358" s="129">
        <v>9358</v>
      </c>
    </row>
    <row r="9359" spans="1:1" ht="12.75" customHeight="1">
      <c r="A9359" s="129">
        <v>9359</v>
      </c>
    </row>
    <row r="9360" spans="1:1" ht="12.75" customHeight="1">
      <c r="A9360" s="129">
        <v>9360</v>
      </c>
    </row>
    <row r="9361" spans="1:1" ht="12.75" customHeight="1">
      <c r="A9361" s="129">
        <v>9361</v>
      </c>
    </row>
    <row r="9362" spans="1:1" ht="12.75" customHeight="1">
      <c r="A9362" s="129">
        <v>9362</v>
      </c>
    </row>
    <row r="9363" spans="1:1" ht="12.75" customHeight="1">
      <c r="A9363" s="129">
        <v>9363</v>
      </c>
    </row>
    <row r="9364" spans="1:1" ht="12.75" customHeight="1">
      <c r="A9364" s="129">
        <v>9364</v>
      </c>
    </row>
    <row r="9365" spans="1:1" ht="12.75" customHeight="1">
      <c r="A9365" s="129">
        <v>9365</v>
      </c>
    </row>
    <row r="9366" spans="1:1" ht="12.75" customHeight="1">
      <c r="A9366" s="129">
        <v>9366</v>
      </c>
    </row>
    <row r="9367" spans="1:1" ht="12.75" customHeight="1">
      <c r="A9367" s="129">
        <v>9367</v>
      </c>
    </row>
    <row r="9368" spans="1:1" ht="12.75" customHeight="1">
      <c r="A9368" s="129">
        <v>9368</v>
      </c>
    </row>
    <row r="9369" spans="1:1" ht="12.75" customHeight="1">
      <c r="A9369" s="129">
        <v>9369</v>
      </c>
    </row>
    <row r="9370" spans="1:1" ht="12.75" customHeight="1">
      <c r="A9370" s="129">
        <v>9370</v>
      </c>
    </row>
    <row r="9371" spans="1:1" ht="12.75" customHeight="1">
      <c r="A9371" s="129">
        <v>9371</v>
      </c>
    </row>
    <row r="9372" spans="1:1" ht="12.75" customHeight="1">
      <c r="A9372" s="129">
        <v>9372</v>
      </c>
    </row>
    <row r="9373" spans="1:1" ht="12.75" customHeight="1">
      <c r="A9373" s="129">
        <v>9373</v>
      </c>
    </row>
    <row r="9374" spans="1:1" ht="12.75" customHeight="1">
      <c r="A9374" s="129">
        <v>9374</v>
      </c>
    </row>
    <row r="9375" spans="1:1" ht="12.75" customHeight="1">
      <c r="A9375" s="129">
        <v>9375</v>
      </c>
    </row>
    <row r="9376" spans="1:1" ht="12.75" customHeight="1">
      <c r="A9376" s="129">
        <v>9376</v>
      </c>
    </row>
    <row r="9377" spans="1:1" ht="12.75" customHeight="1">
      <c r="A9377" s="129">
        <v>9377</v>
      </c>
    </row>
    <row r="9378" spans="1:1" ht="12.75" customHeight="1">
      <c r="A9378" s="129">
        <v>9378</v>
      </c>
    </row>
    <row r="9379" spans="1:1" ht="12.75" customHeight="1">
      <c r="A9379" s="129">
        <v>9379</v>
      </c>
    </row>
    <row r="9380" spans="1:1" ht="12.75" customHeight="1">
      <c r="A9380" s="129">
        <v>9380</v>
      </c>
    </row>
    <row r="9381" spans="1:1" ht="12.75" customHeight="1">
      <c r="A9381" s="129">
        <v>9381</v>
      </c>
    </row>
    <row r="9382" spans="1:1" ht="12.75" customHeight="1">
      <c r="A9382" s="129">
        <v>9382</v>
      </c>
    </row>
    <row r="9383" spans="1:1" ht="12.75" customHeight="1">
      <c r="A9383" s="129">
        <v>9383</v>
      </c>
    </row>
    <row r="9384" spans="1:1" ht="12.75" customHeight="1">
      <c r="A9384" s="129">
        <v>9384</v>
      </c>
    </row>
    <row r="9385" spans="1:1" ht="12.75" customHeight="1">
      <c r="A9385" s="129">
        <v>9385</v>
      </c>
    </row>
    <row r="9386" spans="1:1" ht="12.75" customHeight="1">
      <c r="A9386" s="129">
        <v>9386</v>
      </c>
    </row>
    <row r="9387" spans="1:1" ht="12.75" customHeight="1">
      <c r="A9387" s="129">
        <v>9387</v>
      </c>
    </row>
    <row r="9388" spans="1:1" ht="12.75" customHeight="1">
      <c r="A9388" s="129">
        <v>9388</v>
      </c>
    </row>
    <row r="9389" spans="1:1" ht="12.75" customHeight="1">
      <c r="A9389" s="129">
        <v>9389</v>
      </c>
    </row>
    <row r="9390" spans="1:1" ht="12.75" customHeight="1">
      <c r="A9390" s="129">
        <v>9390</v>
      </c>
    </row>
    <row r="9391" spans="1:1" ht="12.75" customHeight="1">
      <c r="A9391" s="129">
        <v>9391</v>
      </c>
    </row>
    <row r="9392" spans="1:1" ht="12.75" customHeight="1">
      <c r="A9392" s="129">
        <v>9392</v>
      </c>
    </row>
    <row r="9393" spans="1:1" ht="12.75" customHeight="1">
      <c r="A9393" s="129">
        <v>9393</v>
      </c>
    </row>
    <row r="9394" spans="1:1" ht="12.75" customHeight="1">
      <c r="A9394" s="129">
        <v>9394</v>
      </c>
    </row>
    <row r="9395" spans="1:1" ht="12.75" customHeight="1">
      <c r="A9395" s="129">
        <v>9395</v>
      </c>
    </row>
    <row r="9396" spans="1:1" ht="12.75" customHeight="1">
      <c r="A9396" s="129">
        <v>9396</v>
      </c>
    </row>
    <row r="9397" spans="1:1" ht="12.75" customHeight="1">
      <c r="A9397" s="129">
        <v>9397</v>
      </c>
    </row>
    <row r="9398" spans="1:1" ht="12.75" customHeight="1">
      <c r="A9398" s="129">
        <v>9398</v>
      </c>
    </row>
    <row r="9399" spans="1:1" ht="12.75" customHeight="1">
      <c r="A9399" s="129">
        <v>9399</v>
      </c>
    </row>
    <row r="9400" spans="1:1" ht="12.75" customHeight="1">
      <c r="A9400" s="129">
        <v>9400</v>
      </c>
    </row>
    <row r="9401" spans="1:1" ht="12.75" customHeight="1">
      <c r="A9401" s="129">
        <v>9401</v>
      </c>
    </row>
    <row r="9402" spans="1:1" ht="12.75" customHeight="1">
      <c r="A9402" s="129">
        <v>9402</v>
      </c>
    </row>
    <row r="9403" spans="1:1" ht="12.75" customHeight="1">
      <c r="A9403" s="129">
        <v>9403</v>
      </c>
    </row>
    <row r="9404" spans="1:1" ht="12.75" customHeight="1">
      <c r="A9404" s="129">
        <v>9404</v>
      </c>
    </row>
    <row r="9405" spans="1:1" ht="12.75" customHeight="1">
      <c r="A9405" s="129">
        <v>9405</v>
      </c>
    </row>
    <row r="9406" spans="1:1" ht="12.75" customHeight="1">
      <c r="A9406" s="129">
        <v>9406</v>
      </c>
    </row>
    <row r="9407" spans="1:1" ht="12.75" customHeight="1">
      <c r="A9407" s="129">
        <v>9407</v>
      </c>
    </row>
    <row r="9408" spans="1:1" ht="12.75" customHeight="1">
      <c r="A9408" s="129">
        <v>9408</v>
      </c>
    </row>
    <row r="9409" spans="1:1" ht="12.75" customHeight="1">
      <c r="A9409" s="129">
        <v>9409</v>
      </c>
    </row>
    <row r="9410" spans="1:1" ht="12.75" customHeight="1">
      <c r="A9410" s="129">
        <v>9410</v>
      </c>
    </row>
    <row r="9411" spans="1:1" ht="12.75" customHeight="1">
      <c r="A9411" s="129">
        <v>9411</v>
      </c>
    </row>
    <row r="9412" spans="1:1" ht="12.75" customHeight="1">
      <c r="A9412" s="129">
        <v>9412</v>
      </c>
    </row>
    <row r="9413" spans="1:1" ht="12.75" customHeight="1">
      <c r="A9413" s="129">
        <v>9413</v>
      </c>
    </row>
    <row r="9414" spans="1:1" ht="12.75" customHeight="1">
      <c r="A9414" s="129">
        <v>9414</v>
      </c>
    </row>
    <row r="9415" spans="1:1" ht="12.75" customHeight="1">
      <c r="A9415" s="129">
        <v>9415</v>
      </c>
    </row>
    <row r="9416" spans="1:1" ht="12.75" customHeight="1">
      <c r="A9416" s="129">
        <v>9416</v>
      </c>
    </row>
    <row r="9417" spans="1:1" ht="12.75" customHeight="1">
      <c r="A9417" s="129">
        <v>9417</v>
      </c>
    </row>
    <row r="9418" spans="1:1" ht="12.75" customHeight="1">
      <c r="A9418" s="129">
        <v>9418</v>
      </c>
    </row>
    <row r="9419" spans="1:1" ht="12.75" customHeight="1">
      <c r="A9419" s="129">
        <v>9419</v>
      </c>
    </row>
    <row r="9420" spans="1:1" ht="12.75" customHeight="1">
      <c r="A9420" s="129">
        <v>9420</v>
      </c>
    </row>
    <row r="9421" spans="1:1" ht="12.75" customHeight="1">
      <c r="A9421" s="129">
        <v>9421</v>
      </c>
    </row>
    <row r="9422" spans="1:1" ht="12.75" customHeight="1">
      <c r="A9422" s="129">
        <v>9422</v>
      </c>
    </row>
    <row r="9423" spans="1:1" ht="12.75" customHeight="1">
      <c r="A9423" s="129">
        <v>9423</v>
      </c>
    </row>
    <row r="9424" spans="1:1" ht="12.75" customHeight="1">
      <c r="A9424" s="129">
        <v>9424</v>
      </c>
    </row>
    <row r="9425" spans="1:1" ht="12.75" customHeight="1">
      <c r="A9425" s="129">
        <v>9425</v>
      </c>
    </row>
    <row r="9426" spans="1:1" ht="12.75" customHeight="1">
      <c r="A9426" s="129">
        <v>9426</v>
      </c>
    </row>
    <row r="9427" spans="1:1" ht="12.75" customHeight="1">
      <c r="A9427" s="129">
        <v>9427</v>
      </c>
    </row>
    <row r="9428" spans="1:1" ht="12.75" customHeight="1">
      <c r="A9428" s="129">
        <v>9428</v>
      </c>
    </row>
    <row r="9429" spans="1:1" ht="12.75" customHeight="1">
      <c r="A9429" s="129">
        <v>9429</v>
      </c>
    </row>
    <row r="9430" spans="1:1" ht="12.75" customHeight="1">
      <c r="A9430" s="129">
        <v>9430</v>
      </c>
    </row>
    <row r="9431" spans="1:1" ht="12.75" customHeight="1">
      <c r="A9431" s="129">
        <v>9431</v>
      </c>
    </row>
    <row r="9432" spans="1:1" ht="12.75" customHeight="1">
      <c r="A9432" s="129">
        <v>9432</v>
      </c>
    </row>
    <row r="9433" spans="1:1" ht="12.75" customHeight="1">
      <c r="A9433" s="129">
        <v>9433</v>
      </c>
    </row>
    <row r="9434" spans="1:1" ht="12.75" customHeight="1">
      <c r="A9434" s="129">
        <v>9434</v>
      </c>
    </row>
    <row r="9435" spans="1:1" ht="12.75" customHeight="1">
      <c r="A9435" s="129">
        <v>9435</v>
      </c>
    </row>
    <row r="9436" spans="1:1" ht="12.75" customHeight="1">
      <c r="A9436" s="129">
        <v>9436</v>
      </c>
    </row>
    <row r="9437" spans="1:1" ht="12.75" customHeight="1">
      <c r="A9437" s="129">
        <v>9437</v>
      </c>
    </row>
    <row r="9438" spans="1:1" ht="12.75" customHeight="1">
      <c r="A9438" s="129">
        <v>9438</v>
      </c>
    </row>
    <row r="9439" spans="1:1" ht="12.75" customHeight="1">
      <c r="A9439" s="129">
        <v>9439</v>
      </c>
    </row>
    <row r="9440" spans="1:1" ht="12.75" customHeight="1">
      <c r="A9440" s="129">
        <v>9440</v>
      </c>
    </row>
    <row r="9441" spans="1:1" ht="12.75" customHeight="1">
      <c r="A9441" s="129">
        <v>9441</v>
      </c>
    </row>
    <row r="9442" spans="1:1" ht="12.75" customHeight="1">
      <c r="A9442" s="129">
        <v>9442</v>
      </c>
    </row>
    <row r="9443" spans="1:1" ht="12.75" customHeight="1">
      <c r="A9443" s="129">
        <v>9443</v>
      </c>
    </row>
    <row r="9444" spans="1:1" ht="12.75" customHeight="1">
      <c r="A9444" s="129">
        <v>9444</v>
      </c>
    </row>
    <row r="9445" spans="1:1" ht="12.75" customHeight="1">
      <c r="A9445" s="129">
        <v>9445</v>
      </c>
    </row>
    <row r="9446" spans="1:1" ht="12.75" customHeight="1">
      <c r="A9446" s="129">
        <v>9446</v>
      </c>
    </row>
    <row r="9447" spans="1:1" ht="12.75" customHeight="1">
      <c r="A9447" s="129">
        <v>9447</v>
      </c>
    </row>
    <row r="9448" spans="1:1" ht="12.75" customHeight="1">
      <c r="A9448" s="129">
        <v>9448</v>
      </c>
    </row>
    <row r="9449" spans="1:1" ht="12.75" customHeight="1">
      <c r="A9449" s="129">
        <v>9449</v>
      </c>
    </row>
    <row r="9450" spans="1:1" ht="12.75" customHeight="1">
      <c r="A9450" s="129">
        <v>9450</v>
      </c>
    </row>
    <row r="9451" spans="1:1" ht="12.75" customHeight="1">
      <c r="A9451" s="129">
        <v>9451</v>
      </c>
    </row>
    <row r="9452" spans="1:1" ht="12.75" customHeight="1">
      <c r="A9452" s="129">
        <v>9452</v>
      </c>
    </row>
    <row r="9453" spans="1:1" ht="12.75" customHeight="1">
      <c r="A9453" s="129">
        <v>9453</v>
      </c>
    </row>
    <row r="9454" spans="1:1" ht="12.75" customHeight="1">
      <c r="A9454" s="129">
        <v>9454</v>
      </c>
    </row>
    <row r="9455" spans="1:1" ht="12.75" customHeight="1">
      <c r="A9455" s="129">
        <v>9455</v>
      </c>
    </row>
    <row r="9456" spans="1:1" ht="12.75" customHeight="1">
      <c r="A9456" s="129">
        <v>9456</v>
      </c>
    </row>
    <row r="9457" spans="1:1" ht="12.75" customHeight="1">
      <c r="A9457" s="129">
        <v>9457</v>
      </c>
    </row>
    <row r="9458" spans="1:1" ht="12.75" customHeight="1">
      <c r="A9458" s="129">
        <v>9458</v>
      </c>
    </row>
    <row r="9459" spans="1:1" ht="12.75" customHeight="1">
      <c r="A9459" s="129">
        <v>9459</v>
      </c>
    </row>
    <row r="9460" spans="1:1" ht="12.75" customHeight="1">
      <c r="A9460" s="129">
        <v>9460</v>
      </c>
    </row>
    <row r="9461" spans="1:1" ht="12.75" customHeight="1">
      <c r="A9461" s="129">
        <v>9461</v>
      </c>
    </row>
    <row r="9462" spans="1:1" ht="12.75" customHeight="1">
      <c r="A9462" s="129">
        <v>9462</v>
      </c>
    </row>
    <row r="9463" spans="1:1" ht="12.75" customHeight="1">
      <c r="A9463" s="129">
        <v>9463</v>
      </c>
    </row>
    <row r="9464" spans="1:1" ht="12.75" customHeight="1">
      <c r="A9464" s="129">
        <v>9464</v>
      </c>
    </row>
    <row r="9465" spans="1:1" ht="12.75" customHeight="1">
      <c r="A9465" s="129">
        <v>9465</v>
      </c>
    </row>
    <row r="9466" spans="1:1" ht="12.75" customHeight="1">
      <c r="A9466" s="129">
        <v>9466</v>
      </c>
    </row>
    <row r="9467" spans="1:1" ht="12.75" customHeight="1">
      <c r="A9467" s="129">
        <v>9467</v>
      </c>
    </row>
    <row r="9468" spans="1:1" ht="12.75" customHeight="1">
      <c r="A9468" s="129">
        <v>9468</v>
      </c>
    </row>
    <row r="9469" spans="1:1" ht="12.75" customHeight="1">
      <c r="A9469" s="129">
        <v>9469</v>
      </c>
    </row>
    <row r="9470" spans="1:1" ht="12.75" customHeight="1">
      <c r="A9470" s="129">
        <v>9470</v>
      </c>
    </row>
    <row r="9471" spans="1:1" ht="12.75" customHeight="1">
      <c r="A9471" s="129">
        <v>9471</v>
      </c>
    </row>
    <row r="9472" spans="1:1" ht="12.75" customHeight="1">
      <c r="A9472" s="129">
        <v>9472</v>
      </c>
    </row>
    <row r="9473" spans="1:1" ht="12.75" customHeight="1">
      <c r="A9473" s="129">
        <v>9473</v>
      </c>
    </row>
    <row r="9474" spans="1:1" ht="12.75" customHeight="1">
      <c r="A9474" s="129">
        <v>9474</v>
      </c>
    </row>
    <row r="9475" spans="1:1" ht="12.75" customHeight="1">
      <c r="A9475" s="129">
        <v>9475</v>
      </c>
    </row>
    <row r="9476" spans="1:1" ht="12.75" customHeight="1">
      <c r="A9476" s="129">
        <v>9476</v>
      </c>
    </row>
    <row r="9477" spans="1:1" ht="12.75" customHeight="1">
      <c r="A9477" s="129">
        <v>9477</v>
      </c>
    </row>
    <row r="9478" spans="1:1" ht="12.75" customHeight="1">
      <c r="A9478" s="129">
        <v>9478</v>
      </c>
    </row>
    <row r="9479" spans="1:1" ht="12.75" customHeight="1">
      <c r="A9479" s="129">
        <v>9479</v>
      </c>
    </row>
    <row r="9480" spans="1:1" ht="12.75" customHeight="1">
      <c r="A9480" s="129">
        <v>9480</v>
      </c>
    </row>
    <row r="9481" spans="1:1" ht="12.75" customHeight="1">
      <c r="A9481" s="129">
        <v>9481</v>
      </c>
    </row>
    <row r="9482" spans="1:1" ht="12.75" customHeight="1">
      <c r="A9482" s="129">
        <v>9482</v>
      </c>
    </row>
    <row r="9483" spans="1:1" ht="12.75" customHeight="1">
      <c r="A9483" s="129">
        <v>9483</v>
      </c>
    </row>
    <row r="9484" spans="1:1" ht="12.75" customHeight="1">
      <c r="A9484" s="129">
        <v>9484</v>
      </c>
    </row>
    <row r="9485" spans="1:1" ht="12.75" customHeight="1">
      <c r="A9485" s="129">
        <v>9485</v>
      </c>
    </row>
    <row r="9486" spans="1:1" ht="12.75" customHeight="1">
      <c r="A9486" s="129">
        <v>9486</v>
      </c>
    </row>
    <row r="9487" spans="1:1" ht="12.75" customHeight="1">
      <c r="A9487" s="129">
        <v>9487</v>
      </c>
    </row>
    <row r="9488" spans="1:1" ht="12.75" customHeight="1">
      <c r="A9488" s="129">
        <v>9488</v>
      </c>
    </row>
    <row r="9489" spans="1:1" ht="12.75" customHeight="1">
      <c r="A9489" s="129">
        <v>9489</v>
      </c>
    </row>
    <row r="9490" spans="1:1" ht="12.75" customHeight="1">
      <c r="A9490" s="129">
        <v>9490</v>
      </c>
    </row>
    <row r="9491" spans="1:1" ht="12.75" customHeight="1">
      <c r="A9491" s="129">
        <v>9491</v>
      </c>
    </row>
    <row r="9492" spans="1:1" ht="12.75" customHeight="1">
      <c r="A9492" s="129">
        <v>9492</v>
      </c>
    </row>
    <row r="9493" spans="1:1" ht="12.75" customHeight="1">
      <c r="A9493" s="129">
        <v>9493</v>
      </c>
    </row>
    <row r="9494" spans="1:1" ht="12.75" customHeight="1">
      <c r="A9494" s="129">
        <v>9494</v>
      </c>
    </row>
    <row r="9495" spans="1:1" ht="12.75" customHeight="1">
      <c r="A9495" s="129">
        <v>9495</v>
      </c>
    </row>
    <row r="9496" spans="1:1" ht="12.75" customHeight="1">
      <c r="A9496" s="129">
        <v>9496</v>
      </c>
    </row>
    <row r="9497" spans="1:1" ht="12.75" customHeight="1">
      <c r="A9497" s="129">
        <v>9497</v>
      </c>
    </row>
    <row r="9498" spans="1:1" ht="12.75" customHeight="1">
      <c r="A9498" s="129">
        <v>9498</v>
      </c>
    </row>
    <row r="9499" spans="1:1" ht="12.75" customHeight="1">
      <c r="A9499" s="129">
        <v>9499</v>
      </c>
    </row>
    <row r="9500" spans="1:1" ht="12.75" customHeight="1">
      <c r="A9500" s="129">
        <v>9500</v>
      </c>
    </row>
    <row r="9501" spans="1:1" ht="12.75" customHeight="1">
      <c r="A9501" s="129">
        <v>9501</v>
      </c>
    </row>
    <row r="9502" spans="1:1" ht="12.75" customHeight="1">
      <c r="A9502" s="129">
        <v>9502</v>
      </c>
    </row>
    <row r="9503" spans="1:1" ht="12.75" customHeight="1">
      <c r="A9503" s="129">
        <v>9503</v>
      </c>
    </row>
    <row r="9504" spans="1:1" ht="12.75" customHeight="1">
      <c r="A9504" s="129">
        <v>9504</v>
      </c>
    </row>
    <row r="9505" spans="1:1" ht="12.75" customHeight="1">
      <c r="A9505" s="129">
        <v>9505</v>
      </c>
    </row>
    <row r="9506" spans="1:1" ht="12.75" customHeight="1">
      <c r="A9506" s="129">
        <v>9506</v>
      </c>
    </row>
    <row r="9507" spans="1:1" ht="12.75" customHeight="1">
      <c r="A9507" s="129">
        <v>9507</v>
      </c>
    </row>
    <row r="9508" spans="1:1" ht="12.75" customHeight="1">
      <c r="A9508" s="129">
        <v>9508</v>
      </c>
    </row>
    <row r="9509" spans="1:1" ht="12.75" customHeight="1">
      <c r="A9509" s="129">
        <v>9509</v>
      </c>
    </row>
    <row r="9510" spans="1:1" ht="12.75" customHeight="1">
      <c r="A9510" s="129">
        <v>9510</v>
      </c>
    </row>
    <row r="9511" spans="1:1" ht="12.75" customHeight="1">
      <c r="A9511" s="129">
        <v>9511</v>
      </c>
    </row>
    <row r="9512" spans="1:1" ht="12.75" customHeight="1">
      <c r="A9512" s="129">
        <v>9512</v>
      </c>
    </row>
    <row r="9513" spans="1:1" ht="12.75" customHeight="1">
      <c r="A9513" s="129">
        <v>9513</v>
      </c>
    </row>
    <row r="9514" spans="1:1" ht="12.75" customHeight="1">
      <c r="A9514" s="129">
        <v>9514</v>
      </c>
    </row>
    <row r="9515" spans="1:1" ht="12.75" customHeight="1">
      <c r="A9515" s="129">
        <v>9515</v>
      </c>
    </row>
    <row r="9516" spans="1:1" ht="12.75" customHeight="1">
      <c r="A9516" s="129">
        <v>9516</v>
      </c>
    </row>
    <row r="9517" spans="1:1" ht="12.75" customHeight="1">
      <c r="A9517" s="129">
        <v>9517</v>
      </c>
    </row>
    <row r="9518" spans="1:1" ht="12.75" customHeight="1">
      <c r="A9518" s="129">
        <v>9518</v>
      </c>
    </row>
    <row r="9519" spans="1:1" ht="12.75" customHeight="1">
      <c r="A9519" s="129">
        <v>9519</v>
      </c>
    </row>
    <row r="9520" spans="1:1" ht="12.75" customHeight="1">
      <c r="A9520" s="129">
        <v>9520</v>
      </c>
    </row>
    <row r="9521" spans="1:1" ht="12.75" customHeight="1">
      <c r="A9521" s="129">
        <v>9521</v>
      </c>
    </row>
    <row r="9522" spans="1:1" ht="12.75" customHeight="1">
      <c r="A9522" s="129">
        <v>9522</v>
      </c>
    </row>
    <row r="9523" spans="1:1" ht="12.75" customHeight="1">
      <c r="A9523" s="129">
        <v>9523</v>
      </c>
    </row>
    <row r="9524" spans="1:1" ht="12.75" customHeight="1">
      <c r="A9524" s="129">
        <v>9524</v>
      </c>
    </row>
    <row r="9525" spans="1:1" ht="12.75" customHeight="1">
      <c r="A9525" s="129">
        <v>9525</v>
      </c>
    </row>
    <row r="9526" spans="1:1" ht="12.75" customHeight="1">
      <c r="A9526" s="129">
        <v>9526</v>
      </c>
    </row>
    <row r="9527" spans="1:1" ht="12.75" customHeight="1">
      <c r="A9527" s="129">
        <v>9527</v>
      </c>
    </row>
    <row r="9528" spans="1:1" ht="12.75" customHeight="1">
      <c r="A9528" s="129">
        <v>9528</v>
      </c>
    </row>
    <row r="9529" spans="1:1" ht="12.75" customHeight="1">
      <c r="A9529" s="129">
        <v>9529</v>
      </c>
    </row>
    <row r="9530" spans="1:1" ht="12.75" customHeight="1">
      <c r="A9530" s="129">
        <v>9530</v>
      </c>
    </row>
    <row r="9531" spans="1:1" ht="12.75" customHeight="1">
      <c r="A9531" s="129">
        <v>9531</v>
      </c>
    </row>
    <row r="9532" spans="1:1" ht="12.75" customHeight="1">
      <c r="A9532" s="129">
        <v>9532</v>
      </c>
    </row>
    <row r="9533" spans="1:1" ht="12.75" customHeight="1">
      <c r="A9533" s="129">
        <v>9533</v>
      </c>
    </row>
    <row r="9534" spans="1:1" ht="12.75" customHeight="1">
      <c r="A9534" s="129">
        <v>9534</v>
      </c>
    </row>
    <row r="9535" spans="1:1" ht="12.75" customHeight="1">
      <c r="A9535" s="129">
        <v>9535</v>
      </c>
    </row>
    <row r="9536" spans="1:1" ht="12.75" customHeight="1">
      <c r="A9536" s="129">
        <v>9536</v>
      </c>
    </row>
    <row r="9537" spans="1:1" ht="12.75" customHeight="1">
      <c r="A9537" s="129">
        <v>9537</v>
      </c>
    </row>
    <row r="9538" spans="1:1" ht="12.75" customHeight="1">
      <c r="A9538" s="129">
        <v>9538</v>
      </c>
    </row>
    <row r="9539" spans="1:1" ht="12.75" customHeight="1">
      <c r="A9539" s="129">
        <v>9539</v>
      </c>
    </row>
    <row r="9540" spans="1:1" ht="12.75" customHeight="1">
      <c r="A9540" s="129">
        <v>9540</v>
      </c>
    </row>
    <row r="9541" spans="1:1" ht="12.75" customHeight="1">
      <c r="A9541" s="129">
        <v>9541</v>
      </c>
    </row>
    <row r="9542" spans="1:1" ht="12.75" customHeight="1">
      <c r="A9542" s="129">
        <v>9542</v>
      </c>
    </row>
    <row r="9543" spans="1:1" ht="12.75" customHeight="1">
      <c r="A9543" s="129">
        <v>9543</v>
      </c>
    </row>
    <row r="9544" spans="1:1" ht="12.75" customHeight="1">
      <c r="A9544" s="129">
        <v>9544</v>
      </c>
    </row>
    <row r="9545" spans="1:1" ht="12.75" customHeight="1">
      <c r="A9545" s="129">
        <v>9545</v>
      </c>
    </row>
    <row r="9546" spans="1:1" ht="12.75" customHeight="1">
      <c r="A9546" s="129">
        <v>9546</v>
      </c>
    </row>
    <row r="9547" spans="1:1" ht="12.75" customHeight="1">
      <c r="A9547" s="129">
        <v>9547</v>
      </c>
    </row>
    <row r="9548" spans="1:1" ht="12.75" customHeight="1">
      <c r="A9548" s="129">
        <v>9548</v>
      </c>
    </row>
    <row r="9549" spans="1:1" ht="12.75" customHeight="1">
      <c r="A9549" s="129">
        <v>9549</v>
      </c>
    </row>
    <row r="9550" spans="1:1" ht="12.75" customHeight="1">
      <c r="A9550" s="129">
        <v>9550</v>
      </c>
    </row>
    <row r="9551" spans="1:1" ht="12.75" customHeight="1">
      <c r="A9551" s="129">
        <v>9551</v>
      </c>
    </row>
    <row r="9552" spans="1:1" ht="12.75" customHeight="1">
      <c r="A9552" s="129">
        <v>9552</v>
      </c>
    </row>
    <row r="9553" spans="1:1" ht="12.75" customHeight="1">
      <c r="A9553" s="129">
        <v>9553</v>
      </c>
    </row>
    <row r="9554" spans="1:1" ht="12.75" customHeight="1">
      <c r="A9554" s="129">
        <v>9554</v>
      </c>
    </row>
    <row r="9555" spans="1:1" ht="12.75" customHeight="1">
      <c r="A9555" s="129">
        <v>9555</v>
      </c>
    </row>
    <row r="9556" spans="1:1" ht="12.75" customHeight="1">
      <c r="A9556" s="129">
        <v>9556</v>
      </c>
    </row>
    <row r="9557" spans="1:1" ht="12.75" customHeight="1">
      <c r="A9557" s="129">
        <v>9557</v>
      </c>
    </row>
    <row r="9558" spans="1:1" ht="12.75" customHeight="1">
      <c r="A9558" s="129">
        <v>9558</v>
      </c>
    </row>
    <row r="9559" spans="1:1" ht="12.75" customHeight="1">
      <c r="A9559" s="129">
        <v>9559</v>
      </c>
    </row>
    <row r="9560" spans="1:1" ht="12.75" customHeight="1">
      <c r="A9560" s="129">
        <v>9560</v>
      </c>
    </row>
    <row r="9561" spans="1:1" ht="12.75" customHeight="1">
      <c r="A9561" s="129">
        <v>9561</v>
      </c>
    </row>
    <row r="9562" spans="1:1" ht="12.75" customHeight="1">
      <c r="A9562" s="129">
        <v>9562</v>
      </c>
    </row>
    <row r="9563" spans="1:1" ht="12.75" customHeight="1">
      <c r="A9563" s="129">
        <v>9563</v>
      </c>
    </row>
    <row r="9564" spans="1:1" ht="12.75" customHeight="1">
      <c r="A9564" s="129">
        <v>9564</v>
      </c>
    </row>
    <row r="9565" spans="1:1" ht="12.75" customHeight="1">
      <c r="A9565" s="129">
        <v>9565</v>
      </c>
    </row>
    <row r="9566" spans="1:1" ht="12.75" customHeight="1">
      <c r="A9566" s="129">
        <v>9566</v>
      </c>
    </row>
    <row r="9567" spans="1:1" ht="12.75" customHeight="1">
      <c r="A9567" s="129">
        <v>9567</v>
      </c>
    </row>
    <row r="9568" spans="1:1" ht="12.75" customHeight="1">
      <c r="A9568" s="129">
        <v>9568</v>
      </c>
    </row>
    <row r="9569" spans="1:1" ht="12.75" customHeight="1">
      <c r="A9569" s="129">
        <v>9569</v>
      </c>
    </row>
    <row r="9570" spans="1:1" ht="12.75" customHeight="1">
      <c r="A9570" s="129">
        <v>9570</v>
      </c>
    </row>
    <row r="9571" spans="1:1" ht="12.75" customHeight="1">
      <c r="A9571" s="129">
        <v>9571</v>
      </c>
    </row>
    <row r="9572" spans="1:1" ht="12.75" customHeight="1">
      <c r="A9572" s="129">
        <v>9572</v>
      </c>
    </row>
    <row r="9573" spans="1:1" ht="12.75" customHeight="1">
      <c r="A9573" s="129">
        <v>9573</v>
      </c>
    </row>
    <row r="9574" spans="1:1" ht="12.75" customHeight="1">
      <c r="A9574" s="129">
        <v>9574</v>
      </c>
    </row>
    <row r="9575" spans="1:1" ht="12.75" customHeight="1">
      <c r="A9575" s="129">
        <v>9575</v>
      </c>
    </row>
    <row r="9576" spans="1:1" ht="12.75" customHeight="1">
      <c r="A9576" s="129">
        <v>9576</v>
      </c>
    </row>
    <row r="9577" spans="1:1" ht="12.75" customHeight="1">
      <c r="A9577" s="129">
        <v>9577</v>
      </c>
    </row>
    <row r="9578" spans="1:1" ht="12.75" customHeight="1">
      <c r="A9578" s="129">
        <v>9578</v>
      </c>
    </row>
    <row r="9579" spans="1:1" ht="12.75" customHeight="1">
      <c r="A9579" s="129">
        <v>9579</v>
      </c>
    </row>
    <row r="9580" spans="1:1" ht="12.75" customHeight="1">
      <c r="A9580" s="129">
        <v>9580</v>
      </c>
    </row>
    <row r="9581" spans="1:1" ht="12.75" customHeight="1">
      <c r="A9581" s="129">
        <v>9581</v>
      </c>
    </row>
    <row r="9582" spans="1:1" ht="12.75" customHeight="1">
      <c r="A9582" s="129">
        <v>9582</v>
      </c>
    </row>
    <row r="9583" spans="1:1" ht="12.75" customHeight="1">
      <c r="A9583" s="129">
        <v>9583</v>
      </c>
    </row>
    <row r="9584" spans="1:1" ht="12.75" customHeight="1">
      <c r="A9584" s="129">
        <v>9584</v>
      </c>
    </row>
    <row r="9585" spans="1:1" ht="12.75" customHeight="1">
      <c r="A9585" s="129">
        <v>9585</v>
      </c>
    </row>
    <row r="9586" spans="1:1" ht="12.75" customHeight="1">
      <c r="A9586" s="129">
        <v>9586</v>
      </c>
    </row>
    <row r="9587" spans="1:1" ht="12.75" customHeight="1">
      <c r="A9587" s="129">
        <v>9587</v>
      </c>
    </row>
    <row r="9588" spans="1:1" ht="12.75" customHeight="1">
      <c r="A9588" s="129">
        <v>9588</v>
      </c>
    </row>
    <row r="9589" spans="1:1" ht="12.75" customHeight="1">
      <c r="A9589" s="129">
        <v>9589</v>
      </c>
    </row>
    <row r="9590" spans="1:1" ht="12.75" customHeight="1">
      <c r="A9590" s="129">
        <v>9590</v>
      </c>
    </row>
    <row r="9591" spans="1:1" ht="12.75" customHeight="1">
      <c r="A9591" s="129">
        <v>9591</v>
      </c>
    </row>
    <row r="9592" spans="1:1" ht="12.75" customHeight="1">
      <c r="A9592" s="129">
        <v>9592</v>
      </c>
    </row>
    <row r="9593" spans="1:1" ht="12.75" customHeight="1">
      <c r="A9593" s="129">
        <v>9593</v>
      </c>
    </row>
    <row r="9594" spans="1:1" ht="12.75" customHeight="1">
      <c r="A9594" s="129">
        <v>9594</v>
      </c>
    </row>
    <row r="9595" spans="1:1" ht="12.75" customHeight="1">
      <c r="A9595" s="129">
        <v>9595</v>
      </c>
    </row>
    <row r="9596" spans="1:1" ht="12.75" customHeight="1">
      <c r="A9596" s="129">
        <v>9596</v>
      </c>
    </row>
    <row r="9597" spans="1:1" ht="12.75" customHeight="1">
      <c r="A9597" s="129">
        <v>9597</v>
      </c>
    </row>
    <row r="9598" spans="1:1" ht="12.75" customHeight="1">
      <c r="A9598" s="129">
        <v>9598</v>
      </c>
    </row>
    <row r="9599" spans="1:1" ht="12.75" customHeight="1">
      <c r="A9599" s="129">
        <v>9599</v>
      </c>
    </row>
    <row r="9600" spans="1:1" ht="12.75" customHeight="1">
      <c r="A9600" s="129">
        <v>9600</v>
      </c>
    </row>
    <row r="9601" spans="1:1" ht="12.75" customHeight="1">
      <c r="A9601" s="129">
        <v>9601</v>
      </c>
    </row>
    <row r="9602" spans="1:1" ht="12.75" customHeight="1">
      <c r="A9602" s="129">
        <v>9602</v>
      </c>
    </row>
    <row r="9603" spans="1:1" ht="12.75" customHeight="1">
      <c r="A9603" s="129">
        <v>9603</v>
      </c>
    </row>
    <row r="9604" spans="1:1" ht="12.75" customHeight="1">
      <c r="A9604" s="129">
        <v>9604</v>
      </c>
    </row>
    <row r="9605" spans="1:1" ht="12.75" customHeight="1">
      <c r="A9605" s="129">
        <v>9605</v>
      </c>
    </row>
    <row r="9606" spans="1:1" ht="12.75" customHeight="1">
      <c r="A9606" s="129">
        <v>9606</v>
      </c>
    </row>
    <row r="9607" spans="1:1" ht="12.75" customHeight="1">
      <c r="A9607" s="129">
        <v>9607</v>
      </c>
    </row>
    <row r="9608" spans="1:1" ht="12.75" customHeight="1">
      <c r="A9608" s="129">
        <v>9608</v>
      </c>
    </row>
    <row r="9609" spans="1:1" ht="12.75" customHeight="1">
      <c r="A9609" s="129">
        <v>9609</v>
      </c>
    </row>
    <row r="9610" spans="1:1" ht="12.75" customHeight="1">
      <c r="A9610" s="129">
        <v>9610</v>
      </c>
    </row>
    <row r="9611" spans="1:1" ht="12.75" customHeight="1">
      <c r="A9611" s="129">
        <v>9611</v>
      </c>
    </row>
    <row r="9612" spans="1:1" ht="12.75" customHeight="1">
      <c r="A9612" s="129">
        <v>9612</v>
      </c>
    </row>
    <row r="9613" spans="1:1" ht="12.75" customHeight="1">
      <c r="A9613" s="129">
        <v>9613</v>
      </c>
    </row>
    <row r="9614" spans="1:1" ht="12.75" customHeight="1">
      <c r="A9614" s="129">
        <v>9614</v>
      </c>
    </row>
    <row r="9615" spans="1:1" ht="12.75" customHeight="1">
      <c r="A9615" s="129">
        <v>9615</v>
      </c>
    </row>
    <row r="9616" spans="1:1" ht="12.75" customHeight="1">
      <c r="A9616" s="129">
        <v>9616</v>
      </c>
    </row>
    <row r="9617" spans="1:1" ht="12.75" customHeight="1">
      <c r="A9617" s="129">
        <v>9617</v>
      </c>
    </row>
    <row r="9618" spans="1:1" ht="12.75" customHeight="1">
      <c r="A9618" s="129">
        <v>9618</v>
      </c>
    </row>
    <row r="9619" spans="1:1" ht="12.75" customHeight="1">
      <c r="A9619" s="129">
        <v>9619</v>
      </c>
    </row>
    <row r="9620" spans="1:1" ht="12.75" customHeight="1">
      <c r="A9620" s="129">
        <v>9620</v>
      </c>
    </row>
    <row r="9621" spans="1:1" ht="12.75" customHeight="1">
      <c r="A9621" s="129">
        <v>9621</v>
      </c>
    </row>
    <row r="9622" spans="1:1" ht="12.75" customHeight="1">
      <c r="A9622" s="129">
        <v>9622</v>
      </c>
    </row>
    <row r="9623" spans="1:1" ht="12.75" customHeight="1">
      <c r="A9623" s="129">
        <v>9623</v>
      </c>
    </row>
    <row r="9624" spans="1:1" ht="12.75" customHeight="1">
      <c r="A9624" s="129">
        <v>9624</v>
      </c>
    </row>
    <row r="9625" spans="1:1" ht="12.75" customHeight="1">
      <c r="A9625" s="129">
        <v>9625</v>
      </c>
    </row>
    <row r="9626" spans="1:1" ht="12.75" customHeight="1">
      <c r="A9626" s="129">
        <v>9626</v>
      </c>
    </row>
    <row r="9627" spans="1:1" ht="12.75" customHeight="1">
      <c r="A9627" s="129">
        <v>9627</v>
      </c>
    </row>
    <row r="9628" spans="1:1" ht="12.75" customHeight="1">
      <c r="A9628" s="129">
        <v>9628</v>
      </c>
    </row>
    <row r="9629" spans="1:1" ht="12.75" customHeight="1">
      <c r="A9629" s="129">
        <v>9629</v>
      </c>
    </row>
    <row r="9630" spans="1:1" ht="12.75" customHeight="1">
      <c r="A9630" s="129">
        <v>9630</v>
      </c>
    </row>
    <row r="9631" spans="1:1" ht="12.75" customHeight="1">
      <c r="A9631" s="129">
        <v>9631</v>
      </c>
    </row>
    <row r="9632" spans="1:1" ht="12.75" customHeight="1">
      <c r="A9632" s="129">
        <v>9632</v>
      </c>
    </row>
    <row r="9633" spans="1:1" ht="12.75" customHeight="1">
      <c r="A9633" s="129">
        <v>9633</v>
      </c>
    </row>
    <row r="9634" spans="1:1" ht="12.75" customHeight="1">
      <c r="A9634" s="129">
        <v>9634</v>
      </c>
    </row>
    <row r="9635" spans="1:1" ht="12.75" customHeight="1">
      <c r="A9635" s="129">
        <v>9635</v>
      </c>
    </row>
    <row r="9636" spans="1:1" ht="12.75" customHeight="1">
      <c r="A9636" s="129">
        <v>9636</v>
      </c>
    </row>
    <row r="9637" spans="1:1" ht="12.75" customHeight="1">
      <c r="A9637" s="129">
        <v>9637</v>
      </c>
    </row>
    <row r="9638" spans="1:1" ht="12.75" customHeight="1">
      <c r="A9638" s="129">
        <v>9638</v>
      </c>
    </row>
    <row r="9639" spans="1:1" ht="12.75" customHeight="1">
      <c r="A9639" s="129">
        <v>9639</v>
      </c>
    </row>
    <row r="9640" spans="1:1" ht="12.75" customHeight="1">
      <c r="A9640" s="129">
        <v>9640</v>
      </c>
    </row>
    <row r="9641" spans="1:1" ht="12.75" customHeight="1">
      <c r="A9641" s="129">
        <v>9641</v>
      </c>
    </row>
    <row r="9642" spans="1:1" ht="12.75" customHeight="1">
      <c r="A9642" s="129">
        <v>9642</v>
      </c>
    </row>
    <row r="9643" spans="1:1" ht="12.75" customHeight="1">
      <c r="A9643" s="129">
        <v>9643</v>
      </c>
    </row>
    <row r="9644" spans="1:1" ht="12.75" customHeight="1">
      <c r="A9644" s="129">
        <v>9644</v>
      </c>
    </row>
    <row r="9645" spans="1:1" ht="12.75" customHeight="1">
      <c r="A9645" s="129">
        <v>9645</v>
      </c>
    </row>
    <row r="9646" spans="1:1" ht="12.75" customHeight="1">
      <c r="A9646" s="129">
        <v>9646</v>
      </c>
    </row>
    <row r="9647" spans="1:1" ht="12.75" customHeight="1">
      <c r="A9647" s="129">
        <v>9647</v>
      </c>
    </row>
    <row r="9648" spans="1:1" ht="12.75" customHeight="1">
      <c r="A9648" s="129">
        <v>9648</v>
      </c>
    </row>
    <row r="9649" spans="1:1" ht="12.75" customHeight="1">
      <c r="A9649" s="129">
        <v>9649</v>
      </c>
    </row>
    <row r="9650" spans="1:1" ht="12.75" customHeight="1">
      <c r="A9650" s="129">
        <v>9650</v>
      </c>
    </row>
    <row r="9651" spans="1:1" ht="12.75" customHeight="1">
      <c r="A9651" s="129">
        <v>9651</v>
      </c>
    </row>
    <row r="9652" spans="1:1" ht="12.75" customHeight="1">
      <c r="A9652" s="129">
        <v>9652</v>
      </c>
    </row>
    <row r="9653" spans="1:1" ht="12.75" customHeight="1">
      <c r="A9653" s="129">
        <v>9653</v>
      </c>
    </row>
    <row r="9654" spans="1:1" ht="12.75" customHeight="1">
      <c r="A9654" s="129">
        <v>9654</v>
      </c>
    </row>
    <row r="9655" spans="1:1" ht="12.75" customHeight="1">
      <c r="A9655" s="129">
        <v>9655</v>
      </c>
    </row>
    <row r="9656" spans="1:1" ht="12.75" customHeight="1">
      <c r="A9656" s="129">
        <v>9656</v>
      </c>
    </row>
    <row r="9657" spans="1:1" ht="12.75" customHeight="1">
      <c r="A9657" s="129">
        <v>9657</v>
      </c>
    </row>
    <row r="9658" spans="1:1" ht="12.75" customHeight="1">
      <c r="A9658" s="129">
        <v>9658</v>
      </c>
    </row>
    <row r="9659" spans="1:1" ht="12.75" customHeight="1">
      <c r="A9659" s="129">
        <v>9659</v>
      </c>
    </row>
    <row r="9660" spans="1:1" ht="12.75" customHeight="1">
      <c r="A9660" s="129">
        <v>9660</v>
      </c>
    </row>
    <row r="9661" spans="1:1" ht="12.75" customHeight="1">
      <c r="A9661" s="129">
        <v>9661</v>
      </c>
    </row>
    <row r="9662" spans="1:1" ht="12.75" customHeight="1">
      <c r="A9662" s="129">
        <v>9662</v>
      </c>
    </row>
    <row r="9663" spans="1:1" ht="12.75" customHeight="1">
      <c r="A9663" s="129">
        <v>9663</v>
      </c>
    </row>
    <row r="9664" spans="1:1" ht="12.75" customHeight="1">
      <c r="A9664" s="129">
        <v>9664</v>
      </c>
    </row>
    <row r="9665" spans="1:1" ht="12.75" customHeight="1">
      <c r="A9665" s="129">
        <v>9665</v>
      </c>
    </row>
    <row r="9666" spans="1:1" ht="12.75" customHeight="1">
      <c r="A9666" s="129">
        <v>9666</v>
      </c>
    </row>
    <row r="9667" spans="1:1" ht="12.75" customHeight="1">
      <c r="A9667" s="129">
        <v>9667</v>
      </c>
    </row>
    <row r="9668" spans="1:1" ht="12.75" customHeight="1">
      <c r="A9668" s="129">
        <v>9668</v>
      </c>
    </row>
    <row r="9669" spans="1:1" ht="12.75" customHeight="1">
      <c r="A9669" s="129">
        <v>9669</v>
      </c>
    </row>
    <row r="9670" spans="1:1" ht="12.75" customHeight="1">
      <c r="A9670" s="129">
        <v>9670</v>
      </c>
    </row>
    <row r="9671" spans="1:1" ht="12.75" customHeight="1">
      <c r="A9671" s="129">
        <v>9671</v>
      </c>
    </row>
    <row r="9672" spans="1:1" ht="12.75" customHeight="1">
      <c r="A9672" s="129">
        <v>9672</v>
      </c>
    </row>
    <row r="9673" spans="1:1" ht="12.75" customHeight="1">
      <c r="A9673" s="129">
        <v>9673</v>
      </c>
    </row>
    <row r="9674" spans="1:1" ht="12.75" customHeight="1">
      <c r="A9674" s="129">
        <v>9674</v>
      </c>
    </row>
    <row r="9675" spans="1:1" ht="12.75" customHeight="1">
      <c r="A9675" s="129">
        <v>9675</v>
      </c>
    </row>
    <row r="9676" spans="1:1" ht="12.75" customHeight="1">
      <c r="A9676" s="129">
        <v>9676</v>
      </c>
    </row>
    <row r="9677" spans="1:1" ht="12.75" customHeight="1">
      <c r="A9677" s="129">
        <v>9677</v>
      </c>
    </row>
    <row r="9678" spans="1:1" ht="12.75" customHeight="1">
      <c r="A9678" s="129">
        <v>9678</v>
      </c>
    </row>
    <row r="9679" spans="1:1" ht="12.75" customHeight="1">
      <c r="A9679" s="129">
        <v>9679</v>
      </c>
    </row>
    <row r="9680" spans="1:1" ht="12.75" customHeight="1">
      <c r="A9680" s="129">
        <v>9680</v>
      </c>
    </row>
    <row r="9681" spans="1:1" ht="12.75" customHeight="1">
      <c r="A9681" s="129">
        <v>9681</v>
      </c>
    </row>
    <row r="9682" spans="1:1" ht="12.75" customHeight="1">
      <c r="A9682" s="129">
        <v>9682</v>
      </c>
    </row>
    <row r="9683" spans="1:1" ht="12.75" customHeight="1">
      <c r="A9683" s="129">
        <v>9683</v>
      </c>
    </row>
    <row r="9684" spans="1:1" ht="12.75" customHeight="1">
      <c r="A9684" s="129">
        <v>9684</v>
      </c>
    </row>
    <row r="9685" spans="1:1" ht="12.75" customHeight="1">
      <c r="A9685" s="129">
        <v>9685</v>
      </c>
    </row>
    <row r="9686" spans="1:1" ht="12.75" customHeight="1">
      <c r="A9686" s="129">
        <v>9686</v>
      </c>
    </row>
    <row r="9687" spans="1:1" ht="12.75" customHeight="1">
      <c r="A9687" s="129">
        <v>9687</v>
      </c>
    </row>
    <row r="9688" spans="1:1" ht="12.75" customHeight="1">
      <c r="A9688" s="129">
        <v>9688</v>
      </c>
    </row>
    <row r="9689" spans="1:1" ht="12.75" customHeight="1">
      <c r="A9689" s="129">
        <v>9689</v>
      </c>
    </row>
    <row r="9690" spans="1:1" ht="12.75" customHeight="1">
      <c r="A9690" s="129">
        <v>9690</v>
      </c>
    </row>
    <row r="9691" spans="1:1" ht="12.75" customHeight="1">
      <c r="A9691" s="129">
        <v>9691</v>
      </c>
    </row>
    <row r="9692" spans="1:1" ht="12.75" customHeight="1">
      <c r="A9692" s="129">
        <v>9692</v>
      </c>
    </row>
    <row r="9693" spans="1:1" ht="12.75" customHeight="1">
      <c r="A9693" s="129">
        <v>9693</v>
      </c>
    </row>
    <row r="9694" spans="1:1" ht="12.75" customHeight="1">
      <c r="A9694" s="129">
        <v>9694</v>
      </c>
    </row>
    <row r="9695" spans="1:1" ht="12.75" customHeight="1">
      <c r="A9695" s="129">
        <v>9695</v>
      </c>
    </row>
    <row r="9696" spans="1:1" ht="12.75" customHeight="1">
      <c r="A9696" s="129">
        <v>9696</v>
      </c>
    </row>
    <row r="9697" spans="1:1" ht="12.75" customHeight="1">
      <c r="A9697" s="129">
        <v>9697</v>
      </c>
    </row>
    <row r="9698" spans="1:1" ht="12.75" customHeight="1">
      <c r="A9698" s="129">
        <v>9698</v>
      </c>
    </row>
    <row r="9699" spans="1:1" ht="12.75" customHeight="1">
      <c r="A9699" s="129">
        <v>9699</v>
      </c>
    </row>
    <row r="9700" spans="1:1" ht="12.75" customHeight="1">
      <c r="A9700" s="129">
        <v>9700</v>
      </c>
    </row>
    <row r="9701" spans="1:1" ht="12.75" customHeight="1">
      <c r="A9701" s="129">
        <v>9701</v>
      </c>
    </row>
    <row r="9702" spans="1:1" ht="12.75" customHeight="1">
      <c r="A9702" s="129">
        <v>9702</v>
      </c>
    </row>
    <row r="9703" spans="1:1" ht="12.75" customHeight="1">
      <c r="A9703" s="129">
        <v>9703</v>
      </c>
    </row>
    <row r="9704" spans="1:1" ht="12.75" customHeight="1">
      <c r="A9704" s="129">
        <v>9704</v>
      </c>
    </row>
    <row r="9705" spans="1:1" ht="12.75" customHeight="1">
      <c r="A9705" s="129">
        <v>9705</v>
      </c>
    </row>
    <row r="9706" spans="1:1" ht="12.75" customHeight="1">
      <c r="A9706" s="129">
        <v>9706</v>
      </c>
    </row>
    <row r="9707" spans="1:1" ht="12.75" customHeight="1">
      <c r="A9707" s="129">
        <v>9707</v>
      </c>
    </row>
    <row r="9708" spans="1:1" ht="12.75" customHeight="1">
      <c r="A9708" s="129">
        <v>9708</v>
      </c>
    </row>
    <row r="9709" spans="1:1" ht="12.75" customHeight="1">
      <c r="A9709" s="129">
        <v>9709</v>
      </c>
    </row>
    <row r="9710" spans="1:1" ht="12.75" customHeight="1">
      <c r="A9710" s="129">
        <v>9710</v>
      </c>
    </row>
    <row r="9711" spans="1:1" ht="12.75" customHeight="1">
      <c r="A9711" s="129">
        <v>9711</v>
      </c>
    </row>
    <row r="9712" spans="1:1" ht="12.75" customHeight="1">
      <c r="A9712" s="129">
        <v>9712</v>
      </c>
    </row>
    <row r="9713" spans="1:1" ht="12.75" customHeight="1">
      <c r="A9713" s="129">
        <v>9713</v>
      </c>
    </row>
    <row r="9714" spans="1:1" ht="12.75" customHeight="1">
      <c r="A9714" s="129">
        <v>9714</v>
      </c>
    </row>
    <row r="9715" spans="1:1" ht="12.75" customHeight="1">
      <c r="A9715" s="129">
        <v>9715</v>
      </c>
    </row>
    <row r="9716" spans="1:1" ht="12.75" customHeight="1">
      <c r="A9716" s="129">
        <v>9716</v>
      </c>
    </row>
    <row r="9717" spans="1:1" ht="12.75" customHeight="1">
      <c r="A9717" s="129">
        <v>9717</v>
      </c>
    </row>
    <row r="9718" spans="1:1" ht="12.75" customHeight="1">
      <c r="A9718" s="129">
        <v>9718</v>
      </c>
    </row>
    <row r="9719" spans="1:1" ht="12.75" customHeight="1">
      <c r="A9719" s="129">
        <v>9719</v>
      </c>
    </row>
    <row r="9720" spans="1:1" ht="12.75" customHeight="1">
      <c r="A9720" s="129">
        <v>9720</v>
      </c>
    </row>
    <row r="9721" spans="1:1" ht="12.75" customHeight="1">
      <c r="A9721" s="129">
        <v>9721</v>
      </c>
    </row>
    <row r="9722" spans="1:1" ht="12.75" customHeight="1">
      <c r="A9722" s="129">
        <v>9722</v>
      </c>
    </row>
    <row r="9723" spans="1:1" ht="12.75" customHeight="1">
      <c r="A9723" s="129">
        <v>9723</v>
      </c>
    </row>
    <row r="9724" spans="1:1" ht="12.75" customHeight="1">
      <c r="A9724" s="129">
        <v>9724</v>
      </c>
    </row>
    <row r="9725" spans="1:1" ht="12.75" customHeight="1">
      <c r="A9725" s="129">
        <v>9725</v>
      </c>
    </row>
    <row r="9726" spans="1:1" ht="12.75" customHeight="1">
      <c r="A9726" s="129">
        <v>9726</v>
      </c>
    </row>
    <row r="9727" spans="1:1" ht="12.75" customHeight="1">
      <c r="A9727" s="129">
        <v>9727</v>
      </c>
    </row>
    <row r="9728" spans="1:1" ht="12.75" customHeight="1">
      <c r="A9728" s="129">
        <v>9728</v>
      </c>
    </row>
    <row r="9729" spans="1:1" ht="12.75" customHeight="1">
      <c r="A9729" s="129">
        <v>9729</v>
      </c>
    </row>
    <row r="9730" spans="1:1" ht="12.75" customHeight="1">
      <c r="A9730" s="129">
        <v>9730</v>
      </c>
    </row>
    <row r="9731" spans="1:1" ht="12.75" customHeight="1">
      <c r="A9731" s="129">
        <v>9731</v>
      </c>
    </row>
    <row r="9732" spans="1:1" ht="12.75" customHeight="1">
      <c r="A9732" s="129">
        <v>9732</v>
      </c>
    </row>
    <row r="9733" spans="1:1" ht="12.75" customHeight="1">
      <c r="A9733" s="129">
        <v>9733</v>
      </c>
    </row>
    <row r="9734" spans="1:1" ht="12.75" customHeight="1">
      <c r="A9734" s="129">
        <v>9734</v>
      </c>
    </row>
    <row r="9735" spans="1:1" ht="12.75" customHeight="1">
      <c r="A9735" s="129">
        <v>9735</v>
      </c>
    </row>
    <row r="9736" spans="1:1" ht="12.75" customHeight="1">
      <c r="A9736" s="129">
        <v>9736</v>
      </c>
    </row>
    <row r="9737" spans="1:1" ht="12.75" customHeight="1">
      <c r="A9737" s="129">
        <v>9737</v>
      </c>
    </row>
    <row r="9738" spans="1:1" ht="12.75" customHeight="1">
      <c r="A9738" s="129">
        <v>9738</v>
      </c>
    </row>
    <row r="9739" spans="1:1" ht="12.75" customHeight="1">
      <c r="A9739" s="129">
        <v>9739</v>
      </c>
    </row>
    <row r="9740" spans="1:1" ht="12.75" customHeight="1">
      <c r="A9740" s="129">
        <v>9740</v>
      </c>
    </row>
    <row r="9741" spans="1:1" ht="12.75" customHeight="1">
      <c r="A9741" s="129">
        <v>9741</v>
      </c>
    </row>
    <row r="9742" spans="1:1" ht="12.75" customHeight="1">
      <c r="A9742" s="129">
        <v>9742</v>
      </c>
    </row>
    <row r="9743" spans="1:1" ht="12.75" customHeight="1">
      <c r="A9743" s="129">
        <v>9743</v>
      </c>
    </row>
    <row r="9744" spans="1:1" ht="12.75" customHeight="1">
      <c r="A9744" s="129">
        <v>9744</v>
      </c>
    </row>
    <row r="9745" spans="1:1" ht="12.75" customHeight="1">
      <c r="A9745" s="129">
        <v>9745</v>
      </c>
    </row>
    <row r="9746" spans="1:1" ht="12.75" customHeight="1">
      <c r="A9746" s="129">
        <v>9746</v>
      </c>
    </row>
    <row r="9747" spans="1:1" ht="12.75" customHeight="1">
      <c r="A9747" s="129">
        <v>9747</v>
      </c>
    </row>
    <row r="9748" spans="1:1" ht="12.75" customHeight="1">
      <c r="A9748" s="129">
        <v>9748</v>
      </c>
    </row>
    <row r="9749" spans="1:1" ht="12.75" customHeight="1">
      <c r="A9749" s="129">
        <v>9749</v>
      </c>
    </row>
    <row r="9750" spans="1:1" ht="12.75" customHeight="1">
      <c r="A9750" s="129">
        <v>9750</v>
      </c>
    </row>
    <row r="9751" spans="1:1" ht="12.75" customHeight="1">
      <c r="A9751" s="129">
        <v>9751</v>
      </c>
    </row>
    <row r="9752" spans="1:1" ht="12.75" customHeight="1">
      <c r="A9752" s="129">
        <v>9752</v>
      </c>
    </row>
    <row r="9753" spans="1:1" ht="12.75" customHeight="1">
      <c r="A9753" s="129">
        <v>9753</v>
      </c>
    </row>
    <row r="9754" spans="1:1" ht="12.75" customHeight="1">
      <c r="A9754" s="129">
        <v>9754</v>
      </c>
    </row>
    <row r="9755" spans="1:1" ht="12.75" customHeight="1">
      <c r="A9755" s="129">
        <v>9755</v>
      </c>
    </row>
    <row r="9756" spans="1:1" ht="12.75" customHeight="1">
      <c r="A9756" s="129">
        <v>9756</v>
      </c>
    </row>
    <row r="9757" spans="1:1" ht="12.75" customHeight="1">
      <c r="A9757" s="129">
        <v>9757</v>
      </c>
    </row>
    <row r="9758" spans="1:1" ht="12.75" customHeight="1">
      <c r="A9758" s="129">
        <v>9758</v>
      </c>
    </row>
    <row r="9759" spans="1:1" ht="12.75" customHeight="1">
      <c r="A9759" s="129">
        <v>9759</v>
      </c>
    </row>
    <row r="9760" spans="1:1" ht="12.75" customHeight="1">
      <c r="A9760" s="129">
        <v>9760</v>
      </c>
    </row>
    <row r="9761" spans="1:1" ht="12.75" customHeight="1">
      <c r="A9761" s="129">
        <v>9761</v>
      </c>
    </row>
    <row r="9762" spans="1:1" ht="12.75" customHeight="1">
      <c r="A9762" s="129">
        <v>9762</v>
      </c>
    </row>
    <row r="9763" spans="1:1" ht="12.75" customHeight="1">
      <c r="A9763" s="129">
        <v>9763</v>
      </c>
    </row>
    <row r="9764" spans="1:1" ht="12.75" customHeight="1">
      <c r="A9764" s="129">
        <v>9764</v>
      </c>
    </row>
    <row r="9765" spans="1:1" ht="12.75" customHeight="1">
      <c r="A9765" s="129">
        <v>9765</v>
      </c>
    </row>
    <row r="9766" spans="1:1" ht="12.75" customHeight="1">
      <c r="A9766" s="129">
        <v>9766</v>
      </c>
    </row>
    <row r="9767" spans="1:1" ht="12.75" customHeight="1">
      <c r="A9767" s="129">
        <v>9767</v>
      </c>
    </row>
    <row r="9768" spans="1:1" ht="12.75" customHeight="1">
      <c r="A9768" s="129">
        <v>9768</v>
      </c>
    </row>
    <row r="9769" spans="1:1" ht="12.75" customHeight="1">
      <c r="A9769" s="129">
        <v>9769</v>
      </c>
    </row>
    <row r="9770" spans="1:1" ht="12.75" customHeight="1">
      <c r="A9770" s="129">
        <v>9770</v>
      </c>
    </row>
    <row r="9771" spans="1:1" ht="12.75" customHeight="1">
      <c r="A9771" s="129">
        <v>9771</v>
      </c>
    </row>
    <row r="9772" spans="1:1" ht="12.75" customHeight="1">
      <c r="A9772" s="129">
        <v>9772</v>
      </c>
    </row>
    <row r="9773" spans="1:1" ht="12.75" customHeight="1">
      <c r="A9773" s="129">
        <v>9773</v>
      </c>
    </row>
    <row r="9774" spans="1:1" ht="12.75" customHeight="1">
      <c r="A9774" s="129">
        <v>9774</v>
      </c>
    </row>
    <row r="9775" spans="1:1" ht="12.75" customHeight="1">
      <c r="A9775" s="129">
        <v>9775</v>
      </c>
    </row>
    <row r="9776" spans="1:1" ht="12.75" customHeight="1">
      <c r="A9776" s="129">
        <v>9776</v>
      </c>
    </row>
    <row r="9777" spans="1:1" ht="12.75" customHeight="1">
      <c r="A9777" s="129">
        <v>9777</v>
      </c>
    </row>
    <row r="9778" spans="1:1" ht="12.75" customHeight="1">
      <c r="A9778" s="129">
        <v>9778</v>
      </c>
    </row>
    <row r="9779" spans="1:1" ht="12.75" customHeight="1">
      <c r="A9779" s="129">
        <v>9779</v>
      </c>
    </row>
    <row r="9780" spans="1:1" ht="12.75" customHeight="1">
      <c r="A9780" s="129">
        <v>9780</v>
      </c>
    </row>
    <row r="9781" spans="1:1" ht="12.75" customHeight="1">
      <c r="A9781" s="129">
        <v>9781</v>
      </c>
    </row>
    <row r="9782" spans="1:1" ht="12.75" customHeight="1">
      <c r="A9782" s="129">
        <v>9782</v>
      </c>
    </row>
    <row r="9783" spans="1:1" ht="12.75" customHeight="1">
      <c r="A9783" s="129">
        <v>9783</v>
      </c>
    </row>
    <row r="9784" spans="1:1" ht="12.75" customHeight="1">
      <c r="A9784" s="129">
        <v>9784</v>
      </c>
    </row>
    <row r="9785" spans="1:1" ht="12.75" customHeight="1">
      <c r="A9785" s="129">
        <v>9785</v>
      </c>
    </row>
    <row r="9786" spans="1:1" ht="12.75" customHeight="1">
      <c r="A9786" s="129">
        <v>9786</v>
      </c>
    </row>
    <row r="9787" spans="1:1" ht="12.75" customHeight="1">
      <c r="A9787" s="129">
        <v>9787</v>
      </c>
    </row>
    <row r="9788" spans="1:1" ht="12.75" customHeight="1">
      <c r="A9788" s="129">
        <v>9788</v>
      </c>
    </row>
    <row r="9789" spans="1:1" ht="12.75" customHeight="1">
      <c r="A9789" s="129">
        <v>9789</v>
      </c>
    </row>
    <row r="9790" spans="1:1" ht="12.75" customHeight="1">
      <c r="A9790" s="129">
        <v>9790</v>
      </c>
    </row>
    <row r="9791" spans="1:1" ht="12.75" customHeight="1">
      <c r="A9791" s="129">
        <v>9791</v>
      </c>
    </row>
    <row r="9792" spans="1:1" ht="12.75" customHeight="1">
      <c r="A9792" s="129">
        <v>9792</v>
      </c>
    </row>
    <row r="9793" spans="1:1" ht="12.75" customHeight="1">
      <c r="A9793" s="129">
        <v>9793</v>
      </c>
    </row>
    <row r="9794" spans="1:1" ht="12.75" customHeight="1">
      <c r="A9794" s="129">
        <v>9794</v>
      </c>
    </row>
    <row r="9795" spans="1:1" ht="12.75" customHeight="1">
      <c r="A9795" s="129">
        <v>9795</v>
      </c>
    </row>
    <row r="9796" spans="1:1" ht="12.75" customHeight="1">
      <c r="A9796" s="129">
        <v>9796</v>
      </c>
    </row>
    <row r="9797" spans="1:1" ht="12.75" customHeight="1">
      <c r="A9797" s="129">
        <v>9797</v>
      </c>
    </row>
    <row r="9798" spans="1:1" ht="12.75" customHeight="1">
      <c r="A9798" s="129">
        <v>9798</v>
      </c>
    </row>
    <row r="9799" spans="1:1" ht="12.75" customHeight="1">
      <c r="A9799" s="129">
        <v>9799</v>
      </c>
    </row>
    <row r="9800" spans="1:1" ht="12.75" customHeight="1">
      <c r="A9800" s="129">
        <v>9800</v>
      </c>
    </row>
    <row r="9801" spans="1:1" ht="12.75" customHeight="1">
      <c r="A9801" s="129">
        <v>9801</v>
      </c>
    </row>
    <row r="9802" spans="1:1" ht="12.75" customHeight="1">
      <c r="A9802" s="129">
        <v>9802</v>
      </c>
    </row>
    <row r="9803" spans="1:1" ht="12.75" customHeight="1">
      <c r="A9803" s="129">
        <v>9803</v>
      </c>
    </row>
    <row r="9804" spans="1:1" ht="12.75" customHeight="1">
      <c r="A9804" s="129">
        <v>9804</v>
      </c>
    </row>
    <row r="9805" spans="1:1" ht="12.75" customHeight="1">
      <c r="A9805" s="129">
        <v>9805</v>
      </c>
    </row>
    <row r="9806" spans="1:1" ht="12.75" customHeight="1">
      <c r="A9806" s="129">
        <v>9806</v>
      </c>
    </row>
    <row r="9807" spans="1:1" ht="12.75" customHeight="1">
      <c r="A9807" s="129">
        <v>9807</v>
      </c>
    </row>
    <row r="9808" spans="1:1" ht="12.75" customHeight="1">
      <c r="A9808" s="129">
        <v>9808</v>
      </c>
    </row>
    <row r="9809" spans="1:1" ht="12.75" customHeight="1">
      <c r="A9809" s="129">
        <v>9809</v>
      </c>
    </row>
    <row r="9810" spans="1:1" ht="12.75" customHeight="1">
      <c r="A9810" s="129">
        <v>9810</v>
      </c>
    </row>
    <row r="9811" spans="1:1" ht="12.75" customHeight="1">
      <c r="A9811" s="129">
        <v>9811</v>
      </c>
    </row>
    <row r="9812" spans="1:1" ht="12.75" customHeight="1">
      <c r="A9812" s="129">
        <v>9812</v>
      </c>
    </row>
    <row r="9813" spans="1:1" ht="12.75" customHeight="1">
      <c r="A9813" s="129">
        <v>9813</v>
      </c>
    </row>
    <row r="9814" spans="1:1" ht="12.75" customHeight="1">
      <c r="A9814" s="129">
        <v>9814</v>
      </c>
    </row>
    <row r="9815" spans="1:1" ht="12.75" customHeight="1">
      <c r="A9815" s="129">
        <v>9815</v>
      </c>
    </row>
    <row r="9816" spans="1:1" ht="12.75" customHeight="1">
      <c r="A9816" s="129">
        <v>9816</v>
      </c>
    </row>
    <row r="9817" spans="1:1" ht="12.75" customHeight="1">
      <c r="A9817" s="129">
        <v>9817</v>
      </c>
    </row>
    <row r="9818" spans="1:1" ht="12.75" customHeight="1">
      <c r="A9818" s="129">
        <v>9818</v>
      </c>
    </row>
    <row r="9819" spans="1:1" ht="12.75" customHeight="1">
      <c r="A9819" s="129">
        <v>9819</v>
      </c>
    </row>
    <row r="9820" spans="1:1" ht="12.75" customHeight="1">
      <c r="A9820" s="129">
        <v>9820</v>
      </c>
    </row>
    <row r="9821" spans="1:1" ht="12.75" customHeight="1">
      <c r="A9821" s="129">
        <v>9821</v>
      </c>
    </row>
    <row r="9822" spans="1:1" ht="12.75" customHeight="1">
      <c r="A9822" s="129">
        <v>9822</v>
      </c>
    </row>
    <row r="9823" spans="1:1" ht="12.75" customHeight="1">
      <c r="A9823" s="129">
        <v>9823</v>
      </c>
    </row>
    <row r="9824" spans="1:1" ht="12.75" customHeight="1">
      <c r="A9824" s="129">
        <v>9824</v>
      </c>
    </row>
    <row r="9825" spans="1:1" ht="12.75" customHeight="1">
      <c r="A9825" s="129">
        <v>9825</v>
      </c>
    </row>
    <row r="9826" spans="1:1" ht="12.75" customHeight="1">
      <c r="A9826" s="129">
        <v>9826</v>
      </c>
    </row>
    <row r="9827" spans="1:1" ht="12.75" customHeight="1">
      <c r="A9827" s="129">
        <v>9827</v>
      </c>
    </row>
    <row r="9828" spans="1:1" ht="12.75" customHeight="1">
      <c r="A9828" s="129">
        <v>9828</v>
      </c>
    </row>
    <row r="9829" spans="1:1" ht="12.75" customHeight="1">
      <c r="A9829" s="129">
        <v>9829</v>
      </c>
    </row>
    <row r="9830" spans="1:1" ht="12.75" customHeight="1">
      <c r="A9830" s="129">
        <v>9830</v>
      </c>
    </row>
    <row r="9831" spans="1:1" ht="12.75" customHeight="1">
      <c r="A9831" s="129">
        <v>9831</v>
      </c>
    </row>
    <row r="9832" spans="1:1" ht="12.75" customHeight="1">
      <c r="A9832" s="129">
        <v>9832</v>
      </c>
    </row>
    <row r="9833" spans="1:1" ht="12.75" customHeight="1">
      <c r="A9833" s="129">
        <v>9833</v>
      </c>
    </row>
    <row r="9834" spans="1:1" ht="12.75" customHeight="1">
      <c r="A9834" s="129">
        <v>9834</v>
      </c>
    </row>
    <row r="9835" spans="1:1" ht="12.75" customHeight="1">
      <c r="A9835" s="129">
        <v>9835</v>
      </c>
    </row>
    <row r="9836" spans="1:1" ht="12.75" customHeight="1">
      <c r="A9836" s="129">
        <v>9836</v>
      </c>
    </row>
    <row r="9837" spans="1:1" ht="12.75" customHeight="1">
      <c r="A9837" s="129">
        <v>9837</v>
      </c>
    </row>
    <row r="9838" spans="1:1" ht="12.75" customHeight="1">
      <c r="A9838" s="129">
        <v>9838</v>
      </c>
    </row>
    <row r="9839" spans="1:1" ht="12.75" customHeight="1">
      <c r="A9839" s="129">
        <v>9839</v>
      </c>
    </row>
    <row r="9840" spans="1:1" ht="12.75" customHeight="1">
      <c r="A9840" s="129">
        <v>9840</v>
      </c>
    </row>
    <row r="9841" spans="1:1" ht="12.75" customHeight="1">
      <c r="A9841" s="129">
        <v>9841</v>
      </c>
    </row>
    <row r="9842" spans="1:1" ht="12.75" customHeight="1">
      <c r="A9842" s="129">
        <v>9842</v>
      </c>
    </row>
    <row r="9843" spans="1:1" ht="12.75" customHeight="1">
      <c r="A9843" s="129">
        <v>9843</v>
      </c>
    </row>
    <row r="9844" spans="1:1" ht="12.75" customHeight="1">
      <c r="A9844" s="129">
        <v>9844</v>
      </c>
    </row>
    <row r="9845" spans="1:1" ht="12.75" customHeight="1">
      <c r="A9845" s="129">
        <v>9845</v>
      </c>
    </row>
    <row r="9846" spans="1:1" ht="12.75" customHeight="1">
      <c r="A9846" s="129">
        <v>9846</v>
      </c>
    </row>
    <row r="9847" spans="1:1" ht="12.75" customHeight="1">
      <c r="A9847" s="129">
        <v>9847</v>
      </c>
    </row>
    <row r="9848" spans="1:1" ht="12.75" customHeight="1">
      <c r="A9848" s="129">
        <v>9848</v>
      </c>
    </row>
    <row r="9849" spans="1:1" ht="12.75" customHeight="1">
      <c r="A9849" s="129">
        <v>9849</v>
      </c>
    </row>
    <row r="9850" spans="1:1" ht="12.75" customHeight="1">
      <c r="A9850" s="129">
        <v>9850</v>
      </c>
    </row>
    <row r="9851" spans="1:1" ht="12.75" customHeight="1">
      <c r="A9851" s="129">
        <v>9851</v>
      </c>
    </row>
    <row r="9852" spans="1:1" ht="12.75" customHeight="1">
      <c r="A9852" s="129">
        <v>9852</v>
      </c>
    </row>
    <row r="9853" spans="1:1" ht="12.75" customHeight="1">
      <c r="A9853" s="129">
        <v>9853</v>
      </c>
    </row>
    <row r="9854" spans="1:1" ht="12.75" customHeight="1">
      <c r="A9854" s="129">
        <v>9854</v>
      </c>
    </row>
    <row r="9855" spans="1:1" ht="12.75" customHeight="1">
      <c r="A9855" s="129">
        <v>9855</v>
      </c>
    </row>
    <row r="9856" spans="1:1" ht="12.75" customHeight="1">
      <c r="A9856" s="129">
        <v>9856</v>
      </c>
    </row>
    <row r="9857" spans="1:1" ht="12.75" customHeight="1">
      <c r="A9857" s="129">
        <v>9857</v>
      </c>
    </row>
    <row r="9858" spans="1:1" ht="12.75" customHeight="1">
      <c r="A9858" s="129">
        <v>9858</v>
      </c>
    </row>
    <row r="9859" spans="1:1" ht="12.75" customHeight="1">
      <c r="A9859" s="129">
        <v>9859</v>
      </c>
    </row>
    <row r="9860" spans="1:1" ht="12.75" customHeight="1">
      <c r="A9860" s="129">
        <v>9860</v>
      </c>
    </row>
    <row r="9861" spans="1:1" ht="12.75" customHeight="1">
      <c r="A9861" s="129">
        <v>9861</v>
      </c>
    </row>
    <row r="9862" spans="1:1" ht="12.75" customHeight="1">
      <c r="A9862" s="129">
        <v>9862</v>
      </c>
    </row>
    <row r="9863" spans="1:1" ht="12.75" customHeight="1">
      <c r="A9863" s="129">
        <v>9863</v>
      </c>
    </row>
    <row r="9864" spans="1:1" ht="12.75" customHeight="1">
      <c r="A9864" s="129">
        <v>9864</v>
      </c>
    </row>
    <row r="9865" spans="1:1" ht="12.75" customHeight="1">
      <c r="A9865" s="129">
        <v>9865</v>
      </c>
    </row>
    <row r="9866" spans="1:1" ht="12.75" customHeight="1">
      <c r="A9866" s="129">
        <v>9866</v>
      </c>
    </row>
    <row r="9867" spans="1:1" ht="12.75" customHeight="1">
      <c r="A9867" s="129">
        <v>9867</v>
      </c>
    </row>
    <row r="9868" spans="1:1" ht="12.75" customHeight="1">
      <c r="A9868" s="129">
        <v>9868</v>
      </c>
    </row>
    <row r="9869" spans="1:1" ht="12.75" customHeight="1">
      <c r="A9869" s="129">
        <v>9869</v>
      </c>
    </row>
    <row r="9870" spans="1:1" ht="12.75" customHeight="1">
      <c r="A9870" s="129">
        <v>9870</v>
      </c>
    </row>
    <row r="9871" spans="1:1" ht="12.75" customHeight="1">
      <c r="A9871" s="129">
        <v>9871</v>
      </c>
    </row>
    <row r="9872" spans="1:1" ht="12.75" customHeight="1">
      <c r="A9872" s="129">
        <v>9872</v>
      </c>
    </row>
    <row r="9873" spans="1:1" ht="12.75" customHeight="1">
      <c r="A9873" s="129">
        <v>9873</v>
      </c>
    </row>
    <row r="9874" spans="1:1" ht="12.75" customHeight="1">
      <c r="A9874" s="129">
        <v>9874</v>
      </c>
    </row>
    <row r="9875" spans="1:1" ht="12.75" customHeight="1">
      <c r="A9875" s="129">
        <v>9875</v>
      </c>
    </row>
    <row r="9876" spans="1:1" ht="12.75" customHeight="1">
      <c r="A9876" s="129">
        <v>9876</v>
      </c>
    </row>
    <row r="9877" spans="1:1" ht="12.75" customHeight="1">
      <c r="A9877" s="129">
        <v>9877</v>
      </c>
    </row>
    <row r="9878" spans="1:1" ht="12.75" customHeight="1">
      <c r="A9878" s="129">
        <v>9878</v>
      </c>
    </row>
    <row r="9879" spans="1:1" ht="12.75" customHeight="1">
      <c r="A9879" s="129">
        <v>9879</v>
      </c>
    </row>
    <row r="9880" spans="1:1" ht="12.75" customHeight="1">
      <c r="A9880" s="129">
        <v>9880</v>
      </c>
    </row>
    <row r="9881" spans="1:1" ht="12.75" customHeight="1">
      <c r="A9881" s="129">
        <v>9881</v>
      </c>
    </row>
    <row r="9882" spans="1:1" ht="12.75" customHeight="1">
      <c r="A9882" s="129">
        <v>9882</v>
      </c>
    </row>
    <row r="9883" spans="1:1" ht="12.75" customHeight="1">
      <c r="A9883" s="129">
        <v>9883</v>
      </c>
    </row>
    <row r="9884" spans="1:1" ht="12.75" customHeight="1">
      <c r="A9884" s="129">
        <v>9884</v>
      </c>
    </row>
    <row r="9885" spans="1:1" ht="12.75" customHeight="1">
      <c r="A9885" s="129">
        <v>9885</v>
      </c>
    </row>
    <row r="9886" spans="1:1" ht="12.75" customHeight="1">
      <c r="A9886" s="129">
        <v>9886</v>
      </c>
    </row>
    <row r="9887" spans="1:1" ht="12.75" customHeight="1">
      <c r="A9887" s="129">
        <v>9887</v>
      </c>
    </row>
    <row r="9888" spans="1:1" ht="12.75" customHeight="1">
      <c r="A9888" s="129">
        <v>9888</v>
      </c>
    </row>
    <row r="9889" spans="1:1" ht="12.75" customHeight="1">
      <c r="A9889" s="129">
        <v>9889</v>
      </c>
    </row>
    <row r="9890" spans="1:1" ht="12.75" customHeight="1">
      <c r="A9890" s="129">
        <v>9890</v>
      </c>
    </row>
    <row r="9891" spans="1:1" ht="12.75" customHeight="1">
      <c r="A9891" s="129">
        <v>9891</v>
      </c>
    </row>
    <row r="9892" spans="1:1" ht="12.75" customHeight="1">
      <c r="A9892" s="129">
        <v>9892</v>
      </c>
    </row>
    <row r="9893" spans="1:1" ht="12.75" customHeight="1">
      <c r="A9893" s="129">
        <v>9893</v>
      </c>
    </row>
    <row r="9894" spans="1:1" ht="12.75" customHeight="1">
      <c r="A9894" s="129">
        <v>9894</v>
      </c>
    </row>
    <row r="9895" spans="1:1" ht="12.75" customHeight="1">
      <c r="A9895" s="129">
        <v>9895</v>
      </c>
    </row>
    <row r="9896" spans="1:1" ht="12.75" customHeight="1">
      <c r="A9896" s="129">
        <v>9896</v>
      </c>
    </row>
    <row r="9897" spans="1:1" ht="12.75" customHeight="1">
      <c r="A9897" s="129">
        <v>9897</v>
      </c>
    </row>
    <row r="9898" spans="1:1" ht="12.75" customHeight="1">
      <c r="A9898" s="129">
        <v>9898</v>
      </c>
    </row>
    <row r="9899" spans="1:1" ht="12.75" customHeight="1">
      <c r="A9899" s="129">
        <v>9899</v>
      </c>
    </row>
    <row r="9900" spans="1:1" ht="12.75" customHeight="1">
      <c r="A9900" s="129">
        <v>9900</v>
      </c>
    </row>
    <row r="9901" spans="1:1" ht="12.75" customHeight="1">
      <c r="A9901" s="129">
        <v>9901</v>
      </c>
    </row>
    <row r="9902" spans="1:1" ht="12.75" customHeight="1">
      <c r="A9902" s="129">
        <v>9902</v>
      </c>
    </row>
    <row r="9903" spans="1:1" ht="12.75" customHeight="1">
      <c r="A9903" s="129">
        <v>9903</v>
      </c>
    </row>
    <row r="9904" spans="1:1" ht="12.75" customHeight="1">
      <c r="A9904" s="129">
        <v>9904</v>
      </c>
    </row>
    <row r="9905" spans="1:1" ht="12.75" customHeight="1">
      <c r="A9905" s="129">
        <v>9905</v>
      </c>
    </row>
    <row r="9906" spans="1:1" ht="12.75" customHeight="1">
      <c r="A9906" s="129">
        <v>9906</v>
      </c>
    </row>
    <row r="9907" spans="1:1" ht="12.75" customHeight="1">
      <c r="A9907" s="129">
        <v>9907</v>
      </c>
    </row>
    <row r="9908" spans="1:1" ht="12.75" customHeight="1">
      <c r="A9908" s="129">
        <v>9908</v>
      </c>
    </row>
    <row r="9909" spans="1:1" ht="12.75" customHeight="1">
      <c r="A9909" s="129">
        <v>9909</v>
      </c>
    </row>
    <row r="9910" spans="1:1" ht="12.75" customHeight="1">
      <c r="A9910" s="129">
        <v>9910</v>
      </c>
    </row>
    <row r="9911" spans="1:1" ht="12.75" customHeight="1">
      <c r="A9911" s="129">
        <v>9911</v>
      </c>
    </row>
    <row r="9912" spans="1:1" ht="12.75" customHeight="1">
      <c r="A9912" s="129">
        <v>9912</v>
      </c>
    </row>
    <row r="9913" spans="1:1" ht="12.75" customHeight="1">
      <c r="A9913" s="129">
        <v>9913</v>
      </c>
    </row>
    <row r="9914" spans="1:1" ht="12.75" customHeight="1">
      <c r="A9914" s="129">
        <v>9914</v>
      </c>
    </row>
    <row r="9915" spans="1:1" ht="12.75" customHeight="1">
      <c r="A9915" s="129">
        <v>9915</v>
      </c>
    </row>
    <row r="9916" spans="1:1" ht="12.75" customHeight="1">
      <c r="A9916" s="129">
        <v>9916</v>
      </c>
    </row>
    <row r="9917" spans="1:1" ht="12.75" customHeight="1">
      <c r="A9917" s="129">
        <v>9917</v>
      </c>
    </row>
    <row r="9918" spans="1:1" ht="12.75" customHeight="1">
      <c r="A9918" s="129">
        <v>9918</v>
      </c>
    </row>
    <row r="9919" spans="1:1" ht="12.75" customHeight="1">
      <c r="A9919" s="129">
        <v>9919</v>
      </c>
    </row>
    <row r="9920" spans="1:1" ht="12.75" customHeight="1">
      <c r="A9920" s="129">
        <v>9920</v>
      </c>
    </row>
    <row r="9921" spans="1:1" ht="12.75" customHeight="1">
      <c r="A9921" s="129">
        <v>9921</v>
      </c>
    </row>
    <row r="9922" spans="1:1" ht="12.75" customHeight="1">
      <c r="A9922" s="129">
        <v>9922</v>
      </c>
    </row>
    <row r="9923" spans="1:1" ht="12.75" customHeight="1">
      <c r="A9923" s="129">
        <v>9923</v>
      </c>
    </row>
    <row r="9924" spans="1:1" ht="12.75" customHeight="1">
      <c r="A9924" s="129">
        <v>9924</v>
      </c>
    </row>
    <row r="9925" spans="1:1" ht="12.75" customHeight="1">
      <c r="A9925" s="129">
        <v>9925</v>
      </c>
    </row>
    <row r="9926" spans="1:1" ht="12.75" customHeight="1">
      <c r="A9926" s="129">
        <v>9926</v>
      </c>
    </row>
    <row r="9927" spans="1:1" ht="12.75" customHeight="1">
      <c r="A9927" s="129">
        <v>9927</v>
      </c>
    </row>
    <row r="9928" spans="1:1" ht="12.75" customHeight="1">
      <c r="A9928" s="129">
        <v>9928</v>
      </c>
    </row>
    <row r="9929" spans="1:1" ht="12.75" customHeight="1">
      <c r="A9929" s="129">
        <v>9929</v>
      </c>
    </row>
    <row r="9930" spans="1:1" ht="12.75" customHeight="1">
      <c r="A9930" s="129">
        <v>9930</v>
      </c>
    </row>
    <row r="9931" spans="1:1" ht="12.75" customHeight="1">
      <c r="A9931" s="129">
        <v>9931</v>
      </c>
    </row>
    <row r="9932" spans="1:1" ht="12.75" customHeight="1">
      <c r="A9932" s="129">
        <v>9932</v>
      </c>
    </row>
    <row r="9933" spans="1:1" ht="12.75" customHeight="1">
      <c r="A9933" s="129">
        <v>9933</v>
      </c>
    </row>
    <row r="9934" spans="1:1" ht="12.75" customHeight="1">
      <c r="A9934" s="129">
        <v>9934</v>
      </c>
    </row>
    <row r="9935" spans="1:1" ht="12.75" customHeight="1">
      <c r="A9935" s="129">
        <v>9935</v>
      </c>
    </row>
    <row r="9936" spans="1:1" ht="12.75" customHeight="1">
      <c r="A9936" s="129">
        <v>9936</v>
      </c>
    </row>
    <row r="9937" spans="1:1" ht="12.75" customHeight="1">
      <c r="A9937" s="129">
        <v>9937</v>
      </c>
    </row>
    <row r="9938" spans="1:1" ht="12.75" customHeight="1">
      <c r="A9938" s="129">
        <v>9938</v>
      </c>
    </row>
    <row r="9939" spans="1:1" ht="12.75" customHeight="1">
      <c r="A9939" s="129">
        <v>9939</v>
      </c>
    </row>
    <row r="9940" spans="1:1" ht="12.75" customHeight="1">
      <c r="A9940" s="129">
        <v>9940</v>
      </c>
    </row>
    <row r="9941" spans="1:1" ht="12.75" customHeight="1">
      <c r="A9941" s="129">
        <v>9941</v>
      </c>
    </row>
    <row r="9942" spans="1:1" ht="12.75" customHeight="1">
      <c r="A9942" s="129">
        <v>9942</v>
      </c>
    </row>
    <row r="9943" spans="1:1" ht="12.75" customHeight="1">
      <c r="A9943" s="129">
        <v>9943</v>
      </c>
    </row>
    <row r="9944" spans="1:1" ht="12.75" customHeight="1">
      <c r="A9944" s="129">
        <v>9944</v>
      </c>
    </row>
    <row r="9945" spans="1:1" ht="12.75" customHeight="1">
      <c r="A9945" s="129">
        <v>9945</v>
      </c>
    </row>
    <row r="9946" spans="1:1" ht="12.75" customHeight="1">
      <c r="A9946" s="129">
        <v>9946</v>
      </c>
    </row>
    <row r="9947" spans="1:1" ht="12.75" customHeight="1">
      <c r="A9947" s="129">
        <v>9947</v>
      </c>
    </row>
    <row r="9948" spans="1:1" ht="12.75" customHeight="1">
      <c r="A9948" s="129">
        <v>9948</v>
      </c>
    </row>
    <row r="9949" spans="1:1" ht="12.75" customHeight="1">
      <c r="A9949" s="129">
        <v>9949</v>
      </c>
    </row>
    <row r="9950" spans="1:1" ht="12.75" customHeight="1">
      <c r="A9950" s="129">
        <v>9950</v>
      </c>
    </row>
    <row r="9951" spans="1:1" ht="12.75" customHeight="1">
      <c r="A9951" s="129">
        <v>9951</v>
      </c>
    </row>
    <row r="9952" spans="1:1" ht="12.75" customHeight="1">
      <c r="A9952" s="129">
        <v>9952</v>
      </c>
    </row>
    <row r="9953" spans="1:1" ht="12.75" customHeight="1">
      <c r="A9953" s="129">
        <v>9953</v>
      </c>
    </row>
    <row r="9954" spans="1:1" ht="12.75" customHeight="1">
      <c r="A9954" s="129">
        <v>9954</v>
      </c>
    </row>
    <row r="9955" spans="1:1" ht="12.75" customHeight="1">
      <c r="A9955" s="129">
        <v>9955</v>
      </c>
    </row>
    <row r="9956" spans="1:1" ht="12.75" customHeight="1">
      <c r="A9956" s="129">
        <v>9956</v>
      </c>
    </row>
    <row r="9957" spans="1:1" ht="12.75" customHeight="1">
      <c r="A9957" s="129">
        <v>9957</v>
      </c>
    </row>
    <row r="9958" spans="1:1" ht="12.75" customHeight="1">
      <c r="A9958" s="129">
        <v>9958</v>
      </c>
    </row>
    <row r="9959" spans="1:1" ht="12.75" customHeight="1">
      <c r="A9959" s="129">
        <v>9959</v>
      </c>
    </row>
    <row r="9960" spans="1:1" ht="12.75" customHeight="1">
      <c r="A9960" s="129">
        <v>9960</v>
      </c>
    </row>
    <row r="9961" spans="1:1" ht="12.75" customHeight="1">
      <c r="A9961" s="129">
        <v>9961</v>
      </c>
    </row>
    <row r="9962" spans="1:1" ht="12.75" customHeight="1">
      <c r="A9962" s="129">
        <v>9962</v>
      </c>
    </row>
    <row r="9963" spans="1:1" ht="12.75" customHeight="1">
      <c r="A9963" s="129">
        <v>9963</v>
      </c>
    </row>
    <row r="9964" spans="1:1" ht="12.75" customHeight="1">
      <c r="A9964" s="129">
        <v>9964</v>
      </c>
    </row>
    <row r="9965" spans="1:1" ht="12.75" customHeight="1">
      <c r="A9965" s="129">
        <v>9965</v>
      </c>
    </row>
    <row r="9966" spans="1:1" ht="12.75" customHeight="1">
      <c r="A9966" s="129">
        <v>9966</v>
      </c>
    </row>
    <row r="9967" spans="1:1" ht="12.75" customHeight="1">
      <c r="A9967" s="129">
        <v>9967</v>
      </c>
    </row>
    <row r="9968" spans="1:1" ht="12.75" customHeight="1">
      <c r="A9968" s="129">
        <v>9968</v>
      </c>
    </row>
    <row r="9969" spans="1:1" ht="12.75" customHeight="1">
      <c r="A9969" s="129">
        <v>9969</v>
      </c>
    </row>
    <row r="9970" spans="1:1" ht="12.75" customHeight="1">
      <c r="A9970" s="129">
        <v>9970</v>
      </c>
    </row>
    <row r="9971" spans="1:1" ht="12.75" customHeight="1">
      <c r="A9971" s="129">
        <v>9971</v>
      </c>
    </row>
    <row r="9972" spans="1:1" ht="12.75" customHeight="1">
      <c r="A9972" s="129">
        <v>9972</v>
      </c>
    </row>
    <row r="9973" spans="1:1" ht="12.75" customHeight="1">
      <c r="A9973" s="129">
        <v>9973</v>
      </c>
    </row>
    <row r="9974" spans="1:1" ht="12.75" customHeight="1">
      <c r="A9974" s="129">
        <v>9974</v>
      </c>
    </row>
    <row r="9975" spans="1:1" ht="12.75" customHeight="1">
      <c r="A9975" s="129">
        <v>9975</v>
      </c>
    </row>
    <row r="9976" spans="1:1" ht="12.75" customHeight="1">
      <c r="A9976" s="129">
        <v>9976</v>
      </c>
    </row>
    <row r="9977" spans="1:1" ht="12.75" customHeight="1">
      <c r="A9977" s="129">
        <v>9977</v>
      </c>
    </row>
    <row r="9978" spans="1:1" ht="12.75" customHeight="1">
      <c r="A9978" s="129">
        <v>9978</v>
      </c>
    </row>
    <row r="9979" spans="1:1" ht="12.75" customHeight="1">
      <c r="A9979" s="129">
        <v>9979</v>
      </c>
    </row>
    <row r="9980" spans="1:1" ht="12.75" customHeight="1">
      <c r="A9980" s="129">
        <v>9980</v>
      </c>
    </row>
    <row r="9981" spans="1:1" ht="12.75" customHeight="1">
      <c r="A9981" s="129">
        <v>9981</v>
      </c>
    </row>
    <row r="9982" spans="1:1" ht="12.75" customHeight="1">
      <c r="A9982" s="129">
        <v>9982</v>
      </c>
    </row>
    <row r="9983" spans="1:1" ht="12.75" customHeight="1">
      <c r="A9983" s="129">
        <v>9983</v>
      </c>
    </row>
    <row r="9984" spans="1:1" ht="12.75" customHeight="1">
      <c r="A9984" s="129">
        <v>9984</v>
      </c>
    </row>
    <row r="9985" spans="1:1" ht="12.75" customHeight="1">
      <c r="A9985" s="129">
        <v>9985</v>
      </c>
    </row>
    <row r="9986" spans="1:1" ht="12.75" customHeight="1">
      <c r="A9986" s="129">
        <v>9986</v>
      </c>
    </row>
    <row r="9987" spans="1:1" ht="12.75" customHeight="1">
      <c r="A9987" s="129">
        <v>9987</v>
      </c>
    </row>
    <row r="9988" spans="1:1" ht="12.75" customHeight="1">
      <c r="A9988" s="129">
        <v>9988</v>
      </c>
    </row>
    <row r="9989" spans="1:1" ht="12.75" customHeight="1">
      <c r="A9989" s="129">
        <v>9989</v>
      </c>
    </row>
    <row r="9990" spans="1:1" ht="12.75" customHeight="1">
      <c r="A9990" s="129">
        <v>9990</v>
      </c>
    </row>
    <row r="9991" spans="1:1" ht="12.75" customHeight="1">
      <c r="A9991" s="129">
        <v>9991</v>
      </c>
    </row>
    <row r="9992" spans="1:1" ht="12.75" customHeight="1">
      <c r="A9992" s="129">
        <v>9992</v>
      </c>
    </row>
    <row r="9993" spans="1:1" ht="12.75" customHeight="1">
      <c r="A9993" s="129">
        <v>9993</v>
      </c>
    </row>
    <row r="9994" spans="1:1" ht="12.75" customHeight="1">
      <c r="A9994" s="129">
        <v>9994</v>
      </c>
    </row>
    <row r="9995" spans="1:1" ht="12.75" customHeight="1">
      <c r="A9995" s="129">
        <v>9995</v>
      </c>
    </row>
    <row r="9996" spans="1:1" ht="12.75" customHeight="1">
      <c r="A9996" s="129">
        <v>9996</v>
      </c>
    </row>
    <row r="9997" spans="1:1" ht="12.75" customHeight="1">
      <c r="A9997" s="129">
        <v>9997</v>
      </c>
    </row>
    <row r="9998" spans="1:1" ht="12.75" customHeight="1">
      <c r="A9998" s="129">
        <v>9998</v>
      </c>
    </row>
    <row r="9999" spans="1:1" ht="12.75" customHeight="1">
      <c r="A9999" s="129">
        <v>9999</v>
      </c>
    </row>
    <row r="10000" spans="1:1" ht="12.75" customHeight="1">
      <c r="A10000" s="129">
        <v>10000</v>
      </c>
    </row>
    <row r="10001" spans="1:1" ht="12.75" customHeight="1">
      <c r="A10001" s="129">
        <v>10001</v>
      </c>
    </row>
    <row r="10002" spans="1:1" ht="12.75" customHeight="1">
      <c r="A10002" s="129">
        <v>10002</v>
      </c>
    </row>
    <row r="10003" spans="1:1" ht="12.75" customHeight="1">
      <c r="A10003" s="129">
        <v>10003</v>
      </c>
    </row>
    <row r="10004" spans="1:1" ht="12.75" customHeight="1">
      <c r="A10004" s="129">
        <v>10004</v>
      </c>
    </row>
    <row r="10005" spans="1:1" ht="12.75" customHeight="1">
      <c r="A10005" s="129">
        <v>10005</v>
      </c>
    </row>
    <row r="10006" spans="1:1" ht="12.75" customHeight="1">
      <c r="A10006" s="129">
        <v>10006</v>
      </c>
    </row>
    <row r="10007" spans="1:1" ht="12.75" customHeight="1">
      <c r="A10007" s="129">
        <v>10007</v>
      </c>
    </row>
    <row r="10008" spans="1:1" ht="12.75" customHeight="1">
      <c r="A10008" s="129">
        <v>10008</v>
      </c>
    </row>
    <row r="10009" spans="1:1" ht="12.75" customHeight="1">
      <c r="A10009" s="129">
        <v>10009</v>
      </c>
    </row>
    <row r="10010" spans="1:1" ht="12.75" customHeight="1">
      <c r="A10010" s="129">
        <v>10010</v>
      </c>
    </row>
    <row r="10011" spans="1:1" ht="12.75" customHeight="1">
      <c r="A10011" s="129">
        <v>10011</v>
      </c>
    </row>
    <row r="10012" spans="1:1" ht="12.75" customHeight="1">
      <c r="A10012" s="129">
        <v>10012</v>
      </c>
    </row>
    <row r="10013" spans="1:1" ht="12.75" customHeight="1">
      <c r="A10013" s="129">
        <v>10013</v>
      </c>
    </row>
    <row r="10014" spans="1:1" ht="12.75" customHeight="1">
      <c r="A10014" s="129">
        <v>10014</v>
      </c>
    </row>
    <row r="10015" spans="1:1" ht="12.75" customHeight="1">
      <c r="A10015" s="129">
        <v>10015</v>
      </c>
    </row>
    <row r="10016" spans="1:1" ht="12.75" customHeight="1">
      <c r="A10016" s="129">
        <v>10016</v>
      </c>
    </row>
    <row r="10017" spans="1:1" ht="12.75" customHeight="1">
      <c r="A10017" s="129">
        <v>10017</v>
      </c>
    </row>
    <row r="10018" spans="1:1" ht="12.75" customHeight="1">
      <c r="A10018" s="129">
        <v>10018</v>
      </c>
    </row>
    <row r="10019" spans="1:1" ht="12.75" customHeight="1">
      <c r="A10019" s="129">
        <v>10019</v>
      </c>
    </row>
    <row r="10020" spans="1:1" ht="12.75" customHeight="1">
      <c r="A10020" s="129">
        <v>10020</v>
      </c>
    </row>
    <row r="10021" spans="1:1" ht="12.75" customHeight="1">
      <c r="A10021" s="129">
        <v>10021</v>
      </c>
    </row>
    <row r="10022" spans="1:1" ht="12.75" customHeight="1">
      <c r="A10022" s="129">
        <v>10022</v>
      </c>
    </row>
    <row r="10023" spans="1:1" ht="12.75" customHeight="1">
      <c r="A10023" s="129">
        <v>10023</v>
      </c>
    </row>
    <row r="10024" spans="1:1" ht="12.75" customHeight="1">
      <c r="A10024" s="129">
        <v>10024</v>
      </c>
    </row>
    <row r="10025" spans="1:1" ht="12.75" customHeight="1">
      <c r="A10025" s="129">
        <v>10025</v>
      </c>
    </row>
    <row r="10026" spans="1:1" ht="12.75" customHeight="1">
      <c r="A10026" s="129">
        <v>10026</v>
      </c>
    </row>
    <row r="10027" spans="1:1" ht="12.75" customHeight="1">
      <c r="A10027" s="129">
        <v>10027</v>
      </c>
    </row>
    <row r="10028" spans="1:1" ht="12.75" customHeight="1">
      <c r="A10028" s="129">
        <v>10028</v>
      </c>
    </row>
    <row r="10029" spans="1:1" ht="12.75" customHeight="1">
      <c r="A10029" s="129">
        <v>10029</v>
      </c>
    </row>
    <row r="10030" spans="1:1" ht="12.75" customHeight="1">
      <c r="A10030" s="129">
        <v>10030</v>
      </c>
    </row>
    <row r="10031" spans="1:1" ht="12.75" customHeight="1">
      <c r="A10031" s="129">
        <v>10031</v>
      </c>
    </row>
    <row r="10032" spans="1:1" ht="12.75" customHeight="1">
      <c r="A10032" s="129">
        <v>10032</v>
      </c>
    </row>
    <row r="10033" spans="1:1" ht="12.75" customHeight="1">
      <c r="A10033" s="129">
        <v>10033</v>
      </c>
    </row>
    <row r="10034" spans="1:1" ht="12.75" customHeight="1">
      <c r="A10034" s="129">
        <v>10034</v>
      </c>
    </row>
    <row r="10035" spans="1:1" ht="12.75" customHeight="1">
      <c r="A10035" s="129">
        <v>10035</v>
      </c>
    </row>
    <row r="10036" spans="1:1" ht="12.75" customHeight="1">
      <c r="A10036" s="129">
        <v>10036</v>
      </c>
    </row>
    <row r="10037" spans="1:1" ht="12.75" customHeight="1">
      <c r="A10037" s="129">
        <v>10037</v>
      </c>
    </row>
    <row r="10038" spans="1:1" ht="12.75" customHeight="1">
      <c r="A10038" s="129">
        <v>10038</v>
      </c>
    </row>
    <row r="10039" spans="1:1" ht="12.75" customHeight="1">
      <c r="A10039" s="129">
        <v>10039</v>
      </c>
    </row>
    <row r="10040" spans="1:1" ht="12.75" customHeight="1">
      <c r="A10040" s="129">
        <v>10040</v>
      </c>
    </row>
    <row r="10041" spans="1:1" ht="12.75" customHeight="1">
      <c r="A10041" s="129">
        <v>10041</v>
      </c>
    </row>
    <row r="10042" spans="1:1" ht="12.75" customHeight="1">
      <c r="A10042" s="129">
        <v>10042</v>
      </c>
    </row>
    <row r="10043" spans="1:1" ht="12.75" customHeight="1">
      <c r="A10043" s="129">
        <v>10043</v>
      </c>
    </row>
    <row r="10044" spans="1:1" ht="12.75" customHeight="1">
      <c r="A10044" s="129">
        <v>10044</v>
      </c>
    </row>
    <row r="10045" spans="1:1" ht="12.75" customHeight="1">
      <c r="A10045" s="129">
        <v>10045</v>
      </c>
    </row>
    <row r="10046" spans="1:1" ht="12.75" customHeight="1">
      <c r="A10046" s="129">
        <v>10046</v>
      </c>
    </row>
    <row r="10047" spans="1:1" ht="12.75" customHeight="1">
      <c r="A10047" s="129">
        <v>10047</v>
      </c>
    </row>
    <row r="10048" spans="1:1" ht="12.75" customHeight="1">
      <c r="A10048" s="129">
        <v>10048</v>
      </c>
    </row>
    <row r="10049" spans="1:1" ht="12.75" customHeight="1">
      <c r="A10049" s="129">
        <v>10049</v>
      </c>
    </row>
    <row r="10050" spans="1:1" ht="12.75" customHeight="1">
      <c r="A10050" s="129">
        <v>10050</v>
      </c>
    </row>
    <row r="10051" spans="1:1" ht="12.75" customHeight="1">
      <c r="A10051" s="129">
        <v>10051</v>
      </c>
    </row>
    <row r="10052" spans="1:1" ht="12.75" customHeight="1">
      <c r="A10052" s="129">
        <v>10052</v>
      </c>
    </row>
    <row r="10053" spans="1:1" ht="12.75" customHeight="1">
      <c r="A10053" s="129">
        <v>10053</v>
      </c>
    </row>
    <row r="10054" spans="1:1" ht="12.75" customHeight="1">
      <c r="A10054" s="129">
        <v>10054</v>
      </c>
    </row>
    <row r="10055" spans="1:1" ht="12.75" customHeight="1">
      <c r="A10055" s="129">
        <v>10055</v>
      </c>
    </row>
    <row r="10056" spans="1:1" ht="12.75" customHeight="1">
      <c r="A10056" s="129">
        <v>10056</v>
      </c>
    </row>
    <row r="10057" spans="1:1" ht="12.75" customHeight="1">
      <c r="A10057" s="129">
        <v>10057</v>
      </c>
    </row>
    <row r="10058" spans="1:1" ht="12.75" customHeight="1">
      <c r="A10058" s="129">
        <v>10058</v>
      </c>
    </row>
    <row r="10059" spans="1:1" ht="12.75" customHeight="1">
      <c r="A10059" s="129">
        <v>10059</v>
      </c>
    </row>
    <row r="10060" spans="1:1" ht="12.75" customHeight="1">
      <c r="A10060" s="129">
        <v>10060</v>
      </c>
    </row>
    <row r="10061" spans="1:1" ht="12.75" customHeight="1">
      <c r="A10061" s="129">
        <v>10061</v>
      </c>
    </row>
    <row r="10062" spans="1:1" ht="12.75" customHeight="1">
      <c r="A10062" s="129">
        <v>10062</v>
      </c>
    </row>
    <row r="10063" spans="1:1" ht="12.75" customHeight="1">
      <c r="A10063" s="129">
        <v>10063</v>
      </c>
    </row>
    <row r="10064" spans="1:1" ht="12.75" customHeight="1">
      <c r="A10064" s="129">
        <v>10064</v>
      </c>
    </row>
    <row r="10065" spans="1:1" ht="12.75" customHeight="1">
      <c r="A10065" s="129">
        <v>10065</v>
      </c>
    </row>
    <row r="10066" spans="1:1" ht="12.75" customHeight="1">
      <c r="A10066" s="129">
        <v>10066</v>
      </c>
    </row>
    <row r="10067" spans="1:1" ht="12.75" customHeight="1">
      <c r="A10067" s="129">
        <v>10067</v>
      </c>
    </row>
    <row r="10068" spans="1:1" ht="12.75" customHeight="1">
      <c r="A10068" s="129">
        <v>10068</v>
      </c>
    </row>
    <row r="10069" spans="1:1" ht="12.75" customHeight="1">
      <c r="A10069" s="129">
        <v>10069</v>
      </c>
    </row>
    <row r="10070" spans="1:1" ht="12.75" customHeight="1">
      <c r="A10070" s="129">
        <v>10070</v>
      </c>
    </row>
    <row r="10071" spans="1:1" ht="12.75" customHeight="1">
      <c r="A10071" s="129">
        <v>10071</v>
      </c>
    </row>
    <row r="10072" spans="1:1" ht="12.75" customHeight="1">
      <c r="A10072" s="129">
        <v>10072</v>
      </c>
    </row>
    <row r="10073" spans="1:1" ht="12.75" customHeight="1">
      <c r="A10073" s="129">
        <v>10073</v>
      </c>
    </row>
    <row r="10074" spans="1:1" ht="12.75" customHeight="1">
      <c r="A10074" s="129">
        <v>10074</v>
      </c>
    </row>
    <row r="10075" spans="1:1" ht="12.75" customHeight="1">
      <c r="A10075" s="129">
        <v>10075</v>
      </c>
    </row>
    <row r="10076" spans="1:1" ht="12.75" customHeight="1">
      <c r="A10076" s="129">
        <v>10076</v>
      </c>
    </row>
    <row r="10077" spans="1:1" ht="12.75" customHeight="1">
      <c r="A10077" s="129">
        <v>10077</v>
      </c>
    </row>
    <row r="10078" spans="1:1" ht="12.75" customHeight="1">
      <c r="A10078" s="129">
        <v>10078</v>
      </c>
    </row>
    <row r="10079" spans="1:1" ht="12.75" customHeight="1">
      <c r="A10079" s="129">
        <v>10079</v>
      </c>
    </row>
    <row r="10080" spans="1:1" ht="12.75" customHeight="1">
      <c r="A10080" s="129">
        <v>10080</v>
      </c>
    </row>
    <row r="10081" spans="1:1" ht="12.75" customHeight="1">
      <c r="A10081" s="129">
        <v>10081</v>
      </c>
    </row>
    <row r="10082" spans="1:1" ht="12.75" customHeight="1">
      <c r="A10082" s="129">
        <v>10082</v>
      </c>
    </row>
    <row r="10083" spans="1:1" ht="12.75" customHeight="1">
      <c r="A10083" s="129">
        <v>10083</v>
      </c>
    </row>
    <row r="10084" spans="1:1" ht="12.75" customHeight="1">
      <c r="A10084" s="129">
        <v>10084</v>
      </c>
    </row>
    <row r="10085" spans="1:1" ht="12.75" customHeight="1">
      <c r="A10085" s="129">
        <v>10085</v>
      </c>
    </row>
    <row r="10086" spans="1:1" ht="12.75" customHeight="1">
      <c r="A10086" s="129">
        <v>10086</v>
      </c>
    </row>
    <row r="10087" spans="1:1" ht="12.75" customHeight="1">
      <c r="A10087" s="129">
        <v>10087</v>
      </c>
    </row>
    <row r="10088" spans="1:1" ht="12.75" customHeight="1">
      <c r="A10088" s="129">
        <v>10088</v>
      </c>
    </row>
    <row r="10089" spans="1:1" ht="12.75" customHeight="1">
      <c r="A10089" s="129">
        <v>10089</v>
      </c>
    </row>
    <row r="10090" spans="1:1" ht="12.75" customHeight="1">
      <c r="A10090" s="129">
        <v>10090</v>
      </c>
    </row>
    <row r="10091" spans="1:1" ht="12.75" customHeight="1">
      <c r="A10091" s="129">
        <v>10091</v>
      </c>
    </row>
    <row r="10092" spans="1:1" ht="12.75" customHeight="1">
      <c r="A10092" s="129">
        <v>10092</v>
      </c>
    </row>
    <row r="10093" spans="1:1" ht="12.75" customHeight="1">
      <c r="A10093" s="129">
        <v>10093</v>
      </c>
    </row>
    <row r="10094" spans="1:1" ht="12.75" customHeight="1">
      <c r="A10094" s="129">
        <v>10094</v>
      </c>
    </row>
    <row r="10095" spans="1:1" ht="12.75" customHeight="1">
      <c r="A10095" s="129">
        <v>10095</v>
      </c>
    </row>
    <row r="10096" spans="1:1" ht="12.75" customHeight="1">
      <c r="A10096" s="129">
        <v>10096</v>
      </c>
    </row>
    <row r="10097" spans="1:1" ht="12.75" customHeight="1">
      <c r="A10097" s="129">
        <v>10097</v>
      </c>
    </row>
    <row r="10098" spans="1:1" ht="12.75" customHeight="1">
      <c r="A10098" s="129">
        <v>10098</v>
      </c>
    </row>
    <row r="10099" spans="1:1" ht="12.75" customHeight="1">
      <c r="A10099" s="129">
        <v>10099</v>
      </c>
    </row>
    <row r="10100" spans="1:1" ht="12.75" customHeight="1">
      <c r="A10100" s="129">
        <v>10100</v>
      </c>
    </row>
    <row r="10101" spans="1:1" ht="12.75" customHeight="1">
      <c r="A10101" s="129">
        <v>10101</v>
      </c>
    </row>
    <row r="10102" spans="1:1" ht="12.75" customHeight="1">
      <c r="A10102" s="129">
        <v>10102</v>
      </c>
    </row>
    <row r="10103" spans="1:1" ht="12.75" customHeight="1">
      <c r="A10103" s="129">
        <v>10103</v>
      </c>
    </row>
    <row r="10104" spans="1:1" ht="12.75" customHeight="1">
      <c r="A10104" s="129">
        <v>10104</v>
      </c>
    </row>
    <row r="10105" spans="1:1" ht="12.75" customHeight="1">
      <c r="A10105" s="129">
        <v>10105</v>
      </c>
    </row>
    <row r="10106" spans="1:1" ht="12.75" customHeight="1">
      <c r="A10106" s="129">
        <v>10106</v>
      </c>
    </row>
    <row r="10107" spans="1:1" ht="12.75" customHeight="1">
      <c r="A10107" s="129">
        <v>10107</v>
      </c>
    </row>
    <row r="10108" spans="1:1" ht="12.75" customHeight="1">
      <c r="A10108" s="129">
        <v>10108</v>
      </c>
    </row>
    <row r="10109" spans="1:1" ht="12.75" customHeight="1">
      <c r="A10109" s="129">
        <v>10109</v>
      </c>
    </row>
    <row r="10110" spans="1:1" ht="12.75" customHeight="1">
      <c r="A10110" s="129">
        <v>10110</v>
      </c>
    </row>
    <row r="10111" spans="1:1" ht="12.75" customHeight="1">
      <c r="A10111" s="129">
        <v>10111</v>
      </c>
    </row>
    <row r="10112" spans="1:1" ht="12.75" customHeight="1">
      <c r="A10112" s="129">
        <v>10112</v>
      </c>
    </row>
    <row r="10113" spans="1:1" ht="12.75" customHeight="1">
      <c r="A10113" s="129">
        <v>10113</v>
      </c>
    </row>
    <row r="10114" spans="1:1" ht="12.75" customHeight="1">
      <c r="A10114" s="129">
        <v>10114</v>
      </c>
    </row>
    <row r="10115" spans="1:1" ht="12.75" customHeight="1">
      <c r="A10115" s="129">
        <v>10115</v>
      </c>
    </row>
    <row r="10116" spans="1:1" ht="12.75" customHeight="1">
      <c r="A10116" s="129">
        <v>10116</v>
      </c>
    </row>
    <row r="10117" spans="1:1" ht="12.75" customHeight="1">
      <c r="A10117" s="129">
        <v>10117</v>
      </c>
    </row>
    <row r="10118" spans="1:1" ht="12.75" customHeight="1">
      <c r="A10118" s="129">
        <v>10118</v>
      </c>
    </row>
    <row r="10119" spans="1:1" ht="12.75" customHeight="1">
      <c r="A10119" s="129">
        <v>10119</v>
      </c>
    </row>
    <row r="10120" spans="1:1" ht="12.75" customHeight="1">
      <c r="A10120" s="129">
        <v>10120</v>
      </c>
    </row>
    <row r="10121" spans="1:1" ht="12.75" customHeight="1">
      <c r="A10121" s="129">
        <v>10121</v>
      </c>
    </row>
    <row r="10122" spans="1:1" ht="12.75" customHeight="1">
      <c r="A10122" s="129">
        <v>10122</v>
      </c>
    </row>
    <row r="10123" spans="1:1" ht="12.75" customHeight="1">
      <c r="A10123" s="129">
        <v>10123</v>
      </c>
    </row>
    <row r="10124" spans="1:1" ht="12.75" customHeight="1">
      <c r="A10124" s="129">
        <v>10124</v>
      </c>
    </row>
    <row r="10125" spans="1:1" ht="12.75" customHeight="1">
      <c r="A10125" s="129">
        <v>10125</v>
      </c>
    </row>
    <row r="10126" spans="1:1" ht="12.75" customHeight="1">
      <c r="A10126" s="129">
        <v>10126</v>
      </c>
    </row>
    <row r="10127" spans="1:1" ht="12.75" customHeight="1">
      <c r="A10127" s="129">
        <v>10127</v>
      </c>
    </row>
    <row r="10128" spans="1:1" ht="12.75" customHeight="1">
      <c r="A10128" s="129">
        <v>10128</v>
      </c>
    </row>
    <row r="10129" spans="1:1" ht="12.75" customHeight="1">
      <c r="A10129" s="129">
        <v>10129</v>
      </c>
    </row>
    <row r="10130" spans="1:1" ht="12.75" customHeight="1">
      <c r="A10130" s="129">
        <v>10130</v>
      </c>
    </row>
    <row r="10131" spans="1:1" ht="12.75" customHeight="1">
      <c r="A10131" s="129">
        <v>10131</v>
      </c>
    </row>
    <row r="10132" spans="1:1" ht="12.75" customHeight="1">
      <c r="A10132" s="129">
        <v>10132</v>
      </c>
    </row>
    <row r="10133" spans="1:1" ht="12.75" customHeight="1">
      <c r="A10133" s="129">
        <v>10133</v>
      </c>
    </row>
    <row r="10134" spans="1:1" ht="12.75" customHeight="1">
      <c r="A10134" s="129">
        <v>10134</v>
      </c>
    </row>
    <row r="10135" spans="1:1" ht="12.75" customHeight="1">
      <c r="A10135" s="129">
        <v>10135</v>
      </c>
    </row>
    <row r="10136" spans="1:1" ht="12.75" customHeight="1">
      <c r="A10136" s="129">
        <v>10136</v>
      </c>
    </row>
    <row r="10137" spans="1:1" ht="12.75" customHeight="1">
      <c r="A10137" s="129">
        <v>10137</v>
      </c>
    </row>
    <row r="10138" spans="1:1" ht="12.75" customHeight="1">
      <c r="A10138" s="129">
        <v>10138</v>
      </c>
    </row>
    <row r="10139" spans="1:1" ht="12.75" customHeight="1">
      <c r="A10139" s="129">
        <v>10139</v>
      </c>
    </row>
    <row r="10140" spans="1:1" ht="12.75" customHeight="1">
      <c r="A10140" s="129">
        <v>10140</v>
      </c>
    </row>
    <row r="10141" spans="1:1" ht="12.75" customHeight="1">
      <c r="A10141" s="129">
        <v>10141</v>
      </c>
    </row>
    <row r="10142" spans="1:1" ht="12.75" customHeight="1">
      <c r="A10142" s="129">
        <v>10142</v>
      </c>
    </row>
    <row r="10143" spans="1:1" ht="12.75" customHeight="1">
      <c r="A10143" s="129">
        <v>10143</v>
      </c>
    </row>
    <row r="10144" spans="1:1" ht="12.75" customHeight="1">
      <c r="A10144" s="129">
        <v>10144</v>
      </c>
    </row>
    <row r="10145" spans="1:1" ht="12.75" customHeight="1">
      <c r="A10145" s="129">
        <v>10145</v>
      </c>
    </row>
    <row r="10146" spans="1:1" ht="12.75" customHeight="1">
      <c r="A10146" s="129">
        <v>10146</v>
      </c>
    </row>
    <row r="10147" spans="1:1" ht="12.75" customHeight="1">
      <c r="A10147" s="129">
        <v>10147</v>
      </c>
    </row>
    <row r="10148" spans="1:1" ht="12.75" customHeight="1">
      <c r="A10148" s="129">
        <v>10148</v>
      </c>
    </row>
    <row r="10149" spans="1:1" ht="12.75" customHeight="1">
      <c r="A10149" s="129">
        <v>10149</v>
      </c>
    </row>
    <row r="10150" spans="1:1" ht="12.75" customHeight="1">
      <c r="A10150" s="129">
        <v>10150</v>
      </c>
    </row>
    <row r="10151" spans="1:1" ht="12.75" customHeight="1">
      <c r="A10151" s="129">
        <v>10151</v>
      </c>
    </row>
    <row r="10152" spans="1:1" ht="12.75" customHeight="1">
      <c r="A10152" s="129">
        <v>10152</v>
      </c>
    </row>
    <row r="10153" spans="1:1" ht="12.75" customHeight="1">
      <c r="A10153" s="129">
        <v>10153</v>
      </c>
    </row>
    <row r="10154" spans="1:1" ht="12.75" customHeight="1">
      <c r="A10154" s="129">
        <v>10154</v>
      </c>
    </row>
    <row r="10155" spans="1:1" ht="12.75" customHeight="1">
      <c r="A10155" s="129">
        <v>10155</v>
      </c>
    </row>
    <row r="10156" spans="1:1" ht="12.75" customHeight="1">
      <c r="A10156" s="129">
        <v>10156</v>
      </c>
    </row>
    <row r="10157" spans="1:1" ht="12.75" customHeight="1">
      <c r="A10157" s="129">
        <v>10157</v>
      </c>
    </row>
    <row r="10158" spans="1:1" ht="12.75" customHeight="1">
      <c r="A10158" s="129">
        <v>10158</v>
      </c>
    </row>
    <row r="10159" spans="1:1" ht="12.75" customHeight="1">
      <c r="A10159" s="129">
        <v>10159</v>
      </c>
    </row>
    <row r="10160" spans="1:1" ht="12.75" customHeight="1">
      <c r="A10160" s="129">
        <v>10160</v>
      </c>
    </row>
    <row r="10161" spans="1:1" ht="12.75" customHeight="1">
      <c r="A10161" s="129">
        <v>10161</v>
      </c>
    </row>
    <row r="10162" spans="1:1" ht="12.75" customHeight="1">
      <c r="A10162" s="129">
        <v>10162</v>
      </c>
    </row>
    <row r="10163" spans="1:1" ht="12.75" customHeight="1">
      <c r="A10163" s="129">
        <v>10163</v>
      </c>
    </row>
    <row r="10164" spans="1:1" ht="12.75" customHeight="1">
      <c r="A10164" s="129">
        <v>10164</v>
      </c>
    </row>
    <row r="10165" spans="1:1" ht="12.75" customHeight="1">
      <c r="A10165" s="129">
        <v>10165</v>
      </c>
    </row>
    <row r="10166" spans="1:1" ht="12.75" customHeight="1">
      <c r="A10166" s="129">
        <v>10166</v>
      </c>
    </row>
    <row r="10167" spans="1:1" ht="12.75" customHeight="1">
      <c r="A10167" s="129">
        <v>10167</v>
      </c>
    </row>
    <row r="10168" spans="1:1" ht="12.75" customHeight="1">
      <c r="A10168" s="129">
        <v>10168</v>
      </c>
    </row>
    <row r="10169" spans="1:1" ht="12.75" customHeight="1">
      <c r="A10169" s="129">
        <v>10169</v>
      </c>
    </row>
    <row r="10170" spans="1:1" ht="12.75" customHeight="1">
      <c r="A10170" s="129">
        <v>10170</v>
      </c>
    </row>
    <row r="10171" spans="1:1" ht="12.75" customHeight="1">
      <c r="A10171" s="129">
        <v>10171</v>
      </c>
    </row>
    <row r="10172" spans="1:1" ht="12.75" customHeight="1">
      <c r="A10172" s="129">
        <v>10172</v>
      </c>
    </row>
    <row r="10173" spans="1:1" ht="12.75" customHeight="1">
      <c r="A10173" s="129">
        <v>10173</v>
      </c>
    </row>
    <row r="10174" spans="1:1" ht="12.75" customHeight="1">
      <c r="A10174" s="129">
        <v>10174</v>
      </c>
    </row>
    <row r="10175" spans="1:1" ht="12.75" customHeight="1">
      <c r="A10175" s="129">
        <v>10175</v>
      </c>
    </row>
    <row r="10176" spans="1:1" ht="12.75" customHeight="1">
      <c r="A10176" s="129">
        <v>10176</v>
      </c>
    </row>
    <row r="10177" spans="1:1" ht="12.75" customHeight="1">
      <c r="A10177" s="129">
        <v>10177</v>
      </c>
    </row>
    <row r="10178" spans="1:1" ht="12.75" customHeight="1">
      <c r="A10178" s="129">
        <v>10178</v>
      </c>
    </row>
    <row r="10179" spans="1:1" ht="12.75" customHeight="1">
      <c r="A10179" s="129">
        <v>10179</v>
      </c>
    </row>
    <row r="10180" spans="1:1" ht="12.75" customHeight="1">
      <c r="A10180" s="129">
        <v>10180</v>
      </c>
    </row>
    <row r="10181" spans="1:1" ht="12.75" customHeight="1">
      <c r="A10181" s="129">
        <v>10181</v>
      </c>
    </row>
    <row r="10182" spans="1:1" ht="12.75" customHeight="1">
      <c r="A10182" s="129">
        <v>10182</v>
      </c>
    </row>
    <row r="10183" spans="1:1" ht="12.75" customHeight="1">
      <c r="A10183" s="129">
        <v>10183</v>
      </c>
    </row>
    <row r="10184" spans="1:1" ht="12.75" customHeight="1">
      <c r="A10184" s="129">
        <v>10184</v>
      </c>
    </row>
    <row r="10185" spans="1:1" ht="12.75" customHeight="1">
      <c r="A10185" s="129">
        <v>10185</v>
      </c>
    </row>
    <row r="10186" spans="1:1" ht="12.75" customHeight="1">
      <c r="A10186" s="129">
        <v>10186</v>
      </c>
    </row>
    <row r="10187" spans="1:1" ht="12.75" customHeight="1">
      <c r="A10187" s="129">
        <v>10187</v>
      </c>
    </row>
    <row r="10188" spans="1:1" ht="12.75" customHeight="1">
      <c r="A10188" s="129">
        <v>10188</v>
      </c>
    </row>
    <row r="10189" spans="1:1" ht="12.75" customHeight="1">
      <c r="A10189" s="129">
        <v>10189</v>
      </c>
    </row>
    <row r="10190" spans="1:1" ht="12.75" customHeight="1">
      <c r="A10190" s="129">
        <v>10190</v>
      </c>
    </row>
    <row r="10191" spans="1:1" ht="12.75" customHeight="1">
      <c r="A10191" s="129">
        <v>10191</v>
      </c>
    </row>
    <row r="10192" spans="1:1" ht="12.75" customHeight="1">
      <c r="A10192" s="129">
        <v>10192</v>
      </c>
    </row>
    <row r="10193" spans="1:1" ht="12.75" customHeight="1">
      <c r="A10193" s="129">
        <v>10193</v>
      </c>
    </row>
    <row r="10194" spans="1:1" ht="12.75" customHeight="1">
      <c r="A10194" s="129">
        <v>10194</v>
      </c>
    </row>
    <row r="10195" spans="1:1" ht="12.75" customHeight="1">
      <c r="A10195" s="129">
        <v>10195</v>
      </c>
    </row>
    <row r="10196" spans="1:1" ht="12.75" customHeight="1">
      <c r="A10196" s="129">
        <v>10196</v>
      </c>
    </row>
    <row r="10197" spans="1:1" ht="12.75" customHeight="1">
      <c r="A10197" s="129">
        <v>10197</v>
      </c>
    </row>
    <row r="10198" spans="1:1" ht="12.75" customHeight="1">
      <c r="A10198" s="129">
        <v>10198</v>
      </c>
    </row>
    <row r="10199" spans="1:1" ht="12.75" customHeight="1">
      <c r="A10199" s="129">
        <v>10199</v>
      </c>
    </row>
    <row r="10200" spans="1:1" ht="12.75" customHeight="1">
      <c r="A10200" s="129">
        <v>10200</v>
      </c>
    </row>
    <row r="10201" spans="1:1" ht="12.75" customHeight="1">
      <c r="A10201" s="129">
        <v>10201</v>
      </c>
    </row>
    <row r="10202" spans="1:1" ht="12.75" customHeight="1">
      <c r="A10202" s="129">
        <v>10202</v>
      </c>
    </row>
    <row r="10203" spans="1:1" ht="12.75" customHeight="1">
      <c r="A10203" s="129">
        <v>10203</v>
      </c>
    </row>
    <row r="10204" spans="1:1" ht="12.75" customHeight="1">
      <c r="A10204" s="129">
        <v>10204</v>
      </c>
    </row>
    <row r="10205" spans="1:1" ht="12.75" customHeight="1">
      <c r="A10205" s="129">
        <v>10205</v>
      </c>
    </row>
    <row r="10206" spans="1:1" ht="12.75" customHeight="1">
      <c r="A10206" s="129">
        <v>10206</v>
      </c>
    </row>
    <row r="10207" spans="1:1" ht="12.75" customHeight="1">
      <c r="A10207" s="129">
        <v>10207</v>
      </c>
    </row>
    <row r="10208" spans="1:1" ht="12.75" customHeight="1">
      <c r="A10208" s="129">
        <v>10208</v>
      </c>
    </row>
    <row r="10209" spans="1:1" ht="12.75" customHeight="1">
      <c r="A10209" s="129">
        <v>10209</v>
      </c>
    </row>
    <row r="10210" spans="1:1" ht="12.75" customHeight="1">
      <c r="A10210" s="129">
        <v>10210</v>
      </c>
    </row>
    <row r="10211" spans="1:1" ht="12.75" customHeight="1">
      <c r="A10211" s="129">
        <v>10211</v>
      </c>
    </row>
    <row r="10212" spans="1:1" ht="12.75" customHeight="1">
      <c r="A10212" s="129">
        <v>10212</v>
      </c>
    </row>
    <row r="10213" spans="1:1" ht="12.75" customHeight="1">
      <c r="A10213" s="129">
        <v>10213</v>
      </c>
    </row>
    <row r="10214" spans="1:1" ht="12.75" customHeight="1">
      <c r="A10214" s="129">
        <v>10214</v>
      </c>
    </row>
    <row r="10215" spans="1:1" ht="12.75" customHeight="1">
      <c r="A10215" s="129">
        <v>10215</v>
      </c>
    </row>
    <row r="10216" spans="1:1" ht="12.75" customHeight="1">
      <c r="A10216" s="129">
        <v>10216</v>
      </c>
    </row>
    <row r="10217" spans="1:1" ht="12.75" customHeight="1">
      <c r="A10217" s="129">
        <v>10217</v>
      </c>
    </row>
    <row r="10218" spans="1:1" ht="12.75" customHeight="1">
      <c r="A10218" s="129">
        <v>10218</v>
      </c>
    </row>
    <row r="10219" spans="1:1" ht="12.75" customHeight="1">
      <c r="A10219" s="129">
        <v>10219</v>
      </c>
    </row>
    <row r="10220" spans="1:1" ht="12.75" customHeight="1">
      <c r="A10220" s="129">
        <v>10220</v>
      </c>
    </row>
    <row r="10221" spans="1:1" ht="12.75" customHeight="1">
      <c r="A10221" s="129">
        <v>10221</v>
      </c>
    </row>
    <row r="10222" spans="1:1" ht="12.75" customHeight="1">
      <c r="A10222" s="129">
        <v>10222</v>
      </c>
    </row>
    <row r="10223" spans="1:1" ht="12.75" customHeight="1">
      <c r="A10223" s="129">
        <v>10223</v>
      </c>
    </row>
    <row r="10224" spans="1:1" ht="12.75" customHeight="1">
      <c r="A10224" s="129">
        <v>10224</v>
      </c>
    </row>
    <row r="10225" spans="1:1" ht="12.75" customHeight="1">
      <c r="A10225" s="129">
        <v>10225</v>
      </c>
    </row>
    <row r="10226" spans="1:1" ht="12.75" customHeight="1">
      <c r="A10226" s="129">
        <v>10226</v>
      </c>
    </row>
    <row r="10227" spans="1:1" ht="12.75" customHeight="1">
      <c r="A10227" s="129">
        <v>10227</v>
      </c>
    </row>
    <row r="10228" spans="1:1" ht="12.75" customHeight="1">
      <c r="A10228" s="129">
        <v>10228</v>
      </c>
    </row>
    <row r="10229" spans="1:1" ht="12.75" customHeight="1">
      <c r="A10229" s="129">
        <v>10229</v>
      </c>
    </row>
    <row r="10230" spans="1:1" ht="12.75" customHeight="1">
      <c r="A10230" s="129">
        <v>10230</v>
      </c>
    </row>
    <row r="10231" spans="1:1" ht="12.75" customHeight="1">
      <c r="A10231" s="129">
        <v>10231</v>
      </c>
    </row>
    <row r="10232" spans="1:1" ht="12.75" customHeight="1">
      <c r="A10232" s="129">
        <v>10232</v>
      </c>
    </row>
    <row r="10233" spans="1:1" ht="12.75" customHeight="1">
      <c r="A10233" s="129">
        <v>10233</v>
      </c>
    </row>
    <row r="10234" spans="1:1" ht="12.75" customHeight="1">
      <c r="A10234" s="129">
        <v>10234</v>
      </c>
    </row>
    <row r="10235" spans="1:1" ht="12.75" customHeight="1">
      <c r="A10235" s="129">
        <v>10235</v>
      </c>
    </row>
    <row r="10236" spans="1:1" ht="12.75" customHeight="1">
      <c r="A10236" s="129">
        <v>10236</v>
      </c>
    </row>
    <row r="10237" spans="1:1" ht="12.75" customHeight="1">
      <c r="A10237" s="129">
        <v>10237</v>
      </c>
    </row>
    <row r="10238" spans="1:1" ht="12.75" customHeight="1">
      <c r="A10238" s="129">
        <v>10238</v>
      </c>
    </row>
    <row r="10239" spans="1:1" ht="12.75" customHeight="1">
      <c r="A10239" s="129">
        <v>10239</v>
      </c>
    </row>
    <row r="10240" spans="1:1" ht="12.75" customHeight="1">
      <c r="A10240" s="129">
        <v>10240</v>
      </c>
    </row>
    <row r="10241" spans="1:1" ht="12.75" customHeight="1">
      <c r="A10241" s="129">
        <v>10241</v>
      </c>
    </row>
    <row r="10242" spans="1:1" ht="12.75" customHeight="1">
      <c r="A10242" s="129">
        <v>10242</v>
      </c>
    </row>
    <row r="10243" spans="1:1" ht="12.75" customHeight="1">
      <c r="A10243" s="129">
        <v>10243</v>
      </c>
    </row>
    <row r="10244" spans="1:1" ht="12.75" customHeight="1">
      <c r="A10244" s="129">
        <v>10244</v>
      </c>
    </row>
    <row r="10245" spans="1:1" ht="12.75" customHeight="1">
      <c r="A10245" s="129">
        <v>10245</v>
      </c>
    </row>
    <row r="10246" spans="1:1" ht="12.75" customHeight="1">
      <c r="A10246" s="129">
        <v>10246</v>
      </c>
    </row>
    <row r="10247" spans="1:1" ht="12.75" customHeight="1">
      <c r="A10247" s="129">
        <v>10247</v>
      </c>
    </row>
    <row r="10248" spans="1:1" ht="12.75" customHeight="1">
      <c r="A10248" s="129">
        <v>10248</v>
      </c>
    </row>
    <row r="10249" spans="1:1" ht="12.75" customHeight="1">
      <c r="A10249" s="129">
        <v>10249</v>
      </c>
    </row>
    <row r="10250" spans="1:1" ht="12.75" customHeight="1">
      <c r="A10250" s="129">
        <v>10250</v>
      </c>
    </row>
    <row r="10251" spans="1:1" ht="12.75" customHeight="1">
      <c r="A10251" s="129">
        <v>10251</v>
      </c>
    </row>
    <row r="10252" spans="1:1" ht="12.75" customHeight="1">
      <c r="A10252" s="129">
        <v>10252</v>
      </c>
    </row>
    <row r="10253" spans="1:1" ht="12.75" customHeight="1">
      <c r="A10253" s="129">
        <v>10253</v>
      </c>
    </row>
    <row r="10254" spans="1:1" ht="12.75" customHeight="1">
      <c r="A10254" s="129">
        <v>10254</v>
      </c>
    </row>
    <row r="10255" spans="1:1" ht="12.75" customHeight="1">
      <c r="A10255" s="129">
        <v>10255</v>
      </c>
    </row>
    <row r="10256" spans="1:1" ht="12.75" customHeight="1">
      <c r="A10256" s="129">
        <v>10256</v>
      </c>
    </row>
    <row r="10257" spans="1:1" ht="12.75" customHeight="1">
      <c r="A10257" s="129">
        <v>10257</v>
      </c>
    </row>
    <row r="10258" spans="1:1" ht="12.75" customHeight="1">
      <c r="A10258" s="129">
        <v>10258</v>
      </c>
    </row>
    <row r="10259" spans="1:1" ht="12.75" customHeight="1">
      <c r="A10259" s="129">
        <v>10259</v>
      </c>
    </row>
    <row r="10260" spans="1:1" ht="12.75" customHeight="1">
      <c r="A10260" s="129">
        <v>10260</v>
      </c>
    </row>
    <row r="10261" spans="1:1" ht="12.75" customHeight="1">
      <c r="A10261" s="129">
        <v>10261</v>
      </c>
    </row>
    <row r="10262" spans="1:1" ht="12.75" customHeight="1">
      <c r="A10262" s="129">
        <v>10262</v>
      </c>
    </row>
    <row r="10263" spans="1:1" ht="12.75" customHeight="1">
      <c r="A10263" s="129">
        <v>10263</v>
      </c>
    </row>
    <row r="10264" spans="1:1" ht="12.75" customHeight="1">
      <c r="A10264" s="129">
        <v>10264</v>
      </c>
    </row>
    <row r="10265" spans="1:1" ht="12.75" customHeight="1">
      <c r="A10265" s="129">
        <v>10265</v>
      </c>
    </row>
    <row r="10266" spans="1:1" ht="12.75" customHeight="1">
      <c r="A10266" s="129">
        <v>10266</v>
      </c>
    </row>
    <row r="10267" spans="1:1" ht="12.75" customHeight="1">
      <c r="A10267" s="129">
        <v>10267</v>
      </c>
    </row>
    <row r="10268" spans="1:1" ht="12.75" customHeight="1">
      <c r="A10268" s="129">
        <v>10268</v>
      </c>
    </row>
    <row r="10269" spans="1:1" ht="12.75" customHeight="1">
      <c r="A10269" s="129">
        <v>10269</v>
      </c>
    </row>
    <row r="10270" spans="1:1" ht="12.75" customHeight="1">
      <c r="A10270" s="129">
        <v>10270</v>
      </c>
    </row>
    <row r="10271" spans="1:1" ht="12.75" customHeight="1">
      <c r="A10271" s="129">
        <v>10271</v>
      </c>
    </row>
    <row r="10272" spans="1:1" ht="12.75" customHeight="1">
      <c r="A10272" s="129">
        <v>10272</v>
      </c>
    </row>
    <row r="10273" spans="1:1" ht="12.75" customHeight="1">
      <c r="A10273" s="129">
        <v>10273</v>
      </c>
    </row>
    <row r="10274" spans="1:1" ht="12.75" customHeight="1">
      <c r="A10274" s="129">
        <v>10274</v>
      </c>
    </row>
    <row r="10275" spans="1:1" ht="12.75" customHeight="1">
      <c r="A10275" s="129">
        <v>10275</v>
      </c>
    </row>
    <row r="10276" spans="1:1" ht="12.75" customHeight="1">
      <c r="A10276" s="129">
        <v>10276</v>
      </c>
    </row>
    <row r="10277" spans="1:1" ht="12.75" customHeight="1">
      <c r="A10277" s="129">
        <v>10277</v>
      </c>
    </row>
    <row r="10278" spans="1:1" ht="12.75" customHeight="1">
      <c r="A10278" s="129">
        <v>10278</v>
      </c>
    </row>
    <row r="10279" spans="1:1" ht="12.75" customHeight="1">
      <c r="A10279" s="129">
        <v>10279</v>
      </c>
    </row>
    <row r="10280" spans="1:1" ht="12.75" customHeight="1">
      <c r="A10280" s="129">
        <v>10280</v>
      </c>
    </row>
    <row r="10281" spans="1:1" ht="12.75" customHeight="1">
      <c r="A10281" s="129">
        <v>10281</v>
      </c>
    </row>
    <row r="10282" spans="1:1" ht="12.75" customHeight="1">
      <c r="A10282" s="129">
        <v>10282</v>
      </c>
    </row>
    <row r="10283" spans="1:1" ht="12.75" customHeight="1">
      <c r="A10283" s="129">
        <v>10283</v>
      </c>
    </row>
    <row r="10284" spans="1:1" ht="12.75" customHeight="1">
      <c r="A10284" s="129">
        <v>10284</v>
      </c>
    </row>
    <row r="10285" spans="1:1" ht="12.75" customHeight="1">
      <c r="A10285" s="129">
        <v>10285</v>
      </c>
    </row>
    <row r="10286" spans="1:1" ht="12.75" customHeight="1">
      <c r="A10286" s="129">
        <v>10286</v>
      </c>
    </row>
    <row r="10287" spans="1:1" ht="12.75" customHeight="1">
      <c r="A10287" s="129">
        <v>10287</v>
      </c>
    </row>
    <row r="10288" spans="1:1" ht="12.75" customHeight="1">
      <c r="A10288" s="129">
        <v>10288</v>
      </c>
    </row>
    <row r="10289" spans="1:1" ht="12.75" customHeight="1">
      <c r="A10289" s="129">
        <v>10289</v>
      </c>
    </row>
    <row r="10290" spans="1:1" ht="12.75" customHeight="1">
      <c r="A10290" s="129">
        <v>10290</v>
      </c>
    </row>
    <row r="10291" spans="1:1" ht="12.75" customHeight="1">
      <c r="A10291" s="129">
        <v>10291</v>
      </c>
    </row>
    <row r="10292" spans="1:1" ht="12.75" customHeight="1">
      <c r="A10292" s="129">
        <v>10292</v>
      </c>
    </row>
    <row r="10293" spans="1:1" ht="12.75" customHeight="1">
      <c r="A10293" s="129">
        <v>10293</v>
      </c>
    </row>
    <row r="10294" spans="1:1" ht="12.75" customHeight="1">
      <c r="A10294" s="129">
        <v>10294</v>
      </c>
    </row>
    <row r="10295" spans="1:1" ht="12.75" customHeight="1">
      <c r="A10295" s="129">
        <v>10295</v>
      </c>
    </row>
    <row r="10296" spans="1:1" ht="12.75" customHeight="1">
      <c r="A10296" s="129">
        <v>10296</v>
      </c>
    </row>
    <row r="10297" spans="1:1" ht="12.75" customHeight="1">
      <c r="A10297" s="129">
        <v>10297</v>
      </c>
    </row>
    <row r="10298" spans="1:1" ht="12.75" customHeight="1">
      <c r="A10298" s="129">
        <v>10298</v>
      </c>
    </row>
    <row r="10299" spans="1:1" ht="12.75" customHeight="1">
      <c r="A10299" s="129">
        <v>10299</v>
      </c>
    </row>
    <row r="10300" spans="1:1" ht="12.75" customHeight="1">
      <c r="A10300" s="129">
        <v>10300</v>
      </c>
    </row>
    <row r="10301" spans="1:1" ht="12.75" customHeight="1">
      <c r="A10301" s="129">
        <v>10301</v>
      </c>
    </row>
    <row r="10302" spans="1:1" ht="12.75" customHeight="1">
      <c r="A10302" s="129">
        <v>10302</v>
      </c>
    </row>
    <row r="10303" spans="1:1" ht="12.75" customHeight="1">
      <c r="A10303" s="129">
        <v>10303</v>
      </c>
    </row>
    <row r="10304" spans="1:1" ht="12.75" customHeight="1">
      <c r="A10304" s="129">
        <v>10304</v>
      </c>
    </row>
    <row r="10305" spans="1:1" ht="12.75" customHeight="1">
      <c r="A10305" s="129">
        <v>10305</v>
      </c>
    </row>
    <row r="10306" spans="1:1" ht="12.75" customHeight="1">
      <c r="A10306" s="129">
        <v>10306</v>
      </c>
    </row>
    <row r="10307" spans="1:1" ht="12.75" customHeight="1">
      <c r="A10307" s="129">
        <v>10307</v>
      </c>
    </row>
    <row r="10308" spans="1:1" ht="12.75" customHeight="1">
      <c r="A10308" s="129">
        <v>10308</v>
      </c>
    </row>
    <row r="10309" spans="1:1" ht="12.75" customHeight="1">
      <c r="A10309" s="129">
        <v>10309</v>
      </c>
    </row>
    <row r="10310" spans="1:1" ht="12.75" customHeight="1">
      <c r="A10310" s="129">
        <v>10310</v>
      </c>
    </row>
    <row r="10311" spans="1:1" ht="12.75" customHeight="1">
      <c r="A10311" s="129">
        <v>10311</v>
      </c>
    </row>
    <row r="10312" spans="1:1" ht="12.75" customHeight="1">
      <c r="A10312" s="129">
        <v>10312</v>
      </c>
    </row>
    <row r="10313" spans="1:1" ht="12.75" customHeight="1">
      <c r="A10313" s="129">
        <v>10313</v>
      </c>
    </row>
    <row r="10314" spans="1:1" ht="12.75" customHeight="1">
      <c r="A10314" s="129">
        <v>10314</v>
      </c>
    </row>
    <row r="10315" spans="1:1" ht="12.75" customHeight="1">
      <c r="A10315" s="129">
        <v>10315</v>
      </c>
    </row>
    <row r="10316" spans="1:1" ht="12.75" customHeight="1">
      <c r="A10316" s="129">
        <v>10316</v>
      </c>
    </row>
    <row r="10317" spans="1:1" ht="12.75" customHeight="1">
      <c r="A10317" s="129">
        <v>10317</v>
      </c>
    </row>
    <row r="10318" spans="1:1" ht="12.75" customHeight="1">
      <c r="A10318" s="129">
        <v>10318</v>
      </c>
    </row>
    <row r="10319" spans="1:1" ht="12.75" customHeight="1">
      <c r="A10319" s="129">
        <v>10319</v>
      </c>
    </row>
    <row r="10320" spans="1:1" ht="12.75" customHeight="1">
      <c r="A10320" s="129">
        <v>10320</v>
      </c>
    </row>
    <row r="10321" spans="1:1" ht="12.75" customHeight="1">
      <c r="A10321" s="129">
        <v>10321</v>
      </c>
    </row>
    <row r="10322" spans="1:1" ht="12.75" customHeight="1">
      <c r="A10322" s="129">
        <v>10322</v>
      </c>
    </row>
    <row r="10323" spans="1:1" ht="12.75" customHeight="1">
      <c r="A10323" s="129">
        <v>10323</v>
      </c>
    </row>
    <row r="10324" spans="1:1" ht="12.75" customHeight="1">
      <c r="A10324" s="129">
        <v>10324</v>
      </c>
    </row>
    <row r="10325" spans="1:1" ht="12.75" customHeight="1">
      <c r="A10325" s="129">
        <v>10325</v>
      </c>
    </row>
    <row r="10326" spans="1:1" ht="12.75" customHeight="1">
      <c r="A10326" s="129">
        <v>10326</v>
      </c>
    </row>
    <row r="10327" spans="1:1" ht="12.75" customHeight="1">
      <c r="A10327" s="129">
        <v>10327</v>
      </c>
    </row>
    <row r="10328" spans="1:1" ht="12.75" customHeight="1">
      <c r="A10328" s="129">
        <v>10328</v>
      </c>
    </row>
    <row r="10329" spans="1:1" ht="12.75" customHeight="1">
      <c r="A10329" s="129">
        <v>10329</v>
      </c>
    </row>
    <row r="10330" spans="1:1" ht="12.75" customHeight="1">
      <c r="A10330" s="129">
        <v>10330</v>
      </c>
    </row>
    <row r="10331" spans="1:1" ht="12.75" customHeight="1">
      <c r="A10331" s="129">
        <v>10331</v>
      </c>
    </row>
    <row r="10332" spans="1:1" ht="12.75" customHeight="1">
      <c r="A10332" s="129">
        <v>10332</v>
      </c>
    </row>
    <row r="10333" spans="1:1" ht="12.75" customHeight="1">
      <c r="A10333" s="129">
        <v>10333</v>
      </c>
    </row>
    <row r="10334" spans="1:1" ht="12.75" customHeight="1">
      <c r="A10334" s="129">
        <v>10334</v>
      </c>
    </row>
    <row r="10335" spans="1:1" ht="12.75" customHeight="1">
      <c r="A10335" s="129">
        <v>10335</v>
      </c>
    </row>
    <row r="10336" spans="1:1" ht="12.75" customHeight="1">
      <c r="A10336" s="129">
        <v>10336</v>
      </c>
    </row>
    <row r="10337" spans="1:1" ht="12.75" customHeight="1">
      <c r="A10337" s="129">
        <v>10337</v>
      </c>
    </row>
    <row r="10338" spans="1:1" ht="12.75" customHeight="1">
      <c r="A10338" s="129">
        <v>10338</v>
      </c>
    </row>
    <row r="10339" spans="1:1" ht="12.75" customHeight="1">
      <c r="A10339" s="129">
        <v>10339</v>
      </c>
    </row>
    <row r="10340" spans="1:1" ht="12.75" customHeight="1">
      <c r="A10340" s="129">
        <v>10340</v>
      </c>
    </row>
    <row r="10341" spans="1:1" ht="12.75" customHeight="1">
      <c r="A10341" s="129">
        <v>10341</v>
      </c>
    </row>
    <row r="10342" spans="1:1" ht="12.75" customHeight="1">
      <c r="A10342" s="129">
        <v>10342</v>
      </c>
    </row>
    <row r="10343" spans="1:1" ht="12.75" customHeight="1">
      <c r="A10343" s="129">
        <v>10343</v>
      </c>
    </row>
    <row r="10344" spans="1:1" ht="12.75" customHeight="1">
      <c r="A10344" s="129">
        <v>10344</v>
      </c>
    </row>
    <row r="10345" spans="1:1" ht="12.75" customHeight="1">
      <c r="A10345" s="129">
        <v>10345</v>
      </c>
    </row>
    <row r="10346" spans="1:1" ht="12.75" customHeight="1">
      <c r="A10346" s="129">
        <v>10346</v>
      </c>
    </row>
    <row r="10347" spans="1:1" ht="12.75" customHeight="1">
      <c r="A10347" s="129">
        <v>10347</v>
      </c>
    </row>
    <row r="10348" spans="1:1" ht="12.75" customHeight="1">
      <c r="A10348" s="129">
        <v>10348</v>
      </c>
    </row>
    <row r="10349" spans="1:1" ht="12.75" customHeight="1">
      <c r="A10349" s="129">
        <v>10349</v>
      </c>
    </row>
    <row r="10350" spans="1:1" ht="12.75" customHeight="1">
      <c r="A10350" s="129">
        <v>10350</v>
      </c>
    </row>
    <row r="10351" spans="1:1" ht="12.75" customHeight="1">
      <c r="A10351" s="129">
        <v>10351</v>
      </c>
    </row>
    <row r="10352" spans="1:1" ht="12.75" customHeight="1">
      <c r="A10352" s="129">
        <v>10352</v>
      </c>
    </row>
    <row r="10353" spans="1:1" ht="12.75" customHeight="1">
      <c r="A10353" s="129">
        <v>10353</v>
      </c>
    </row>
    <row r="10354" spans="1:1" ht="12.75" customHeight="1">
      <c r="A10354" s="129">
        <v>10354</v>
      </c>
    </row>
    <row r="10355" spans="1:1" ht="12.75" customHeight="1">
      <c r="A10355" s="129">
        <v>10355</v>
      </c>
    </row>
    <row r="10356" spans="1:1" ht="12.75" customHeight="1">
      <c r="A10356" s="129">
        <v>10356</v>
      </c>
    </row>
    <row r="10357" spans="1:1" ht="12.75" customHeight="1">
      <c r="A10357" s="129">
        <v>10357</v>
      </c>
    </row>
    <row r="10358" spans="1:1" ht="12.75" customHeight="1">
      <c r="A10358" s="129">
        <v>10358</v>
      </c>
    </row>
    <row r="10359" spans="1:1" ht="12.75" customHeight="1">
      <c r="A10359" s="129">
        <v>10359</v>
      </c>
    </row>
    <row r="10360" spans="1:1" ht="12.75" customHeight="1">
      <c r="A10360" s="129">
        <v>10360</v>
      </c>
    </row>
    <row r="10361" spans="1:1" ht="12.75" customHeight="1">
      <c r="A10361" s="129">
        <v>10361</v>
      </c>
    </row>
    <row r="10362" spans="1:1" ht="12.75" customHeight="1">
      <c r="A10362" s="129">
        <v>10362</v>
      </c>
    </row>
    <row r="10363" spans="1:1" ht="12.75" customHeight="1">
      <c r="A10363" s="129">
        <v>10363</v>
      </c>
    </row>
    <row r="10364" spans="1:1" ht="12.75" customHeight="1">
      <c r="A10364" s="129">
        <v>10364</v>
      </c>
    </row>
    <row r="10365" spans="1:1" ht="12.75" customHeight="1">
      <c r="A10365" s="129">
        <v>10365</v>
      </c>
    </row>
    <row r="10366" spans="1:1" ht="12.75" customHeight="1">
      <c r="A10366" s="129">
        <v>10366</v>
      </c>
    </row>
    <row r="10367" spans="1:1" ht="12.75" customHeight="1">
      <c r="A10367" s="129">
        <v>10367</v>
      </c>
    </row>
    <row r="10368" spans="1:1" ht="12.75" customHeight="1">
      <c r="A10368" s="129">
        <v>10368</v>
      </c>
    </row>
    <row r="10369" spans="1:1" ht="12.75" customHeight="1">
      <c r="A10369" s="129">
        <v>10369</v>
      </c>
    </row>
    <row r="10370" spans="1:1" ht="12.75" customHeight="1">
      <c r="A10370" s="129">
        <v>10370</v>
      </c>
    </row>
    <row r="10371" spans="1:1" ht="12.75" customHeight="1">
      <c r="A10371" s="129">
        <v>10371</v>
      </c>
    </row>
    <row r="10372" spans="1:1" ht="12.75" customHeight="1">
      <c r="A10372" s="129">
        <v>10372</v>
      </c>
    </row>
    <row r="10373" spans="1:1" ht="12.75" customHeight="1">
      <c r="A10373" s="129">
        <v>10373</v>
      </c>
    </row>
    <row r="10374" spans="1:1" ht="12.75" customHeight="1">
      <c r="A10374" s="129">
        <v>10374</v>
      </c>
    </row>
    <row r="10375" spans="1:1" ht="12.75" customHeight="1">
      <c r="A10375" s="129">
        <v>10375</v>
      </c>
    </row>
    <row r="10376" spans="1:1" ht="12.75" customHeight="1">
      <c r="A10376" s="129">
        <v>10376</v>
      </c>
    </row>
    <row r="10377" spans="1:1" ht="12.75" customHeight="1">
      <c r="A10377" s="129">
        <v>10377</v>
      </c>
    </row>
    <row r="10378" spans="1:1" ht="12.75" customHeight="1">
      <c r="A10378" s="129">
        <v>10378</v>
      </c>
    </row>
    <row r="10379" spans="1:1" ht="12.75" customHeight="1">
      <c r="A10379" s="129">
        <v>10379</v>
      </c>
    </row>
    <row r="10380" spans="1:1" ht="12.75" customHeight="1">
      <c r="A10380" s="129">
        <v>10380</v>
      </c>
    </row>
    <row r="10381" spans="1:1" ht="12.75" customHeight="1">
      <c r="A10381" s="129">
        <v>10381</v>
      </c>
    </row>
    <row r="10382" spans="1:1" ht="12.75" customHeight="1">
      <c r="A10382" s="129">
        <v>10382</v>
      </c>
    </row>
    <row r="10383" spans="1:1" ht="12.75" customHeight="1">
      <c r="A10383" s="129">
        <v>10383</v>
      </c>
    </row>
    <row r="10384" spans="1:1" ht="12.75" customHeight="1">
      <c r="A10384" s="129">
        <v>10384</v>
      </c>
    </row>
    <row r="10385" spans="1:1" ht="12.75" customHeight="1">
      <c r="A10385" s="129">
        <v>10385</v>
      </c>
    </row>
    <row r="10386" spans="1:1" ht="12.75" customHeight="1">
      <c r="A10386" s="129">
        <v>10386</v>
      </c>
    </row>
    <row r="10387" spans="1:1" ht="12.75" customHeight="1">
      <c r="A10387" s="129">
        <v>10387</v>
      </c>
    </row>
    <row r="10388" spans="1:1" ht="12.75" customHeight="1">
      <c r="A10388" s="129">
        <v>10388</v>
      </c>
    </row>
    <row r="10389" spans="1:1" ht="12.75" customHeight="1">
      <c r="A10389" s="129">
        <v>10389</v>
      </c>
    </row>
    <row r="10390" spans="1:1" ht="12.75" customHeight="1">
      <c r="A10390" s="129">
        <v>10390</v>
      </c>
    </row>
    <row r="10391" spans="1:1" ht="12.75" customHeight="1">
      <c r="A10391" s="129">
        <v>10391</v>
      </c>
    </row>
    <row r="10392" spans="1:1" ht="12.75" customHeight="1">
      <c r="A10392" s="129">
        <v>10392</v>
      </c>
    </row>
    <row r="10393" spans="1:1" ht="12.75" customHeight="1">
      <c r="A10393" s="129">
        <v>10393</v>
      </c>
    </row>
    <row r="10394" spans="1:1" ht="12.75" customHeight="1">
      <c r="A10394" s="129">
        <v>10394</v>
      </c>
    </row>
    <row r="10395" spans="1:1" ht="12.75" customHeight="1">
      <c r="A10395" s="129">
        <v>10395</v>
      </c>
    </row>
    <row r="10396" spans="1:1" ht="12.75" customHeight="1">
      <c r="A10396" s="129">
        <v>10396</v>
      </c>
    </row>
    <row r="10397" spans="1:1" ht="12.75" customHeight="1">
      <c r="A10397" s="129">
        <v>10397</v>
      </c>
    </row>
    <row r="10398" spans="1:1" ht="12.75" customHeight="1">
      <c r="A10398" s="129">
        <v>10398</v>
      </c>
    </row>
    <row r="10399" spans="1:1" ht="12.75" customHeight="1">
      <c r="A10399" s="129">
        <v>10399</v>
      </c>
    </row>
    <row r="10400" spans="1:1" ht="12.75" customHeight="1">
      <c r="A10400" s="129">
        <v>10400</v>
      </c>
    </row>
    <row r="10401" spans="1:1" ht="12.75" customHeight="1">
      <c r="A10401" s="129">
        <v>10401</v>
      </c>
    </row>
    <row r="10402" spans="1:1" ht="12.75" customHeight="1">
      <c r="A10402" s="129">
        <v>10402</v>
      </c>
    </row>
    <row r="10403" spans="1:1" ht="12.75" customHeight="1">
      <c r="A10403" s="129">
        <v>10403</v>
      </c>
    </row>
    <row r="10404" spans="1:1" ht="12.75" customHeight="1">
      <c r="A10404" s="129">
        <v>10404</v>
      </c>
    </row>
    <row r="10405" spans="1:1" ht="12.75" customHeight="1">
      <c r="A10405" s="129">
        <v>10405</v>
      </c>
    </row>
    <row r="10406" spans="1:1" ht="12.75" customHeight="1">
      <c r="A10406" s="129">
        <v>10406</v>
      </c>
    </row>
    <row r="10407" spans="1:1" ht="12.75" customHeight="1">
      <c r="A10407" s="129">
        <v>10407</v>
      </c>
    </row>
    <row r="10408" spans="1:1" ht="12.75" customHeight="1">
      <c r="A10408" s="129">
        <v>10408</v>
      </c>
    </row>
    <row r="10409" spans="1:1" ht="12.75" customHeight="1">
      <c r="A10409" s="129">
        <v>10409</v>
      </c>
    </row>
    <row r="10410" spans="1:1" ht="12.75" customHeight="1">
      <c r="A10410" s="129">
        <v>10410</v>
      </c>
    </row>
    <row r="10411" spans="1:1" ht="12.75" customHeight="1">
      <c r="A10411" s="129">
        <v>10411</v>
      </c>
    </row>
    <row r="10412" spans="1:1" ht="12.75" customHeight="1">
      <c r="A10412" s="129">
        <v>10412</v>
      </c>
    </row>
    <row r="10413" spans="1:1" ht="12.75" customHeight="1">
      <c r="A10413" s="129">
        <v>10413</v>
      </c>
    </row>
    <row r="10414" spans="1:1" ht="12.75" customHeight="1">
      <c r="A10414" s="129">
        <v>10414</v>
      </c>
    </row>
    <row r="10415" spans="1:1" ht="12.75" customHeight="1">
      <c r="A10415" s="129">
        <v>10415</v>
      </c>
    </row>
    <row r="10416" spans="1:1" ht="12.75" customHeight="1">
      <c r="A10416" s="129">
        <v>10416</v>
      </c>
    </row>
    <row r="10417" spans="1:1" ht="12.75" customHeight="1">
      <c r="A10417" s="129">
        <v>10417</v>
      </c>
    </row>
    <row r="10418" spans="1:1" ht="12.75" customHeight="1">
      <c r="A10418" s="129">
        <v>10418</v>
      </c>
    </row>
    <row r="10419" spans="1:1" ht="12.75" customHeight="1">
      <c r="A10419" s="129">
        <v>10419</v>
      </c>
    </row>
    <row r="10420" spans="1:1" ht="12.75" customHeight="1">
      <c r="A10420" s="129">
        <v>10420</v>
      </c>
    </row>
    <row r="10421" spans="1:1" ht="12.75" customHeight="1">
      <c r="A10421" s="129">
        <v>10421</v>
      </c>
    </row>
    <row r="10422" spans="1:1" ht="12.75" customHeight="1">
      <c r="A10422" s="129">
        <v>10422</v>
      </c>
    </row>
    <row r="10423" spans="1:1" ht="12.75" customHeight="1">
      <c r="A10423" s="129">
        <v>10423</v>
      </c>
    </row>
    <row r="10424" spans="1:1" ht="12.75" customHeight="1">
      <c r="A10424" s="129">
        <v>10424</v>
      </c>
    </row>
    <row r="10425" spans="1:1" ht="12.75" customHeight="1">
      <c r="A10425" s="129">
        <v>10425</v>
      </c>
    </row>
    <row r="10426" spans="1:1" ht="12.75" customHeight="1">
      <c r="A10426" s="129">
        <v>10426</v>
      </c>
    </row>
    <row r="10427" spans="1:1" ht="12.75" customHeight="1">
      <c r="A10427" s="129">
        <v>10427</v>
      </c>
    </row>
    <row r="10428" spans="1:1" ht="12.75" customHeight="1">
      <c r="A10428" s="129">
        <v>10428</v>
      </c>
    </row>
    <row r="10429" spans="1:1" ht="12.75" customHeight="1">
      <c r="A10429" s="129">
        <v>10429</v>
      </c>
    </row>
    <row r="10430" spans="1:1" ht="12.75" customHeight="1">
      <c r="A10430" s="129">
        <v>10430</v>
      </c>
    </row>
    <row r="10431" spans="1:1" ht="12.75" customHeight="1">
      <c r="A10431" s="129">
        <v>10431</v>
      </c>
    </row>
    <row r="10432" spans="1:1" ht="12.75" customHeight="1">
      <c r="A10432" s="129">
        <v>10432</v>
      </c>
    </row>
    <row r="10433" spans="1:1" ht="12.75" customHeight="1">
      <c r="A10433" s="129">
        <v>10433</v>
      </c>
    </row>
    <row r="10434" spans="1:1" ht="12.75" customHeight="1">
      <c r="A10434" s="129">
        <v>10434</v>
      </c>
    </row>
    <row r="10435" spans="1:1" ht="12.75" customHeight="1">
      <c r="A10435" s="129">
        <v>10435</v>
      </c>
    </row>
    <row r="10436" spans="1:1" ht="12.75" customHeight="1">
      <c r="A10436" s="129">
        <v>10436</v>
      </c>
    </row>
    <row r="10437" spans="1:1" ht="12.75" customHeight="1">
      <c r="A10437" s="129">
        <v>10437</v>
      </c>
    </row>
    <row r="10438" spans="1:1" ht="12.75" customHeight="1">
      <c r="A10438" s="129">
        <v>10438</v>
      </c>
    </row>
    <row r="10439" spans="1:1" ht="12.75" customHeight="1">
      <c r="A10439" s="129">
        <v>10439</v>
      </c>
    </row>
    <row r="10440" spans="1:1" ht="12.75" customHeight="1">
      <c r="A10440" s="129">
        <v>10440</v>
      </c>
    </row>
    <row r="10441" spans="1:1" ht="12.75" customHeight="1">
      <c r="A10441" s="129">
        <v>10441</v>
      </c>
    </row>
    <row r="10442" spans="1:1" ht="12.75" customHeight="1">
      <c r="A10442" s="129">
        <v>10442</v>
      </c>
    </row>
    <row r="10443" spans="1:1" ht="12.75" customHeight="1">
      <c r="A10443" s="129">
        <v>10443</v>
      </c>
    </row>
    <row r="10444" spans="1:1" ht="12.75" customHeight="1">
      <c r="A10444" s="129">
        <v>10444</v>
      </c>
    </row>
    <row r="10445" spans="1:1" ht="12.75" customHeight="1">
      <c r="A10445" s="129">
        <v>10445</v>
      </c>
    </row>
    <row r="10446" spans="1:1" ht="12.75" customHeight="1">
      <c r="A10446" s="129">
        <v>10446</v>
      </c>
    </row>
    <row r="10447" spans="1:1" ht="12.75" customHeight="1">
      <c r="A10447" s="129">
        <v>10447</v>
      </c>
    </row>
    <row r="10448" spans="1:1" ht="12.75" customHeight="1">
      <c r="A10448" s="129">
        <v>10448</v>
      </c>
    </row>
    <row r="10449" spans="1:1" ht="12.75" customHeight="1">
      <c r="A10449" s="129">
        <v>10449</v>
      </c>
    </row>
    <row r="10450" spans="1:1" ht="12.75" customHeight="1">
      <c r="A10450" s="129">
        <v>10450</v>
      </c>
    </row>
    <row r="10451" spans="1:1" ht="12.75" customHeight="1">
      <c r="A10451" s="129">
        <v>10451</v>
      </c>
    </row>
    <row r="10452" spans="1:1" ht="12.75" customHeight="1">
      <c r="A10452" s="129">
        <v>10452</v>
      </c>
    </row>
    <row r="10453" spans="1:1" ht="12.75" customHeight="1">
      <c r="A10453" s="129">
        <v>10453</v>
      </c>
    </row>
    <row r="10454" spans="1:1" ht="12.75" customHeight="1">
      <c r="A10454" s="129">
        <v>10454</v>
      </c>
    </row>
    <row r="10455" spans="1:1" ht="12.75" customHeight="1">
      <c r="A10455" s="129">
        <v>10455</v>
      </c>
    </row>
    <row r="10456" spans="1:1" ht="12.75" customHeight="1">
      <c r="A10456" s="129">
        <v>10456</v>
      </c>
    </row>
    <row r="10457" spans="1:1" ht="12.75" customHeight="1">
      <c r="A10457" s="129">
        <v>10457</v>
      </c>
    </row>
    <row r="10458" spans="1:1" ht="12.75" customHeight="1">
      <c r="A10458" s="129">
        <v>10458</v>
      </c>
    </row>
    <row r="10459" spans="1:1" ht="12.75" customHeight="1">
      <c r="A10459" s="129">
        <v>10459</v>
      </c>
    </row>
    <row r="10460" spans="1:1" ht="12.75" customHeight="1">
      <c r="A10460" s="129">
        <v>10460</v>
      </c>
    </row>
    <row r="10461" spans="1:1" ht="12.75" customHeight="1">
      <c r="A10461" s="129">
        <v>10461</v>
      </c>
    </row>
    <row r="10462" spans="1:1" ht="12.75" customHeight="1">
      <c r="A10462" s="129">
        <v>10462</v>
      </c>
    </row>
    <row r="10463" spans="1:1" ht="12.75" customHeight="1">
      <c r="A10463" s="129">
        <v>10463</v>
      </c>
    </row>
    <row r="10464" spans="1:1" ht="12.75" customHeight="1">
      <c r="A10464" s="129">
        <v>10464</v>
      </c>
    </row>
    <row r="10465" spans="1:1" ht="12.75" customHeight="1">
      <c r="A10465" s="129">
        <v>10465</v>
      </c>
    </row>
    <row r="10466" spans="1:1" ht="12.75" customHeight="1">
      <c r="A10466" s="129">
        <v>10466</v>
      </c>
    </row>
    <row r="10467" spans="1:1" ht="12.75" customHeight="1">
      <c r="A10467" s="129">
        <v>10467</v>
      </c>
    </row>
    <row r="10468" spans="1:1" ht="12.75" customHeight="1">
      <c r="A10468" s="129">
        <v>10468</v>
      </c>
    </row>
    <row r="10469" spans="1:1" ht="12.75" customHeight="1">
      <c r="A10469" s="129">
        <v>10469</v>
      </c>
    </row>
    <row r="10470" spans="1:1" ht="12.75" customHeight="1">
      <c r="A10470" s="129">
        <v>10470</v>
      </c>
    </row>
    <row r="10471" spans="1:1" ht="12.75" customHeight="1">
      <c r="A10471" s="129">
        <v>10471</v>
      </c>
    </row>
    <row r="10472" spans="1:1" ht="12.75" customHeight="1">
      <c r="A10472" s="129">
        <v>10472</v>
      </c>
    </row>
    <row r="10473" spans="1:1" ht="12.75" customHeight="1">
      <c r="A10473" s="129">
        <v>10473</v>
      </c>
    </row>
    <row r="10474" spans="1:1" ht="12.75" customHeight="1">
      <c r="A10474" s="129">
        <v>10474</v>
      </c>
    </row>
    <row r="10475" spans="1:1" ht="12.75" customHeight="1">
      <c r="A10475" s="129">
        <v>10475</v>
      </c>
    </row>
    <row r="10476" spans="1:1" ht="12.75" customHeight="1">
      <c r="A10476" s="129">
        <v>10476</v>
      </c>
    </row>
    <row r="10477" spans="1:1" ht="12.75" customHeight="1">
      <c r="A10477" s="129">
        <v>10477</v>
      </c>
    </row>
    <row r="10478" spans="1:1" ht="12.75" customHeight="1">
      <c r="A10478" s="129">
        <v>10478</v>
      </c>
    </row>
    <row r="10479" spans="1:1" ht="12.75" customHeight="1">
      <c r="A10479" s="129">
        <v>10479</v>
      </c>
    </row>
    <row r="10480" spans="1:1" ht="12.75" customHeight="1">
      <c r="A10480" s="129">
        <v>10480</v>
      </c>
    </row>
    <row r="10481" spans="1:1" ht="12.75" customHeight="1">
      <c r="A10481" s="129">
        <v>10481</v>
      </c>
    </row>
    <row r="10482" spans="1:1" ht="12.75" customHeight="1">
      <c r="A10482" s="129">
        <v>10482</v>
      </c>
    </row>
    <row r="10483" spans="1:1" ht="12.75" customHeight="1">
      <c r="A10483" s="129">
        <v>10483</v>
      </c>
    </row>
    <row r="10484" spans="1:1" ht="12.75" customHeight="1">
      <c r="A10484" s="129">
        <v>10484</v>
      </c>
    </row>
    <row r="10485" spans="1:1" ht="12.75" customHeight="1">
      <c r="A10485" s="129">
        <v>10485</v>
      </c>
    </row>
    <row r="10486" spans="1:1" ht="12.75" customHeight="1">
      <c r="A10486" s="129">
        <v>10486</v>
      </c>
    </row>
    <row r="10487" spans="1:1" ht="12.75" customHeight="1">
      <c r="A10487" s="129">
        <v>10487</v>
      </c>
    </row>
    <row r="10488" spans="1:1" ht="12.75" customHeight="1">
      <c r="A10488" s="129">
        <v>10488</v>
      </c>
    </row>
    <row r="10489" spans="1:1" ht="12.75" customHeight="1">
      <c r="A10489" s="129">
        <v>10489</v>
      </c>
    </row>
    <row r="10490" spans="1:1" ht="12.75" customHeight="1">
      <c r="A10490" s="129">
        <v>10490</v>
      </c>
    </row>
    <row r="10491" spans="1:1" ht="12.75" customHeight="1">
      <c r="A10491" s="129">
        <v>10491</v>
      </c>
    </row>
    <row r="10492" spans="1:1" ht="12.75" customHeight="1">
      <c r="A10492" s="129">
        <v>10492</v>
      </c>
    </row>
    <row r="10493" spans="1:1" ht="12.75" customHeight="1">
      <c r="A10493" s="129">
        <v>10493</v>
      </c>
    </row>
    <row r="10494" spans="1:1" ht="12.75" customHeight="1">
      <c r="A10494" s="129">
        <v>10494</v>
      </c>
    </row>
    <row r="10495" spans="1:1" ht="12.75" customHeight="1">
      <c r="A10495" s="129">
        <v>10495</v>
      </c>
    </row>
    <row r="10496" spans="1:1" ht="12.75" customHeight="1">
      <c r="A10496" s="129">
        <v>10496</v>
      </c>
    </row>
    <row r="10497" spans="1:1" ht="12.75" customHeight="1">
      <c r="A10497" s="129">
        <v>10497</v>
      </c>
    </row>
    <row r="10498" spans="1:1" ht="12.75" customHeight="1">
      <c r="A10498" s="129">
        <v>10498</v>
      </c>
    </row>
    <row r="10499" spans="1:1" ht="12.75" customHeight="1">
      <c r="A10499" s="129">
        <v>10499</v>
      </c>
    </row>
    <row r="10500" spans="1:1" ht="12.75" customHeight="1">
      <c r="A10500" s="129">
        <v>10500</v>
      </c>
    </row>
    <row r="10501" spans="1:1" ht="12.75" customHeight="1">
      <c r="A10501" s="129">
        <v>10501</v>
      </c>
    </row>
    <row r="10502" spans="1:1" ht="12.75" customHeight="1">
      <c r="A10502" s="129">
        <v>10502</v>
      </c>
    </row>
    <row r="10503" spans="1:1" ht="12.75" customHeight="1">
      <c r="A10503" s="129">
        <v>10503</v>
      </c>
    </row>
    <row r="10504" spans="1:1" ht="12.75" customHeight="1">
      <c r="A10504" s="129">
        <v>10504</v>
      </c>
    </row>
    <row r="10505" spans="1:1" ht="12.75" customHeight="1">
      <c r="A10505" s="129">
        <v>10505</v>
      </c>
    </row>
    <row r="10506" spans="1:1" ht="12.75" customHeight="1">
      <c r="A10506" s="129">
        <v>10506</v>
      </c>
    </row>
    <row r="10507" spans="1:1" ht="12.75" customHeight="1">
      <c r="A10507" s="129">
        <v>10507</v>
      </c>
    </row>
    <row r="10508" spans="1:1" ht="12.75" customHeight="1">
      <c r="A10508" s="129">
        <v>10508</v>
      </c>
    </row>
    <row r="10509" spans="1:1" ht="12.75" customHeight="1">
      <c r="A10509" s="129">
        <v>10509</v>
      </c>
    </row>
    <row r="10510" spans="1:1" ht="12.75" customHeight="1">
      <c r="A10510" s="129">
        <v>10510</v>
      </c>
    </row>
    <row r="10511" spans="1:1" ht="12.75" customHeight="1">
      <c r="A10511" s="129">
        <v>10511</v>
      </c>
    </row>
    <row r="10512" spans="1:1" ht="12.75" customHeight="1">
      <c r="A10512" s="129">
        <v>10512</v>
      </c>
    </row>
    <row r="10513" spans="1:1" ht="12.75" customHeight="1">
      <c r="A10513" s="129">
        <v>10513</v>
      </c>
    </row>
    <row r="10514" spans="1:1" ht="12.75" customHeight="1">
      <c r="A10514" s="129">
        <v>10514</v>
      </c>
    </row>
    <row r="10515" spans="1:1" ht="12.75" customHeight="1">
      <c r="A10515" s="129">
        <v>10515</v>
      </c>
    </row>
    <row r="10516" spans="1:1" ht="12.75" customHeight="1">
      <c r="A10516" s="129">
        <v>10516</v>
      </c>
    </row>
    <row r="10517" spans="1:1" ht="12.75" customHeight="1">
      <c r="A10517" s="129">
        <v>10517</v>
      </c>
    </row>
    <row r="10518" spans="1:1" ht="12.75" customHeight="1">
      <c r="A10518" s="129">
        <v>10518</v>
      </c>
    </row>
    <row r="10519" spans="1:1" ht="12.75" customHeight="1">
      <c r="A10519" s="129">
        <v>10519</v>
      </c>
    </row>
    <row r="10520" spans="1:1" ht="12.75" customHeight="1">
      <c r="A10520" s="129">
        <v>10520</v>
      </c>
    </row>
    <row r="10521" spans="1:1" ht="12.75" customHeight="1">
      <c r="A10521" s="129">
        <v>10521</v>
      </c>
    </row>
    <row r="10522" spans="1:1" ht="12.75" customHeight="1">
      <c r="A10522" s="129">
        <v>10522</v>
      </c>
    </row>
    <row r="10523" spans="1:1" ht="12.75" customHeight="1">
      <c r="A10523" s="129">
        <v>10523</v>
      </c>
    </row>
    <row r="10524" spans="1:1" ht="12.75" customHeight="1">
      <c r="A10524" s="129">
        <v>10524</v>
      </c>
    </row>
    <row r="10525" spans="1:1" ht="12.75" customHeight="1">
      <c r="A10525" s="129">
        <v>10525</v>
      </c>
    </row>
    <row r="10526" spans="1:1" ht="12.75" customHeight="1">
      <c r="A10526" s="129">
        <v>10526</v>
      </c>
    </row>
    <row r="10527" spans="1:1" ht="12.75" customHeight="1">
      <c r="A10527" s="129">
        <v>10527</v>
      </c>
    </row>
    <row r="10528" spans="1:1" ht="12.75" customHeight="1">
      <c r="A10528" s="129">
        <v>10528</v>
      </c>
    </row>
    <row r="10529" spans="1:1" ht="12.75" customHeight="1">
      <c r="A10529" s="129">
        <v>10529</v>
      </c>
    </row>
    <row r="10530" spans="1:1" ht="12.75" customHeight="1">
      <c r="A10530" s="129">
        <v>10530</v>
      </c>
    </row>
    <row r="10531" spans="1:1" ht="12.75" customHeight="1">
      <c r="A10531" s="129">
        <v>10531</v>
      </c>
    </row>
    <row r="10532" spans="1:1" ht="12.75" customHeight="1">
      <c r="A10532" s="129">
        <v>10532</v>
      </c>
    </row>
    <row r="10533" spans="1:1" ht="12.75" customHeight="1">
      <c r="A10533" s="129">
        <v>10533</v>
      </c>
    </row>
    <row r="10534" spans="1:1" ht="12.75" customHeight="1">
      <c r="A10534" s="129">
        <v>10534</v>
      </c>
    </row>
    <row r="10535" spans="1:1" ht="12.75" customHeight="1">
      <c r="A10535" s="129">
        <v>10535</v>
      </c>
    </row>
    <row r="10536" spans="1:1" ht="12.75" customHeight="1">
      <c r="A10536" s="129">
        <v>10536</v>
      </c>
    </row>
    <row r="10537" spans="1:1" ht="12.75" customHeight="1">
      <c r="A10537" s="129">
        <v>10537</v>
      </c>
    </row>
    <row r="10538" spans="1:1" ht="12.75" customHeight="1">
      <c r="A10538" s="129">
        <v>10538</v>
      </c>
    </row>
    <row r="10539" spans="1:1" ht="12.75" customHeight="1">
      <c r="A10539" s="129">
        <v>10539</v>
      </c>
    </row>
    <row r="10540" spans="1:1" ht="12.75" customHeight="1">
      <c r="A10540" s="129">
        <v>10540</v>
      </c>
    </row>
    <row r="10541" spans="1:1" ht="12.75" customHeight="1">
      <c r="A10541" s="129">
        <v>10541</v>
      </c>
    </row>
    <row r="10542" spans="1:1" ht="12.75" customHeight="1">
      <c r="A10542" s="129">
        <v>10542</v>
      </c>
    </row>
    <row r="10543" spans="1:1" ht="12.75" customHeight="1">
      <c r="A10543" s="129">
        <v>10543</v>
      </c>
    </row>
    <row r="10544" spans="1:1" ht="12.75" customHeight="1">
      <c r="A10544" s="129">
        <v>10544</v>
      </c>
    </row>
    <row r="10545" spans="1:1" ht="12.75" customHeight="1">
      <c r="A10545" s="129">
        <v>10545</v>
      </c>
    </row>
    <row r="10546" spans="1:1" ht="12.75" customHeight="1">
      <c r="A10546" s="129">
        <v>10546</v>
      </c>
    </row>
    <row r="10547" spans="1:1" ht="12.75" customHeight="1">
      <c r="A10547" s="129">
        <v>10547</v>
      </c>
    </row>
    <row r="10548" spans="1:1" ht="12.75" customHeight="1">
      <c r="A10548" s="129">
        <v>10548</v>
      </c>
    </row>
    <row r="10549" spans="1:1" ht="12.75" customHeight="1">
      <c r="A10549" s="129">
        <v>10549</v>
      </c>
    </row>
    <row r="10550" spans="1:1" ht="12.75" customHeight="1">
      <c r="A10550" s="129">
        <v>10550</v>
      </c>
    </row>
    <row r="10551" spans="1:1" ht="12.75" customHeight="1">
      <c r="A10551" s="129">
        <v>10551</v>
      </c>
    </row>
    <row r="10552" spans="1:1" ht="12.75" customHeight="1">
      <c r="A10552" s="129">
        <v>10552</v>
      </c>
    </row>
    <row r="10553" spans="1:1" ht="12.75" customHeight="1">
      <c r="A10553" s="129">
        <v>10553</v>
      </c>
    </row>
    <row r="10554" spans="1:1" ht="12.75" customHeight="1">
      <c r="A10554" s="129">
        <v>10554</v>
      </c>
    </row>
    <row r="10555" spans="1:1" ht="12.75" customHeight="1">
      <c r="A10555" s="129">
        <v>10555</v>
      </c>
    </row>
    <row r="10556" spans="1:1" ht="12.75" customHeight="1">
      <c r="A10556" s="129">
        <v>10556</v>
      </c>
    </row>
    <row r="10557" spans="1:1" ht="12.75" customHeight="1">
      <c r="A10557" s="129">
        <v>10557</v>
      </c>
    </row>
    <row r="10558" spans="1:1" ht="12.75" customHeight="1">
      <c r="A10558" s="129">
        <v>10558</v>
      </c>
    </row>
    <row r="10559" spans="1:1" ht="12.75" customHeight="1">
      <c r="A10559" s="129">
        <v>10559</v>
      </c>
    </row>
    <row r="10560" spans="1:1" ht="12.75" customHeight="1">
      <c r="A10560" s="129">
        <v>10560</v>
      </c>
    </row>
    <row r="10561" spans="1:1" ht="12.75" customHeight="1">
      <c r="A10561" s="129">
        <v>10561</v>
      </c>
    </row>
    <row r="10562" spans="1:1" ht="12.75" customHeight="1">
      <c r="A10562" s="129">
        <v>10562</v>
      </c>
    </row>
    <row r="10563" spans="1:1" ht="12.75" customHeight="1">
      <c r="A10563" s="129">
        <v>10563</v>
      </c>
    </row>
    <row r="10564" spans="1:1" ht="12.75" customHeight="1">
      <c r="A10564" s="129">
        <v>10564</v>
      </c>
    </row>
    <row r="10565" spans="1:1" ht="12.75" customHeight="1">
      <c r="A10565" s="129">
        <v>10565</v>
      </c>
    </row>
    <row r="10566" spans="1:1" ht="12.75" customHeight="1">
      <c r="A10566" s="129">
        <v>10566</v>
      </c>
    </row>
    <row r="10567" spans="1:1" ht="12.75" customHeight="1">
      <c r="A10567" s="129">
        <v>10567</v>
      </c>
    </row>
    <row r="10568" spans="1:1" ht="12.75" customHeight="1">
      <c r="A10568" s="129">
        <v>10568</v>
      </c>
    </row>
    <row r="10569" spans="1:1" ht="12.75" customHeight="1">
      <c r="A10569" s="129">
        <v>10569</v>
      </c>
    </row>
    <row r="10570" spans="1:1" ht="12.75" customHeight="1">
      <c r="A10570" s="129">
        <v>10570</v>
      </c>
    </row>
    <row r="10571" spans="1:1" ht="12.75" customHeight="1">
      <c r="A10571" s="129">
        <v>10571</v>
      </c>
    </row>
    <row r="10572" spans="1:1" ht="12.75" customHeight="1">
      <c r="A10572" s="129">
        <v>10572</v>
      </c>
    </row>
    <row r="10573" spans="1:1" ht="12.75" customHeight="1">
      <c r="A10573" s="129">
        <v>10573</v>
      </c>
    </row>
    <row r="10574" spans="1:1" ht="12.75" customHeight="1">
      <c r="A10574" s="129">
        <v>10574</v>
      </c>
    </row>
    <row r="10575" spans="1:1" ht="12.75" customHeight="1">
      <c r="A10575" s="129">
        <v>10575</v>
      </c>
    </row>
    <row r="10576" spans="1:1" ht="12.75" customHeight="1">
      <c r="A10576" s="129">
        <v>10576</v>
      </c>
    </row>
    <row r="10577" spans="1:1" ht="12.75" customHeight="1">
      <c r="A10577" s="129">
        <v>10577</v>
      </c>
    </row>
    <row r="10578" spans="1:1" ht="12.75" customHeight="1">
      <c r="A10578" s="129">
        <v>10578</v>
      </c>
    </row>
    <row r="10579" spans="1:1" ht="12.75" customHeight="1">
      <c r="A10579" s="129">
        <v>10579</v>
      </c>
    </row>
    <row r="10580" spans="1:1" ht="12.75" customHeight="1">
      <c r="A10580" s="129">
        <v>10580</v>
      </c>
    </row>
    <row r="10581" spans="1:1" ht="12.75" customHeight="1">
      <c r="A10581" s="129">
        <v>10581</v>
      </c>
    </row>
    <row r="10582" spans="1:1" ht="12.75" customHeight="1">
      <c r="A10582" s="129">
        <v>10582</v>
      </c>
    </row>
    <row r="10583" spans="1:1" ht="12.75" customHeight="1">
      <c r="A10583" s="129">
        <v>10583</v>
      </c>
    </row>
    <row r="10584" spans="1:1" ht="12.75" customHeight="1">
      <c r="A10584" s="129">
        <v>10584</v>
      </c>
    </row>
    <row r="10585" spans="1:1" ht="12.75" customHeight="1">
      <c r="A10585" s="129">
        <v>10585</v>
      </c>
    </row>
    <row r="10586" spans="1:1" ht="12.75" customHeight="1">
      <c r="A10586" s="129">
        <v>10586</v>
      </c>
    </row>
    <row r="10587" spans="1:1" ht="12.75" customHeight="1">
      <c r="A10587" s="129">
        <v>10587</v>
      </c>
    </row>
    <row r="10588" spans="1:1" ht="12.75" customHeight="1">
      <c r="A10588" s="129">
        <v>10588</v>
      </c>
    </row>
    <row r="10589" spans="1:1" ht="12.75" customHeight="1">
      <c r="A10589" s="129">
        <v>10589</v>
      </c>
    </row>
    <row r="10590" spans="1:1" ht="12.75" customHeight="1">
      <c r="A10590" s="129">
        <v>10590</v>
      </c>
    </row>
    <row r="10591" spans="1:1" ht="12.75" customHeight="1">
      <c r="A10591" s="129">
        <v>10591</v>
      </c>
    </row>
    <row r="10592" spans="1:1" ht="12.75" customHeight="1">
      <c r="A10592" s="129">
        <v>10592</v>
      </c>
    </row>
    <row r="10593" spans="1:1" ht="12.75" customHeight="1">
      <c r="A10593" s="129">
        <v>10593</v>
      </c>
    </row>
    <row r="10594" spans="1:1" ht="12.75" customHeight="1">
      <c r="A10594" s="129">
        <v>10594</v>
      </c>
    </row>
    <row r="10595" spans="1:1" ht="12.75" customHeight="1">
      <c r="A10595" s="129">
        <v>10595</v>
      </c>
    </row>
    <row r="10596" spans="1:1" ht="12.75" customHeight="1">
      <c r="A10596" s="129">
        <v>10596</v>
      </c>
    </row>
    <row r="10597" spans="1:1" ht="12.75" customHeight="1">
      <c r="A10597" s="129">
        <v>10597</v>
      </c>
    </row>
    <row r="10598" spans="1:1" ht="12.75" customHeight="1">
      <c r="A10598" s="129">
        <v>10598</v>
      </c>
    </row>
    <row r="10599" spans="1:1" ht="12.75" customHeight="1">
      <c r="A10599" s="129">
        <v>10599</v>
      </c>
    </row>
    <row r="10600" spans="1:1" ht="12.75" customHeight="1">
      <c r="A10600" s="129">
        <v>10600</v>
      </c>
    </row>
    <row r="10601" spans="1:1" ht="12.75" customHeight="1">
      <c r="A10601" s="129">
        <v>10601</v>
      </c>
    </row>
    <row r="10602" spans="1:1" ht="12.75" customHeight="1">
      <c r="A10602" s="129">
        <v>10602</v>
      </c>
    </row>
    <row r="10603" spans="1:1" ht="12.75" customHeight="1">
      <c r="A10603" s="129">
        <v>10603</v>
      </c>
    </row>
    <row r="10604" spans="1:1" ht="12.75" customHeight="1">
      <c r="A10604" s="129">
        <v>10604</v>
      </c>
    </row>
    <row r="10605" spans="1:1" ht="12.75" customHeight="1">
      <c r="A10605" s="129">
        <v>10605</v>
      </c>
    </row>
    <row r="10606" spans="1:1" ht="12.75" customHeight="1">
      <c r="A10606" s="129">
        <v>10606</v>
      </c>
    </row>
    <row r="10607" spans="1:1" ht="12.75" customHeight="1">
      <c r="A10607" s="129">
        <v>10607</v>
      </c>
    </row>
    <row r="10608" spans="1:1" ht="12.75" customHeight="1">
      <c r="A10608" s="129">
        <v>10608</v>
      </c>
    </row>
    <row r="10609" spans="1:1" ht="12.75" customHeight="1">
      <c r="A10609" s="129">
        <v>10609</v>
      </c>
    </row>
    <row r="10610" spans="1:1" ht="12.75" customHeight="1">
      <c r="A10610" s="129">
        <v>10610</v>
      </c>
    </row>
    <row r="10611" spans="1:1" ht="12.75" customHeight="1">
      <c r="A10611" s="129">
        <v>10611</v>
      </c>
    </row>
    <row r="10612" spans="1:1" ht="12.75" customHeight="1">
      <c r="A10612" s="129">
        <v>10612</v>
      </c>
    </row>
    <row r="10613" spans="1:1" ht="12.75" customHeight="1">
      <c r="A10613" s="129">
        <v>10613</v>
      </c>
    </row>
    <row r="10614" spans="1:1" ht="12.75" customHeight="1">
      <c r="A10614" s="129">
        <v>10614</v>
      </c>
    </row>
    <row r="10615" spans="1:1" ht="12.75" customHeight="1">
      <c r="A10615" s="129">
        <v>10615</v>
      </c>
    </row>
    <row r="10616" spans="1:1" ht="12.75" customHeight="1">
      <c r="A10616" s="129">
        <v>10616</v>
      </c>
    </row>
    <row r="10617" spans="1:1" ht="12.75" customHeight="1">
      <c r="A10617" s="129">
        <v>10617</v>
      </c>
    </row>
    <row r="10618" spans="1:1" ht="12.75" customHeight="1">
      <c r="A10618" s="129">
        <v>10618</v>
      </c>
    </row>
    <row r="10619" spans="1:1" ht="12.75" customHeight="1">
      <c r="A10619" s="129">
        <v>10619</v>
      </c>
    </row>
    <row r="10620" spans="1:1" ht="12.75" customHeight="1">
      <c r="A10620" s="129">
        <v>10620</v>
      </c>
    </row>
    <row r="10621" spans="1:1" ht="12.75" customHeight="1">
      <c r="A10621" s="129">
        <v>10621</v>
      </c>
    </row>
    <row r="10622" spans="1:1" ht="12.75" customHeight="1">
      <c r="A10622" s="129">
        <v>10622</v>
      </c>
    </row>
    <row r="10623" spans="1:1" ht="12.75" customHeight="1">
      <c r="A10623" s="129">
        <v>10623</v>
      </c>
    </row>
    <row r="10624" spans="1:1" ht="12.75" customHeight="1">
      <c r="A10624" s="129">
        <v>10624</v>
      </c>
    </row>
    <row r="10625" spans="1:1" ht="12.75" customHeight="1">
      <c r="A10625" s="129">
        <v>10625</v>
      </c>
    </row>
    <row r="10626" spans="1:1" ht="12.75" customHeight="1">
      <c r="A10626" s="129">
        <v>10626</v>
      </c>
    </row>
    <row r="10627" spans="1:1" ht="12.75" customHeight="1">
      <c r="A10627" s="129">
        <v>10627</v>
      </c>
    </row>
    <row r="10628" spans="1:1" ht="12.75" customHeight="1">
      <c r="A10628" s="129">
        <v>10628</v>
      </c>
    </row>
    <row r="10629" spans="1:1" ht="12.75" customHeight="1">
      <c r="A10629" s="129">
        <v>10629</v>
      </c>
    </row>
    <row r="10630" spans="1:1" ht="12.75" customHeight="1">
      <c r="A10630" s="129">
        <v>10630</v>
      </c>
    </row>
    <row r="10631" spans="1:1" ht="12.75" customHeight="1">
      <c r="A10631" s="129">
        <v>10631</v>
      </c>
    </row>
    <row r="10632" spans="1:1" ht="12.75" customHeight="1">
      <c r="A10632" s="129">
        <v>10632</v>
      </c>
    </row>
    <row r="10633" spans="1:1" ht="12.75" customHeight="1">
      <c r="A10633" s="129">
        <v>10633</v>
      </c>
    </row>
    <row r="10634" spans="1:1" ht="12.75" customHeight="1">
      <c r="A10634" s="129">
        <v>10634</v>
      </c>
    </row>
    <row r="10635" spans="1:1" ht="12.75" customHeight="1">
      <c r="A10635" s="129">
        <v>10635</v>
      </c>
    </row>
    <row r="10636" spans="1:1" ht="12.75" customHeight="1">
      <c r="A10636" s="129">
        <v>10636</v>
      </c>
    </row>
    <row r="10637" spans="1:1" ht="12.75" customHeight="1">
      <c r="A10637" s="129">
        <v>10637</v>
      </c>
    </row>
    <row r="10638" spans="1:1" ht="12.75" customHeight="1">
      <c r="A10638" s="129">
        <v>10638</v>
      </c>
    </row>
    <row r="10639" spans="1:1" ht="12.75" customHeight="1">
      <c r="A10639" s="129">
        <v>10639</v>
      </c>
    </row>
    <row r="10640" spans="1:1" ht="12.75" customHeight="1">
      <c r="A10640" s="129">
        <v>10640</v>
      </c>
    </row>
    <row r="10641" spans="1:1" ht="12.75" customHeight="1">
      <c r="A10641" s="129">
        <v>10641</v>
      </c>
    </row>
    <row r="10642" spans="1:1" ht="12.75" customHeight="1">
      <c r="A10642" s="129">
        <v>10642</v>
      </c>
    </row>
    <row r="10643" spans="1:1" ht="12.75" customHeight="1">
      <c r="A10643" s="129">
        <v>10643</v>
      </c>
    </row>
    <row r="10644" spans="1:1" ht="12.75" customHeight="1">
      <c r="A10644" s="129">
        <v>10644</v>
      </c>
    </row>
    <row r="10645" spans="1:1" ht="12.75" customHeight="1">
      <c r="A10645" s="129">
        <v>10645</v>
      </c>
    </row>
    <row r="10646" spans="1:1" ht="12.75" customHeight="1">
      <c r="A10646" s="129">
        <v>10646</v>
      </c>
    </row>
    <row r="10647" spans="1:1" ht="12.75" customHeight="1">
      <c r="A10647" s="129">
        <v>10647</v>
      </c>
    </row>
    <row r="10648" spans="1:1" ht="12.75" customHeight="1">
      <c r="A10648" s="129">
        <v>10648</v>
      </c>
    </row>
    <row r="10649" spans="1:1" ht="12.75" customHeight="1">
      <c r="A10649" s="129">
        <v>10649</v>
      </c>
    </row>
    <row r="10650" spans="1:1" ht="12.75" customHeight="1">
      <c r="A10650" s="129">
        <v>10650</v>
      </c>
    </row>
    <row r="10651" spans="1:1" ht="12.75" customHeight="1">
      <c r="A10651" s="129">
        <v>10651</v>
      </c>
    </row>
    <row r="10652" spans="1:1" ht="12.75" customHeight="1">
      <c r="A10652" s="129">
        <v>10652</v>
      </c>
    </row>
    <row r="10653" spans="1:1" ht="12.75" customHeight="1">
      <c r="A10653" s="129">
        <v>10653</v>
      </c>
    </row>
    <row r="10654" spans="1:1" ht="12.75" customHeight="1">
      <c r="A10654" s="129">
        <v>10654</v>
      </c>
    </row>
    <row r="10655" spans="1:1" ht="12.75" customHeight="1">
      <c r="A10655" s="129">
        <v>10655</v>
      </c>
    </row>
    <row r="10656" spans="1:1" ht="12.75" customHeight="1">
      <c r="A10656" s="129">
        <v>10656</v>
      </c>
    </row>
    <row r="10657" spans="1:1" ht="12.75" customHeight="1">
      <c r="A10657" s="129">
        <v>10657</v>
      </c>
    </row>
    <row r="10658" spans="1:1" ht="12.75" customHeight="1">
      <c r="A10658" s="129">
        <v>10658</v>
      </c>
    </row>
    <row r="10659" spans="1:1" ht="12.75" customHeight="1">
      <c r="A10659" s="129">
        <v>10659</v>
      </c>
    </row>
    <row r="10660" spans="1:1" ht="12.75" customHeight="1">
      <c r="A10660" s="129">
        <v>10660</v>
      </c>
    </row>
    <row r="10661" spans="1:1" ht="12.75" customHeight="1">
      <c r="A10661" s="129">
        <v>10661</v>
      </c>
    </row>
    <row r="10662" spans="1:1" ht="12.75" customHeight="1">
      <c r="A10662" s="129">
        <v>10662</v>
      </c>
    </row>
    <row r="10663" spans="1:1" ht="12.75" customHeight="1">
      <c r="A10663" s="129">
        <v>10663</v>
      </c>
    </row>
    <row r="10664" spans="1:1" ht="12.75" customHeight="1">
      <c r="A10664" s="129">
        <v>10664</v>
      </c>
    </row>
    <row r="10665" spans="1:1" ht="12.75" customHeight="1">
      <c r="A10665" s="129">
        <v>10665</v>
      </c>
    </row>
    <row r="10666" spans="1:1" ht="12.75" customHeight="1">
      <c r="A10666" s="129">
        <v>10666</v>
      </c>
    </row>
    <row r="10667" spans="1:1" ht="12.75" customHeight="1">
      <c r="A10667" s="129">
        <v>10667</v>
      </c>
    </row>
    <row r="10668" spans="1:1" ht="12.75" customHeight="1">
      <c r="A10668" s="129">
        <v>10668</v>
      </c>
    </row>
    <row r="10669" spans="1:1" ht="12.75" customHeight="1">
      <c r="A10669" s="129">
        <v>10669</v>
      </c>
    </row>
    <row r="10670" spans="1:1" ht="12.75" customHeight="1">
      <c r="A10670" s="129">
        <v>10670</v>
      </c>
    </row>
    <row r="10671" spans="1:1" ht="12.75" customHeight="1">
      <c r="A10671" s="129">
        <v>10671</v>
      </c>
    </row>
    <row r="10672" spans="1:1" ht="12.75" customHeight="1">
      <c r="A10672" s="129">
        <v>10672</v>
      </c>
    </row>
    <row r="10673" spans="1:1" ht="12.75" customHeight="1">
      <c r="A10673" s="129">
        <v>10673</v>
      </c>
    </row>
    <row r="10674" spans="1:1" ht="12.75" customHeight="1">
      <c r="A10674" s="129">
        <v>10674</v>
      </c>
    </row>
    <row r="10675" spans="1:1" ht="12.75" customHeight="1">
      <c r="A10675" s="129">
        <v>10675</v>
      </c>
    </row>
    <row r="10676" spans="1:1" ht="12.75" customHeight="1">
      <c r="A10676" s="129">
        <v>10676</v>
      </c>
    </row>
    <row r="10677" spans="1:1" ht="12.75" customHeight="1">
      <c r="A10677" s="129">
        <v>10677</v>
      </c>
    </row>
    <row r="10678" spans="1:1" ht="12.75" customHeight="1">
      <c r="A10678" s="129">
        <v>10678</v>
      </c>
    </row>
    <row r="10679" spans="1:1" ht="12.75" customHeight="1">
      <c r="A10679" s="129">
        <v>10679</v>
      </c>
    </row>
    <row r="10680" spans="1:1" ht="12.75" customHeight="1">
      <c r="A10680" s="129">
        <v>10680</v>
      </c>
    </row>
    <row r="10681" spans="1:1" ht="12.75" customHeight="1">
      <c r="A10681" s="129">
        <v>10681</v>
      </c>
    </row>
    <row r="10682" spans="1:1" ht="12.75" customHeight="1">
      <c r="A10682" s="129">
        <v>10682</v>
      </c>
    </row>
    <row r="10683" spans="1:1" ht="12.75" customHeight="1">
      <c r="A10683" s="129">
        <v>10683</v>
      </c>
    </row>
    <row r="10684" spans="1:1" ht="12.75" customHeight="1">
      <c r="A10684" s="129">
        <v>10684</v>
      </c>
    </row>
    <row r="10685" spans="1:1" ht="12.75" customHeight="1">
      <c r="A10685" s="129">
        <v>10685</v>
      </c>
    </row>
    <row r="10686" spans="1:1" ht="12.75" customHeight="1">
      <c r="A10686" s="129">
        <v>10686</v>
      </c>
    </row>
    <row r="10687" spans="1:1" ht="12.75" customHeight="1">
      <c r="A10687" s="129">
        <v>10687</v>
      </c>
    </row>
    <row r="10688" spans="1:1" ht="12.75" customHeight="1">
      <c r="A10688" s="129">
        <v>10688</v>
      </c>
    </row>
    <row r="10689" spans="1:1" ht="12.75" customHeight="1">
      <c r="A10689" s="129">
        <v>10689</v>
      </c>
    </row>
    <row r="10690" spans="1:1" ht="12.75" customHeight="1">
      <c r="A10690" s="129">
        <v>10690</v>
      </c>
    </row>
    <row r="10691" spans="1:1" ht="12.75" customHeight="1">
      <c r="A10691" s="129">
        <v>10691</v>
      </c>
    </row>
    <row r="10692" spans="1:1" ht="12.75" customHeight="1">
      <c r="A10692" s="129">
        <v>10692</v>
      </c>
    </row>
    <row r="10693" spans="1:1" ht="12.75" customHeight="1">
      <c r="A10693" s="129">
        <v>10693</v>
      </c>
    </row>
    <row r="10694" spans="1:1" ht="12.75" customHeight="1">
      <c r="A10694" s="129">
        <v>10694</v>
      </c>
    </row>
    <row r="10695" spans="1:1" ht="12.75" customHeight="1">
      <c r="A10695" s="129">
        <v>10695</v>
      </c>
    </row>
    <row r="10696" spans="1:1" ht="12.75" customHeight="1">
      <c r="A10696" s="129">
        <v>10696</v>
      </c>
    </row>
    <row r="10697" spans="1:1" ht="12.75" customHeight="1">
      <c r="A10697" s="129">
        <v>10697</v>
      </c>
    </row>
    <row r="10698" spans="1:1" ht="12.75" customHeight="1">
      <c r="A10698" s="129">
        <v>10698</v>
      </c>
    </row>
    <row r="10699" spans="1:1" ht="12.75" customHeight="1">
      <c r="A10699" s="129">
        <v>10699</v>
      </c>
    </row>
    <row r="10700" spans="1:1" ht="12.75" customHeight="1">
      <c r="A10700" s="129">
        <v>10700</v>
      </c>
    </row>
    <row r="10701" spans="1:1" ht="12.75" customHeight="1">
      <c r="A10701" s="129">
        <v>10701</v>
      </c>
    </row>
    <row r="10702" spans="1:1" ht="12.75" customHeight="1">
      <c r="A10702" s="129">
        <v>10702</v>
      </c>
    </row>
    <row r="10703" spans="1:1" ht="12.75" customHeight="1">
      <c r="A10703" s="129">
        <v>10703</v>
      </c>
    </row>
    <row r="10704" spans="1:1" ht="12.75" customHeight="1">
      <c r="A10704" s="129">
        <v>10704</v>
      </c>
    </row>
    <row r="10705" spans="1:1" ht="12.75" customHeight="1">
      <c r="A10705" s="129">
        <v>10705</v>
      </c>
    </row>
    <row r="10706" spans="1:1" ht="12.75" customHeight="1">
      <c r="A10706" s="129">
        <v>10706</v>
      </c>
    </row>
    <row r="10707" spans="1:1" ht="12.75" customHeight="1">
      <c r="A10707" s="129">
        <v>10707</v>
      </c>
    </row>
    <row r="10708" spans="1:1" ht="12.75" customHeight="1">
      <c r="A10708" s="129">
        <v>10708</v>
      </c>
    </row>
    <row r="10709" spans="1:1" ht="12.75" customHeight="1">
      <c r="A10709" s="129">
        <v>10709</v>
      </c>
    </row>
    <row r="10710" spans="1:1" ht="12.75" customHeight="1">
      <c r="A10710" s="129">
        <v>10710</v>
      </c>
    </row>
    <row r="10711" spans="1:1" ht="12.75" customHeight="1">
      <c r="A10711" s="129">
        <v>10711</v>
      </c>
    </row>
    <row r="10712" spans="1:1" ht="12.75" customHeight="1">
      <c r="A10712" s="129">
        <v>10712</v>
      </c>
    </row>
    <row r="10713" spans="1:1" ht="12.75" customHeight="1">
      <c r="A10713" s="129">
        <v>10713</v>
      </c>
    </row>
    <row r="10714" spans="1:1" ht="12.75" customHeight="1">
      <c r="A10714" s="129">
        <v>10714</v>
      </c>
    </row>
    <row r="10715" spans="1:1" ht="12.75" customHeight="1">
      <c r="A10715" s="129">
        <v>10715</v>
      </c>
    </row>
    <row r="10716" spans="1:1" ht="12.75" customHeight="1">
      <c r="A10716" s="129">
        <v>10716</v>
      </c>
    </row>
    <row r="10717" spans="1:1" ht="12.75" customHeight="1">
      <c r="A10717" s="129">
        <v>10717</v>
      </c>
    </row>
    <row r="10718" spans="1:1" ht="12.75" customHeight="1">
      <c r="A10718" s="129">
        <v>10718</v>
      </c>
    </row>
    <row r="10719" spans="1:1" ht="12.75" customHeight="1">
      <c r="A10719" s="129">
        <v>10719</v>
      </c>
    </row>
    <row r="10720" spans="1:1" ht="12.75" customHeight="1">
      <c r="A10720" s="129">
        <v>10720</v>
      </c>
    </row>
    <row r="10721" spans="1:1" ht="12.75" customHeight="1">
      <c r="A10721" s="129">
        <v>10721</v>
      </c>
    </row>
    <row r="10722" spans="1:1" ht="12.75" customHeight="1">
      <c r="A10722" s="129">
        <v>10722</v>
      </c>
    </row>
    <row r="10723" spans="1:1" ht="12.75" customHeight="1">
      <c r="A10723" s="129">
        <v>10723</v>
      </c>
    </row>
    <row r="10724" spans="1:1" ht="12.75" customHeight="1">
      <c r="A10724" s="129">
        <v>10724</v>
      </c>
    </row>
    <row r="10725" spans="1:1" ht="12.75" customHeight="1">
      <c r="A10725" s="129">
        <v>10725</v>
      </c>
    </row>
    <row r="10726" spans="1:1" ht="12.75" customHeight="1">
      <c r="A10726" s="129">
        <v>10726</v>
      </c>
    </row>
    <row r="10727" spans="1:1" ht="12.75" customHeight="1">
      <c r="A10727" s="129">
        <v>10727</v>
      </c>
    </row>
    <row r="10728" spans="1:1" ht="12.75" customHeight="1">
      <c r="A10728" s="129">
        <v>10728</v>
      </c>
    </row>
    <row r="10729" spans="1:1" ht="12.75" customHeight="1">
      <c r="A10729" s="129">
        <v>10729</v>
      </c>
    </row>
    <row r="10730" spans="1:1" ht="12.75" customHeight="1">
      <c r="A10730" s="129">
        <v>10730</v>
      </c>
    </row>
    <row r="10731" spans="1:1" ht="12.75" customHeight="1">
      <c r="A10731" s="129">
        <v>10731</v>
      </c>
    </row>
    <row r="10732" spans="1:1" ht="12.75" customHeight="1">
      <c r="A10732" s="129">
        <v>10732</v>
      </c>
    </row>
    <row r="10733" spans="1:1" ht="12.75" customHeight="1">
      <c r="A10733" s="129">
        <v>10733</v>
      </c>
    </row>
    <row r="10734" spans="1:1" ht="12.75" customHeight="1">
      <c r="A10734" s="129">
        <v>10734</v>
      </c>
    </row>
    <row r="10735" spans="1:1" ht="12.75" customHeight="1">
      <c r="A10735" s="129">
        <v>10735</v>
      </c>
    </row>
    <row r="10736" spans="1:1" ht="12.75" customHeight="1">
      <c r="A10736" s="129">
        <v>10736</v>
      </c>
    </row>
    <row r="10737" spans="1:1" ht="12.75" customHeight="1">
      <c r="A10737" s="129">
        <v>10737</v>
      </c>
    </row>
    <row r="10738" spans="1:1" ht="12.75" customHeight="1">
      <c r="A10738" s="129">
        <v>10738</v>
      </c>
    </row>
    <row r="10739" spans="1:1" ht="12.75" customHeight="1">
      <c r="A10739" s="129">
        <v>10739</v>
      </c>
    </row>
    <row r="10740" spans="1:1" ht="12.75" customHeight="1">
      <c r="A10740" s="129">
        <v>10740</v>
      </c>
    </row>
    <row r="10741" spans="1:1" ht="12.75" customHeight="1">
      <c r="A10741" s="129">
        <v>10741</v>
      </c>
    </row>
    <row r="10742" spans="1:1" ht="12.75" customHeight="1">
      <c r="A10742" s="129">
        <v>10742</v>
      </c>
    </row>
    <row r="10743" spans="1:1" ht="12.75" customHeight="1">
      <c r="A10743" s="129">
        <v>10743</v>
      </c>
    </row>
    <row r="10744" spans="1:1" ht="12.75" customHeight="1">
      <c r="A10744" s="129">
        <v>10744</v>
      </c>
    </row>
    <row r="10745" spans="1:1" ht="12.75" customHeight="1">
      <c r="A10745" s="129">
        <v>10745</v>
      </c>
    </row>
    <row r="10746" spans="1:1" ht="12.75" customHeight="1">
      <c r="A10746" s="129">
        <v>10746</v>
      </c>
    </row>
    <row r="10747" spans="1:1" ht="12.75" customHeight="1">
      <c r="A10747" s="129">
        <v>10747</v>
      </c>
    </row>
    <row r="10748" spans="1:1" ht="12.75" customHeight="1">
      <c r="A10748" s="129">
        <v>10748</v>
      </c>
    </row>
    <row r="10749" spans="1:1" ht="12.75" customHeight="1">
      <c r="A10749" s="129">
        <v>10749</v>
      </c>
    </row>
    <row r="10750" spans="1:1" ht="12.75" customHeight="1">
      <c r="A10750" s="129">
        <v>10750</v>
      </c>
    </row>
    <row r="10751" spans="1:1" ht="12.75" customHeight="1">
      <c r="A10751" s="129">
        <v>10751</v>
      </c>
    </row>
    <row r="10752" spans="1:1" ht="12.75" customHeight="1">
      <c r="A10752" s="129">
        <v>10752</v>
      </c>
    </row>
    <row r="10753" spans="1:1" ht="12.75" customHeight="1">
      <c r="A10753" s="129">
        <v>10753</v>
      </c>
    </row>
    <row r="10754" spans="1:1" ht="12.75" customHeight="1">
      <c r="A10754" s="129">
        <v>10754</v>
      </c>
    </row>
    <row r="10755" spans="1:1" ht="12.75" customHeight="1">
      <c r="A10755" s="129">
        <v>10755</v>
      </c>
    </row>
    <row r="10756" spans="1:1" ht="12.75" customHeight="1">
      <c r="A10756" s="129">
        <v>10756</v>
      </c>
    </row>
    <row r="10757" spans="1:1" ht="12.75" customHeight="1">
      <c r="A10757" s="129">
        <v>10757</v>
      </c>
    </row>
    <row r="10758" spans="1:1" ht="12.75" customHeight="1">
      <c r="A10758" s="129">
        <v>10758</v>
      </c>
    </row>
    <row r="10759" spans="1:1" ht="12.75" customHeight="1">
      <c r="A10759" s="129">
        <v>10759</v>
      </c>
    </row>
    <row r="10760" spans="1:1" ht="12.75" customHeight="1">
      <c r="A10760" s="129">
        <v>10760</v>
      </c>
    </row>
    <row r="10761" spans="1:1" ht="12.75" customHeight="1">
      <c r="A10761" s="129">
        <v>10761</v>
      </c>
    </row>
    <row r="10762" spans="1:1" ht="12.75" customHeight="1">
      <c r="A10762" s="129">
        <v>10762</v>
      </c>
    </row>
    <row r="10763" spans="1:1" ht="12.75" customHeight="1">
      <c r="A10763" s="129">
        <v>10763</v>
      </c>
    </row>
    <row r="10764" spans="1:1" ht="12.75" customHeight="1">
      <c r="A10764" s="129">
        <v>10764</v>
      </c>
    </row>
    <row r="10765" spans="1:1" ht="12.75" customHeight="1">
      <c r="A10765" s="129">
        <v>10765</v>
      </c>
    </row>
    <row r="10766" spans="1:1" ht="12.75" customHeight="1">
      <c r="A10766" s="129">
        <v>10766</v>
      </c>
    </row>
    <row r="10767" spans="1:1" ht="12.75" customHeight="1">
      <c r="A10767" s="129">
        <v>10767</v>
      </c>
    </row>
    <row r="10768" spans="1:1" ht="12.75" customHeight="1">
      <c r="A10768" s="129">
        <v>10768</v>
      </c>
    </row>
    <row r="10769" spans="1:1" ht="12.75" customHeight="1">
      <c r="A10769" s="129">
        <v>10769</v>
      </c>
    </row>
    <row r="10770" spans="1:1" ht="12.75" customHeight="1">
      <c r="A10770" s="129">
        <v>10770</v>
      </c>
    </row>
    <row r="10771" spans="1:1" ht="12.75" customHeight="1">
      <c r="A10771" s="129">
        <v>10771</v>
      </c>
    </row>
    <row r="10772" spans="1:1" ht="12.75" customHeight="1">
      <c r="A10772" s="129">
        <v>10772</v>
      </c>
    </row>
    <row r="10773" spans="1:1" ht="12.75" customHeight="1">
      <c r="A10773" s="129">
        <v>10773</v>
      </c>
    </row>
    <row r="10774" spans="1:1" ht="12.75" customHeight="1">
      <c r="A10774" s="129">
        <v>10774</v>
      </c>
    </row>
    <row r="10775" spans="1:1" ht="12.75" customHeight="1">
      <c r="A10775" s="129">
        <v>10775</v>
      </c>
    </row>
    <row r="10776" spans="1:1" ht="12.75" customHeight="1">
      <c r="A10776" s="129">
        <v>10776</v>
      </c>
    </row>
    <row r="10777" spans="1:1" ht="12.75" customHeight="1">
      <c r="A10777" s="129">
        <v>10777</v>
      </c>
    </row>
    <row r="10778" spans="1:1" ht="12.75" customHeight="1">
      <c r="A10778" s="129">
        <v>10778</v>
      </c>
    </row>
    <row r="10779" spans="1:1" ht="12.75" customHeight="1">
      <c r="A10779" s="129">
        <v>10779</v>
      </c>
    </row>
    <row r="10780" spans="1:1" ht="12.75" customHeight="1">
      <c r="A10780" s="129">
        <v>10780</v>
      </c>
    </row>
    <row r="10781" spans="1:1" ht="12.75" customHeight="1">
      <c r="A10781" s="129">
        <v>10781</v>
      </c>
    </row>
    <row r="10782" spans="1:1" ht="12.75" customHeight="1">
      <c r="A10782" s="129">
        <v>10782</v>
      </c>
    </row>
    <row r="10783" spans="1:1" ht="12.75" customHeight="1">
      <c r="A10783" s="129">
        <v>10783</v>
      </c>
    </row>
    <row r="10784" spans="1:1" ht="12.75" customHeight="1">
      <c r="A10784" s="129">
        <v>10784</v>
      </c>
    </row>
    <row r="10785" spans="1:1" ht="12.75" customHeight="1">
      <c r="A10785" s="129">
        <v>10785</v>
      </c>
    </row>
    <row r="10786" spans="1:1" ht="12.75" customHeight="1">
      <c r="A10786" s="129">
        <v>10786</v>
      </c>
    </row>
    <row r="10787" spans="1:1" ht="12.75" customHeight="1">
      <c r="A10787" s="129">
        <v>10787</v>
      </c>
    </row>
    <row r="10788" spans="1:1" ht="12.75" customHeight="1">
      <c r="A10788" s="129">
        <v>10788</v>
      </c>
    </row>
    <row r="10789" spans="1:1" ht="12.75" customHeight="1">
      <c r="A10789" s="129">
        <v>10789</v>
      </c>
    </row>
    <row r="10790" spans="1:1" ht="12.75" customHeight="1">
      <c r="A10790" s="129">
        <v>10790</v>
      </c>
    </row>
    <row r="10791" spans="1:1" ht="12.75" customHeight="1">
      <c r="A10791" s="129">
        <v>10791</v>
      </c>
    </row>
    <row r="10792" spans="1:1" ht="12.75" customHeight="1">
      <c r="A10792" s="129">
        <v>10792</v>
      </c>
    </row>
    <row r="10793" spans="1:1" ht="12.75" customHeight="1">
      <c r="A10793" s="129">
        <v>10793</v>
      </c>
    </row>
    <row r="10794" spans="1:1" ht="12.75" customHeight="1">
      <c r="A10794" s="129">
        <v>10794</v>
      </c>
    </row>
    <row r="10795" spans="1:1" ht="12.75" customHeight="1">
      <c r="A10795" s="129">
        <v>10795</v>
      </c>
    </row>
    <row r="10796" spans="1:1" ht="12.75" customHeight="1">
      <c r="A10796" s="129">
        <v>10796</v>
      </c>
    </row>
    <row r="10797" spans="1:1" ht="12.75" customHeight="1">
      <c r="A10797" s="129">
        <v>10797</v>
      </c>
    </row>
    <row r="10798" spans="1:1" ht="12.75" customHeight="1">
      <c r="A10798" s="129">
        <v>10798</v>
      </c>
    </row>
    <row r="10799" spans="1:1" ht="12.75" customHeight="1">
      <c r="A10799" s="129">
        <v>10799</v>
      </c>
    </row>
    <row r="10800" spans="1:1" ht="12.75" customHeight="1">
      <c r="A10800" s="129">
        <v>10800</v>
      </c>
    </row>
    <row r="10801" spans="1:1" ht="12.75" customHeight="1">
      <c r="A10801" s="129">
        <v>10801</v>
      </c>
    </row>
    <row r="10802" spans="1:1" ht="12.75" customHeight="1">
      <c r="A10802" s="129">
        <v>10802</v>
      </c>
    </row>
    <row r="10803" spans="1:1" ht="12.75" customHeight="1">
      <c r="A10803" s="129">
        <v>10803</v>
      </c>
    </row>
    <row r="10804" spans="1:1" ht="12.75" customHeight="1">
      <c r="A10804" s="129">
        <v>10804</v>
      </c>
    </row>
    <row r="10805" spans="1:1" ht="12.75" customHeight="1">
      <c r="A10805" s="129">
        <v>10805</v>
      </c>
    </row>
    <row r="10806" spans="1:1" ht="12.75" customHeight="1">
      <c r="A10806" s="129">
        <v>10806</v>
      </c>
    </row>
    <row r="10807" spans="1:1" ht="12.75" customHeight="1">
      <c r="A10807" s="129">
        <v>10807</v>
      </c>
    </row>
    <row r="10808" spans="1:1" ht="12.75" customHeight="1">
      <c r="A10808" s="129">
        <v>10808</v>
      </c>
    </row>
    <row r="10809" spans="1:1" ht="12.75" customHeight="1">
      <c r="A10809" s="129">
        <v>10809</v>
      </c>
    </row>
    <row r="10810" spans="1:1" ht="12.75" customHeight="1">
      <c r="A10810" s="129">
        <v>10810</v>
      </c>
    </row>
    <row r="10811" spans="1:1" ht="12.75" customHeight="1">
      <c r="A10811" s="129">
        <v>10811</v>
      </c>
    </row>
    <row r="10812" spans="1:1" ht="12.75" customHeight="1">
      <c r="A10812" s="129">
        <v>10812</v>
      </c>
    </row>
    <row r="10813" spans="1:1" ht="12.75" customHeight="1">
      <c r="A10813" s="129">
        <v>10813</v>
      </c>
    </row>
    <row r="10814" spans="1:1" ht="12.75" customHeight="1">
      <c r="A10814" s="129">
        <v>10814</v>
      </c>
    </row>
    <row r="10815" spans="1:1" ht="12.75" customHeight="1">
      <c r="A10815" s="129">
        <v>10815</v>
      </c>
    </row>
    <row r="10816" spans="1:1" ht="12.75" customHeight="1">
      <c r="A10816" s="129">
        <v>10816</v>
      </c>
    </row>
    <row r="10817" spans="1:1" ht="12.75" customHeight="1">
      <c r="A10817" s="129">
        <v>10817</v>
      </c>
    </row>
    <row r="10818" spans="1:1" ht="12.75" customHeight="1">
      <c r="A10818" s="129">
        <v>10818</v>
      </c>
    </row>
    <row r="10819" spans="1:1" ht="12.75" customHeight="1">
      <c r="A10819" s="129">
        <v>10819</v>
      </c>
    </row>
    <row r="10820" spans="1:1" ht="12.75" customHeight="1">
      <c r="A10820" s="129">
        <v>10820</v>
      </c>
    </row>
    <row r="10821" spans="1:1" ht="12.75" customHeight="1">
      <c r="A10821" s="129">
        <v>10821</v>
      </c>
    </row>
    <row r="10822" spans="1:1" ht="12.75" customHeight="1">
      <c r="A10822" s="129">
        <v>10822</v>
      </c>
    </row>
    <row r="10823" spans="1:1" ht="12.75" customHeight="1">
      <c r="A10823" s="129">
        <v>10823</v>
      </c>
    </row>
    <row r="10824" spans="1:1" ht="12.75" customHeight="1">
      <c r="A10824" s="129">
        <v>10824</v>
      </c>
    </row>
    <row r="10825" spans="1:1" ht="12.75" customHeight="1">
      <c r="A10825" s="129">
        <v>10825</v>
      </c>
    </row>
    <row r="10826" spans="1:1" ht="12.75" customHeight="1">
      <c r="A10826" s="129">
        <v>10826</v>
      </c>
    </row>
    <row r="10827" spans="1:1" ht="12.75" customHeight="1">
      <c r="A10827" s="129">
        <v>10827</v>
      </c>
    </row>
    <row r="10828" spans="1:1" ht="12.75" customHeight="1">
      <c r="A10828" s="129">
        <v>10828</v>
      </c>
    </row>
    <row r="10829" spans="1:1" ht="12.75" customHeight="1">
      <c r="A10829" s="129">
        <v>10829</v>
      </c>
    </row>
    <row r="10830" spans="1:1" ht="12.75" customHeight="1">
      <c r="A10830" s="129">
        <v>10830</v>
      </c>
    </row>
    <row r="10831" spans="1:1" ht="12.75" customHeight="1">
      <c r="A10831" s="129">
        <v>10831</v>
      </c>
    </row>
    <row r="10832" spans="1:1" ht="12.75" customHeight="1">
      <c r="A10832" s="129">
        <v>10832</v>
      </c>
    </row>
    <row r="10833" spans="1:1" ht="12.75" customHeight="1">
      <c r="A10833" s="129">
        <v>10833</v>
      </c>
    </row>
    <row r="10834" spans="1:1" ht="12.75" customHeight="1">
      <c r="A10834" s="129">
        <v>10834</v>
      </c>
    </row>
    <row r="10835" spans="1:1" ht="12.75" customHeight="1">
      <c r="A10835" s="129">
        <v>10835</v>
      </c>
    </row>
    <row r="10836" spans="1:1" ht="12.75" customHeight="1">
      <c r="A10836" s="129">
        <v>10836</v>
      </c>
    </row>
    <row r="10837" spans="1:1" ht="12.75" customHeight="1">
      <c r="A10837" s="129">
        <v>10837</v>
      </c>
    </row>
    <row r="10838" spans="1:1" ht="12.75" customHeight="1">
      <c r="A10838" s="129">
        <v>10838</v>
      </c>
    </row>
    <row r="10839" spans="1:1" ht="12.75" customHeight="1">
      <c r="A10839" s="129">
        <v>10839</v>
      </c>
    </row>
    <row r="10840" spans="1:1" ht="12.75" customHeight="1">
      <c r="A10840" s="129">
        <v>10840</v>
      </c>
    </row>
    <row r="10841" spans="1:1" ht="12.75" customHeight="1">
      <c r="A10841" s="129">
        <v>10841</v>
      </c>
    </row>
    <row r="10842" spans="1:1" ht="12.75" customHeight="1">
      <c r="A10842" s="129">
        <v>10842</v>
      </c>
    </row>
    <row r="10843" spans="1:1" ht="12.75" customHeight="1">
      <c r="A10843" s="129">
        <v>10843</v>
      </c>
    </row>
    <row r="10844" spans="1:1" ht="12.75" customHeight="1">
      <c r="A10844" s="129">
        <v>10844</v>
      </c>
    </row>
    <row r="10845" spans="1:1" ht="12.75" customHeight="1">
      <c r="A10845" s="129">
        <v>10845</v>
      </c>
    </row>
    <row r="10846" spans="1:1" ht="12.75" customHeight="1">
      <c r="A10846" s="129">
        <v>10846</v>
      </c>
    </row>
    <row r="10847" spans="1:1" ht="12.75" customHeight="1">
      <c r="A10847" s="129">
        <v>10847</v>
      </c>
    </row>
    <row r="10848" spans="1:1" ht="12.75" customHeight="1">
      <c r="A10848" s="129">
        <v>10848</v>
      </c>
    </row>
    <row r="10849" spans="1:1" ht="12.75" customHeight="1">
      <c r="A10849" s="129">
        <v>10849</v>
      </c>
    </row>
    <row r="10850" spans="1:1" ht="12.75" customHeight="1">
      <c r="A10850" s="129">
        <v>10850</v>
      </c>
    </row>
    <row r="10851" spans="1:1" ht="12.75" customHeight="1">
      <c r="A10851" s="129">
        <v>10851</v>
      </c>
    </row>
    <row r="10852" spans="1:1" ht="12.75" customHeight="1">
      <c r="A10852" s="129">
        <v>10852</v>
      </c>
    </row>
    <row r="10853" spans="1:1" ht="12.75" customHeight="1">
      <c r="A10853" s="129">
        <v>10853</v>
      </c>
    </row>
    <row r="10854" spans="1:1" ht="12.75" customHeight="1">
      <c r="A10854" s="129">
        <v>10854</v>
      </c>
    </row>
    <row r="10855" spans="1:1" ht="12.75" customHeight="1">
      <c r="A10855" s="129">
        <v>10855</v>
      </c>
    </row>
    <row r="10856" spans="1:1" ht="12.75" customHeight="1">
      <c r="A10856" s="129">
        <v>10856</v>
      </c>
    </row>
    <row r="10857" spans="1:1" ht="12.75" customHeight="1">
      <c r="A10857" s="129">
        <v>10857</v>
      </c>
    </row>
    <row r="10858" spans="1:1" ht="12.75" customHeight="1">
      <c r="A10858" s="129">
        <v>10858</v>
      </c>
    </row>
    <row r="10859" spans="1:1" ht="12.75" customHeight="1">
      <c r="A10859" s="129">
        <v>10859</v>
      </c>
    </row>
    <row r="10860" spans="1:1" ht="12.75" customHeight="1">
      <c r="A10860" s="129">
        <v>10860</v>
      </c>
    </row>
    <row r="10861" spans="1:1" ht="12.75" customHeight="1">
      <c r="A10861" s="129">
        <v>10861</v>
      </c>
    </row>
    <row r="10862" spans="1:1" ht="12.75" customHeight="1">
      <c r="A10862" s="129">
        <v>10862</v>
      </c>
    </row>
    <row r="10863" spans="1:1" ht="12.75" customHeight="1">
      <c r="A10863" s="129">
        <v>10863</v>
      </c>
    </row>
    <row r="10864" spans="1:1" ht="12.75" customHeight="1">
      <c r="A10864" s="129">
        <v>10864</v>
      </c>
    </row>
    <row r="10865" spans="1:1" ht="12.75" customHeight="1">
      <c r="A10865" s="129">
        <v>10865</v>
      </c>
    </row>
    <row r="10866" spans="1:1" ht="12.75" customHeight="1">
      <c r="A10866" s="129">
        <v>10866</v>
      </c>
    </row>
    <row r="10867" spans="1:1" ht="12.75" customHeight="1">
      <c r="A10867" s="129">
        <v>10867</v>
      </c>
    </row>
    <row r="10868" spans="1:1" ht="12.75" customHeight="1">
      <c r="A10868" s="129">
        <v>10868</v>
      </c>
    </row>
    <row r="10869" spans="1:1" ht="12.75" customHeight="1">
      <c r="A10869" s="129">
        <v>10869</v>
      </c>
    </row>
    <row r="10870" spans="1:1" ht="12.75" customHeight="1">
      <c r="A10870" s="129">
        <v>10870</v>
      </c>
    </row>
    <row r="10871" spans="1:1" ht="12.75" customHeight="1">
      <c r="A10871" s="129">
        <v>10871</v>
      </c>
    </row>
    <row r="10872" spans="1:1" ht="12.75" customHeight="1">
      <c r="A10872" s="129">
        <v>10872</v>
      </c>
    </row>
    <row r="10873" spans="1:1" ht="12.75" customHeight="1">
      <c r="A10873" s="129">
        <v>10873</v>
      </c>
    </row>
    <row r="10874" spans="1:1" ht="12.75" customHeight="1">
      <c r="A10874" s="129">
        <v>10874</v>
      </c>
    </row>
    <row r="10875" spans="1:1" ht="12.75" customHeight="1">
      <c r="A10875" s="129">
        <v>10875</v>
      </c>
    </row>
    <row r="10876" spans="1:1" ht="12.75" customHeight="1">
      <c r="A10876" s="129">
        <v>10876</v>
      </c>
    </row>
    <row r="10877" spans="1:1" ht="12.75" customHeight="1">
      <c r="A10877" s="129">
        <v>10877</v>
      </c>
    </row>
    <row r="10878" spans="1:1" ht="12.75" customHeight="1">
      <c r="A10878" s="129">
        <v>10878</v>
      </c>
    </row>
    <row r="10879" spans="1:1" ht="12.75" customHeight="1">
      <c r="A10879" s="129">
        <v>10879</v>
      </c>
    </row>
    <row r="10880" spans="1:1" ht="12.75" customHeight="1">
      <c r="A10880" s="129">
        <v>10880</v>
      </c>
    </row>
    <row r="10881" spans="1:1" ht="12.75" customHeight="1">
      <c r="A10881" s="129">
        <v>10881</v>
      </c>
    </row>
    <row r="10882" spans="1:1" ht="12.75" customHeight="1">
      <c r="A10882" s="129">
        <v>10882</v>
      </c>
    </row>
    <row r="10883" spans="1:1" ht="12.75" customHeight="1">
      <c r="A10883" s="129">
        <v>10883</v>
      </c>
    </row>
    <row r="10884" spans="1:1" ht="12.75" customHeight="1">
      <c r="A10884" s="129">
        <v>10884</v>
      </c>
    </row>
    <row r="10885" spans="1:1" ht="12.75" customHeight="1">
      <c r="A10885" s="129">
        <v>10885</v>
      </c>
    </row>
    <row r="10886" spans="1:1" ht="12.75" customHeight="1">
      <c r="A10886" s="129">
        <v>10886</v>
      </c>
    </row>
    <row r="10887" spans="1:1" ht="12.75" customHeight="1">
      <c r="A10887" s="129">
        <v>10887</v>
      </c>
    </row>
    <row r="10888" spans="1:1" ht="12.75" customHeight="1">
      <c r="A10888" s="129">
        <v>10888</v>
      </c>
    </row>
    <row r="10889" spans="1:1" ht="12.75" customHeight="1">
      <c r="A10889" s="129">
        <v>10889</v>
      </c>
    </row>
    <row r="10890" spans="1:1" ht="12.75" customHeight="1">
      <c r="A10890" s="129">
        <v>10890</v>
      </c>
    </row>
    <row r="10891" spans="1:1" ht="12.75" customHeight="1">
      <c r="A10891" s="129">
        <v>10891</v>
      </c>
    </row>
    <row r="10892" spans="1:1" ht="12.75" customHeight="1">
      <c r="A10892" s="129">
        <v>10892</v>
      </c>
    </row>
    <row r="10893" spans="1:1" ht="12.75" customHeight="1">
      <c r="A10893" s="129">
        <v>10893</v>
      </c>
    </row>
    <row r="10894" spans="1:1" ht="12.75" customHeight="1">
      <c r="A10894" s="129">
        <v>10894</v>
      </c>
    </row>
    <row r="10895" spans="1:1" ht="12.75" customHeight="1">
      <c r="A10895" s="129">
        <v>10895</v>
      </c>
    </row>
    <row r="10896" spans="1:1" ht="12.75" customHeight="1">
      <c r="A10896" s="129">
        <v>10896</v>
      </c>
    </row>
    <row r="10897" spans="1:1" ht="12.75" customHeight="1">
      <c r="A10897" s="129">
        <v>10897</v>
      </c>
    </row>
    <row r="10898" spans="1:1" ht="12.75" customHeight="1">
      <c r="A10898" s="129">
        <v>10898</v>
      </c>
    </row>
    <row r="10899" spans="1:1" ht="12.75" customHeight="1">
      <c r="A10899" s="129">
        <v>10899</v>
      </c>
    </row>
    <row r="10900" spans="1:1" ht="12.75" customHeight="1">
      <c r="A10900" s="129">
        <v>10900</v>
      </c>
    </row>
    <row r="10901" spans="1:1" ht="12.75" customHeight="1">
      <c r="A10901" s="129">
        <v>10901</v>
      </c>
    </row>
    <row r="10902" spans="1:1" ht="12.75" customHeight="1">
      <c r="A10902" s="129">
        <v>10902</v>
      </c>
    </row>
    <row r="10903" spans="1:1" ht="12.75" customHeight="1">
      <c r="A10903" s="129">
        <v>10903</v>
      </c>
    </row>
    <row r="10904" spans="1:1" ht="12.75" customHeight="1">
      <c r="A10904" s="129">
        <v>10904</v>
      </c>
    </row>
    <row r="10905" spans="1:1" ht="12.75" customHeight="1">
      <c r="A10905" s="129">
        <v>10905</v>
      </c>
    </row>
    <row r="10906" spans="1:1" ht="12.75" customHeight="1">
      <c r="A10906" s="129">
        <v>10906</v>
      </c>
    </row>
    <row r="10907" spans="1:1" ht="12.75" customHeight="1">
      <c r="A10907" s="129">
        <v>10907</v>
      </c>
    </row>
    <row r="10908" spans="1:1" ht="12.75" customHeight="1">
      <c r="A10908" s="129">
        <v>10908</v>
      </c>
    </row>
    <row r="10909" spans="1:1" ht="12.75" customHeight="1">
      <c r="A10909" s="129">
        <v>10909</v>
      </c>
    </row>
    <row r="10910" spans="1:1" ht="12.75" customHeight="1">
      <c r="A10910" s="129">
        <v>10910</v>
      </c>
    </row>
    <row r="10911" spans="1:1" ht="12.75" customHeight="1">
      <c r="A10911" s="129">
        <v>10911</v>
      </c>
    </row>
    <row r="10912" spans="1:1" ht="12.75" customHeight="1">
      <c r="A10912" s="129">
        <v>10912</v>
      </c>
    </row>
    <row r="10913" spans="1:1" ht="12.75" customHeight="1">
      <c r="A10913" s="129">
        <v>10913</v>
      </c>
    </row>
    <row r="10914" spans="1:1" ht="12.75" customHeight="1">
      <c r="A10914" s="129">
        <v>10914</v>
      </c>
    </row>
    <row r="10915" spans="1:1" ht="12.75" customHeight="1">
      <c r="A10915" s="129">
        <v>10915</v>
      </c>
    </row>
    <row r="10916" spans="1:1" ht="12.75" customHeight="1">
      <c r="A10916" s="129">
        <v>10916</v>
      </c>
    </row>
    <row r="10917" spans="1:1" ht="12.75" customHeight="1">
      <c r="A10917" s="129">
        <v>10917</v>
      </c>
    </row>
    <row r="10918" spans="1:1" ht="12.75" customHeight="1">
      <c r="A10918" s="129">
        <v>10918</v>
      </c>
    </row>
    <row r="10919" spans="1:1" ht="12.75" customHeight="1">
      <c r="A10919" s="129">
        <v>10919</v>
      </c>
    </row>
    <row r="10920" spans="1:1" ht="12.75" customHeight="1">
      <c r="A10920" s="129">
        <v>10920</v>
      </c>
    </row>
    <row r="10921" spans="1:1" ht="12.75" customHeight="1">
      <c r="A10921" s="129">
        <v>10921</v>
      </c>
    </row>
    <row r="10922" spans="1:1" ht="12.75" customHeight="1">
      <c r="A10922" s="129">
        <v>10922</v>
      </c>
    </row>
    <row r="10923" spans="1:1" ht="12.75" customHeight="1">
      <c r="A10923" s="129">
        <v>10923</v>
      </c>
    </row>
    <row r="10924" spans="1:1" ht="12.75" customHeight="1">
      <c r="A10924" s="129">
        <v>10924</v>
      </c>
    </row>
    <row r="10925" spans="1:1" ht="12.75" customHeight="1">
      <c r="A10925" s="129">
        <v>10925</v>
      </c>
    </row>
    <row r="10926" spans="1:1" ht="12.75" customHeight="1">
      <c r="A10926" s="129">
        <v>10926</v>
      </c>
    </row>
    <row r="10927" spans="1:1" ht="12.75" customHeight="1">
      <c r="A10927" s="129">
        <v>10927</v>
      </c>
    </row>
    <row r="10928" spans="1:1" ht="12.75" customHeight="1">
      <c r="A10928" s="129">
        <v>10928</v>
      </c>
    </row>
    <row r="10929" spans="1:1" ht="12.75" customHeight="1">
      <c r="A10929" s="129">
        <v>10929</v>
      </c>
    </row>
    <row r="10930" spans="1:1" ht="12.75" customHeight="1">
      <c r="A10930" s="129">
        <v>10930</v>
      </c>
    </row>
    <row r="10931" spans="1:1" ht="12.75" customHeight="1">
      <c r="A10931" s="129">
        <v>10931</v>
      </c>
    </row>
    <row r="10932" spans="1:1" ht="12.75" customHeight="1">
      <c r="A10932" s="129">
        <v>10932</v>
      </c>
    </row>
    <row r="10933" spans="1:1" ht="12.75" customHeight="1">
      <c r="A10933" s="129">
        <v>10933</v>
      </c>
    </row>
    <row r="10934" spans="1:1" ht="12.75" customHeight="1">
      <c r="A10934" s="129">
        <v>10934</v>
      </c>
    </row>
    <row r="10935" spans="1:1" ht="12.75" customHeight="1">
      <c r="A10935" s="129">
        <v>10935</v>
      </c>
    </row>
    <row r="10936" spans="1:1" ht="12.75" customHeight="1">
      <c r="A10936" s="129">
        <v>10936</v>
      </c>
    </row>
    <row r="10937" spans="1:1" ht="12.75" customHeight="1">
      <c r="A10937" s="129">
        <v>10937</v>
      </c>
    </row>
    <row r="10938" spans="1:1" ht="12.75" customHeight="1">
      <c r="A10938" s="129">
        <v>10938</v>
      </c>
    </row>
    <row r="10939" spans="1:1" ht="12.75" customHeight="1">
      <c r="A10939" s="129">
        <v>10939</v>
      </c>
    </row>
    <row r="10940" spans="1:1" ht="12.75" customHeight="1">
      <c r="A10940" s="129">
        <v>10940</v>
      </c>
    </row>
    <row r="10941" spans="1:1" ht="12.75" customHeight="1">
      <c r="A10941" s="129">
        <v>10941</v>
      </c>
    </row>
    <row r="10942" spans="1:1" ht="12.75" customHeight="1">
      <c r="A10942" s="129">
        <v>10942</v>
      </c>
    </row>
    <row r="10943" spans="1:1" ht="12.75" customHeight="1">
      <c r="A10943" s="129">
        <v>10943</v>
      </c>
    </row>
    <row r="10944" spans="1:1" ht="12.75" customHeight="1">
      <c r="A10944" s="129">
        <v>10944</v>
      </c>
    </row>
    <row r="10945" spans="1:1" ht="12.75" customHeight="1">
      <c r="A10945" s="129">
        <v>10945</v>
      </c>
    </row>
    <row r="10946" spans="1:1" ht="12.75" customHeight="1">
      <c r="A10946" s="129">
        <v>10946</v>
      </c>
    </row>
    <row r="10947" spans="1:1" ht="12.75" customHeight="1">
      <c r="A10947" s="129">
        <v>10947</v>
      </c>
    </row>
    <row r="10948" spans="1:1" ht="12.75" customHeight="1">
      <c r="A10948" s="129">
        <v>10948</v>
      </c>
    </row>
    <row r="10949" spans="1:1" ht="12.75" customHeight="1">
      <c r="A10949" s="129">
        <v>10949</v>
      </c>
    </row>
    <row r="10950" spans="1:1" ht="12.75" customHeight="1">
      <c r="A10950" s="129">
        <v>10950</v>
      </c>
    </row>
    <row r="10951" spans="1:1" ht="12.75" customHeight="1">
      <c r="A10951" s="129">
        <v>10951</v>
      </c>
    </row>
    <row r="10952" spans="1:1" ht="12.75" customHeight="1">
      <c r="A10952" s="129">
        <v>10952</v>
      </c>
    </row>
    <row r="10953" spans="1:1" ht="12.75" customHeight="1">
      <c r="A10953" s="129">
        <v>10953</v>
      </c>
    </row>
    <row r="10954" spans="1:1" ht="12.75" customHeight="1">
      <c r="A10954" s="129">
        <v>10954</v>
      </c>
    </row>
    <row r="10955" spans="1:1" ht="12.75" customHeight="1">
      <c r="A10955" s="129">
        <v>10955</v>
      </c>
    </row>
    <row r="10956" spans="1:1" ht="12.75" customHeight="1">
      <c r="A10956" s="129">
        <v>10956</v>
      </c>
    </row>
    <row r="10957" spans="1:1" ht="12.75" customHeight="1">
      <c r="A10957" s="129">
        <v>10957</v>
      </c>
    </row>
    <row r="10958" spans="1:1" ht="12.75" customHeight="1">
      <c r="A10958" s="129">
        <v>10958</v>
      </c>
    </row>
    <row r="10959" spans="1:1" ht="12.75" customHeight="1">
      <c r="A10959" s="129">
        <v>10959</v>
      </c>
    </row>
    <row r="10960" spans="1:1" ht="12.75" customHeight="1">
      <c r="A10960" s="129">
        <v>10960</v>
      </c>
    </row>
    <row r="10961" spans="1:1" ht="12.75" customHeight="1">
      <c r="A10961" s="129">
        <v>10961</v>
      </c>
    </row>
    <row r="10962" spans="1:1" ht="12.75" customHeight="1">
      <c r="A10962" s="129">
        <v>10962</v>
      </c>
    </row>
    <row r="10963" spans="1:1" ht="12.75" customHeight="1">
      <c r="A10963" s="129">
        <v>10963</v>
      </c>
    </row>
    <row r="10964" spans="1:1" ht="12.75" customHeight="1">
      <c r="A10964" s="129">
        <v>10964</v>
      </c>
    </row>
    <row r="10965" spans="1:1" ht="12.75" customHeight="1">
      <c r="A10965" s="129">
        <v>10965</v>
      </c>
    </row>
    <row r="10966" spans="1:1" ht="12.75" customHeight="1">
      <c r="A10966" s="129">
        <v>10966</v>
      </c>
    </row>
    <row r="10967" spans="1:1" ht="12.75" customHeight="1">
      <c r="A10967" s="129">
        <v>10967</v>
      </c>
    </row>
    <row r="10968" spans="1:1" ht="12.75" customHeight="1">
      <c r="A10968" s="129">
        <v>10968</v>
      </c>
    </row>
    <row r="10969" spans="1:1" ht="12.75" customHeight="1">
      <c r="A10969" s="129">
        <v>10969</v>
      </c>
    </row>
    <row r="10970" spans="1:1" ht="12.75" customHeight="1">
      <c r="A10970" s="129">
        <v>10970</v>
      </c>
    </row>
    <row r="10971" spans="1:1" ht="12.75" customHeight="1">
      <c r="A10971" s="129">
        <v>10971</v>
      </c>
    </row>
    <row r="10972" spans="1:1" ht="12.75" customHeight="1">
      <c r="A10972" s="129">
        <v>10972</v>
      </c>
    </row>
    <row r="10973" spans="1:1" ht="12.75" customHeight="1">
      <c r="A10973" s="129">
        <v>10973</v>
      </c>
    </row>
    <row r="10974" spans="1:1" ht="12.75" customHeight="1">
      <c r="A10974" s="129">
        <v>10974</v>
      </c>
    </row>
    <row r="10975" spans="1:1" ht="12.75" customHeight="1">
      <c r="A10975" s="129">
        <v>10975</v>
      </c>
    </row>
    <row r="10976" spans="1:1" ht="12.75" customHeight="1">
      <c r="A10976" s="129">
        <v>10976</v>
      </c>
    </row>
    <row r="10977" spans="1:1" ht="12.75" customHeight="1">
      <c r="A10977" s="129">
        <v>10977</v>
      </c>
    </row>
    <row r="10978" spans="1:1" ht="12.75" customHeight="1">
      <c r="A10978" s="129">
        <v>10978</v>
      </c>
    </row>
    <row r="10979" spans="1:1" ht="12.75" customHeight="1">
      <c r="A10979" s="129">
        <v>10979</v>
      </c>
    </row>
    <row r="10980" spans="1:1" ht="12.75" customHeight="1">
      <c r="A10980" s="129">
        <v>10980</v>
      </c>
    </row>
    <row r="10981" spans="1:1" ht="12.75" customHeight="1">
      <c r="A10981" s="129">
        <v>10981</v>
      </c>
    </row>
    <row r="10982" spans="1:1" ht="12.75" customHeight="1">
      <c r="A10982" s="129">
        <v>10982</v>
      </c>
    </row>
    <row r="10983" spans="1:1" ht="12.75" customHeight="1">
      <c r="A10983" s="129">
        <v>10983</v>
      </c>
    </row>
    <row r="10984" spans="1:1" ht="12.75" customHeight="1">
      <c r="A10984" s="129">
        <v>10984</v>
      </c>
    </row>
    <row r="10985" spans="1:1" ht="12.75" customHeight="1">
      <c r="A10985" s="129">
        <v>10985</v>
      </c>
    </row>
    <row r="10986" spans="1:1" ht="12.75" customHeight="1">
      <c r="A10986" s="129">
        <v>10986</v>
      </c>
    </row>
    <row r="10987" spans="1:1" ht="12.75" customHeight="1">
      <c r="A10987" s="129">
        <v>10987</v>
      </c>
    </row>
    <row r="10988" spans="1:1" ht="12.75" customHeight="1">
      <c r="A10988" s="129">
        <v>10988</v>
      </c>
    </row>
    <row r="10989" spans="1:1" ht="12.75" customHeight="1">
      <c r="A10989" s="129">
        <v>10989</v>
      </c>
    </row>
    <row r="10990" spans="1:1" ht="12.75" customHeight="1">
      <c r="A10990" s="129">
        <v>10990</v>
      </c>
    </row>
    <row r="10991" spans="1:1" ht="12.75" customHeight="1">
      <c r="A10991" s="129">
        <v>10991</v>
      </c>
    </row>
    <row r="10992" spans="1:1" ht="12.75" customHeight="1">
      <c r="A10992" s="129">
        <v>10992</v>
      </c>
    </row>
    <row r="10993" spans="1:1" ht="12.75" customHeight="1">
      <c r="A10993" s="129">
        <v>10993</v>
      </c>
    </row>
    <row r="10994" spans="1:1" ht="12.75" customHeight="1">
      <c r="A10994" s="129">
        <v>10994</v>
      </c>
    </row>
    <row r="10995" spans="1:1" ht="12.75" customHeight="1">
      <c r="A10995" s="129">
        <v>10995</v>
      </c>
    </row>
    <row r="10996" spans="1:1" ht="12.75" customHeight="1">
      <c r="A10996" s="129">
        <v>10996</v>
      </c>
    </row>
    <row r="10997" spans="1:1" ht="12.75" customHeight="1">
      <c r="A10997" s="129">
        <v>10997</v>
      </c>
    </row>
    <row r="10998" spans="1:1" ht="12.75" customHeight="1">
      <c r="A10998" s="129">
        <v>10998</v>
      </c>
    </row>
    <row r="10999" spans="1:1" ht="12.75" customHeight="1">
      <c r="A10999" s="129">
        <v>10999</v>
      </c>
    </row>
    <row r="11000" spans="1:1" ht="12.75" customHeight="1">
      <c r="A11000" s="129">
        <v>11000</v>
      </c>
    </row>
    <row r="11001" spans="1:1" ht="12.75" customHeight="1">
      <c r="A11001" s="129">
        <v>11001</v>
      </c>
    </row>
    <row r="11002" spans="1:1" ht="12.75" customHeight="1">
      <c r="A11002" s="129">
        <v>11002</v>
      </c>
    </row>
    <row r="11003" spans="1:1" ht="12.75" customHeight="1">
      <c r="A11003" s="129">
        <v>11003</v>
      </c>
    </row>
    <row r="11004" spans="1:1" ht="12.75" customHeight="1">
      <c r="A11004" s="129">
        <v>11004</v>
      </c>
    </row>
    <row r="11005" spans="1:1" ht="12.75" customHeight="1">
      <c r="A11005" s="129">
        <v>11005</v>
      </c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5" r:id="rId10" name="CommandButton3">
          <controlPr defaultSize="0" autoLine="0" r:id="rId11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0" name="CommandButton3"/>
      </mc:Fallback>
    </mc:AlternateContent>
    <mc:AlternateContent xmlns:mc="http://schemas.openxmlformats.org/markup-compatibility/2006">
      <mc:Choice Requires="x14">
        <control shapeId="8196" r:id="rId12" name="CommandButton4">
          <controlPr defaultSize="0" autoLine="0" r:id="rId13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2" name="CommandButton4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8" r:id="rId16" name="CommandButton6">
          <controlPr defaultSize="0" autoLine="0" r:id="rId17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6" name="CommandButton6"/>
      </mc:Fallback>
    </mc:AlternateContent>
    <mc:AlternateContent xmlns:mc="http://schemas.openxmlformats.org/markup-compatibility/2006">
      <mc:Choice Requires="x14">
        <control shapeId="8199" r:id="rId18" name="CommandButton7">
          <controlPr defaultSize="0" autoLine="0" r:id="rId19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8" name="CommandButton7"/>
      </mc:Fallback>
    </mc:AlternateContent>
    <mc:AlternateContent xmlns:mc="http://schemas.openxmlformats.org/markup-compatibility/2006">
      <mc:Choice Requires="x14">
        <control shapeId="8200" r:id="rId20" name="CommandButton8">
          <controlPr defaultSize="0" autoLine="0" r:id="rId21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20" name="CommandButton8"/>
      </mc:Fallback>
    </mc:AlternateContent>
    <mc:AlternateContent xmlns:mc="http://schemas.openxmlformats.org/markup-compatibility/2006">
      <mc:Choice Requires="x14">
        <control shapeId="8201" r:id="rId22" name="CommandButton9">
          <controlPr defaultSize="0" autoLine="0" r:id="rId23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22" name="CommandButton9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196</v>
      </c>
      <c r="B1" s="172" t="s">
        <v>197</v>
      </c>
    </row>
    <row r="2" spans="1:5" ht="15" thickBot="1">
      <c r="A2" s="170" t="s">
        <v>196</v>
      </c>
      <c r="B2" s="170" t="s">
        <v>197</v>
      </c>
      <c r="E2" t="s">
        <v>187</v>
      </c>
    </row>
    <row r="3" spans="1:5" ht="14.4">
      <c r="A3" s="171">
        <v>1</v>
      </c>
      <c r="B3" s="171" t="s">
        <v>222</v>
      </c>
    </row>
    <row r="4" spans="1:5" ht="14.4">
      <c r="A4" s="171">
        <v>2</v>
      </c>
      <c r="B4" s="171" t="s">
        <v>188</v>
      </c>
    </row>
    <row r="5" spans="1:5" ht="14.4">
      <c r="A5" s="171">
        <v>3</v>
      </c>
      <c r="B5" s="171" t="s">
        <v>293</v>
      </c>
    </row>
    <row r="6" spans="1:5" ht="14.4">
      <c r="A6" s="171">
        <v>4</v>
      </c>
      <c r="B6" s="171" t="s">
        <v>292</v>
      </c>
    </row>
    <row r="7" spans="1:5" ht="14.4">
      <c r="A7" s="171">
        <v>5</v>
      </c>
      <c r="B7" s="171" t="s">
        <v>308</v>
      </c>
    </row>
    <row r="8" spans="1:5" ht="14.4">
      <c r="A8" s="171">
        <v>6</v>
      </c>
      <c r="B8" s="171" t="s">
        <v>308</v>
      </c>
    </row>
    <row r="9" spans="1:5" ht="14.4">
      <c r="A9" s="171">
        <v>7</v>
      </c>
      <c r="B9" s="171" t="s">
        <v>304</v>
      </c>
    </row>
    <row r="10" spans="1:5" ht="14.4">
      <c r="A10" s="171">
        <v>8</v>
      </c>
      <c r="B10" s="171" t="s">
        <v>309</v>
      </c>
    </row>
    <row r="11" spans="1:5" ht="14.4">
      <c r="A11" s="171">
        <v>9</v>
      </c>
      <c r="B11" s="171" t="s">
        <v>222</v>
      </c>
    </row>
    <row r="12" spans="1:5" ht="14.4">
      <c r="A12" s="171">
        <v>10</v>
      </c>
      <c r="B12" s="171" t="s">
        <v>307</v>
      </c>
    </row>
    <row r="13" spans="1:5" ht="14.4">
      <c r="A13" s="171">
        <v>11</v>
      </c>
      <c r="B13" s="171" t="s">
        <v>308</v>
      </c>
    </row>
    <row r="14" spans="1:5" ht="14.4">
      <c r="A14" s="171">
        <v>12</v>
      </c>
      <c r="B14" s="171" t="s">
        <v>308</v>
      </c>
    </row>
    <row r="15" spans="1:5" ht="14.4">
      <c r="A15" s="171">
        <v>13</v>
      </c>
      <c r="B15" s="171" t="s">
        <v>308</v>
      </c>
    </row>
    <row r="16" spans="1:5" ht="14.4">
      <c r="A16" s="171">
        <v>14</v>
      </c>
      <c r="B16" s="171" t="s">
        <v>303</v>
      </c>
    </row>
    <row r="17" spans="1:2" ht="14.4">
      <c r="A17" s="171">
        <v>15</v>
      </c>
      <c r="B17" s="171" t="s">
        <v>309</v>
      </c>
    </row>
    <row r="18" spans="1:2" ht="14.4">
      <c r="A18" s="171">
        <v>16</v>
      </c>
      <c r="B18" s="171" t="s">
        <v>284</v>
      </c>
    </row>
    <row r="19" spans="1:2" ht="14.4">
      <c r="A19" s="171">
        <v>17</v>
      </c>
      <c r="B19" s="171" t="s">
        <v>289</v>
      </c>
    </row>
    <row r="20" spans="1:2" ht="14.4">
      <c r="A20" s="171">
        <v>18</v>
      </c>
      <c r="B20" s="171" t="s">
        <v>289</v>
      </c>
    </row>
    <row r="21" spans="1:2" ht="14.4">
      <c r="A21" s="171">
        <v>19</v>
      </c>
      <c r="B21" s="171" t="s">
        <v>355</v>
      </c>
    </row>
    <row r="22" spans="1:2" ht="14.4">
      <c r="A22" s="171">
        <v>20</v>
      </c>
      <c r="B22" s="171" t="s">
        <v>288</v>
      </c>
    </row>
    <row r="23" spans="1:2" ht="14.4">
      <c r="A23" s="171">
        <v>21</v>
      </c>
      <c r="B23" s="171" t="s">
        <v>291</v>
      </c>
    </row>
    <row r="24" spans="1:2" ht="14.4">
      <c r="A24" s="171">
        <v>22</v>
      </c>
      <c r="B24" s="171" t="s">
        <v>311</v>
      </c>
    </row>
    <row r="25" spans="1:2" ht="14.4">
      <c r="A25" s="171">
        <v>23</v>
      </c>
      <c r="B25" s="171" t="s">
        <v>188</v>
      </c>
    </row>
    <row r="26" spans="1:2" ht="14.4">
      <c r="A26" s="171">
        <v>24</v>
      </c>
      <c r="B26" s="171" t="s">
        <v>312</v>
      </c>
    </row>
    <row r="27" spans="1:2" ht="14.4">
      <c r="A27" s="171">
        <v>25</v>
      </c>
      <c r="B27" s="171" t="s">
        <v>290</v>
      </c>
    </row>
    <row r="28" spans="1:2" ht="14.4">
      <c r="A28" s="171">
        <v>26</v>
      </c>
      <c r="B28" s="171" t="s">
        <v>313</v>
      </c>
    </row>
    <row r="29" spans="1:2" ht="14.4">
      <c r="A29" s="171">
        <v>27</v>
      </c>
      <c r="B29" s="171" t="s">
        <v>314</v>
      </c>
    </row>
    <row r="30" spans="1:2" ht="14.4">
      <c r="A30" s="171">
        <v>28</v>
      </c>
      <c r="B30" s="171" t="s">
        <v>298</v>
      </c>
    </row>
    <row r="31" spans="1:2" ht="14.4">
      <c r="A31" s="171">
        <v>29</v>
      </c>
      <c r="B31" s="171" t="s">
        <v>287</v>
      </c>
    </row>
    <row r="32" spans="1:2" ht="14.4">
      <c r="A32" s="171">
        <v>30</v>
      </c>
      <c r="B32" s="171" t="s">
        <v>285</v>
      </c>
    </row>
    <row r="33" spans="1:2" ht="14.4">
      <c r="A33" s="171">
        <v>31</v>
      </c>
      <c r="B33" s="171" t="s">
        <v>286</v>
      </c>
    </row>
    <row r="34" spans="1:2" ht="14.4">
      <c r="A34" s="171">
        <v>32</v>
      </c>
      <c r="B34" s="171" t="s">
        <v>306</v>
      </c>
    </row>
    <row r="35" spans="1:2" ht="14.4">
      <c r="A35" s="171">
        <v>33</v>
      </c>
      <c r="B35" s="171" t="s">
        <v>306</v>
      </c>
    </row>
    <row r="36" spans="1:2" ht="14.4">
      <c r="A36" s="171">
        <v>34</v>
      </c>
      <c r="B36" s="171" t="s">
        <v>306</v>
      </c>
    </row>
    <row r="37" spans="1:2" ht="14.4">
      <c r="A37" s="171">
        <v>35</v>
      </c>
      <c r="B37" s="171" t="s">
        <v>222</v>
      </c>
    </row>
    <row r="38" spans="1:2" ht="14.4">
      <c r="A38" s="171">
        <v>36</v>
      </c>
      <c r="B38" s="171" t="s">
        <v>308</v>
      </c>
    </row>
    <row r="39" spans="1:2" ht="14.4">
      <c r="A39" s="171">
        <v>37</v>
      </c>
      <c r="B39" s="171" t="s">
        <v>308</v>
      </c>
    </row>
    <row r="40" spans="1:2" ht="14.4">
      <c r="A40" s="171">
        <v>38</v>
      </c>
      <c r="B40" s="171" t="s">
        <v>188</v>
      </c>
    </row>
    <row r="41" spans="1:2" ht="14.4">
      <c r="A41" s="171">
        <v>39</v>
      </c>
      <c r="B41" s="171" t="s">
        <v>310</v>
      </c>
    </row>
    <row r="42" spans="1:2" ht="14.4">
      <c r="A42" s="171">
        <v>40</v>
      </c>
      <c r="B42" s="171" t="s">
        <v>305</v>
      </c>
    </row>
    <row r="43" spans="1:2" ht="14.4">
      <c r="A43" s="171">
        <v>41</v>
      </c>
      <c r="B43" s="171" t="s">
        <v>289</v>
      </c>
    </row>
    <row r="44" spans="1:2" ht="14.4">
      <c r="A44" s="171">
        <v>42</v>
      </c>
      <c r="B44" s="171" t="s">
        <v>222</v>
      </c>
    </row>
    <row r="45" spans="1:2" ht="14.4">
      <c r="A45" s="171">
        <v>43</v>
      </c>
      <c r="B45" s="171" t="s">
        <v>188</v>
      </c>
    </row>
    <row r="46" spans="1:2" ht="14.4">
      <c r="A46" s="171">
        <v>44</v>
      </c>
      <c r="B46" s="171" t="s">
        <v>294</v>
      </c>
    </row>
    <row r="47" spans="1:2" ht="14.4">
      <c r="A47" s="171">
        <v>45</v>
      </c>
      <c r="B47" s="171" t="s">
        <v>295</v>
      </c>
    </row>
    <row r="48" spans="1:2" ht="14.4">
      <c r="A48" s="171">
        <v>46</v>
      </c>
      <c r="B48" s="171" t="s">
        <v>296</v>
      </c>
    </row>
    <row r="49" spans="1:2" ht="14.4">
      <c r="A49" s="171">
        <v>47</v>
      </c>
      <c r="B49" s="171" t="s">
        <v>297</v>
      </c>
    </row>
    <row r="50" spans="1:2" ht="14.4">
      <c r="A50" s="171">
        <v>48</v>
      </c>
      <c r="B50" s="171" t="s">
        <v>356</v>
      </c>
    </row>
    <row r="51" spans="1:2" ht="14.4">
      <c r="A51" s="171">
        <v>49</v>
      </c>
      <c r="B51" s="171" t="s">
        <v>298</v>
      </c>
    </row>
    <row r="52" spans="1:2" ht="14.4">
      <c r="A52" s="171">
        <v>50</v>
      </c>
      <c r="B52" s="171" t="s">
        <v>299</v>
      </c>
    </row>
    <row r="53" spans="1:2" ht="14.4">
      <c r="A53" s="171">
        <v>51</v>
      </c>
      <c r="B53" s="171" t="s">
        <v>300</v>
      </c>
    </row>
    <row r="54" spans="1:2" ht="14.4">
      <c r="A54" s="171">
        <v>52</v>
      </c>
      <c r="B54" s="171" t="s">
        <v>301</v>
      </c>
    </row>
    <row r="55" spans="1:2" ht="14.4">
      <c r="A55" s="171">
        <v>53</v>
      </c>
      <c r="B55" s="171" t="s">
        <v>302</v>
      </c>
    </row>
    <row r="56" spans="1:2" ht="14.4">
      <c r="A56" s="171">
        <v>54</v>
      </c>
      <c r="B56" s="171" t="s">
        <v>188</v>
      </c>
    </row>
    <row r="57" spans="1:2" ht="14.4">
      <c r="A57" s="171">
        <v>55</v>
      </c>
      <c r="B57" s="171" t="s">
        <v>188</v>
      </c>
    </row>
    <row r="58" spans="1:2" ht="14.4">
      <c r="A58" s="171">
        <v>56</v>
      </c>
      <c r="B58" s="171" t="s">
        <v>188</v>
      </c>
    </row>
    <row r="59" spans="1:2" ht="14.4">
      <c r="A59" s="171">
        <v>57</v>
      </c>
      <c r="B59" s="171" t="s">
        <v>188</v>
      </c>
    </row>
    <row r="60" spans="1:2" ht="14.4">
      <c r="A60" s="171">
        <v>58</v>
      </c>
      <c r="B60" s="171" t="s">
        <v>188</v>
      </c>
    </row>
    <row r="61" spans="1:2" ht="14.4">
      <c r="A61" s="171">
        <v>59</v>
      </c>
      <c r="B61" s="171" t="s">
        <v>308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175</v>
      </c>
    </row>
    <row r="7" spans="3:5" ht="14.4">
      <c r="D7" s="175" t="s">
        <v>199</v>
      </c>
    </row>
    <row r="8" spans="3:5" ht="14.4">
      <c r="D8" s="175" t="s">
        <v>200</v>
      </c>
    </row>
    <row r="9" spans="3:5" ht="14.4">
      <c r="D9" s="175" t="s">
        <v>201</v>
      </c>
    </row>
    <row r="10" spans="3:5" ht="14.4">
      <c r="D10" s="175" t="s">
        <v>202</v>
      </c>
    </row>
    <row r="11" spans="3:5" ht="14.4">
      <c r="D11" s="175" t="s">
        <v>203</v>
      </c>
    </row>
    <row r="12" spans="3:5" ht="14.4">
      <c r="C12" t="s">
        <v>176</v>
      </c>
    </row>
    <row r="13" spans="3:5" ht="14.4">
      <c r="D13" s="176">
        <v>0</v>
      </c>
      <c r="E13" t="s">
        <v>204</v>
      </c>
    </row>
    <row r="14" spans="3:5" ht="14.4">
      <c r="D14" s="176">
        <v>90</v>
      </c>
      <c r="E14" t="s">
        <v>205</v>
      </c>
    </row>
    <row r="15" spans="3:5" ht="14.4">
      <c r="D15" s="176">
        <v>180</v>
      </c>
      <c r="E15" t="s">
        <v>206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221</v>
      </c>
      <c r="C1" s="129">
        <f t="shared" ref="C1:C32" si="0">A1</f>
        <v>1</v>
      </c>
    </row>
    <row r="2" spans="1:3" ht="14.4">
      <c r="A2" s="129">
        <v>2</v>
      </c>
      <c r="B2" s="129" t="s">
        <v>224</v>
      </c>
      <c r="C2" s="129">
        <f t="shared" si="0"/>
        <v>2</v>
      </c>
    </row>
    <row r="3" spans="1:3" ht="14.4">
      <c r="A3" s="129">
        <v>3</v>
      </c>
      <c r="B3" s="129" t="s">
        <v>225</v>
      </c>
      <c r="C3" s="129">
        <f t="shared" si="0"/>
        <v>3</v>
      </c>
    </row>
    <row r="4" spans="1:3" ht="14.4">
      <c r="A4" s="129">
        <v>4</v>
      </c>
      <c r="B4" s="129" t="s">
        <v>227</v>
      </c>
      <c r="C4" s="129">
        <f t="shared" si="0"/>
        <v>4</v>
      </c>
    </row>
    <row r="5" spans="1:3" ht="14.4">
      <c r="A5" s="129">
        <v>5</v>
      </c>
      <c r="B5" s="129" t="s">
        <v>228</v>
      </c>
      <c r="C5" s="129">
        <f t="shared" si="0"/>
        <v>5</v>
      </c>
    </row>
    <row r="6" spans="1:3" ht="14.4">
      <c r="A6" s="129">
        <v>6</v>
      </c>
      <c r="B6" s="129" t="s">
        <v>229</v>
      </c>
      <c r="C6" s="129">
        <f t="shared" si="0"/>
        <v>6</v>
      </c>
    </row>
    <row r="7" spans="1:3" ht="14.4">
      <c r="A7" s="129">
        <v>7</v>
      </c>
      <c r="B7" s="129" t="s">
        <v>230</v>
      </c>
      <c r="C7" s="129">
        <f t="shared" si="0"/>
        <v>7</v>
      </c>
    </row>
    <row r="8" spans="1:3" ht="14.4">
      <c r="A8" s="129">
        <v>8</v>
      </c>
      <c r="B8" s="129" t="s">
        <v>231</v>
      </c>
      <c r="C8" s="129">
        <f t="shared" si="0"/>
        <v>8</v>
      </c>
    </row>
    <row r="9" spans="1:3" ht="14.4">
      <c r="A9" s="129">
        <v>9</v>
      </c>
      <c r="B9" s="129" t="s">
        <v>233</v>
      </c>
      <c r="C9" s="129">
        <f t="shared" si="0"/>
        <v>9</v>
      </c>
    </row>
    <row r="10" spans="1:3" ht="14.4">
      <c r="A10" s="129">
        <v>10</v>
      </c>
      <c r="B10" s="129" t="s">
        <v>234</v>
      </c>
      <c r="C10" s="129">
        <f t="shared" si="0"/>
        <v>10</v>
      </c>
    </row>
    <row r="11" spans="1:3" ht="14.4">
      <c r="A11" s="129">
        <v>11</v>
      </c>
      <c r="B11" s="129" t="s">
        <v>235</v>
      </c>
      <c r="C11" s="129">
        <f t="shared" si="0"/>
        <v>11</v>
      </c>
    </row>
    <row r="12" spans="1:3" ht="14.4">
      <c r="A12" s="129">
        <v>12</v>
      </c>
      <c r="B12" s="129" t="s">
        <v>236</v>
      </c>
      <c r="C12" s="129">
        <f t="shared" si="0"/>
        <v>12</v>
      </c>
    </row>
    <row r="13" spans="1:3" ht="14.4">
      <c r="A13" s="129">
        <v>13</v>
      </c>
      <c r="B13" s="129" t="s">
        <v>237</v>
      </c>
      <c r="C13" s="129">
        <f t="shared" si="0"/>
        <v>13</v>
      </c>
    </row>
    <row r="14" spans="1:3" ht="14.4">
      <c r="A14" s="129">
        <v>14</v>
      </c>
      <c r="B14" s="129" t="s">
        <v>238</v>
      </c>
      <c r="C14" s="129">
        <f t="shared" si="0"/>
        <v>14</v>
      </c>
    </row>
    <row r="15" spans="1:3" ht="14.4">
      <c r="A15" s="129">
        <v>15</v>
      </c>
      <c r="B15" s="129" t="s">
        <v>239</v>
      </c>
      <c r="C15" s="129">
        <f t="shared" si="0"/>
        <v>15</v>
      </c>
    </row>
    <row r="16" spans="1:3" ht="14.4">
      <c r="A16" s="129">
        <v>16</v>
      </c>
      <c r="B16" s="129" t="s">
        <v>240</v>
      </c>
      <c r="C16" s="129">
        <f t="shared" si="0"/>
        <v>16</v>
      </c>
    </row>
    <row r="17" spans="1:11" ht="14.4">
      <c r="A17" s="129">
        <v>17</v>
      </c>
      <c r="B17" s="129" t="s">
        <v>241</v>
      </c>
      <c r="C17" s="129">
        <f t="shared" si="0"/>
        <v>17</v>
      </c>
    </row>
    <row r="18" spans="1:11" ht="14.4">
      <c r="A18" s="129">
        <v>18</v>
      </c>
      <c r="B18" s="129" t="s">
        <v>242</v>
      </c>
      <c r="C18" s="129">
        <f t="shared" si="0"/>
        <v>18</v>
      </c>
    </row>
    <row r="19" spans="1:11" ht="14.4">
      <c r="A19" s="129">
        <v>19</v>
      </c>
      <c r="B19" s="129" t="s">
        <v>243</v>
      </c>
      <c r="C19" s="129">
        <f t="shared" si="0"/>
        <v>19</v>
      </c>
    </row>
    <row r="20" spans="1:11" ht="14.4">
      <c r="A20" s="129">
        <v>20</v>
      </c>
      <c r="B20" s="129" t="s">
        <v>244</v>
      </c>
      <c r="C20" s="129">
        <f t="shared" si="0"/>
        <v>20</v>
      </c>
    </row>
    <row r="21" spans="1:11" ht="14.4">
      <c r="A21" s="129">
        <v>21</v>
      </c>
      <c r="B21" s="129" t="s">
        <v>325</v>
      </c>
      <c r="C21" s="129">
        <f t="shared" si="0"/>
        <v>21</v>
      </c>
    </row>
    <row r="22" spans="1:11" ht="14.4">
      <c r="A22" s="129">
        <v>22</v>
      </c>
      <c r="B22" s="129" t="s">
        <v>246</v>
      </c>
      <c r="C22" s="129">
        <f t="shared" si="0"/>
        <v>22</v>
      </c>
    </row>
    <row r="23" spans="1:11" ht="14.4">
      <c r="A23" s="129">
        <v>23</v>
      </c>
      <c r="B23" s="129" t="s">
        <v>247</v>
      </c>
      <c r="C23" s="129">
        <f t="shared" si="0"/>
        <v>23</v>
      </c>
    </row>
    <row r="24" spans="1:11" ht="14.4">
      <c r="A24" s="129">
        <v>24</v>
      </c>
      <c r="B24" s="129" t="s">
        <v>248</v>
      </c>
      <c r="C24" s="129">
        <f t="shared" si="0"/>
        <v>24</v>
      </c>
    </row>
    <row r="25" spans="1:11" ht="14.4">
      <c r="A25" s="129">
        <v>25</v>
      </c>
      <c r="B25" s="129" t="s">
        <v>249</v>
      </c>
      <c r="C25" s="129">
        <f t="shared" si="0"/>
        <v>25</v>
      </c>
    </row>
    <row r="26" spans="1:11" ht="14.4">
      <c r="A26" s="129">
        <v>26</v>
      </c>
      <c r="B26" s="129" t="s">
        <v>250</v>
      </c>
      <c r="C26" s="129">
        <f t="shared" si="0"/>
        <v>26</v>
      </c>
    </row>
    <row r="27" spans="1:11" ht="14.4">
      <c r="A27" s="129">
        <v>27</v>
      </c>
      <c r="B27" s="129" t="s">
        <v>251</v>
      </c>
      <c r="C27" s="129">
        <f t="shared" si="0"/>
        <v>27</v>
      </c>
    </row>
    <row r="28" spans="1:11" ht="14.4">
      <c r="A28" s="129">
        <v>28</v>
      </c>
      <c r="B28" s="129" t="s">
        <v>252</v>
      </c>
      <c r="C28" s="129">
        <f t="shared" si="0"/>
        <v>28</v>
      </c>
    </row>
    <row r="29" spans="1:11" ht="14.4">
      <c r="A29" s="129">
        <v>29</v>
      </c>
      <c r="B29" s="129" t="s">
        <v>330</v>
      </c>
      <c r="C29" s="129">
        <f t="shared" si="0"/>
        <v>29</v>
      </c>
    </row>
    <row r="30" spans="1:11" ht="14.4">
      <c r="A30" s="129">
        <v>30</v>
      </c>
      <c r="B30" s="129" t="s">
        <v>254</v>
      </c>
      <c r="C30" s="129">
        <f t="shared" si="0"/>
        <v>30</v>
      </c>
      <c r="F30" s="129" t="s">
        <v>225</v>
      </c>
      <c r="G30" s="129">
        <v>3</v>
      </c>
      <c r="H30" s="129" t="s">
        <v>253</v>
      </c>
      <c r="I30" s="129">
        <v>30</v>
      </c>
      <c r="J30" s="129" t="s">
        <v>282</v>
      </c>
      <c r="K30" s="129">
        <v>58</v>
      </c>
    </row>
    <row r="31" spans="1:11" ht="14.4">
      <c r="A31" s="129">
        <v>31</v>
      </c>
      <c r="B31" s="129" t="s">
        <v>255</v>
      </c>
      <c r="C31" s="129">
        <f t="shared" si="0"/>
        <v>31</v>
      </c>
      <c r="F31" s="129" t="s">
        <v>227</v>
      </c>
      <c r="G31" s="129">
        <v>4</v>
      </c>
      <c r="H31" s="129" t="s">
        <v>254</v>
      </c>
      <c r="I31" s="129">
        <v>31</v>
      </c>
      <c r="J31" s="129" t="s">
        <v>269</v>
      </c>
      <c r="K31" s="129">
        <v>46</v>
      </c>
    </row>
    <row r="32" spans="1:11" ht="14.4">
      <c r="A32" s="129">
        <v>32</v>
      </c>
      <c r="B32" s="129" t="s">
        <v>256</v>
      </c>
      <c r="C32" s="129">
        <f t="shared" si="0"/>
        <v>32</v>
      </c>
      <c r="F32" s="129" t="s">
        <v>228</v>
      </c>
      <c r="G32" s="129">
        <v>5</v>
      </c>
      <c r="H32" s="129" t="s">
        <v>255</v>
      </c>
      <c r="I32" s="129">
        <v>32</v>
      </c>
      <c r="J32" s="129" t="s">
        <v>224</v>
      </c>
      <c r="K32" s="129">
        <v>2</v>
      </c>
    </row>
    <row r="33" spans="1:9" ht="14.4">
      <c r="A33" s="129">
        <v>33</v>
      </c>
      <c r="B33" s="129" t="s">
        <v>326</v>
      </c>
      <c r="C33" s="129">
        <f t="shared" ref="C33:C59" si="1">A33</f>
        <v>33</v>
      </c>
      <c r="F33" s="129" t="s">
        <v>229</v>
      </c>
      <c r="G33" s="129">
        <v>6</v>
      </c>
      <c r="H33" s="129" t="s">
        <v>256</v>
      </c>
      <c r="I33" s="129">
        <v>33</v>
      </c>
    </row>
    <row r="34" spans="1:9" ht="14.4">
      <c r="A34" s="129">
        <v>34</v>
      </c>
      <c r="B34" s="129" t="s">
        <v>327</v>
      </c>
      <c r="C34" s="129">
        <f t="shared" si="1"/>
        <v>34</v>
      </c>
      <c r="F34" s="129" t="s">
        <v>230</v>
      </c>
      <c r="G34" s="129">
        <v>7</v>
      </c>
      <c r="H34" s="129" t="s">
        <v>281</v>
      </c>
      <c r="I34" s="129">
        <v>57</v>
      </c>
    </row>
    <row r="35" spans="1:9" ht="14.4">
      <c r="A35" s="129">
        <v>35</v>
      </c>
      <c r="B35" s="129" t="s">
        <v>328</v>
      </c>
      <c r="C35" s="129">
        <f t="shared" si="1"/>
        <v>35</v>
      </c>
      <c r="F35" s="129" t="s">
        <v>231</v>
      </c>
      <c r="G35" s="129">
        <v>8</v>
      </c>
      <c r="H35" s="129" t="s">
        <v>280</v>
      </c>
      <c r="I35" s="129">
        <v>56</v>
      </c>
    </row>
    <row r="36" spans="1:9" ht="14.4">
      <c r="A36" s="129">
        <v>36</v>
      </c>
      <c r="B36" s="129" t="s">
        <v>329</v>
      </c>
      <c r="C36" s="129">
        <f t="shared" si="1"/>
        <v>36</v>
      </c>
      <c r="F36" s="129" t="s">
        <v>232</v>
      </c>
      <c r="G36" s="129">
        <v>9</v>
      </c>
      <c r="H36" s="129" t="s">
        <v>279</v>
      </c>
      <c r="I36" s="129">
        <v>55</v>
      </c>
    </row>
    <row r="37" spans="1:9" ht="14.4">
      <c r="A37" s="129">
        <v>37</v>
      </c>
      <c r="B37" s="129" t="s">
        <v>260</v>
      </c>
      <c r="C37" s="129">
        <f t="shared" si="1"/>
        <v>37</v>
      </c>
      <c r="F37" s="129" t="s">
        <v>233</v>
      </c>
      <c r="G37" s="129">
        <v>10</v>
      </c>
      <c r="H37" s="129" t="s">
        <v>278</v>
      </c>
      <c r="I37" s="129">
        <v>54</v>
      </c>
    </row>
    <row r="38" spans="1:9" ht="14.4">
      <c r="A38" s="129">
        <v>38</v>
      </c>
      <c r="B38" s="129" t="s">
        <v>261</v>
      </c>
      <c r="C38" s="129">
        <f t="shared" si="1"/>
        <v>38</v>
      </c>
      <c r="F38" s="129" t="s">
        <v>221</v>
      </c>
      <c r="G38" s="129">
        <v>1</v>
      </c>
      <c r="H38" s="129" t="s">
        <v>277</v>
      </c>
      <c r="I38" s="129">
        <v>53</v>
      </c>
    </row>
    <row r="39" spans="1:9" ht="14.4">
      <c r="A39" s="129">
        <v>39</v>
      </c>
      <c r="B39" s="129" t="s">
        <v>336</v>
      </c>
      <c r="C39" s="129">
        <f t="shared" si="1"/>
        <v>39</v>
      </c>
      <c r="F39" s="129" t="s">
        <v>234</v>
      </c>
      <c r="G39" s="129">
        <v>11</v>
      </c>
      <c r="H39" s="129" t="s">
        <v>275</v>
      </c>
      <c r="I39" s="129">
        <v>51</v>
      </c>
    </row>
    <row r="40" spans="1:9" ht="14.4">
      <c r="A40" s="129">
        <v>40</v>
      </c>
      <c r="B40" s="129" t="s">
        <v>264</v>
      </c>
      <c r="C40" s="129">
        <f t="shared" si="1"/>
        <v>40</v>
      </c>
      <c r="F40" s="129" t="s">
        <v>235</v>
      </c>
      <c r="G40" s="129">
        <v>12</v>
      </c>
      <c r="H40" s="129" t="s">
        <v>276</v>
      </c>
      <c r="I40" s="129">
        <v>52</v>
      </c>
    </row>
    <row r="41" spans="1:9" ht="14.4">
      <c r="A41" s="129">
        <v>41</v>
      </c>
      <c r="B41" s="129" t="s">
        <v>265</v>
      </c>
      <c r="C41" s="129">
        <f t="shared" si="1"/>
        <v>41</v>
      </c>
      <c r="F41" s="129" t="s">
        <v>236</v>
      </c>
      <c r="G41" s="129">
        <v>13</v>
      </c>
      <c r="H41" s="129" t="s">
        <v>274</v>
      </c>
      <c r="I41" s="129">
        <v>50</v>
      </c>
    </row>
    <row r="42" spans="1:9" ht="14.4">
      <c r="A42" s="129">
        <v>42</v>
      </c>
      <c r="B42" s="129" t="s">
        <v>266</v>
      </c>
      <c r="C42" s="129">
        <f t="shared" si="1"/>
        <v>42</v>
      </c>
      <c r="F42" s="129" t="s">
        <v>237</v>
      </c>
      <c r="G42" s="129">
        <v>14</v>
      </c>
      <c r="H42" s="129" t="s">
        <v>273</v>
      </c>
      <c r="I42" s="129">
        <v>49</v>
      </c>
    </row>
    <row r="43" spans="1:9" ht="14.4">
      <c r="A43" s="129">
        <v>43</v>
      </c>
      <c r="B43" s="129" t="s">
        <v>267</v>
      </c>
      <c r="C43" s="129">
        <f t="shared" si="1"/>
        <v>43</v>
      </c>
      <c r="F43" s="129" t="s">
        <v>238</v>
      </c>
      <c r="G43" s="129">
        <v>15</v>
      </c>
      <c r="H43" s="129" t="s">
        <v>272</v>
      </c>
      <c r="I43" s="129">
        <v>48</v>
      </c>
    </row>
    <row r="44" spans="1:9" ht="14.4">
      <c r="A44" s="129">
        <v>44</v>
      </c>
      <c r="B44" s="129" t="s">
        <v>269</v>
      </c>
      <c r="C44" s="129">
        <f t="shared" si="1"/>
        <v>44</v>
      </c>
      <c r="F44" s="129" t="s">
        <v>239</v>
      </c>
      <c r="G44" s="129">
        <v>16</v>
      </c>
      <c r="H44" s="129" t="s">
        <v>270</v>
      </c>
      <c r="I44" s="129">
        <v>47</v>
      </c>
    </row>
    <row r="45" spans="1:9" ht="14.4">
      <c r="A45" s="129">
        <v>45</v>
      </c>
      <c r="B45" s="129" t="s">
        <v>331</v>
      </c>
      <c r="C45" s="129">
        <f t="shared" si="1"/>
        <v>45</v>
      </c>
      <c r="F45" s="129" t="s">
        <v>240</v>
      </c>
      <c r="G45" s="129">
        <v>17</v>
      </c>
      <c r="H45" s="129" t="s">
        <v>257</v>
      </c>
      <c r="I45" s="129">
        <v>34</v>
      </c>
    </row>
    <row r="46" spans="1:9" ht="14.4">
      <c r="A46" s="129">
        <v>46</v>
      </c>
      <c r="B46" s="129" t="s">
        <v>332</v>
      </c>
      <c r="C46" s="129">
        <f t="shared" si="1"/>
        <v>46</v>
      </c>
      <c r="F46" s="129" t="s">
        <v>241</v>
      </c>
      <c r="G46" s="129">
        <v>18</v>
      </c>
      <c r="H46" s="129" t="s">
        <v>258</v>
      </c>
      <c r="I46" s="129">
        <v>35</v>
      </c>
    </row>
    <row r="47" spans="1:9" ht="14.4">
      <c r="A47" s="129">
        <v>47</v>
      </c>
      <c r="B47" s="129" t="s">
        <v>333</v>
      </c>
      <c r="C47" s="129">
        <f t="shared" si="1"/>
        <v>47</v>
      </c>
      <c r="F47" s="129" t="s">
        <v>242</v>
      </c>
      <c r="G47" s="129">
        <v>19</v>
      </c>
      <c r="H47" s="129" t="s">
        <v>259</v>
      </c>
      <c r="I47" s="129">
        <v>36</v>
      </c>
    </row>
    <row r="48" spans="1:9" ht="14.4">
      <c r="A48" s="129">
        <v>48</v>
      </c>
      <c r="B48" s="129" t="s">
        <v>334</v>
      </c>
      <c r="C48" s="129">
        <f t="shared" si="1"/>
        <v>48</v>
      </c>
      <c r="F48" s="129" t="s">
        <v>243</v>
      </c>
      <c r="G48" s="129">
        <v>20</v>
      </c>
      <c r="H48" s="129" t="s">
        <v>260</v>
      </c>
      <c r="I48" s="129">
        <v>37</v>
      </c>
    </row>
    <row r="49" spans="1:9" ht="14.4">
      <c r="A49" s="129">
        <v>49</v>
      </c>
      <c r="B49" s="129" t="s">
        <v>337</v>
      </c>
      <c r="C49" s="129">
        <f t="shared" si="1"/>
        <v>49</v>
      </c>
      <c r="F49" s="129" t="s">
        <v>244</v>
      </c>
      <c r="G49" s="129">
        <v>21</v>
      </c>
      <c r="H49" s="129" t="s">
        <v>261</v>
      </c>
      <c r="I49" s="129">
        <v>38</v>
      </c>
    </row>
    <row r="50" spans="1:9" ht="14.4">
      <c r="A50" s="129">
        <v>50</v>
      </c>
      <c r="B50" s="129" t="s">
        <v>335</v>
      </c>
      <c r="C50" s="129">
        <f t="shared" si="1"/>
        <v>50</v>
      </c>
      <c r="F50" s="129" t="s">
        <v>245</v>
      </c>
      <c r="G50" s="129">
        <v>22</v>
      </c>
      <c r="H50" s="129" t="s">
        <v>262</v>
      </c>
      <c r="I50" s="129">
        <v>39</v>
      </c>
    </row>
    <row r="51" spans="1:9" ht="14.4">
      <c r="A51" s="129">
        <v>51</v>
      </c>
      <c r="B51" s="129" t="s">
        <v>277</v>
      </c>
      <c r="C51" s="129">
        <f t="shared" si="1"/>
        <v>51</v>
      </c>
      <c r="F51" s="129" t="s">
        <v>246</v>
      </c>
      <c r="G51" s="129">
        <v>23</v>
      </c>
      <c r="H51" s="129" t="s">
        <v>263</v>
      </c>
      <c r="I51" s="129">
        <v>40</v>
      </c>
    </row>
    <row r="52" spans="1:9" ht="14.4">
      <c r="A52" s="129">
        <v>52</v>
      </c>
      <c r="B52" s="129" t="s">
        <v>278</v>
      </c>
      <c r="C52" s="129">
        <f t="shared" si="1"/>
        <v>52</v>
      </c>
      <c r="F52" s="129" t="s">
        <v>247</v>
      </c>
      <c r="G52" s="129">
        <v>24</v>
      </c>
      <c r="H52" s="129" t="s">
        <v>264</v>
      </c>
      <c r="I52" s="129">
        <v>41</v>
      </c>
    </row>
    <row r="53" spans="1:9" ht="14.4">
      <c r="A53" s="129">
        <v>53</v>
      </c>
      <c r="B53" s="129" t="s">
        <v>279</v>
      </c>
      <c r="C53" s="129">
        <f t="shared" si="1"/>
        <v>53</v>
      </c>
      <c r="F53" s="129" t="s">
        <v>248</v>
      </c>
      <c r="G53" s="129">
        <v>25</v>
      </c>
      <c r="H53" s="129" t="s">
        <v>265</v>
      </c>
      <c r="I53" s="129">
        <v>42</v>
      </c>
    </row>
    <row r="54" spans="1:9" ht="14.4">
      <c r="A54" s="129">
        <v>54</v>
      </c>
      <c r="B54" s="129" t="s">
        <v>280</v>
      </c>
      <c r="C54" s="129">
        <f t="shared" si="1"/>
        <v>54</v>
      </c>
      <c r="F54" s="129" t="s">
        <v>249</v>
      </c>
      <c r="G54" s="129">
        <v>26</v>
      </c>
      <c r="H54" s="129" t="s">
        <v>266</v>
      </c>
      <c r="I54" s="129">
        <v>43</v>
      </c>
    </row>
    <row r="55" spans="1:9" ht="14.4">
      <c r="A55" s="129">
        <v>55</v>
      </c>
      <c r="B55" s="129" t="s">
        <v>281</v>
      </c>
      <c r="C55" s="129">
        <f t="shared" si="1"/>
        <v>55</v>
      </c>
      <c r="F55" s="129" t="s">
        <v>250</v>
      </c>
      <c r="G55" s="129">
        <v>27</v>
      </c>
      <c r="H55" s="129" t="s">
        <v>267</v>
      </c>
      <c r="I55" s="129">
        <v>44</v>
      </c>
    </row>
    <row r="56" spans="1:9" ht="14.4">
      <c r="A56" s="129">
        <v>56</v>
      </c>
      <c r="B56" s="129" t="s">
        <v>282</v>
      </c>
      <c r="C56" s="129">
        <f t="shared" si="1"/>
        <v>56</v>
      </c>
      <c r="F56" s="129" t="s">
        <v>251</v>
      </c>
      <c r="G56" s="129">
        <v>28</v>
      </c>
      <c r="H56" s="129" t="s">
        <v>283</v>
      </c>
      <c r="I56" s="129">
        <v>59</v>
      </c>
    </row>
    <row r="57" spans="1:9" ht="14.4">
      <c r="A57" s="129">
        <v>57</v>
      </c>
      <c r="B57" s="129" t="s">
        <v>283</v>
      </c>
      <c r="C57" s="129">
        <f t="shared" si="1"/>
        <v>57</v>
      </c>
      <c r="F57" s="129" t="s">
        <v>252</v>
      </c>
      <c r="G57" s="129">
        <v>29</v>
      </c>
      <c r="H57" s="129" t="s">
        <v>268</v>
      </c>
      <c r="I57" s="129">
        <v>45</v>
      </c>
    </row>
    <row r="58" spans="1:9" ht="14.4">
      <c r="A58" s="129">
        <v>58</v>
      </c>
      <c r="B58" s="129" t="s">
        <v>338</v>
      </c>
      <c r="C58" s="129">
        <f t="shared" si="1"/>
        <v>58</v>
      </c>
    </row>
    <row r="59" spans="1:9" ht="14.4">
      <c r="A59" s="129">
        <v>59</v>
      </c>
      <c r="B59" s="129" t="s">
        <v>339</v>
      </c>
      <c r="C59" s="129">
        <f t="shared" si="1"/>
        <v>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208</v>
      </c>
      <c r="B1" s="187" t="s">
        <v>209</v>
      </c>
      <c r="C1" s="187" t="s">
        <v>214</v>
      </c>
      <c r="D1" s="187" t="s">
        <v>210</v>
      </c>
      <c r="E1" s="187" t="s">
        <v>212</v>
      </c>
      <c r="F1" s="187" t="s">
        <v>213</v>
      </c>
      <c r="G1" s="187" t="s">
        <v>215</v>
      </c>
      <c r="H1" s="187"/>
      <c r="I1" s="187" t="s">
        <v>211</v>
      </c>
      <c r="J1" s="187"/>
    </row>
    <row r="2" spans="1:10" ht="14.4">
      <c r="A2" t="s">
        <v>225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315</v>
      </c>
    </row>
    <row r="3" spans="1:10" ht="14.4">
      <c r="A3" t="s">
        <v>227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316</v>
      </c>
    </row>
    <row r="4" spans="1:10" ht="14.4">
      <c r="A4" t="s">
        <v>228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317</v>
      </c>
    </row>
    <row r="5" spans="1:10" ht="14.4">
      <c r="A5" t="s">
        <v>229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318</v>
      </c>
    </row>
    <row r="6" spans="1:10" ht="14.4">
      <c r="A6" t="s">
        <v>230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319</v>
      </c>
    </row>
    <row r="7" spans="1:10" ht="14.4">
      <c r="A7" t="s">
        <v>231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320</v>
      </c>
    </row>
    <row r="8" spans="1:10" ht="14.4">
      <c r="A8" t="s">
        <v>234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321</v>
      </c>
    </row>
    <row r="9" spans="1:10" ht="14.4">
      <c r="A9" t="s">
        <v>235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322</v>
      </c>
    </row>
    <row r="10" spans="1:10" ht="14.4">
      <c r="A10" t="s">
        <v>236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323</v>
      </c>
    </row>
    <row r="11" spans="1:10" ht="14.4">
      <c r="A11" t="s">
        <v>238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357</v>
      </c>
    </row>
    <row r="12" spans="1:10" ht="14.4">
      <c r="A12" t="s">
        <v>239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358</v>
      </c>
    </row>
    <row r="13" spans="1:10" ht="14.4">
      <c r="A13" t="s">
        <v>240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359</v>
      </c>
    </row>
    <row r="14" spans="1:10" ht="14.4">
      <c r="A14" t="s">
        <v>242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360</v>
      </c>
    </row>
    <row r="15" spans="1:10" ht="14.4">
      <c r="A15" t="s">
        <v>243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361</v>
      </c>
    </row>
    <row r="16" spans="1:10" ht="14.4">
      <c r="A16" t="s">
        <v>246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362</v>
      </c>
    </row>
    <row r="17" spans="1:9" ht="14.4">
      <c r="A17" t="s">
        <v>255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363</v>
      </c>
    </row>
    <row r="18" spans="1:9" ht="14.4">
      <c r="A18" t="s">
        <v>326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364</v>
      </c>
    </row>
    <row r="19" spans="1:9" ht="14.4">
      <c r="A19" t="s">
        <v>327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365</v>
      </c>
    </row>
    <row r="20" spans="1:9" ht="14.4">
      <c r="A20" t="s">
        <v>328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366</v>
      </c>
    </row>
    <row r="21" spans="1:9" ht="14.4">
      <c r="A21" t="s">
        <v>260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367</v>
      </c>
    </row>
    <row r="22" spans="1:9" ht="14.4">
      <c r="A22" t="s">
        <v>261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368</v>
      </c>
    </row>
    <row r="23" spans="1:9" ht="14.4">
      <c r="A23" t="s">
        <v>264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369</v>
      </c>
    </row>
    <row r="24" spans="1:9" ht="14.4">
      <c r="A24" t="s">
        <v>265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370</v>
      </c>
    </row>
    <row r="25" spans="1:9" ht="14.4">
      <c r="A25" t="s">
        <v>266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371</v>
      </c>
    </row>
    <row r="26" spans="1:9" ht="14.4">
      <c r="A26" t="s">
        <v>237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372</v>
      </c>
    </row>
    <row r="27" spans="1:9" ht="14.4">
      <c r="A27" t="s">
        <v>241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373</v>
      </c>
    </row>
    <row r="28" spans="1:9" ht="14.4">
      <c r="A28" t="s">
        <v>244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374</v>
      </c>
    </row>
    <row r="29" spans="1:9" ht="14.4">
      <c r="A29" t="s">
        <v>325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375</v>
      </c>
    </row>
    <row r="30" spans="1:9" ht="14.4">
      <c r="A30" t="s">
        <v>247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376</v>
      </c>
    </row>
    <row r="31" spans="1:9" ht="14.4">
      <c r="A31" t="s">
        <v>249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377</v>
      </c>
    </row>
    <row r="32" spans="1:9" ht="14.4">
      <c r="A32" t="s">
        <v>250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378</v>
      </c>
    </row>
    <row r="33" spans="1:9" ht="14.4">
      <c r="A33" t="s">
        <v>251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379</v>
      </c>
    </row>
    <row r="34" spans="1:9" ht="14.4">
      <c r="A34" t="s">
        <v>252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380</v>
      </c>
    </row>
    <row r="35" spans="1:9" ht="14.4">
      <c r="A35" t="s">
        <v>330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381</v>
      </c>
    </row>
    <row r="36" spans="1:9" ht="14.4">
      <c r="A36" t="s">
        <v>254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382</v>
      </c>
    </row>
    <row r="37" spans="1:9" ht="14.4">
      <c r="A37" t="s">
        <v>256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383</v>
      </c>
    </row>
    <row r="38" spans="1:9" ht="14.4">
      <c r="A38" t="s">
        <v>331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384</v>
      </c>
    </row>
    <row r="39" spans="1:9" ht="14.4">
      <c r="A39" t="s">
        <v>332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385</v>
      </c>
    </row>
    <row r="40" spans="1:9" ht="14.4">
      <c r="A40" t="s">
        <v>333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386</v>
      </c>
    </row>
    <row r="41" spans="1:9" ht="14.4">
      <c r="A41" t="s">
        <v>334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387</v>
      </c>
    </row>
    <row r="42" spans="1:9" ht="14.4">
      <c r="A42" t="s">
        <v>335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388</v>
      </c>
    </row>
    <row r="43" spans="1:9" ht="14.4">
      <c r="A43" t="s">
        <v>277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389</v>
      </c>
    </row>
    <row r="44" spans="1:9" ht="14.4">
      <c r="A44" t="s">
        <v>278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390</v>
      </c>
    </row>
    <row r="45" spans="1:9" ht="14.4">
      <c r="A45" t="s">
        <v>279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391</v>
      </c>
    </row>
    <row r="46" spans="1:9" ht="14.4">
      <c r="A46" t="s">
        <v>280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392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453</v>
      </c>
      <c r="B2" t="s">
        <v>450</v>
      </c>
      <c r="C2" t="s">
        <v>451</v>
      </c>
      <c r="D2" t="s">
        <v>452</v>
      </c>
      <c r="E2" t="s">
        <v>454</v>
      </c>
      <c r="L2" t="s">
        <v>455</v>
      </c>
    </row>
    <row r="3" spans="1:51" ht="14.4">
      <c r="A3" s="144" t="s">
        <v>223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221</v>
      </c>
      <c r="C4" s="129"/>
      <c r="J4" s="129"/>
    </row>
    <row r="5" spans="1:51" ht="14.4">
      <c r="B5" s="186" t="s">
        <v>233</v>
      </c>
      <c r="C5" s="129" t="str">
        <f>B4&amp;", "&amp;B5</f>
        <v>5.8.2 tropical hall, 5.8.0 tropic showroom</v>
      </c>
      <c r="J5" s="129"/>
    </row>
    <row r="6" spans="1:51" ht="14.4">
      <c r="B6" s="186" t="s">
        <v>267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393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226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414</v>
      </c>
    </row>
    <row r="10" spans="1:51" ht="14.4">
      <c r="B10" s="186" t="s">
        <v>415</v>
      </c>
      <c r="C10" s="129" t="str">
        <f>B9&amp;", "&amp;B10</f>
        <v xml:space="preserve"> 3.0.0 breeding station,  3.0.1 storage breeding</v>
      </c>
    </row>
    <row r="11" spans="1:51" ht="14.4">
      <c r="B11" s="186" t="s">
        <v>416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417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418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419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420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421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422</v>
      </c>
      <c r="C17" s="129" t="str">
        <f>B17</f>
        <v xml:space="preserve"> 7.0.1 sanitary f</v>
      </c>
    </row>
    <row r="18" spans="1:3" ht="14.4">
      <c r="A18" s="129"/>
      <c r="B18" s="186" t="s">
        <v>423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424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425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426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427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428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429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430</v>
      </c>
      <c r="C25" s="100" t="str">
        <f>B25</f>
        <v xml:space="preserve"> 9.0.2 circulation</v>
      </c>
    </row>
    <row r="26" spans="1:3" ht="14.4">
      <c r="A26" s="129"/>
      <c r="B26" s="186" t="s">
        <v>431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432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433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434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435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436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437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438</v>
      </c>
      <c r="C33" s="154" t="str">
        <f>B33</f>
        <v xml:space="preserve"> 7.0.4 storage mm-equipment</v>
      </c>
    </row>
    <row r="34" spans="1:4" ht="14.4">
      <c r="A34" s="144" t="s">
        <v>189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394</v>
      </c>
      <c r="C35" t="str">
        <f>B35</f>
        <v xml:space="preserve"> 8.-1.3 LV room</v>
      </c>
    </row>
    <row r="36" spans="1:4" ht="14.4">
      <c r="B36" s="186" t="s">
        <v>395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396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397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398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399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400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401</v>
      </c>
      <c r="C42" s="129" t="str">
        <f>B42</f>
        <v xml:space="preserve"> 8.-2.4 MTR room</v>
      </c>
    </row>
    <row r="43" spans="1:4" ht="14.4">
      <c r="B43" s="186" t="s">
        <v>402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403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404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405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406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407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408</v>
      </c>
      <c r="C49" s="100" t="str">
        <f>B49</f>
        <v xml:space="preserve"> 8.-1.2 LV electrical switch room</v>
      </c>
    </row>
    <row r="50" spans="1:3" ht="14.4">
      <c r="B50" s="186" t="s">
        <v>409</v>
      </c>
      <c r="C50" s="129" t="str">
        <f t="shared" si="2"/>
        <v xml:space="preserve"> 8.-1.2 LV electrical switch room,  8.-1.9 pump room</v>
      </c>
    </row>
    <row r="51" spans="1:3" ht="14.4">
      <c r="B51" s="186" t="s">
        <v>410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411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412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413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271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448</v>
      </c>
      <c r="C56" t="str">
        <f>B56</f>
        <v xml:space="preserve"> 8.-2.7 generator room</v>
      </c>
    </row>
    <row r="57" spans="1:3" ht="14.4">
      <c r="A57" s="144" t="s">
        <v>188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439</v>
      </c>
      <c r="C58" s="129" t="str">
        <f>B58</f>
        <v xml:space="preserve"> UU 6 L2.75 Special Closed</v>
      </c>
    </row>
    <row r="59" spans="1:3" ht="14.4">
      <c r="B59" s="186" t="s">
        <v>440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441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442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443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444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445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446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447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508</v>
      </c>
      <c r="G1" s="464" t="s">
        <v>528</v>
      </c>
      <c r="H1" s="464" t="s">
        <v>529</v>
      </c>
    </row>
    <row r="2" spans="1:8" ht="14.4">
      <c r="A2" s="452" t="s">
        <v>471</v>
      </c>
      <c r="B2" s="483">
        <v>28</v>
      </c>
      <c r="D2" s="485" t="s">
        <v>484</v>
      </c>
      <c r="E2" s="486">
        <v>28</v>
      </c>
      <c r="G2" t="s">
        <v>513</v>
      </c>
      <c r="H2">
        <v>8</v>
      </c>
    </row>
    <row r="3" spans="1:8" ht="14.4">
      <c r="A3" s="452" t="s">
        <v>459</v>
      </c>
      <c r="B3" s="483">
        <v>29</v>
      </c>
      <c r="D3" s="485" t="s">
        <v>471</v>
      </c>
      <c r="E3" s="486">
        <v>29</v>
      </c>
      <c r="G3" t="s">
        <v>512</v>
      </c>
      <c r="H3">
        <v>16</v>
      </c>
    </row>
    <row r="4" spans="1:8" ht="14.4">
      <c r="A4" s="452" t="s">
        <v>478</v>
      </c>
      <c r="B4" s="483">
        <v>30</v>
      </c>
      <c r="D4" s="485" t="s">
        <v>459</v>
      </c>
      <c r="E4" s="486">
        <v>30</v>
      </c>
      <c r="G4" t="s">
        <v>510</v>
      </c>
      <c r="H4">
        <v>14</v>
      </c>
    </row>
    <row r="5" spans="1:8" ht="14.4">
      <c r="A5" s="452" t="s">
        <v>479</v>
      </c>
      <c r="B5" s="483">
        <v>31</v>
      </c>
      <c r="D5" s="485" t="s">
        <v>478</v>
      </c>
      <c r="E5" s="486">
        <v>31</v>
      </c>
      <c r="G5" t="s">
        <v>184</v>
      </c>
      <c r="H5">
        <v>19</v>
      </c>
    </row>
    <row r="6" spans="1:8" ht="14.4">
      <c r="A6" s="452" t="s">
        <v>460</v>
      </c>
      <c r="B6" s="483">
        <v>32</v>
      </c>
      <c r="D6" s="485" t="s">
        <v>479</v>
      </c>
      <c r="E6" s="486">
        <v>32</v>
      </c>
      <c r="G6" t="s">
        <v>185</v>
      </c>
      <c r="H6">
        <v>2</v>
      </c>
    </row>
    <row r="7" spans="1:8" ht="14.4">
      <c r="A7" s="452" t="s">
        <v>461</v>
      </c>
      <c r="B7" s="483">
        <v>33</v>
      </c>
      <c r="D7" s="485" t="s">
        <v>460</v>
      </c>
      <c r="E7" s="486">
        <v>33</v>
      </c>
      <c r="G7" t="s">
        <v>514</v>
      </c>
      <c r="H7">
        <v>15</v>
      </c>
    </row>
    <row r="8" spans="1:8" ht="14.4">
      <c r="A8" s="452" t="s">
        <v>462</v>
      </c>
      <c r="B8" s="483">
        <v>34</v>
      </c>
      <c r="D8" s="485" t="s">
        <v>461</v>
      </c>
      <c r="E8" s="486">
        <v>34</v>
      </c>
      <c r="G8" t="s">
        <v>511</v>
      </c>
      <c r="H8">
        <v>12</v>
      </c>
    </row>
    <row r="9" spans="1:8" ht="14.4">
      <c r="A9" s="452" t="s">
        <v>463</v>
      </c>
      <c r="B9" s="483">
        <v>35</v>
      </c>
      <c r="D9" s="485" t="s">
        <v>462</v>
      </c>
      <c r="E9" s="486">
        <v>35</v>
      </c>
      <c r="G9" t="s">
        <v>156</v>
      </c>
      <c r="H9">
        <v>1</v>
      </c>
    </row>
    <row r="10" spans="1:8" ht="14.4">
      <c r="A10" s="452" t="s">
        <v>464</v>
      </c>
      <c r="B10" s="483">
        <v>36</v>
      </c>
      <c r="D10" s="485" t="s">
        <v>463</v>
      </c>
      <c r="E10" s="486">
        <v>36</v>
      </c>
      <c r="G10" t="s">
        <v>515</v>
      </c>
      <c r="H10">
        <v>4</v>
      </c>
    </row>
    <row r="11" spans="1:8" ht="14.4">
      <c r="A11" s="452" t="s">
        <v>465</v>
      </c>
      <c r="B11" s="483">
        <v>37</v>
      </c>
      <c r="D11" s="485" t="s">
        <v>464</v>
      </c>
      <c r="E11" s="486">
        <v>37</v>
      </c>
      <c r="G11" t="s">
        <v>516</v>
      </c>
      <c r="H11">
        <v>0</v>
      </c>
    </row>
    <row r="12" spans="1:8" ht="14.4">
      <c r="A12" s="452" t="s">
        <v>466</v>
      </c>
      <c r="B12" s="483">
        <v>38</v>
      </c>
      <c r="D12" s="485" t="s">
        <v>465</v>
      </c>
      <c r="E12" s="486">
        <v>38</v>
      </c>
      <c r="G12" t="s">
        <v>517</v>
      </c>
      <c r="H12">
        <v>17</v>
      </c>
    </row>
    <row r="13" spans="1:8" ht="14.4">
      <c r="A13" s="452" t="s">
        <v>467</v>
      </c>
      <c r="B13" s="483">
        <v>39</v>
      </c>
      <c r="D13" s="485" t="s">
        <v>466</v>
      </c>
      <c r="E13" s="486">
        <v>39</v>
      </c>
      <c r="G13" t="s">
        <v>518</v>
      </c>
      <c r="H13">
        <v>10</v>
      </c>
    </row>
    <row r="14" spans="1:8" ht="14.4">
      <c r="A14" s="452" t="s">
        <v>468</v>
      </c>
      <c r="B14" s="483">
        <v>40</v>
      </c>
      <c r="D14" s="485" t="s">
        <v>467</v>
      </c>
      <c r="E14" s="486">
        <v>40</v>
      </c>
      <c r="G14" t="s">
        <v>519</v>
      </c>
      <c r="H14">
        <v>3</v>
      </c>
    </row>
    <row r="15" spans="1:8" ht="14.4">
      <c r="A15" s="452" t="s">
        <v>469</v>
      </c>
      <c r="B15" s="483">
        <v>41</v>
      </c>
      <c r="D15" s="485" t="s">
        <v>468</v>
      </c>
      <c r="E15" s="486">
        <v>41</v>
      </c>
      <c r="G15" t="s">
        <v>520</v>
      </c>
      <c r="H15">
        <v>13</v>
      </c>
    </row>
    <row r="16" spans="1:8" ht="14.4">
      <c r="A16" s="452" t="s">
        <v>470</v>
      </c>
      <c r="B16" s="483">
        <v>42</v>
      </c>
      <c r="D16" s="485" t="s">
        <v>469</v>
      </c>
      <c r="E16" s="486">
        <v>42</v>
      </c>
      <c r="G16" t="s">
        <v>521</v>
      </c>
      <c r="H16">
        <v>5</v>
      </c>
    </row>
    <row r="17" spans="1:8" ht="14.4">
      <c r="A17" s="452" t="s">
        <v>472</v>
      </c>
      <c r="B17" s="483">
        <v>43</v>
      </c>
      <c r="D17" s="485" t="s">
        <v>470</v>
      </c>
      <c r="E17" s="486">
        <v>43</v>
      </c>
      <c r="G17" t="s">
        <v>522</v>
      </c>
      <c r="H17">
        <v>11</v>
      </c>
    </row>
    <row r="18" spans="1:8" ht="14.4">
      <c r="A18" s="452" t="s">
        <v>473</v>
      </c>
      <c r="B18" s="483">
        <v>44</v>
      </c>
      <c r="D18" s="485" t="s">
        <v>472</v>
      </c>
      <c r="E18" s="486">
        <v>44</v>
      </c>
      <c r="G18" t="s">
        <v>523</v>
      </c>
      <c r="H18">
        <v>18</v>
      </c>
    </row>
    <row r="19" spans="1:8" ht="14.4">
      <c r="A19" s="452" t="s">
        <v>474</v>
      </c>
      <c r="B19" s="483">
        <v>45</v>
      </c>
      <c r="D19" s="485" t="s">
        <v>473</v>
      </c>
      <c r="E19" s="486">
        <v>45</v>
      </c>
      <c r="G19" t="s">
        <v>526</v>
      </c>
      <c r="H19">
        <v>6</v>
      </c>
    </row>
    <row r="20" spans="1:8" ht="14.4">
      <c r="A20" s="452" t="s">
        <v>475</v>
      </c>
      <c r="B20" s="483">
        <v>46</v>
      </c>
      <c r="D20" s="485" t="s">
        <v>474</v>
      </c>
      <c r="E20" s="486">
        <v>46</v>
      </c>
      <c r="G20" t="s">
        <v>524</v>
      </c>
      <c r="H20">
        <v>9</v>
      </c>
    </row>
    <row r="21" spans="1:8" ht="14.4">
      <c r="A21" s="452" t="s">
        <v>486</v>
      </c>
      <c r="B21" s="483">
        <v>47</v>
      </c>
      <c r="D21" s="485" t="s">
        <v>475</v>
      </c>
      <c r="E21" s="486">
        <v>47</v>
      </c>
      <c r="G21" t="s">
        <v>525</v>
      </c>
      <c r="H21">
        <v>7</v>
      </c>
    </row>
    <row r="22" spans="1:8" ht="14.4">
      <c r="A22" s="452" t="s">
        <v>476</v>
      </c>
      <c r="B22" s="483">
        <v>48</v>
      </c>
      <c r="D22" s="485" t="s">
        <v>486</v>
      </c>
      <c r="E22" s="486">
        <v>48</v>
      </c>
      <c r="G22" t="s">
        <v>527</v>
      </c>
      <c r="H22">
        <v>20</v>
      </c>
    </row>
    <row r="23" spans="1:8" ht="14.4">
      <c r="D23" s="485" t="s">
        <v>476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2022-05-18T13:16:52Z</cp:lastPrinted>
  <dcterms:created xsi:type="dcterms:W3CDTF">2011-08-17T14:29:03Z</dcterms:created>
  <dcterms:modified xsi:type="dcterms:W3CDTF">2022-05-18T14:01:48Z</dcterms:modified>
</cp:coreProperties>
</file>