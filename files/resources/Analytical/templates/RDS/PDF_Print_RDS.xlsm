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esktop\SAM\2022-05-07_Warsaw\"/>
    </mc:Choice>
  </mc:AlternateContent>
  <xr:revisionPtr revIDLastSave="0" documentId="13_ncr:1_{44EAF21E-2FE8-4A42-8513-45716927C79B}" xr6:coauthVersionLast="47" xr6:coauthVersionMax="47" xr10:uidLastSave="{00000000-0000-0000-0000-000000000000}"/>
  <bookViews>
    <workbookView xWindow="-108" yWindow="-108" windowWidth="23256" windowHeight="12576" tabRatio="619" firstSheet="3" activeTab="3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Data!$A$3:$DA$15</definedName>
    <definedName name="DataColumn">Data!$A$1:$DA$2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23" i="37" l="1"/>
  <c r="AC123" i="37" s="1"/>
  <c r="AB124" i="37"/>
  <c r="AC124" i="37" s="1"/>
  <c r="AB125" i="37"/>
  <c r="AC125" i="37" s="1"/>
  <c r="AF28" i="37" s="1"/>
  <c r="AB126" i="37"/>
  <c r="AC126" i="37" s="1"/>
  <c r="AF30" i="37" s="1"/>
  <c r="AB127" i="37"/>
  <c r="AC127" i="37" s="1"/>
  <c r="AF26" i="37" s="1"/>
  <c r="AB128" i="37"/>
  <c r="AC128" i="37" s="1"/>
  <c r="AF32" i="37" s="1"/>
  <c r="AB129" i="37"/>
  <c r="AC129" i="37" s="1"/>
  <c r="AB130" i="37"/>
  <c r="AC130" i="37" s="1"/>
  <c r="AF31" i="37" s="1"/>
  <c r="AC45" i="37"/>
  <c r="AC35" i="37"/>
  <c r="AC31" i="37"/>
  <c r="AC29" i="37"/>
  <c r="AC24" i="37"/>
  <c r="AB105" i="37"/>
  <c r="AC105" i="37" s="1"/>
  <c r="AF27" i="37" s="1"/>
  <c r="AB106" i="37"/>
  <c r="AC106" i="37" s="1"/>
  <c r="AB107" i="37"/>
  <c r="AC107" i="37" s="1"/>
  <c r="AB108" i="37"/>
  <c r="AC108" i="37" s="1"/>
  <c r="AB109" i="37"/>
  <c r="AC109" i="37" s="1"/>
  <c r="AB110" i="37"/>
  <c r="AC110" i="37" s="1"/>
  <c r="AF22" i="37" s="1"/>
  <c r="AB111" i="37"/>
  <c r="AC111" i="37" s="1"/>
  <c r="AB112" i="37"/>
  <c r="AC112" i="37" s="1"/>
  <c r="AB113" i="37"/>
  <c r="AC113" i="37" s="1"/>
  <c r="AB114" i="37"/>
  <c r="AC114" i="37" s="1"/>
  <c r="AB115" i="37"/>
  <c r="AC115" i="37" s="1"/>
  <c r="AB116" i="37"/>
  <c r="AC116" i="37" s="1"/>
  <c r="AB117" i="37"/>
  <c r="AC117" i="37" s="1"/>
  <c r="AB118" i="37"/>
  <c r="AC118" i="37" s="1"/>
  <c r="AB119" i="37"/>
  <c r="AC119" i="37" s="1"/>
  <c r="AF20" i="37" s="1"/>
  <c r="AB120" i="37"/>
  <c r="AC120" i="37" s="1"/>
  <c r="AB121" i="37"/>
  <c r="AC121" i="37" s="1"/>
  <c r="AB122" i="37"/>
  <c r="AC122" i="37" s="1"/>
  <c r="AF17" i="37" s="1"/>
  <c r="AF25" i="37" l="1"/>
  <c r="AF21" i="37"/>
  <c r="AF16" i="37"/>
  <c r="AF18" i="37"/>
  <c r="AF23" i="37"/>
  <c r="AF19" i="37"/>
  <c r="C4" i="37"/>
  <c r="K9" i="37" l="1"/>
  <c r="Q9" i="37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AB102" i="37"/>
  <c r="AC102" i="37" s="1"/>
  <c r="AB103" i="37"/>
  <c r="AC103" i="37" s="1"/>
  <c r="AB104" i="37"/>
  <c r="AC104" i="37" s="1"/>
  <c r="K5" i="37" l="1"/>
  <c r="Q5" i="37"/>
  <c r="Q6" i="37"/>
  <c r="T15" i="37"/>
  <c r="T16" i="37"/>
  <c r="T17" i="37"/>
  <c r="T18" i="37"/>
  <c r="T14" i="37"/>
  <c r="Q8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S16" i="37" l="1"/>
  <c r="T27" i="37"/>
  <c r="S27" i="37" s="1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6" i="37"/>
  <c r="P27" i="37" s="1"/>
  <c r="O27" i="37" s="1"/>
  <c r="D31" i="70"/>
  <c r="AI27" i="37"/>
  <c r="N26" i="37"/>
  <c r="N27" i="37" s="1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T23" i="67" s="1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17" i="67"/>
  <c r="T16" i="67"/>
  <c r="T10" i="67"/>
  <c r="T20" i="67"/>
  <c r="AF29" i="37" s="1"/>
  <c r="L33" i="37" s="1"/>
  <c r="T22" i="67"/>
  <c r="S31" i="37" s="1"/>
  <c r="T21" i="67"/>
  <c r="Q31" i="37" s="1"/>
  <c r="T19" i="67"/>
  <c r="J33" i="37" s="1"/>
  <c r="W583" i="67"/>
  <c r="X583" i="67"/>
  <c r="Q9" i="67"/>
  <c r="O31" i="37" l="1"/>
  <c r="K31" i="37"/>
  <c r="T14" i="67"/>
  <c r="Q14" i="67" s="1"/>
  <c r="T8" i="67"/>
  <c r="Q8" i="67" s="1"/>
  <c r="G33" i="37"/>
  <c r="Q7" i="67"/>
  <c r="Q12" i="67"/>
  <c r="AF24" i="37"/>
  <c r="I32" i="37" s="1"/>
  <c r="I31" i="37"/>
  <c r="AW31" i="37"/>
  <c r="Q10" i="67"/>
  <c r="K32" i="37"/>
  <c r="Q16" i="67"/>
  <c r="N32" i="37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<sst xmlns="http://schemas.openxmlformats.org/spreadsheetml/2006/main" count="1251" uniqueCount="680">
  <si>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</si>
  <si>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</si>
  <si>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</si>
  <si>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</si>
  <si>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</si>
  <si>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</si>
  <si>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</si>
  <si>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</si>
  <si>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</si>
  <si>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</si>
  <si>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</si>
  <si>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</si>
  <si>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</si>
  <si>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</si>
  <si>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</si>
  <si>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</si>
  <si>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</si>
  <si>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</si>
  <si>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</si>
  <si>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</si>
  <si>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</si>
  <si>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</si>
  <si>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</si>
  <si>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</si>
  <si>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</si>
  <si>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</si>
  <si>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</si>
  <si>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</si>
  <si>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</si>
  <si>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</si>
  <si>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</si>
  <si>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</si>
  <si>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</si>
  <si>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</si>
  <si>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</si>
  <si>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</si>
  <si>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</si>
  <si>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</si>
  <si>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</si>
  <si>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</si>
  <si>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</si>
  <si>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</si>
  <si>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</si>
  <si>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</si>
  <si>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</si>
  <si>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</si>
  <si>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</si>
  <si>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</si>
  <si>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</si>
  <si>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</si>
  <si>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</si>
  <si>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</si>
  <si>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</si>
  <si>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</si>
  <si>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</si>
  <si>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</si>
  <si>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</si>
  <si>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</si>
  <si>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</si>
  <si>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</si>
  <si>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</si>
  <si>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</si>
  <si>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</si>
  <si>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</si>
  <si>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</si>
  <si>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</si>
  <si>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</si>
  <si>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</si>
  <si>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</si>
  <si>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</si>
  <si>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</si>
  <si>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</si>
  <si>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</si>
  <si>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</si>
  <si>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</si>
  <si>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</si>
  <si>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</si>
  <si>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</si>
  <si>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</si>
  <si>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</si>
  <si>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</si>
  <si>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</si>
  <si>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</si>
  <si>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</si>
  <si>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</si>
  <si>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</si>
  <si>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</si>
  <si>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</si>
  <si>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</si>
  <si>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</si>
  <si>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</si>
  <si>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</si>
  <si>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</si>
  <si>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</si>
  <si>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</si>
  <si>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</si>
  <si>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</si>
  <si>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</si>
  <si>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</si>
  <si>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</si>
  <si>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</si>
  <si>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</si>
  <si>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</si>
  <si>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</si>
  <si>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</si>
  <si>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</si>
  <si>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</si>
  <si>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</si>
  <si>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</si>
  <si>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</si>
  <si>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</si>
  <si>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</si>
  <si>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</si>
  <si>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</si>
  <si>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</si>
  <si>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</si>
  <si>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</si>
  <si>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</si>
  <si>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</si>
  <si>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</si>
  <si>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</si>
  <si>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</si>
  <si>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</si>
  <si>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</si>
  <si>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</si>
  <si>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</si>
  <si>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</si>
  <si>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</si>
  <si>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</si>
  <si>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</si>
  <si>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</si>
  <si>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</si>
  <si>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</si>
  <si>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</si>
  <si>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</si>
  <si>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</si>
  <si>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</si>
  <si>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</si>
  <si>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</si>
  <si>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</si>
  <si>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</si>
  <si>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</si>
  <si>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</si>
  <si>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</si>
  <si>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</si>
  <si>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</si>
  <si>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</si>
  <si>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</si>
  <si>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</si>
  <si>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</si>
  <si>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</si>
  <si>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</si>
  <si>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</si>
  <si>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</si>
  <si>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</si>
  <si>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</si>
  <si>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</si>
  <si>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</si>
  <si>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</si>
  <si>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</si>
  <si>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</si>
  <si>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</si>
  <si>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</si>
  <si>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</si>
  <si>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</si>
  <si>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</si>
  <si>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</si>
  <si>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</si>
  <si>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</si>
  <si>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</si>
  <si>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</si>
  <si>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</si>
  <si>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</si>
  <si>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</si>
  <si>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</si>
  <si>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</si>
  <si>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</si>
  <si>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</si>
  <si>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</si>
  <si>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</si>
  <si>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</si>
  <si>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</si>
  <si>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</si>
  <si>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</si>
  <si>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</si>
  <si>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</si>
  <si>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</si>
  <si>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</si>
  <si>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</si>
  <si>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</si>
  <si>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</si>
  <si>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</si>
  <si>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</si>
  <si>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</si>
  <si>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</si>
  <si>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</si>
  <si>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</si>
  <si>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</si>
  <si>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</si>
  <si>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</si>
  <si>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</si>
  <si>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</si>
  <si>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</si>
  <si>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</si>
  <si>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</si>
  <si>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</si>
  <si>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</si>
  <si>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</si>
  <si>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</si>
  <si>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</si>
  <si>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</si>
  <si>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</si>
  <si>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</si>
  <si>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</si>
  <si>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</si>
  <si>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</si>
  <si>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</si>
  <si>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</si>
  <si>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</si>
  <si>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</si>
  <si>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</si>
  <si>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</si>
  <si>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</si>
  <si>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</si>
  <si>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</si>
  <si>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</si>
  <si>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</si>
  <si>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</si>
  <si>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</si>
  <si>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</si>
  <si>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</si>
  <si>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</si>
  <si>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</si>
  <si>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</si>
  <si>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</si>
  <si>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</si>
  <si>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</si>
  <si>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</si>
  <si>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</si>
  <si>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</si>
  <si>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</si>
  <si>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</si>
  <si>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</si>
  <si>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</si>
  <si>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</si>
  <si>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</si>
  <si>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</si>
  <si>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</si>
  <si>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</si>
  <si>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</si>
  <si>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</si>
  <si>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</si>
  <si>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</si>
  <si>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</si>
  <si>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</si>
  <si>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</si>
  <si>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</si>
  <si>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</si>
  <si>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</si>
  <si>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</si>
  <si>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</si>
  <si>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</si>
  <si>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</si>
  <si>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</si>
  <si>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</si>
  <si>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</si>
  <si>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</si>
  <si>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</si>
  <si>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</si>
  <si>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</si>
  <si>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</si>
  <si>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</si>
  <si>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</si>
  <si>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</si>
  <si>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</si>
  <si>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</si>
  <si>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</si>
  <si>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</si>
  <si>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</si>
  <si>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</si>
  <si>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</si>
  <si>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</si>
  <si>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</si>
  <si>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</si>
  <si>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</si>
  <si>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</si>
  <si>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</si>
  <si>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</si>
  <si>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</si>
  <si>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</si>
  <si>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</si>
  <si>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</si>
  <si>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</si>
  <si>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</si>
  <si>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</si>
  <si>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</si>
  <si>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</si>
  <si>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</si>
  <si>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</si>
  <si>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</si>
  <si>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</si>
  <si>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</si>
  <si>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</si>
  <si>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</si>
  <si>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</si>
  <si>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</si>
  <si>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</si>
  <si>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</si>
  <si>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</si>
  <si>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</si>
  <si>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</si>
  <si>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</si>
  <si>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</si>
  <si>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</si>
  <si>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</si>
  <si>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</si>
  <si>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</si>
  <si>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</si>
  <si>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</si>
  <si>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</si>
  <si>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</si>
  <si>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</si>
  <si>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</si>
  <si>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</si>
  <si>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</si>
  <si>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</si>
  <si>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</si>
  <si>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</si>
  <si>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</si>
  <si>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</si>
  <si>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</si>
  <si>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</si>
  <si>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</si>
  <si>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</si>
  <si>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</si>
  <si>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</si>
  <si>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</si>
  <si>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</si>
  <si>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</si>
  <si>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</si>
  <si>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</si>
  <si>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</si>
  <si>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</si>
  <si>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</si>
  <si>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</si>
  <si>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</si>
  <si>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</si>
  <si>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</si>
  <si>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</si>
  <si>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</si>
  <si>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</si>
  <si>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</si>
  <si>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</si>
  <si>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</si>
  <si>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</si>
  <si>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</si>
  <si>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</si>
  <si>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</si>
  <si>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</si>
  <si>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</si>
  <si>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</si>
  <si>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</si>
  <si>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</si>
  <si>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</si>
  <si>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</si>
  <si>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</si>
  <si>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</si>
  <si>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</si>
  <si>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</si>
  <si>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</si>
  <si>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</si>
  <si>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</si>
  <si>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</si>
  <si>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</si>
  <si>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</si>
  <si>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</si>
  <si>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</si>
  <si>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</si>
  <si>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</si>
  <si>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</si>
  <si>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</si>
  <si>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</si>
  <si>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</si>
  <si>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</si>
  <si>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</si>
  <si>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</si>
  <si>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</si>
  <si>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</si>
  <si>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</si>
  <si>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</si>
  <si>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</si>
  <si>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</si>
  <si>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</si>
  <si>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</si>
  <si>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</si>
  <si>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</si>
  <si>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</si>
  <si>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</si>
  <si>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</si>
  <si>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</si>
  <si>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</si>
  <si>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</si>
  <si>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</si>
  <si>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</si>
  <si>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</si>
  <si>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</si>
  <si>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</si>
  <si>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</si>
  <si>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</si>
  <si>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</si>
  <si>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</si>
  <si>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</si>
  <si>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</si>
  <si>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</si>
  <si>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</si>
  <si>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</si>
  <si>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</si>
  <si>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</si>
  <si>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</si>
  <si>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</si>
  <si>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</si>
  <si>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</si>
  <si>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</si>
  <si>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</si>
  <si>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</si>
  <si>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</si>
  <si>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</si>
  <si>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</si>
  <si>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</si>
  <si>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</si>
  <si>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</si>
  <si>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</si>
  <si>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</si>
  <si>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</si>
  <si>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</si>
  <si>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</si>
  <si>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</si>
  <si>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</si>
  <si>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</si>
  <si>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</si>
  <si>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</si>
  <si>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</si>
  <si>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</si>
  <si>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</si>
  <si>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</si>
  <si>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</si>
  <si>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</si>
  <si>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</si>
  <si>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</si>
  <si>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</si>
  <si>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</si>
  <si>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</si>
  <si>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</si>
  <si>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</si>
  <si>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</si>
  <si>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</si>
  <si>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</si>
  <si>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</si>
  <si>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</si>
  <si>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</si>
  <si>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</si>
  <si>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</si>
  <si>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</si>
  <si>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</si>
  <si>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</si>
  <si>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</si>
  <si>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</si>
  <si>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</si>
  <si>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</si>
  <si>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</si>
  <si>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</si>
  <si>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</si>
  <si>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</si>
  <si>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</si>
  <si>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</si>
  <si>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</si>
  <si>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</si>
  <si>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</si>
  <si>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</si>
  <si>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</si>
  <si>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</si>
  <si>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</si>
  <si>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</si>
  <si>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</si>
  <si>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</si>
  <si>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</si>
  <si>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</si>
  <si>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</si>
  <si>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</si>
  <si>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</si>
  <si>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</si>
  <si>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</si>
  <si>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</si>
  <si>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</si>
  <si>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</si>
  <si>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</si>
  <si>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</si>
  <si>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</si>
  <si>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</si>
  <si>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</si>
  <si>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</si>
  <si>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</si>
  <si>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</si>
  <si>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</si>
  <si>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</si>
  <si>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</si>
  <si>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</si>
  <si>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</si>
  <si>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</si>
  <si>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</si>
  <si>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</si>
  <si>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</si>
  <si>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</si>
  <si>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</si>
  <si>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</si>
  <si>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</si>
  <si>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</si>
  <si>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</si>
  <si>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</si>
  <si>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</si>
  <si>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</si>
  <si>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</si>
  <si>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</si>
  <si>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</si>
  <si>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</si>
  <si>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</si>
  <si>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</si>
  <si>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</si>
  <si>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</si>
  <si>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</si>
  <si>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</si>
  <si>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</si>
  <si>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</si>
  <si>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</si>
  <si>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</si>
  <si>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</si>
  <si>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</si>
  <si>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</si>
  <si>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</si>
  <si>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</si>
  <si>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</si>
  <si>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</si>
  <si>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</si>
  <si>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</si>
  <si>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</si>
  <si>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</si>
  <si>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</si>
  <si>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</si>
  <si>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</si>
  <si>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</si>
  <si>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</si>
  <si>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</si>
  <si>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</si>
  <si>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</si>
  <si>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</si>
  <si>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</si>
  <si>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</si>
  <si>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</si>
  <si>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</si>
  <si>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</si>
  <si>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</si>
  <si>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</si>
  <si>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</si>
  <si>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</si>
  <si>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</si>
  <si>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</si>
  <si>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</si>
  <si>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</si>
  <si>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</si>
  <si>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</si>
  <si>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</si>
  <si>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</si>
  <si>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</si>
  <si>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</si>
  <si>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</si>
  <si>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</si>
  <si>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</si>
  <si>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</si>
  <si>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</si>
  <si>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</si>
  <si>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</si>
  <si>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</si>
  <si>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</si>
  <si>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</si>
  <si>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</si>
  <si>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</si>
  <si>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</si>
  <si>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</si>
  <si>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</si>
  <si>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</si>
  <si>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</si>
  <si>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</si>
  <si>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</si>
  <si>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</si>
  <si>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</si>
  <si>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</si>
  <si>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</si>
  <si>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</si>
  <si>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</si>
  <si>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</si>
  <si>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</si>
  <si>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</si>
  <si>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</si>
  <si>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</si>
  <si>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</si>
  <si>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</si>
  <si>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</si>
  <si>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</si>
  <si>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</si>
  <si>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</si>
  <si>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</si>
  <si>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</si>
  <si>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</si>
  <si>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</si>
  <si>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</si>
  <si>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</si>
  <si>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</si>
  <si>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S37_OfficeCell</t>
  </si>
  <si>
    <t>8to19</t>
  </si>
  <si>
    <t>Simulation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</si>
  <si>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</si>
  <si>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</si>
  <si>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</si>
  <si>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</si>
  <si>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</si>
  <si>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</si>
  <si>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</si>
  <si>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</si>
  <si>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</si>
  <si>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</si>
  <si>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</si>
  <si>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</si>
  <si>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</si>
  <si>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</si>
  <si>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</si>
  <si>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</si>
  <si>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</si>
  <si>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</si>
  <si>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</si>
  <si>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</si>
  <si>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</si>
  <si>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</si>
  <si>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</si>
  <si>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</si>
  <si>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</si>
  <si>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</si>
  <si>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</si>
  <si>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</si>
  <si>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</si>
  <si>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</si>
  <si>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</si>
  <si>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</si>
  <si>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</si>
  <si>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00e6bda8-de8b-4fa4-a10d-8235543803e6</t>
  </si>
  <si>
    <t>S50_Toilet</t>
  </si>
  <si>
    <t>Cooling Design Day</t>
  </si>
  <si>
    <t>03b8e909-a88c-4046-985b-a2dc7433e55e</t>
  </si>
  <si>
    <t>bacbf1b5-af4a-46f3-862d-562fa829d3ad</t>
  </si>
  <si>
    <t>0f527afc-f709-43f6-a37d-c4a5e128accb</t>
  </si>
  <si>
    <t>43d2388f-6141-423c-9c16-e3f739854c0e</t>
  </si>
  <si>
    <t>5823fa23-3d17-434f-9466-3d89cf242f06</t>
  </si>
  <si>
    <t>71481815-621b-44f6-8801-779dadd45b5a</t>
  </si>
  <si>
    <t>2e84ee34-3fea-482e-aa69-5f336d70a0d7</t>
  </si>
  <si>
    <t>c298253a-f265-402e-bc18-fd9cb3661d82</t>
  </si>
  <si>
    <t>9d1f6182-90ec-4112-8c73-2ff2cfcb0cf0</t>
  </si>
  <si>
    <t>Cell 1.6</t>
  </si>
  <si>
    <t>fd53cc46-47d1-4a16-94de-02a7d27cbb48</t>
  </si>
  <si>
    <t>Cell 1.7</t>
  </si>
  <si>
    <t>12d5f021-8ebf-40ea-b969-103209c0cebc</t>
  </si>
  <si>
    <t>Cell 1.8</t>
  </si>
  <si>
    <t>13f3f7af-b465-4eef-ab6e-42f1e89b7576</t>
  </si>
  <si>
    <t>000111 PDF_Print_RDS_ver09d</t>
  </si>
  <si>
    <t>[SAM_WindowPane_External]</t>
  </si>
  <si>
    <t>[SAM_WindowPane_Internal]</t>
  </si>
  <si>
    <t>[SAM_DoorPane_External]</t>
  </si>
  <si>
    <t>[SAM_DoorPane_Internal]</t>
  </si>
  <si>
    <t>[SAM_WindowFrame_External]</t>
  </si>
  <si>
    <t>[SAM_WindowFrame_Internal]</t>
  </si>
  <si>
    <t>[SAM_DoorFrame_External]</t>
  </si>
  <si>
    <t>[SAM_DoorFrame_Internal]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</si>
</sst>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44699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44699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E641"/>
  <sheetViews>
    <sheetView tabSelected="1" topLeftCell="CV1" workbookViewId="0">
      <selection activeCell="DE1" sqref="CX1:DE1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109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635</v>
      </c>
      <c r="CG1" s="115" t="s">
        <v>637</v>
      </c>
      <c r="CH1" s="115" t="s">
        <v>636</v>
      </c>
      <c r="CI1" s="115" t="s">
        <v>652</v>
      </c>
      <c r="CJ1" s="115" t="s">
        <v>651</v>
      </c>
      <c r="CK1" s="115" t="s">
        <v>650</v>
      </c>
      <c r="CL1" s="115" t="s">
        <v>649</v>
      </c>
      <c r="CM1" s="115" t="s">
        <v>648</v>
      </c>
      <c r="CN1" s="115" t="s">
        <v>647</v>
      </c>
      <c r="CO1" s="115" t="s">
        <v>646</v>
      </c>
      <c r="CP1" s="115" t="s">
        <v>645</v>
      </c>
      <c r="CQ1" s="115" t="s">
        <v>644</v>
      </c>
      <c r="CR1" s="115" t="s">
        <v>643</v>
      </c>
      <c r="CS1" s="115" t="s">
        <v>642</v>
      </c>
      <c r="CT1" s="115" t="s">
        <v>641</v>
      </c>
      <c r="CU1" s="115" t="s">
        <v>640</v>
      </c>
      <c r="CV1" s="115" t="s">
        <v>639</v>
      </c>
      <c r="CW1" s="115" t="s">
        <v>638</v>
      </c>
      <c r="CX1" s="115" t="s">
        <v>672</v>
      </c>
      <c r="CY1" s="115" t="s">
        <v>673</v>
      </c>
      <c r="CZ1" s="115" t="s">
        <v>674</v>
      </c>
      <c r="DA1" s="115" t="s">
        <v>675</v>
      </c>
      <c r="DB1" s="115" t="s">
        <v>676</v>
      </c>
      <c r="DC1" s="115" t="s">
        <v>677</v>
      </c>
      <c r="DD1" s="115" t="s">
        <v>678</v>
      </c>
      <c r="DE1" s="115" t="s">
        <v>679</v>
      </c>
    </row>
    <row r="2" spans="1:109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  <c r="CX2" s="176">
        <v>101</v>
      </c>
      <c r="CY2" s="176">
        <v>102</v>
      </c>
      <c r="CZ2" s="176">
        <v>103</v>
      </c>
      <c r="DA2" s="176">
        <v>104</v>
      </c>
      <c r="DB2" s="176">
        <v>105</v>
      </c>
      <c r="DC2" s="176">
        <v>106</v>
      </c>
      <c r="DD2" s="176">
        <v>107</v>
      </c>
      <c r="DE2" s="176">
        <v>108</v>
      </c>
    </row>
    <row r="3" spans="1:109" ht="12.75" customHeight="1">
      <c r="A3" t="s">
        <v>620</v>
      </c>
      <c r="C3" t="s">
        <v>621</v>
      </c>
      <c r="D3">
        <v>1</v>
      </c>
      <c r="E3" t="s">
        <v>653</v>
      </c>
      <c r="F3">
        <v>65535</v>
      </c>
      <c r="I3" t="s">
        <v>654</v>
      </c>
      <c r="L3">
        <v>0.2</v>
      </c>
      <c r="N3">
        <v>200</v>
      </c>
      <c r="R3">
        <v>33.686535000000006</v>
      </c>
      <c r="S3">
        <v>0</v>
      </c>
      <c r="T3">
        <v>134.74613952636719</v>
      </c>
      <c r="V3" t="s">
        <v>618</v>
      </c>
      <c r="W3" s="514">
        <v>44698.404490740744</v>
      </c>
      <c r="AE3" s="516">
        <v>43101</v>
      </c>
      <c r="AG3" t="s">
        <v>655</v>
      </c>
      <c r="AS3">
        <v>0</v>
      </c>
      <c r="AU3">
        <v>8</v>
      </c>
      <c r="AV3">
        <v>-2.9685451576275237E-2</v>
      </c>
      <c r="AW3">
        <v>35.117084750591772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1182.972900390625</v>
      </c>
      <c r="BJ3">
        <v>1182.972900390625</v>
      </c>
      <c r="BK3">
        <v>0</v>
      </c>
      <c r="BL3">
        <v>-1</v>
      </c>
      <c r="BM3">
        <v>-1</v>
      </c>
      <c r="BN3">
        <v>-1</v>
      </c>
      <c r="BP3">
        <v>150</v>
      </c>
      <c r="BQ3">
        <v>20</v>
      </c>
      <c r="BR3">
        <v>-174.19200134277344</v>
      </c>
      <c r="BS3">
        <v>0</v>
      </c>
      <c r="BT3">
        <v>-14.719191622248823</v>
      </c>
      <c r="BU3">
        <v>0</v>
      </c>
      <c r="BV3">
        <v>-647.68994140625</v>
      </c>
      <c r="BW3" t="s">
        <v>619</v>
      </c>
      <c r="BX3">
        <v>19.802900314331055</v>
      </c>
      <c r="BY3">
        <v>18.108207702636719</v>
      </c>
      <c r="CB3">
        <v>20.000568389892578</v>
      </c>
      <c r="CC3">
        <v>0</v>
      </c>
      <c r="CD3" s="514">
        <v>43101.666666666664</v>
      </c>
      <c r="CE3" s="516">
        <v>43102</v>
      </c>
      <c r="CF3">
        <v>47.966152000000001</v>
      </c>
      <c r="CG3" s="464">
        <v>0</v>
      </c>
      <c r="CH3" s="464">
        <v>0</v>
      </c>
      <c r="CI3" s="464">
        <v>0</v>
      </c>
      <c r="CJ3" s="464">
        <v>0</v>
      </c>
      <c r="CK3" s="464">
        <v>8.4312767700001068E-2</v>
      </c>
      <c r="CL3" s="464">
        <v>33.602222232300001</v>
      </c>
      <c r="CM3" s="464">
        <v>0</v>
      </c>
      <c r="CN3" s="464">
        <v>33.686534782499997</v>
      </c>
      <c r="CO3" s="464">
        <v>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0</v>
      </c>
      <c r="CV3" s="464">
        <v>47.966151883999999</v>
      </c>
      <c r="CW3" s="464">
        <v>0</v>
      </c>
      <c r="CX3" s="464">
        <v>7</v>
      </c>
      <c r="CY3" s="464">
        <v>7</v>
      </c>
      <c r="CZ3" s="464">
        <v>7</v>
      </c>
      <c r="DA3" s="464">
        <v>7</v>
      </c>
      <c r="DB3" s="464">
        <v>7</v>
      </c>
      <c r="DC3" s="464">
        <v>7</v>
      </c>
      <c r="DD3" s="464">
        <v>7</v>
      </c>
      <c r="DE3" s="464">
        <v>7</v>
      </c>
    </row>
    <row r="4" spans="1:109" ht="12.75" customHeight="1">
      <c r="A4" t="s">
        <v>622</v>
      </c>
      <c r="C4" t="s">
        <v>621</v>
      </c>
      <c r="D4">
        <v>2</v>
      </c>
      <c r="E4" t="s">
        <v>656</v>
      </c>
      <c r="F4">
        <v>4.4915379709999996</v>
      </c>
      <c r="I4" t="s">
        <v>617</v>
      </c>
      <c r="L4">
        <v>0.2</v>
      </c>
      <c r="N4">
        <v>500</v>
      </c>
      <c r="R4">
        <v>33.686535000000006</v>
      </c>
      <c r="S4">
        <v>5464</v>
      </c>
      <c r="T4">
        <v>134.74613952636719</v>
      </c>
      <c r="V4" t="s">
        <v>618</v>
      </c>
      <c r="W4" s="514">
        <v>44698.404502314814</v>
      </c>
      <c r="X4">
        <v>98.847396850585938</v>
      </c>
      <c r="AE4" s="514">
        <v>43328.666666666664</v>
      </c>
      <c r="AF4">
        <v>1.9916463643312454E-2</v>
      </c>
      <c r="AG4" t="s">
        <v>655</v>
      </c>
      <c r="AS4">
        <v>20</v>
      </c>
      <c r="AT4">
        <v>10</v>
      </c>
      <c r="AU4">
        <v>8</v>
      </c>
      <c r="AV4">
        <v>0.87515846663970775</v>
      </c>
      <c r="AW4">
        <v>62.605870889620249</v>
      </c>
      <c r="AX4">
        <v>0</v>
      </c>
      <c r="AY4">
        <v>269.49227905273438</v>
      </c>
      <c r="AZ4">
        <v>70.582832336425781</v>
      </c>
      <c r="BA4">
        <v>0</v>
      </c>
      <c r="BB4">
        <v>29.481056213378906</v>
      </c>
      <c r="BC4">
        <v>0</v>
      </c>
      <c r="BD4">
        <v>113.34130859375</v>
      </c>
      <c r="BE4">
        <v>336.8653564453125</v>
      </c>
      <c r="BF4">
        <v>673.730712890625</v>
      </c>
      <c r="BG4">
        <v>0</v>
      </c>
      <c r="BH4">
        <v>247.03459167480469</v>
      </c>
      <c r="BI4">
        <v>2108.974853515625</v>
      </c>
      <c r="BJ4">
        <v>2108.902099609375</v>
      </c>
      <c r="BK4">
        <v>1493.592041015625</v>
      </c>
      <c r="BL4">
        <v>1493.4910888671875</v>
      </c>
      <c r="BM4">
        <v>25</v>
      </c>
      <c r="BN4">
        <v>25.940444946289063</v>
      </c>
      <c r="BP4">
        <v>25</v>
      </c>
      <c r="BQ4">
        <v>21</v>
      </c>
      <c r="BR4">
        <v>-305.24777221679688</v>
      </c>
      <c r="BS4">
        <v>0</v>
      </c>
      <c r="BT4">
        <v>-36.711587035399027</v>
      </c>
      <c r="BU4">
        <v>0</v>
      </c>
      <c r="BV4">
        <v>-566.96630859375</v>
      </c>
      <c r="BW4" t="s">
        <v>616</v>
      </c>
      <c r="BX4">
        <v>21</v>
      </c>
      <c r="BY4">
        <v>18.128402709960938</v>
      </c>
      <c r="CB4">
        <v>21.026443481445313</v>
      </c>
      <c r="CC4">
        <v>0</v>
      </c>
      <c r="CD4" s="514">
        <v>43101.666666666664</v>
      </c>
      <c r="CE4" s="516">
        <v>43102</v>
      </c>
      <c r="CF4">
        <v>17.966152000000001</v>
      </c>
      <c r="CG4">
        <v>0</v>
      </c>
      <c r="CH4">
        <v>0</v>
      </c>
      <c r="CI4">
        <v>0</v>
      </c>
      <c r="CJ4">
        <v>0</v>
      </c>
      <c r="CK4">
        <v>0</v>
      </c>
      <c r="CL4">
        <v>33.686534999999999</v>
      </c>
      <c r="CM4">
        <v>0</v>
      </c>
      <c r="CN4">
        <v>33.686534782499997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47.966151883999999</v>
      </c>
      <c r="CW4">
        <v>30</v>
      </c>
      <c r="CX4" s="464">
        <v>7</v>
      </c>
      <c r="CY4" s="464">
        <v>7</v>
      </c>
      <c r="CZ4" s="464">
        <v>7</v>
      </c>
      <c r="DA4" s="464">
        <v>7</v>
      </c>
      <c r="DB4" s="464">
        <v>7</v>
      </c>
      <c r="DC4" s="464">
        <v>7</v>
      </c>
      <c r="DD4" s="464">
        <v>7</v>
      </c>
      <c r="DE4" s="464">
        <v>7</v>
      </c>
    </row>
    <row r="5" spans="1:109" ht="12.75" customHeight="1">
      <c r="A5" t="s">
        <v>623</v>
      </c>
      <c r="C5" t="s">
        <v>621</v>
      </c>
      <c r="D5">
        <v>3</v>
      </c>
      <c r="E5" t="s">
        <v>657</v>
      </c>
      <c r="F5">
        <v>6.4871050640000005</v>
      </c>
      <c r="I5" t="s">
        <v>617</v>
      </c>
      <c r="L5">
        <v>0.2</v>
      </c>
      <c r="N5">
        <v>500</v>
      </c>
      <c r="R5">
        <v>48.653287499999998</v>
      </c>
      <c r="S5">
        <v>5464</v>
      </c>
      <c r="T5">
        <v>194.6131591796875</v>
      </c>
      <c r="V5" t="s">
        <v>618</v>
      </c>
      <c r="W5" s="514">
        <v>44698.404502314814</v>
      </c>
      <c r="X5">
        <v>98.847366333007813</v>
      </c>
      <c r="AE5" s="514">
        <v>43328.666666666664</v>
      </c>
      <c r="AF5">
        <v>1.9916458055377007E-2</v>
      </c>
      <c r="AG5" t="s">
        <v>655</v>
      </c>
      <c r="AS5">
        <v>20</v>
      </c>
      <c r="AT5">
        <v>10</v>
      </c>
      <c r="AU5">
        <v>8</v>
      </c>
      <c r="AV5">
        <v>-3.1598723773963444</v>
      </c>
      <c r="AW5">
        <v>28.239564998639267</v>
      </c>
      <c r="AX5">
        <v>0</v>
      </c>
      <c r="AY5">
        <v>389.22628784179688</v>
      </c>
      <c r="AZ5">
        <v>101.94242858886719</v>
      </c>
      <c r="BA5">
        <v>0</v>
      </c>
      <c r="BB5">
        <v>-153.73817443847656</v>
      </c>
      <c r="BC5">
        <v>0</v>
      </c>
      <c r="BD5">
        <v>31.403076171875</v>
      </c>
      <c r="BE5">
        <v>486.53286743164063</v>
      </c>
      <c r="BF5">
        <v>973.06573486328125</v>
      </c>
      <c r="BG5">
        <v>0</v>
      </c>
      <c r="BH5">
        <v>356.790771484375</v>
      </c>
      <c r="BI5">
        <v>1373.9476318359375</v>
      </c>
      <c r="BJ5">
        <v>1373.90087890625</v>
      </c>
      <c r="BK5">
        <v>1828.5103759765625</v>
      </c>
      <c r="BL5">
        <v>1828.4312744140625</v>
      </c>
      <c r="BM5">
        <v>25</v>
      </c>
      <c r="BN5">
        <v>25.555221557617188</v>
      </c>
      <c r="BP5">
        <v>25</v>
      </c>
      <c r="BQ5">
        <v>21</v>
      </c>
      <c r="BR5">
        <v>-440.86785888671875</v>
      </c>
      <c r="BS5">
        <v>0</v>
      </c>
      <c r="BT5">
        <v>-8.7879771371975917</v>
      </c>
      <c r="BU5">
        <v>0</v>
      </c>
      <c r="BV5">
        <v>-505.465087890625</v>
      </c>
      <c r="BW5" t="s">
        <v>616</v>
      </c>
      <c r="BX5">
        <v>21</v>
      </c>
      <c r="BY5">
        <v>19.46051025390625</v>
      </c>
      <c r="CB5">
        <v>24.999261856079102</v>
      </c>
      <c r="CC5">
        <v>0</v>
      </c>
      <c r="CD5" s="514">
        <v>43101.708333333336</v>
      </c>
      <c r="CE5" s="516">
        <v>43102</v>
      </c>
      <c r="CF5">
        <v>85.948424000000003</v>
      </c>
      <c r="CG5">
        <v>0</v>
      </c>
      <c r="CH5">
        <v>0</v>
      </c>
      <c r="CI5">
        <v>0</v>
      </c>
      <c r="CJ5">
        <v>0</v>
      </c>
      <c r="CK5">
        <v>0</v>
      </c>
      <c r="CL5">
        <v>48.653287499999998</v>
      </c>
      <c r="CM5">
        <v>0</v>
      </c>
      <c r="CN5">
        <v>48.653287980000002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25.948420255999999</v>
      </c>
      <c r="CW5">
        <v>0</v>
      </c>
      <c r="CX5" s="464">
        <v>7</v>
      </c>
      <c r="CY5" s="464">
        <v>7</v>
      </c>
      <c r="CZ5" s="464">
        <v>7</v>
      </c>
      <c r="DA5" s="464">
        <v>7</v>
      </c>
      <c r="DB5" s="464">
        <v>7</v>
      </c>
      <c r="DC5" s="464">
        <v>7</v>
      </c>
      <c r="DD5" s="464">
        <v>7</v>
      </c>
      <c r="DE5" s="464">
        <v>7</v>
      </c>
    </row>
    <row r="6" spans="1:109" ht="12.75" customHeight="1">
      <c r="A6" t="s">
        <v>624</v>
      </c>
      <c r="C6" t="s">
        <v>621</v>
      </c>
      <c r="D6">
        <v>4</v>
      </c>
      <c r="E6" t="s">
        <v>658</v>
      </c>
      <c r="F6">
        <v>65535</v>
      </c>
      <c r="R6">
        <v>60.160177500000003</v>
      </c>
      <c r="S6">
        <v>0</v>
      </c>
      <c r="T6">
        <v>240.69741821289063</v>
      </c>
      <c r="W6" s="514">
        <v>44698.404502314814</v>
      </c>
      <c r="AE6" s="516">
        <v>43101</v>
      </c>
      <c r="AG6" t="s">
        <v>655</v>
      </c>
      <c r="AV6">
        <v>-1.662229092940485E-2</v>
      </c>
      <c r="AW6">
        <v>0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0</v>
      </c>
      <c r="BJ6">
        <v>-1</v>
      </c>
      <c r="BK6">
        <v>0</v>
      </c>
      <c r="BL6">
        <v>-1</v>
      </c>
      <c r="BM6">
        <v>-1</v>
      </c>
      <c r="BN6">
        <v>-1</v>
      </c>
      <c r="BR6">
        <v>-1</v>
      </c>
      <c r="BS6">
        <v>-1</v>
      </c>
      <c r="BT6">
        <v>-1.662229092940485E-2</v>
      </c>
      <c r="BU6">
        <v>-1</v>
      </c>
      <c r="BV6">
        <v>-1</v>
      </c>
      <c r="BW6" t="s">
        <v>616</v>
      </c>
      <c r="BX6">
        <v>-1</v>
      </c>
      <c r="BY6">
        <v>-1</v>
      </c>
      <c r="CB6">
        <v>7.8473854064941406</v>
      </c>
      <c r="CC6">
        <v>0</v>
      </c>
      <c r="CD6" s="516">
        <v>43101</v>
      </c>
      <c r="CE6" s="516">
        <v>43102</v>
      </c>
      <c r="CF6">
        <v>30</v>
      </c>
      <c r="CG6">
        <v>0</v>
      </c>
      <c r="CH6">
        <v>0</v>
      </c>
      <c r="CI6">
        <v>0</v>
      </c>
      <c r="CJ6">
        <v>0</v>
      </c>
      <c r="CK6">
        <v>43</v>
      </c>
      <c r="CL6">
        <v>17.1601775</v>
      </c>
      <c r="CM6">
        <v>0</v>
      </c>
      <c r="CN6">
        <v>60.160177237499994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62.085427859999996</v>
      </c>
      <c r="CW6">
        <v>32.085427859999996</v>
      </c>
      <c r="CX6" s="464">
        <v>7</v>
      </c>
      <c r="CY6" s="464">
        <v>7</v>
      </c>
      <c r="CZ6" s="464">
        <v>7</v>
      </c>
      <c r="DA6" s="464">
        <v>7</v>
      </c>
      <c r="DB6" s="464">
        <v>7</v>
      </c>
      <c r="DC6" s="464">
        <v>7</v>
      </c>
      <c r="DD6" s="464">
        <v>7</v>
      </c>
      <c r="DE6" s="464">
        <v>7</v>
      </c>
    </row>
    <row r="7" spans="1:109" ht="12.75" customHeight="1">
      <c r="A7" t="s">
        <v>625</v>
      </c>
      <c r="C7" t="s">
        <v>621</v>
      </c>
      <c r="D7">
        <v>5</v>
      </c>
      <c r="E7" t="s">
        <v>659</v>
      </c>
      <c r="F7">
        <v>65535</v>
      </c>
      <c r="R7">
        <v>108.81346500000001</v>
      </c>
      <c r="S7">
        <v>0</v>
      </c>
      <c r="T7">
        <v>435.25384521484375</v>
      </c>
      <c r="W7" s="514">
        <v>44698.404502314814</v>
      </c>
      <c r="AE7" s="516">
        <v>43101</v>
      </c>
      <c r="AG7" t="s">
        <v>655</v>
      </c>
      <c r="AV7">
        <v>-9.1900394309568419E-3</v>
      </c>
      <c r="AW7">
        <v>0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0</v>
      </c>
      <c r="BJ7">
        <v>-1</v>
      </c>
      <c r="BK7">
        <v>0</v>
      </c>
      <c r="BL7">
        <v>-1</v>
      </c>
      <c r="BM7">
        <v>-1</v>
      </c>
      <c r="BN7">
        <v>-1</v>
      </c>
      <c r="BR7">
        <v>-1</v>
      </c>
      <c r="BS7">
        <v>-1</v>
      </c>
      <c r="BT7">
        <v>-9.1900394309568419E-3</v>
      </c>
      <c r="BU7">
        <v>-1</v>
      </c>
      <c r="BV7">
        <v>-1</v>
      </c>
      <c r="BW7" t="s">
        <v>616</v>
      </c>
      <c r="BX7">
        <v>-1</v>
      </c>
      <c r="BY7">
        <v>-1</v>
      </c>
      <c r="CB7">
        <v>10.712850570678711</v>
      </c>
      <c r="CC7">
        <v>0</v>
      </c>
      <c r="CD7" s="514">
        <v>43101.458333333336</v>
      </c>
      <c r="CE7" s="516">
        <v>43102</v>
      </c>
      <c r="CF7">
        <v>25.948424000000003</v>
      </c>
      <c r="CG7">
        <v>0</v>
      </c>
      <c r="CH7">
        <v>0</v>
      </c>
      <c r="CI7">
        <v>0</v>
      </c>
      <c r="CJ7">
        <v>0</v>
      </c>
      <c r="CK7">
        <v>15</v>
      </c>
      <c r="CL7">
        <v>93.813464999999994</v>
      </c>
      <c r="CM7">
        <v>0</v>
      </c>
      <c r="CN7">
        <v>108.8134652175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88.033848116000001</v>
      </c>
      <c r="CW7">
        <v>62.085427859999996</v>
      </c>
      <c r="CX7" s="464">
        <v>7</v>
      </c>
      <c r="CY7" s="464">
        <v>7</v>
      </c>
      <c r="CZ7" s="464">
        <v>7</v>
      </c>
      <c r="DA7" s="464">
        <v>7</v>
      </c>
      <c r="DB7" s="464">
        <v>7</v>
      </c>
      <c r="DC7" s="464">
        <v>7</v>
      </c>
      <c r="DD7" s="464">
        <v>7</v>
      </c>
      <c r="DE7" s="464">
        <v>7</v>
      </c>
    </row>
    <row r="8" spans="1:109" ht="12.75" customHeight="1">
      <c r="A8" t="s">
        <v>626</v>
      </c>
      <c r="C8" t="s">
        <v>627</v>
      </c>
      <c r="D8">
        <v>6</v>
      </c>
      <c r="E8" t="s">
        <v>660</v>
      </c>
      <c r="F8">
        <v>65535</v>
      </c>
      <c r="R8">
        <v>8</v>
      </c>
      <c r="S8">
        <v>0</v>
      </c>
      <c r="T8">
        <v>24</v>
      </c>
      <c r="W8" s="514">
        <v>44698.404513888891</v>
      </c>
      <c r="AE8" s="516">
        <v>43101</v>
      </c>
      <c r="AG8" t="s">
        <v>655</v>
      </c>
      <c r="AV8">
        <v>-0.125</v>
      </c>
      <c r="AW8">
        <v>0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0</v>
      </c>
      <c r="BJ8">
        <v>-1</v>
      </c>
      <c r="BK8">
        <v>0</v>
      </c>
      <c r="BL8">
        <v>-1</v>
      </c>
      <c r="BM8">
        <v>-1</v>
      </c>
      <c r="BN8">
        <v>-1</v>
      </c>
      <c r="BR8">
        <v>-1</v>
      </c>
      <c r="BS8">
        <v>-1</v>
      </c>
      <c r="BT8">
        <v>-0.125</v>
      </c>
      <c r="BU8">
        <v>-1</v>
      </c>
      <c r="BV8">
        <v>-1</v>
      </c>
      <c r="BW8" t="s">
        <v>616</v>
      </c>
      <c r="BX8">
        <v>-1</v>
      </c>
      <c r="BY8">
        <v>-1</v>
      </c>
      <c r="CB8">
        <v>11.169711112976074</v>
      </c>
      <c r="CC8">
        <v>0</v>
      </c>
      <c r="CD8" s="516">
        <v>43101</v>
      </c>
      <c r="CE8" s="516">
        <v>43102</v>
      </c>
      <c r="CF8">
        <v>36</v>
      </c>
      <c r="CG8">
        <v>0</v>
      </c>
      <c r="CH8">
        <v>0</v>
      </c>
      <c r="CI8">
        <v>0</v>
      </c>
      <c r="CJ8">
        <v>0</v>
      </c>
      <c r="CK8">
        <v>0</v>
      </c>
      <c r="CL8">
        <v>8</v>
      </c>
      <c r="CM8">
        <v>0</v>
      </c>
      <c r="CN8">
        <v>0</v>
      </c>
      <c r="CO8">
        <v>0</v>
      </c>
      <c r="CP8">
        <v>8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 s="464">
        <v>7</v>
      </c>
      <c r="CY8" s="464">
        <v>7</v>
      </c>
      <c r="CZ8" s="464">
        <v>7</v>
      </c>
      <c r="DA8" s="464">
        <v>7</v>
      </c>
      <c r="DB8" s="464">
        <v>7</v>
      </c>
      <c r="DC8" s="464">
        <v>7</v>
      </c>
      <c r="DD8" s="464">
        <v>7</v>
      </c>
      <c r="DE8" s="464">
        <v>7</v>
      </c>
    </row>
    <row r="9" spans="1:109" ht="12.75" customHeight="1">
      <c r="A9" t="s">
        <v>628</v>
      </c>
      <c r="C9" t="s">
        <v>627</v>
      </c>
      <c r="D9">
        <v>7</v>
      </c>
      <c r="E9" t="s">
        <v>661</v>
      </c>
      <c r="F9">
        <v>65535</v>
      </c>
      <c r="R9">
        <v>9.6226400000000005</v>
      </c>
      <c r="S9">
        <v>0</v>
      </c>
      <c r="T9">
        <v>28.867919921875</v>
      </c>
      <c r="W9" s="514">
        <v>44698.404513888891</v>
      </c>
      <c r="AE9" s="516">
        <v>43101</v>
      </c>
      <c r="AG9" t="s">
        <v>655</v>
      </c>
      <c r="AV9">
        <v>-0.10392158864324912</v>
      </c>
      <c r="AW9">
        <v>0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0</v>
      </c>
      <c r="BJ9">
        <v>-1</v>
      </c>
      <c r="BK9">
        <v>0</v>
      </c>
      <c r="BL9">
        <v>-1</v>
      </c>
      <c r="BM9">
        <v>-1</v>
      </c>
      <c r="BN9">
        <v>-1</v>
      </c>
      <c r="BR9">
        <v>-1</v>
      </c>
      <c r="BS9">
        <v>-1</v>
      </c>
      <c r="BT9">
        <v>-0.10392158864324912</v>
      </c>
      <c r="BU9">
        <v>-1</v>
      </c>
      <c r="BV9">
        <v>-1</v>
      </c>
      <c r="BW9" t="s">
        <v>616</v>
      </c>
      <c r="BX9">
        <v>-1</v>
      </c>
      <c r="BY9">
        <v>-1</v>
      </c>
      <c r="CB9">
        <v>7.6210551261901855</v>
      </c>
      <c r="CC9">
        <v>0</v>
      </c>
      <c r="CD9" s="516">
        <v>43101</v>
      </c>
      <c r="CE9" s="516">
        <v>43102</v>
      </c>
      <c r="CF9">
        <v>26.433959999999999</v>
      </c>
      <c r="CG9">
        <v>0</v>
      </c>
      <c r="CH9">
        <v>0</v>
      </c>
      <c r="CI9">
        <v>0</v>
      </c>
      <c r="CJ9">
        <v>0</v>
      </c>
      <c r="CK9">
        <v>0</v>
      </c>
      <c r="CL9">
        <v>9.6226400000000005</v>
      </c>
      <c r="CM9">
        <v>0</v>
      </c>
      <c r="CN9">
        <v>0</v>
      </c>
      <c r="CO9">
        <v>0</v>
      </c>
      <c r="CP9">
        <v>9.6226391639999989</v>
      </c>
      <c r="CQ9">
        <v>0</v>
      </c>
      <c r="CR9">
        <v>0</v>
      </c>
      <c r="CS9">
        <v>0</v>
      </c>
      <c r="CT9">
        <v>0</v>
      </c>
      <c r="CU9">
        <v>0</v>
      </c>
      <c r="CV9">
        <v>14.433958745999998</v>
      </c>
      <c r="CW9">
        <v>0</v>
      </c>
      <c r="CX9" s="464">
        <v>7</v>
      </c>
      <c r="CY9" s="464">
        <v>7</v>
      </c>
      <c r="CZ9" s="464">
        <v>7</v>
      </c>
      <c r="DA9" s="464">
        <v>7</v>
      </c>
      <c r="DB9" s="464">
        <v>7</v>
      </c>
      <c r="DC9" s="464">
        <v>7</v>
      </c>
      <c r="DD9" s="464">
        <v>7</v>
      </c>
      <c r="DE9" s="464">
        <v>7</v>
      </c>
    </row>
    <row r="10" spans="1:109" ht="12.75" customHeight="1">
      <c r="A10" t="s">
        <v>629</v>
      </c>
      <c r="C10" t="s">
        <v>627</v>
      </c>
      <c r="D10">
        <v>8</v>
      </c>
      <c r="E10" t="s">
        <v>662</v>
      </c>
      <c r="F10">
        <v>65535</v>
      </c>
      <c r="R10">
        <v>11.725919999999999</v>
      </c>
      <c r="S10">
        <v>0</v>
      </c>
      <c r="T10">
        <v>35.177764892578125</v>
      </c>
      <c r="W10" s="514">
        <v>44698.404513888891</v>
      </c>
      <c r="AE10" s="516">
        <v>43101</v>
      </c>
      <c r="AG10" t="s">
        <v>655</v>
      </c>
      <c r="AV10">
        <v>-8.5281156922384235E-2</v>
      </c>
      <c r="AW10">
        <v>0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0</v>
      </c>
      <c r="BJ10">
        <v>-1</v>
      </c>
      <c r="BK10">
        <v>0</v>
      </c>
      <c r="BL10">
        <v>-1</v>
      </c>
      <c r="BM10">
        <v>-1</v>
      </c>
      <c r="BN10">
        <v>-1</v>
      </c>
      <c r="BR10">
        <v>-1</v>
      </c>
      <c r="BS10">
        <v>-1</v>
      </c>
      <c r="BT10">
        <v>-8.5281156922384235E-2</v>
      </c>
      <c r="BU10">
        <v>-1</v>
      </c>
      <c r="BV10">
        <v>-1</v>
      </c>
      <c r="BW10" t="s">
        <v>616</v>
      </c>
      <c r="BX10">
        <v>-1</v>
      </c>
      <c r="BY10">
        <v>-1</v>
      </c>
      <c r="CB10">
        <v>7.1996402740478516</v>
      </c>
      <c r="CC10">
        <v>0</v>
      </c>
      <c r="CD10" s="516">
        <v>43101</v>
      </c>
      <c r="CE10" s="516">
        <v>43102</v>
      </c>
      <c r="CF10">
        <v>22.611720000000002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4.3773599999999995</v>
      </c>
      <c r="CM10">
        <v>0</v>
      </c>
      <c r="CN10">
        <v>7.3485599999999991</v>
      </c>
      <c r="CO10">
        <v>0</v>
      </c>
      <c r="CP10">
        <v>11.725920792000004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24.876300137622803</v>
      </c>
      <c r="CW10">
        <v>0</v>
      </c>
      <c r="CX10" s="464">
        <v>7</v>
      </c>
      <c r="CY10" s="464">
        <v>7</v>
      </c>
      <c r="CZ10" s="464">
        <v>7</v>
      </c>
      <c r="DA10" s="464">
        <v>7</v>
      </c>
      <c r="DB10" s="464">
        <v>7</v>
      </c>
      <c r="DC10" s="464">
        <v>7</v>
      </c>
      <c r="DD10" s="464">
        <v>7</v>
      </c>
      <c r="DE10" s="464">
        <v>7</v>
      </c>
    </row>
    <row r="11" spans="1:109" ht="12.75" customHeight="1">
      <c r="A11" t="s">
        <v>630</v>
      </c>
      <c r="C11" t="s">
        <v>627</v>
      </c>
      <c r="D11">
        <v>9</v>
      </c>
      <c r="E11" t="s">
        <v>663</v>
      </c>
      <c r="F11">
        <v>65535</v>
      </c>
      <c r="R11">
        <v>47.066540000000003</v>
      </c>
      <c r="S11">
        <v>0</v>
      </c>
      <c r="T11">
        <v>141.19961547851563</v>
      </c>
      <c r="W11" s="514">
        <v>44698.404513888891</v>
      </c>
      <c r="AE11" s="516">
        <v>43101</v>
      </c>
      <c r="AG11" t="s">
        <v>655</v>
      </c>
      <c r="AV11">
        <v>-2.1246516208873394E-2</v>
      </c>
      <c r="AW11">
        <v>0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0</v>
      </c>
      <c r="BJ11">
        <v>-1</v>
      </c>
      <c r="BK11">
        <v>0</v>
      </c>
      <c r="BL11">
        <v>-1</v>
      </c>
      <c r="BM11">
        <v>-1</v>
      </c>
      <c r="BN11">
        <v>-1</v>
      </c>
      <c r="BR11">
        <v>-1</v>
      </c>
      <c r="BS11">
        <v>-1</v>
      </c>
      <c r="BT11">
        <v>-2.1246516208873394E-2</v>
      </c>
      <c r="BU11">
        <v>-1</v>
      </c>
      <c r="BV11">
        <v>-1</v>
      </c>
      <c r="BW11" t="s">
        <v>616</v>
      </c>
      <c r="BX11">
        <v>-1</v>
      </c>
      <c r="BY11">
        <v>-1</v>
      </c>
      <c r="CB11">
        <v>11.775583267211914</v>
      </c>
      <c r="CC11">
        <v>0</v>
      </c>
      <c r="CD11" s="516">
        <v>43101</v>
      </c>
      <c r="CE11" s="516">
        <v>43102</v>
      </c>
      <c r="CF11">
        <v>40.611720000000005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23.991167232299993</v>
      </c>
      <c r="CM11">
        <v>0</v>
      </c>
      <c r="CN11">
        <v>23.075370425800003</v>
      </c>
      <c r="CO11">
        <v>0</v>
      </c>
      <c r="CP11">
        <v>47.066543178999993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61.220819996793828</v>
      </c>
      <c r="CW11">
        <v>19.416380514</v>
      </c>
      <c r="CX11" s="464">
        <v>7</v>
      </c>
      <c r="CY11" s="464">
        <v>7</v>
      </c>
      <c r="CZ11" s="464">
        <v>7</v>
      </c>
      <c r="DA11" s="464">
        <v>7</v>
      </c>
      <c r="DB11" s="464">
        <v>7</v>
      </c>
      <c r="DC11" s="464">
        <v>7</v>
      </c>
      <c r="DD11" s="464">
        <v>7</v>
      </c>
      <c r="DE11" s="464">
        <v>7</v>
      </c>
    </row>
    <row r="12" spans="1:109" ht="12.75" customHeight="1">
      <c r="A12" t="s">
        <v>631</v>
      </c>
      <c r="C12" t="s">
        <v>627</v>
      </c>
      <c r="D12">
        <v>10</v>
      </c>
      <c r="E12" t="s">
        <v>664</v>
      </c>
      <c r="F12">
        <v>65535</v>
      </c>
      <c r="R12">
        <v>52.231456000000001</v>
      </c>
      <c r="S12">
        <v>0</v>
      </c>
      <c r="T12">
        <v>156.69436645507813</v>
      </c>
      <c r="W12" s="514">
        <v>44698.404513888891</v>
      </c>
      <c r="AE12" s="516">
        <v>43101</v>
      </c>
      <c r="AG12" t="s">
        <v>655</v>
      </c>
      <c r="AV12">
        <v>-1.9145550633599673E-2</v>
      </c>
      <c r="AW12">
        <v>0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0</v>
      </c>
      <c r="BJ12">
        <v>-1</v>
      </c>
      <c r="BK12">
        <v>0</v>
      </c>
      <c r="BL12">
        <v>-1</v>
      </c>
      <c r="BM12">
        <v>-1</v>
      </c>
      <c r="BN12">
        <v>-1</v>
      </c>
      <c r="BR12">
        <v>-1</v>
      </c>
      <c r="BS12">
        <v>-1</v>
      </c>
      <c r="BT12">
        <v>-1.9145550633599673E-2</v>
      </c>
      <c r="BU12">
        <v>-1</v>
      </c>
      <c r="BV12">
        <v>-1</v>
      </c>
      <c r="BW12" t="s">
        <v>616</v>
      </c>
      <c r="BX12">
        <v>-1</v>
      </c>
      <c r="BY12">
        <v>-1</v>
      </c>
      <c r="CB12">
        <v>9.9173259735107422</v>
      </c>
      <c r="CC12">
        <v>0</v>
      </c>
      <c r="CD12" s="516">
        <v>43101</v>
      </c>
      <c r="CE12" s="516">
        <v>43102</v>
      </c>
      <c r="CF12">
        <v>18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40</v>
      </c>
      <c r="CM12">
        <v>0</v>
      </c>
      <c r="CN12">
        <v>12.231456000000001</v>
      </c>
      <c r="CO12">
        <v>0</v>
      </c>
      <c r="CP12">
        <v>52.231454488000004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60.115727243999999</v>
      </c>
      <c r="CW12">
        <v>18.115727244000002</v>
      </c>
      <c r="CX12" s="464">
        <v>7</v>
      </c>
      <c r="CY12" s="464">
        <v>7</v>
      </c>
      <c r="CZ12" s="464">
        <v>7</v>
      </c>
      <c r="DA12" s="464">
        <v>7</v>
      </c>
      <c r="DB12" s="464">
        <v>7</v>
      </c>
      <c r="DC12" s="464">
        <v>7</v>
      </c>
      <c r="DD12" s="464">
        <v>7</v>
      </c>
      <c r="DE12" s="464">
        <v>7</v>
      </c>
    </row>
    <row r="13" spans="1:109" ht="12.75" customHeight="1">
      <c r="A13" t="s">
        <v>665</v>
      </c>
      <c r="C13" t="s">
        <v>627</v>
      </c>
      <c r="D13">
        <v>11</v>
      </c>
      <c r="E13" t="s">
        <v>666</v>
      </c>
      <c r="F13">
        <v>65535</v>
      </c>
      <c r="R13">
        <v>57.027982077640004</v>
      </c>
      <c r="S13">
        <v>0</v>
      </c>
      <c r="T13">
        <v>171.08393859863281</v>
      </c>
      <c r="W13" s="514">
        <v>44698.404513888891</v>
      </c>
      <c r="AE13" s="516">
        <v>43101</v>
      </c>
      <c r="AG13" t="s">
        <v>655</v>
      </c>
      <c r="AV13">
        <v>-1.7535251746491516E-2</v>
      </c>
      <c r="AW13">
        <v>0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0</v>
      </c>
      <c r="BJ13">
        <v>-1</v>
      </c>
      <c r="BK13">
        <v>0</v>
      </c>
      <c r="BL13">
        <v>-1</v>
      </c>
      <c r="BM13">
        <v>-1</v>
      </c>
      <c r="BN13">
        <v>-1</v>
      </c>
      <c r="BR13">
        <v>-1</v>
      </c>
      <c r="BS13">
        <v>-1</v>
      </c>
      <c r="BT13">
        <v>-1.7535251746491516E-2</v>
      </c>
      <c r="BU13">
        <v>-1</v>
      </c>
      <c r="BV13">
        <v>-1</v>
      </c>
      <c r="BW13" t="s">
        <v>616</v>
      </c>
      <c r="BX13">
        <v>-1</v>
      </c>
      <c r="BY13">
        <v>-1</v>
      </c>
      <c r="CB13">
        <v>11.893588066101074</v>
      </c>
      <c r="CC13">
        <v>0</v>
      </c>
      <c r="CD13" s="516">
        <v>43101</v>
      </c>
      <c r="CE13" s="516">
        <v>43102</v>
      </c>
      <c r="CF13">
        <v>36.142151999999996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26.433959999999999</v>
      </c>
      <c r="CM13">
        <v>0</v>
      </c>
      <c r="CN13">
        <v>30.594022077640005</v>
      </c>
      <c r="CO13">
        <v>0</v>
      </c>
      <c r="CP13">
        <v>57.027977944857142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36.142149003</v>
      </c>
      <c r="CW13">
        <v>19.416380514</v>
      </c>
      <c r="CX13" s="464">
        <v>7</v>
      </c>
      <c r="CY13" s="464">
        <v>7</v>
      </c>
      <c r="CZ13" s="464">
        <v>7</v>
      </c>
      <c r="DA13" s="464">
        <v>7</v>
      </c>
      <c r="DB13" s="464">
        <v>7</v>
      </c>
      <c r="DC13" s="464">
        <v>7</v>
      </c>
      <c r="DD13" s="464">
        <v>7</v>
      </c>
      <c r="DE13" s="464">
        <v>7</v>
      </c>
    </row>
    <row r="14" spans="1:109" ht="12.75" customHeight="1">
      <c r="A14" t="s">
        <v>667</v>
      </c>
      <c r="C14" t="s">
        <v>627</v>
      </c>
      <c r="D14">
        <v>12</v>
      </c>
      <c r="E14" t="s">
        <v>668</v>
      </c>
      <c r="F14">
        <v>65535</v>
      </c>
      <c r="R14">
        <v>70.490560000000002</v>
      </c>
      <c r="S14">
        <v>0</v>
      </c>
      <c r="T14">
        <v>211.41496276855469</v>
      </c>
      <c r="W14" s="514">
        <v>44698.40452546296</v>
      </c>
      <c r="AE14" s="516">
        <v>43101</v>
      </c>
      <c r="AG14" t="s">
        <v>655</v>
      </c>
      <c r="AV14">
        <v>-1.4186296227468221E-2</v>
      </c>
      <c r="AW14">
        <v>0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0</v>
      </c>
      <c r="BJ14">
        <v>-1</v>
      </c>
      <c r="BK14">
        <v>0</v>
      </c>
      <c r="BL14">
        <v>-1</v>
      </c>
      <c r="BM14">
        <v>-1</v>
      </c>
      <c r="BN14">
        <v>-1</v>
      </c>
      <c r="BR14">
        <v>-1</v>
      </c>
      <c r="BS14">
        <v>-1</v>
      </c>
      <c r="BT14">
        <v>-1.4186296227468221E-2</v>
      </c>
      <c r="BU14">
        <v>-1</v>
      </c>
      <c r="BV14">
        <v>-1</v>
      </c>
      <c r="BW14" t="s">
        <v>616</v>
      </c>
      <c r="BX14">
        <v>-1</v>
      </c>
      <c r="BY14">
        <v>-1</v>
      </c>
      <c r="CB14">
        <v>14.129668235778809</v>
      </c>
      <c r="CC14">
        <v>0</v>
      </c>
      <c r="CD14" s="516">
        <v>43101</v>
      </c>
      <c r="CE14" s="516">
        <v>43102</v>
      </c>
      <c r="CF14">
        <v>76.867919999999998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70.490560000000002</v>
      </c>
      <c r="CM14">
        <v>0</v>
      </c>
      <c r="CN14">
        <v>0</v>
      </c>
      <c r="CO14">
        <v>0</v>
      </c>
      <c r="CP14">
        <v>70.490556655999995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24</v>
      </c>
      <c r="CX14" s="464">
        <v>7</v>
      </c>
      <c r="CY14" s="464">
        <v>7</v>
      </c>
      <c r="CZ14" s="464">
        <v>7</v>
      </c>
      <c r="DA14" s="464">
        <v>7</v>
      </c>
      <c r="DB14" s="464">
        <v>7</v>
      </c>
      <c r="DC14" s="464">
        <v>7</v>
      </c>
      <c r="DD14" s="464">
        <v>7</v>
      </c>
      <c r="DE14" s="464">
        <v>7</v>
      </c>
    </row>
    <row r="15" spans="1:109" ht="12.75" customHeight="1">
      <c r="A15" t="s">
        <v>669</v>
      </c>
      <c r="C15" t="s">
        <v>627</v>
      </c>
      <c r="D15">
        <v>13</v>
      </c>
      <c r="E15" t="s">
        <v>670</v>
      </c>
      <c r="F15">
        <v>65535</v>
      </c>
      <c r="R15">
        <v>78.652440999999996</v>
      </c>
      <c r="S15">
        <v>0</v>
      </c>
      <c r="T15">
        <v>235.95733642578125</v>
      </c>
      <c r="W15" s="514">
        <v>44698.40452546296</v>
      </c>
      <c r="AE15" s="516">
        <v>43101</v>
      </c>
      <c r="AG15" t="s">
        <v>655</v>
      </c>
      <c r="AV15">
        <v>-1.271416325698776E-2</v>
      </c>
      <c r="AW15">
        <v>0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0</v>
      </c>
      <c r="BJ15">
        <v>-1</v>
      </c>
      <c r="BK15">
        <v>0</v>
      </c>
      <c r="BL15">
        <v>-1</v>
      </c>
      <c r="BM15">
        <v>-1</v>
      </c>
      <c r="BN15">
        <v>-1</v>
      </c>
      <c r="BR15">
        <v>-1</v>
      </c>
      <c r="BS15">
        <v>-1</v>
      </c>
      <c r="BT15">
        <v>-1.271416325698776E-2</v>
      </c>
      <c r="BU15">
        <v>-1</v>
      </c>
      <c r="BV15">
        <v>-1</v>
      </c>
      <c r="BW15" t="s">
        <v>616</v>
      </c>
      <c r="BX15">
        <v>-1</v>
      </c>
      <c r="BY15">
        <v>-1</v>
      </c>
      <c r="CB15">
        <v>11.484760284423828</v>
      </c>
      <c r="CC15">
        <v>0</v>
      </c>
      <c r="CD15" s="516">
        <v>43101</v>
      </c>
      <c r="CE15" s="516">
        <v>43102</v>
      </c>
      <c r="CF15">
        <v>9.7081920000000004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44</v>
      </c>
      <c r="CM15">
        <v>0</v>
      </c>
      <c r="CN15">
        <v>34.652440999999996</v>
      </c>
      <c r="CO15">
        <v>0</v>
      </c>
      <c r="CP15">
        <v>78.652443933000001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57.592463013</v>
      </c>
      <c r="CW15">
        <v>42.115727243999999</v>
      </c>
      <c r="CX15" s="464">
        <v>7</v>
      </c>
      <c r="CY15" s="464">
        <v>7</v>
      </c>
      <c r="CZ15" s="464">
        <v>7</v>
      </c>
      <c r="DA15" s="464">
        <v>7</v>
      </c>
      <c r="DB15" s="464">
        <v>7</v>
      </c>
      <c r="DC15" s="464">
        <v>7</v>
      </c>
      <c r="DD15" s="464">
        <v>7</v>
      </c>
      <c r="DE15" s="464">
        <v>7</v>
      </c>
    </row>
    <row r="16" spans="1:109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A15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30"/>
  <sheetViews>
    <sheetView view="pageBreakPreview" topLeftCell="A12" zoomScale="70" zoomScaleNormal="40" zoomScaleSheetLayoutView="70" workbookViewId="0">
      <selection activeCell="L38" sqref="L38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4">
        <f ca="1">TODAY()</f>
        <v>44699</v>
      </c>
      <c r="D2" s="525"/>
      <c r="E2" s="52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4">
        <v>41589</v>
      </c>
      <c r="AO2" s="535"/>
      <c r="AP2" s="535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671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Tmax=11.48°C @43101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@9.708192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13f3f7af-b465-4eef-ab6e-42f1e89b7576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13</v>
      </c>
      <c r="E7" s="214">
        <f ca="1">AC16</f>
        <v>0</v>
      </c>
      <c r="F7" s="466" t="str">
        <f ca="1">$AC$15</f>
        <v>Cell 1.8</v>
      </c>
      <c r="G7" s="215"/>
      <c r="H7" s="215"/>
      <c r="I7" s="215"/>
      <c r="J7" s="496" t="str">
        <f ca="1">AC47</f>
        <v>Level 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No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78.652440999999996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43101 0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13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235.95733642578125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013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-1°C/ -1°C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  = - °C 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T-STAT=0°C</v>
      </c>
      <c r="R10" s="244"/>
      <c r="S10" s="245"/>
      <c r="T10" s="246"/>
      <c r="U10" s="508" t="str">
        <f ca="1">IF($V$7="No","   - °C ","  "&amp;ROUND($AC$99,1)&amp;"°C")</f>
        <v xml:space="preserve">  -1°C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=0°C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=0% / 0kg/kg</v>
      </c>
      <c r="E11" s="248"/>
      <c r="F11" s="248"/>
      <c r="G11" s="248"/>
      <c r="H11" s="248"/>
      <c r="I11" s="248"/>
      <c r="J11" s="249"/>
      <c r="K11" s="528" t="s">
        <v>68</v>
      </c>
      <c r="L11" s="529"/>
      <c r="M11" s="526" t="str">
        <f>IF($AB$1="English","Sensible","Sensibel")</f>
        <v>Sensible</v>
      </c>
      <c r="N11" s="527"/>
      <c r="O11" s="526" t="s">
        <v>70</v>
      </c>
      <c r="P11" s="527"/>
      <c r="Q11" s="528" t="s">
        <v>68</v>
      </c>
      <c r="R11" s="529"/>
      <c r="S11" s="526" t="str">
        <f>IF($AB$1="English","Sensible","Sensibel")</f>
        <v>Sensible</v>
      </c>
      <c r="T11" s="527"/>
      <c r="U11" s="526" t="s">
        <v>70</v>
      </c>
      <c r="V11" s="527"/>
      <c r="W11" s="250"/>
      <c r="X11" s="218"/>
      <c r="Y11" s="213"/>
      <c r="Z11" s="204"/>
      <c r="AA11" s="8"/>
      <c r="AB11" s="27" t="s">
        <v>82</v>
      </c>
      <c r="AC11" s="126">
        <f>AB12</f>
        <v>13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2" t="s">
        <v>69</v>
      </c>
      <c r="AY11" s="533"/>
      <c r="AZ11" s="532" t="s">
        <v>70</v>
      </c>
      <c r="BA11" s="533"/>
      <c r="BB11" s="86"/>
      <c r="BC11" s="83"/>
      <c r="BD11" s="532" t="s">
        <v>69</v>
      </c>
      <c r="BE11" s="533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0</v>
      </c>
      <c r="G12" s="199"/>
      <c r="H12" s="199"/>
      <c r="I12" s="199"/>
      <c r="J12" s="252"/>
      <c r="K12" s="530"/>
      <c r="L12" s="531"/>
      <c r="M12" s="254" t="s">
        <v>487</v>
      </c>
      <c r="N12" s="253" t="s">
        <v>84</v>
      </c>
      <c r="O12" s="254" t="s">
        <v>487</v>
      </c>
      <c r="P12" s="253" t="s">
        <v>84</v>
      </c>
      <c r="Q12" s="530"/>
      <c r="R12" s="531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13</v>
      </c>
      <c r="AC12" s="24" t="str">
        <f>"  Index End Max  ="&amp;AB12&amp;"  Zones"</f>
        <v xml:space="preserve">  Index End Max  =13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-1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-1</v>
      </c>
      <c r="O14" s="263"/>
      <c r="P14" s="261"/>
      <c r="Q14" s="264"/>
      <c r="R14" s="261"/>
      <c r="S14" s="263"/>
      <c r="T14" s="261">
        <f ca="1">$AC$96</f>
        <v>-1</v>
      </c>
      <c r="U14" s="262"/>
      <c r="V14" s="261"/>
      <c r="W14" s="213"/>
      <c r="X14" s="213"/>
      <c r="Y14" s="213"/>
      <c r="Z14" s="204"/>
      <c r="AA14" s="8"/>
      <c r="AB14" s="27"/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-1</v>
      </c>
      <c r="O15" s="263"/>
      <c r="P15" s="261"/>
      <c r="Q15" s="264"/>
      <c r="R15" s="261"/>
      <c r="S15" s="263"/>
      <c r="T15" s="261">
        <f ca="1">$AC$95</f>
        <v>-1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1.8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-1</v>
      </c>
      <c r="O16" s="263"/>
      <c r="P16" s="261"/>
      <c r="Q16" s="264"/>
      <c r="R16" s="261"/>
      <c r="S16" s="509" t="str">
        <f ca="1">"*"&amp;ROUND((T26-T15-T17-T14-T18),0)</f>
        <v>*4</v>
      </c>
      <c r="T16" s="510">
        <f ca="1">$AC$94</f>
        <v>-1.271416325698776E-2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(IF(AE14=TRUE,AC111+AC117,ROUND(Construction!T7,1)))</f>
        <v>44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-1</v>
      </c>
      <c r="O17" s="263"/>
      <c r="P17" s="261"/>
      <c r="Q17" s="264"/>
      <c r="R17" s="261"/>
      <c r="S17" s="263"/>
      <c r="T17" s="510">
        <f ca="1">$AC$93</f>
        <v>-1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>
        <f ca="1">OFFSET(Data!$A$2,$AC$8,AB17,1,1)</f>
        <v>0</v>
      </c>
      <c r="AD17" s="490" t="s">
        <v>534</v>
      </c>
      <c r="AE17" s="445" t="s">
        <v>161</v>
      </c>
      <c r="AF17" s="162">
        <f ca="1">(IF(AE14=TRUE,AC122,ROUND(Construction!T8,1)))</f>
        <v>42.115727243999999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</v>
      </c>
      <c r="M18" s="263"/>
      <c r="N18" s="261">
        <f ca="1">$AC$62</f>
        <v>-1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-1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535</v>
      </c>
      <c r="AE18" s="445" t="s">
        <v>162</v>
      </c>
      <c r="AF18" s="162">
        <f ca="1">(IF(AE14=TRUE,AC106+AC117,ROUND(Construction!T9,1)))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(IF(AE14=TRUE,AC106+AC117,ROUND(Construction!T10,1)))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0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65535</v>
      </c>
      <c r="M20" s="467">
        <f ca="1">IF(AC8=0,N20,N20/$F$8)</f>
        <v>-1.2714163569316305E-2</v>
      </c>
      <c r="N20" s="261">
        <f ca="1">$AC$67</f>
        <v>-1</v>
      </c>
      <c r="O20" s="467">
        <f ca="1">P20/$F$8</f>
        <v>-1.2714163569316305E-2</v>
      </c>
      <c r="P20" s="261">
        <f ca="1">$AC$70</f>
        <v>-1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(IF(AE14=TRUE,AC119,ROUND(Construction!T11,1)))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-1.2714163569316305E-2</v>
      </c>
      <c r="N21" s="261">
        <f ca="1">$AC$61</f>
        <v>-1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(IF(AE14=TRUE,AC118+AC115,ROUND(Construction!T12,1)))</f>
        <v>78.652443933000001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-1.2714163569316305E-2</v>
      </c>
      <c r="N22" s="261">
        <f ca="1">$AC$68</f>
        <v>-1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78.652440999999996</v>
      </c>
      <c r="AD22" s="490" t="s">
        <v>548</v>
      </c>
      <c r="AE22" s="445" t="s">
        <v>184</v>
      </c>
      <c r="AF22" s="162">
        <f ca="1">(IF(AE14=TRUE,AC110,ROUND(Construction!T13,1)))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-1.2714163569316305E-2</v>
      </c>
      <c r="N23" s="261">
        <f ca="1">$AC$69</f>
        <v>-1</v>
      </c>
      <c r="O23" s="467">
        <f ca="1">P23/$F$8</f>
        <v>-1.2714163569316305E-2</v>
      </c>
      <c r="P23" s="261">
        <f ca="1">$AC$69</f>
        <v>-1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235.95733642578125</v>
      </c>
      <c r="AD23" s="490" t="s">
        <v>550</v>
      </c>
      <c r="AE23" s="445" t="s">
        <v>167</v>
      </c>
      <c r="AF23" s="162">
        <f ca="1">(IF(AE14=TRUE,AC121+AC120,ROUND(Construction!T14,1)))</f>
        <v>57.592463013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1.8</v>
      </c>
      <c r="AD24" s="129" t="s">
        <v>131</v>
      </c>
      <c r="AE24" s="445" t="s">
        <v>168</v>
      </c>
      <c r="AF24" s="162">
        <f ca="1">ROUND(Construction!T15,1)</f>
        <v>0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65535</v>
      </c>
      <c r="AD25" s="490" t="s">
        <v>531</v>
      </c>
      <c r="AE25" s="445" t="s">
        <v>169</v>
      </c>
      <c r="AF25" s="162">
        <f ca="1">(IF(AE14=TRUE,AC107+AC123,ROUND(Construction!T16,1)))</f>
        <v>7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SUM(N13:N24)-N23</f>
        <v>-9</v>
      </c>
      <c r="O26" s="467"/>
      <c r="P26" s="261">
        <f ca="1">P20+P23+P24</f>
        <v>-2</v>
      </c>
      <c r="Q26" s="264"/>
      <c r="R26" s="261"/>
      <c r="S26" s="468"/>
      <c r="T26" s="261">
        <f ca="1">-AC39</f>
        <v>0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</v>
      </c>
      <c r="AD26" s="490" t="s">
        <v>555</v>
      </c>
      <c r="AE26" s="445" t="s">
        <v>170</v>
      </c>
      <c r="AF26" s="162" t="e">
        <f ca="1">(IF(AE14=TRUE,AC127,ROUND(Construction!T17,1)))</f>
        <v>#N/A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-0.11442747212384674</v>
      </c>
      <c r="N27" s="471">
        <f ca="1">IF(N26=0,0,N26*(1+N25))</f>
        <v>-9</v>
      </c>
      <c r="O27" s="467">
        <f ca="1">IF(P26=0,0,P27/$F$8)</f>
        <v>-2.5428327138632609E-2</v>
      </c>
      <c r="P27" s="261">
        <f ca="1">IF(P26=0,0,P26*(P25/100+1))</f>
        <v>-2</v>
      </c>
      <c r="Q27" s="264"/>
      <c r="R27" s="261"/>
      <c r="S27" s="467">
        <f ca="1">IF(T26=0,0,T27/$F$8)</f>
        <v>0</v>
      </c>
      <c r="T27" s="515">
        <f ca="1">IF(T26=0,0,T26*(1+T25))</f>
        <v>0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0</v>
      </c>
      <c r="AD27" s="491" t="s">
        <v>545</v>
      </c>
      <c r="AE27" s="445" t="s">
        <v>186</v>
      </c>
      <c r="AF27" s="162">
        <f ca="1">(IF(AE14=TRUE,AC105,ROUND(Construction!T18,1)))</f>
        <v>9.7081920000000004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0</v>
      </c>
      <c r="AD28" s="491" t="s">
        <v>544</v>
      </c>
      <c r="AE28" s="445" t="s">
        <v>494</v>
      </c>
      <c r="AF28" s="162">
        <f ca="1">(IF(AE14=TRUE,AC125,ROUND(Construction!T19,1)))</f>
        <v>7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1.8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23" t="s">
        <v>589</v>
      </c>
      <c r="M30" s="523"/>
      <c r="N30" s="504">
        <f ca="1">IFERROR(AC87,"")</f>
        <v>0</v>
      </c>
      <c r="O30" s="523" t="s">
        <v>590</v>
      </c>
      <c r="P30" s="52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0</v>
      </c>
      <c r="AD30" s="491" t="s">
        <v>543</v>
      </c>
      <c r="AE30" s="445" t="s">
        <v>496</v>
      </c>
      <c r="AF30" s="162">
        <f ca="1">(IF(AE14=TRUE,AC126,ROUND(Construction!T21,1)))</f>
        <v>7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=42.115727244m²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=44m²</v>
      </c>
      <c r="L31" s="297"/>
      <c r="M31" s="470" t="str">
        <f ca="1">"iWindow ="&amp;$AF$19&amp;"m²"</f>
        <v>iWindow =0m²</v>
      </c>
      <c r="N31" s="445"/>
      <c r="O31" s="470" t="e">
        <f ca="1">"iFrame ="&amp;AF32&amp;"m²"</f>
        <v>#N/A</v>
      </c>
      <c r="P31" s="445"/>
      <c r="Q31" s="470" t="str">
        <f ca="1">"iDoor ="&amp;$AF$30&amp;"m²"</f>
        <v>iDoor =7m²</v>
      </c>
      <c r="R31" s="445"/>
      <c r="S31" s="470" t="e">
        <f ca="1">"iFrameDoor ="&amp;AF31&amp;"m²"</f>
        <v>#N/A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1.8</v>
      </c>
      <c r="AD31" s="129" t="s">
        <v>139</v>
      </c>
      <c r="AE31" s="445" t="s">
        <v>498</v>
      </c>
      <c r="AF31" s="162" t="e">
        <f ca="1">(IF(AE14=TRUE,AC130,ROUND(Construction!T22,1)))</f>
        <v>#N/A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=57.592463013m²</v>
      </c>
      <c r="H32" s="469"/>
      <c r="I32" s="470" t="str">
        <f ca="1">"Roof ="&amp;AF24&amp;"m²"</f>
        <v>Roof =0m²</v>
      </c>
      <c r="J32" s="297"/>
      <c r="K32" s="470" t="str">
        <f ca="1">"eWindow ="&amp;AF25&amp;"m²"</f>
        <v>eWindow =7m²</v>
      </c>
      <c r="L32" s="297"/>
      <c r="M32" s="297"/>
      <c r="N32" s="470" t="e">
        <f ca="1">"eFrame ="&amp;AF26&amp;"m²"</f>
        <v>#N/A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=78.652443933m²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0</v>
      </c>
      <c r="AD32" s="176" t="s">
        <v>478</v>
      </c>
      <c r="AE32" s="445" t="s">
        <v>164</v>
      </c>
      <c r="AF32" s="162" t="e">
        <f ca="1">(IF(AE14=TRUE,AC128,ROUND(Construction!T23,1)))</f>
        <v>#N/A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=7m²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=9.708192m²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13</v>
      </c>
      <c r="W33" s="218" t="str">
        <f>"/ "&amp;AC11</f>
        <v>/ 13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-1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1.8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>
        <f ca="1">OFFSET(Data!$A$2,$AC$8,AB38,1,1)</f>
        <v>0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0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0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1.8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0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13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13f3f7af-b465-4eef-ab6e-42f1e89b7576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-1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-1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-1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-1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-1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-1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-1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-1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-1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-1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-1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-1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-1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-1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0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44698.40452546296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0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0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0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43101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0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2" si="9">HLOOKUP(AD91,DataColumn,2,0)</f>
        <v>39</v>
      </c>
      <c r="AC91" s="451">
        <f ca="1">OFFSET(Data!$A$2,$AC$8,AB91,1,1)</f>
        <v>0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-1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-1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-1.271416325698776E-2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-1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-1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-1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-1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11.484760284423828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>
        <f ca="1">OFFSET(Data!$A$2,$AC$8,AB104,1,1)</f>
        <v>43101</v>
      </c>
      <c r="AD104" s="115" t="s">
        <v>606</v>
      </c>
    </row>
    <row r="105" spans="28:30" ht="12.75" customHeight="1">
      <c r="AB105" s="448">
        <f t="shared" si="9"/>
        <v>83</v>
      </c>
      <c r="AC105" s="451">
        <f ca="1">OFFSET(Data!$A$2,$AC$8,AB105,1,1)</f>
        <v>9.7081920000000004</v>
      </c>
      <c r="AD105" s="433" t="s">
        <v>635</v>
      </c>
    </row>
    <row r="106" spans="28:30" ht="12.75" customHeight="1">
      <c r="AB106" s="448">
        <f t="shared" si="9"/>
        <v>84</v>
      </c>
      <c r="AC106" s="451">
        <f ca="1">OFFSET(Data!$A$2,$AC$8,AB106,1,1)</f>
        <v>0</v>
      </c>
      <c r="AD106" s="433" t="s">
        <v>637</v>
      </c>
    </row>
    <row r="107" spans="28:30" ht="12.75" customHeight="1">
      <c r="AB107" s="448">
        <f t="shared" si="9"/>
        <v>85</v>
      </c>
      <c r="AC107" s="451">
        <f ca="1">OFFSET(Data!$A$2,$AC$8,AB107,1,1)</f>
        <v>0</v>
      </c>
      <c r="AD107" s="433" t="s">
        <v>636</v>
      </c>
    </row>
    <row r="108" spans="28:30" ht="12.75" customHeight="1">
      <c r="AB108" s="448">
        <f t="shared" si="9"/>
        <v>86</v>
      </c>
      <c r="AC108" s="451">
        <f ca="1">OFFSET(Data!$A$2,$AC$8,AB108,1,1)</f>
        <v>0</v>
      </c>
      <c r="AD108" s="433" t="s">
        <v>652</v>
      </c>
    </row>
    <row r="109" spans="28:30" ht="12.75" customHeight="1">
      <c r="AB109" s="448">
        <f t="shared" si="9"/>
        <v>87</v>
      </c>
      <c r="AC109" s="451">
        <f ca="1">OFFSET(Data!$A$2,$AC$8,AB109,1,1)</f>
        <v>0</v>
      </c>
      <c r="AD109" s="433" t="s">
        <v>651</v>
      </c>
    </row>
    <row r="110" spans="28:30" ht="12.75" customHeight="1">
      <c r="AB110" s="448">
        <f t="shared" si="9"/>
        <v>88</v>
      </c>
      <c r="AC110" s="451">
        <f ca="1">OFFSET(Data!$A$2,$AC$8,AB110,1,1)</f>
        <v>0</v>
      </c>
      <c r="AD110" s="433" t="s">
        <v>650</v>
      </c>
    </row>
    <row r="111" spans="28:30" ht="12.75" customHeight="1">
      <c r="AB111" s="448">
        <f t="shared" si="9"/>
        <v>89</v>
      </c>
      <c r="AC111" s="451">
        <f ca="1">OFFSET(Data!$A$2,$AC$8,AB111,1,1)</f>
        <v>44</v>
      </c>
      <c r="AD111" s="433" t="s">
        <v>649</v>
      </c>
    </row>
    <row r="112" spans="28:30" ht="12.75" customHeight="1">
      <c r="AB112" s="448">
        <f t="shared" si="9"/>
        <v>90</v>
      </c>
      <c r="AC112" s="451">
        <f ca="1">OFFSET(Data!$A$2,$AC$8,AB112,1,1)</f>
        <v>0</v>
      </c>
      <c r="AD112" s="433" t="s">
        <v>648</v>
      </c>
    </row>
    <row r="113" spans="28:30" ht="12.75" customHeight="1">
      <c r="AB113" s="448">
        <f t="shared" si="9"/>
        <v>91</v>
      </c>
      <c r="AC113" s="451">
        <f ca="1">OFFSET(Data!$A$2,$AC$8,AB113,1,1)</f>
        <v>34.652440999999996</v>
      </c>
      <c r="AD113" s="433" t="s">
        <v>647</v>
      </c>
    </row>
    <row r="114" spans="28:30" ht="12.75" customHeight="1">
      <c r="AB114" s="448">
        <f t="shared" si="9"/>
        <v>92</v>
      </c>
      <c r="AC114" s="451">
        <f ca="1">OFFSET(Data!$A$2,$AC$8,AB114,1,1)</f>
        <v>0</v>
      </c>
      <c r="AD114" s="433" t="s">
        <v>646</v>
      </c>
    </row>
    <row r="115" spans="28:30" ht="12.75" customHeight="1">
      <c r="AB115" s="448">
        <f t="shared" si="9"/>
        <v>93</v>
      </c>
      <c r="AC115" s="451">
        <f ca="1">OFFSET(Data!$A$2,$AC$8,AB115,1,1)</f>
        <v>78.652443933000001</v>
      </c>
      <c r="AD115" s="433" t="s">
        <v>645</v>
      </c>
    </row>
    <row r="116" spans="28:30" ht="12.75" customHeight="1">
      <c r="AB116" s="448">
        <f t="shared" si="9"/>
        <v>94</v>
      </c>
      <c r="AC116" s="451">
        <f ca="1">OFFSET(Data!$A$2,$AC$8,AB116,1,1)</f>
        <v>0</v>
      </c>
      <c r="AD116" s="433" t="s">
        <v>644</v>
      </c>
    </row>
    <row r="117" spans="28:30" ht="12.75" customHeight="1">
      <c r="AB117" s="448">
        <f t="shared" si="9"/>
        <v>95</v>
      </c>
      <c r="AC117" s="451">
        <f ca="1">OFFSET(Data!$A$2,$AC$8,AB117,1,1)</f>
        <v>0</v>
      </c>
      <c r="AD117" s="433" t="s">
        <v>643</v>
      </c>
    </row>
    <row r="118" spans="28:30" ht="12.75" customHeight="1">
      <c r="AB118" s="448">
        <f t="shared" si="9"/>
        <v>96</v>
      </c>
      <c r="AC118" s="451">
        <f ca="1">OFFSET(Data!$A$2,$AC$8,AB118,1,1)</f>
        <v>0</v>
      </c>
      <c r="AD118" s="433" t="s">
        <v>642</v>
      </c>
    </row>
    <row r="119" spans="28:30" ht="12.75" customHeight="1">
      <c r="AB119" s="448">
        <f t="shared" si="9"/>
        <v>97</v>
      </c>
      <c r="AC119" s="451">
        <f ca="1">OFFSET(Data!$A$2,$AC$8,AB119,1,1)</f>
        <v>0</v>
      </c>
      <c r="AD119" s="433" t="s">
        <v>641</v>
      </c>
    </row>
    <row r="120" spans="28:30" ht="12.75" customHeight="1">
      <c r="AB120" s="448">
        <f t="shared" si="9"/>
        <v>98</v>
      </c>
      <c r="AC120" s="451">
        <f ca="1">OFFSET(Data!$A$2,$AC$8,AB120,1,1)</f>
        <v>0</v>
      </c>
      <c r="AD120" s="433" t="s">
        <v>640</v>
      </c>
    </row>
    <row r="121" spans="28:30" ht="12.75" customHeight="1">
      <c r="AB121" s="448">
        <f t="shared" si="9"/>
        <v>99</v>
      </c>
      <c r="AC121" s="451">
        <f ca="1">OFFSET(Data!$A$2,$AC$8,AB121,1,1)</f>
        <v>57.592463013</v>
      </c>
      <c r="AD121" s="433" t="s">
        <v>639</v>
      </c>
    </row>
    <row r="122" spans="28:30" ht="12.75" customHeight="1">
      <c r="AB122" s="448">
        <f t="shared" si="9"/>
        <v>100</v>
      </c>
      <c r="AC122" s="451">
        <f ca="1">OFFSET(Data!$A$2,$AC$8,AB122,1,1)</f>
        <v>42.115727243999999</v>
      </c>
      <c r="AD122" s="433" t="s">
        <v>638</v>
      </c>
    </row>
    <row r="123" spans="28:30" ht="12.75" customHeight="1">
      <c r="AB123" s="448">
        <f t="shared" ref="AB123:AB130" si="10">HLOOKUP(AD123,DataColumn,2,0)</f>
        <v>101</v>
      </c>
      <c r="AC123" s="451">
        <f ca="1">OFFSET(Data!$A$2,$AC$8,AB123,1,1)</f>
        <v>7</v>
      </c>
      <c r="AD123" s="433" t="s">
        <v>672</v>
      </c>
    </row>
    <row r="124" spans="28:30" ht="12.75" customHeight="1">
      <c r="AB124" s="448">
        <f t="shared" si="10"/>
        <v>102</v>
      </c>
      <c r="AC124" s="451">
        <f ca="1">OFFSET(Data!$A$2,$AC$8,AB124,1,1)</f>
        <v>7</v>
      </c>
      <c r="AD124" s="433" t="s">
        <v>673</v>
      </c>
    </row>
    <row r="125" spans="28:30" ht="12.75" customHeight="1">
      <c r="AB125" s="448">
        <f t="shared" si="10"/>
        <v>103</v>
      </c>
      <c r="AC125" s="451">
        <f ca="1">OFFSET(Data!$A$2,$AC$8,AB125,1,1)</f>
        <v>7</v>
      </c>
      <c r="AD125" s="433" t="s">
        <v>674</v>
      </c>
    </row>
    <row r="126" spans="28:30" ht="12.75" customHeight="1">
      <c r="AB126" s="448">
        <f t="shared" si="10"/>
        <v>104</v>
      </c>
      <c r="AC126" s="451">
        <f ca="1">OFFSET(Data!$A$2,$AC$8,AB126,1,1)</f>
        <v>7</v>
      </c>
      <c r="AD126" s="433" t="s">
        <v>675</v>
      </c>
    </row>
    <row r="127" spans="28:30" ht="12.75" customHeight="1">
      <c r="AB127" s="448" t="e">
        <f t="shared" si="10"/>
        <v>#N/A</v>
      </c>
      <c r="AC127" s="451" t="e">
        <f ca="1">OFFSET(Data!$A$2,$AC$8,AB127,1,1)</f>
        <v>#N/A</v>
      </c>
      <c r="AD127" s="433" t="s">
        <v>676</v>
      </c>
    </row>
    <row r="128" spans="28:30" ht="12.75" customHeight="1">
      <c r="AB128" s="448" t="e">
        <f t="shared" si="10"/>
        <v>#N/A</v>
      </c>
      <c r="AC128" s="451" t="e">
        <f ca="1">OFFSET(Data!$A$2,$AC$8,AB128,1,1)</f>
        <v>#N/A</v>
      </c>
      <c r="AD128" s="433" t="s">
        <v>677</v>
      </c>
    </row>
    <row r="129" spans="28:30" ht="12.75" customHeight="1">
      <c r="AB129" s="448" t="e">
        <f t="shared" si="10"/>
        <v>#N/A</v>
      </c>
      <c r="AC129" s="451" t="e">
        <f ca="1">OFFSET(Data!$A$2,$AC$8,AB129,1,1)</f>
        <v>#N/A</v>
      </c>
      <c r="AD129" s="433" t="s">
        <v>678</v>
      </c>
    </row>
    <row r="130" spans="28:30" ht="12.75" customHeight="1">
      <c r="AB130" s="448" t="e">
        <f t="shared" si="10"/>
        <v>#N/A</v>
      </c>
      <c r="AC130" s="451" t="e">
        <f ca="1">OFFSET(Data!$A$2,$AC$8,AB130,1,1)</f>
        <v>#N/A</v>
      </c>
      <c r="AD130" s="433" t="s">
        <v>679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I15" sqref="I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13</v>
      </c>
      <c r="K1" s="475" t="e">
        <f>VLOOKUP($N$30,$J$2:$L$588,2,0)</f>
        <v>#N/A</v>
      </c>
      <c r="L1" s="475" t="e">
        <f>VLOOKUP($N$30,$J$2:$L$588,3,0)</f>
        <v>#N/A</v>
      </c>
      <c r="N1" s="150"/>
      <c r="O1" s="150"/>
    </row>
    <row r="2" spans="1:22" ht="14.4">
      <c r="A2" s="129">
        <v>2</v>
      </c>
      <c r="B2" s="129">
        <v>1</v>
      </c>
      <c r="C2" s="129" t="s">
        <v>633</v>
      </c>
      <c r="D2" s="129" t="s">
        <v>632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632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178</v>
      </c>
      <c r="P4" s="154" t="s">
        <v>634</v>
      </c>
      <c r="Q4" s="154"/>
    </row>
    <row r="5" spans="1:22" ht="14.4">
      <c r="C5" s="152"/>
      <c r="I5" s="153"/>
      <c r="L5" s="464"/>
      <c r="O5" s="129" t="s">
        <v>179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C7" s="152"/>
      <c r="I7" s="153"/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C9" s="152"/>
      <c r="I9" s="153"/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0</v>
      </c>
    </row>
    <row r="12" spans="1:22" ht="14.4">
      <c r="C12" s="152"/>
      <c r="I12" s="153"/>
      <c r="L12" s="464"/>
      <c r="O12" s="155" t="s">
        <v>165</v>
      </c>
      <c r="P12" s="155"/>
      <c r="Q12" s="145">
        <f t="shared" ca="1" si="2"/>
        <v>0</v>
      </c>
      <c r="R12" s="156" t="s">
        <v>183</v>
      </c>
      <c r="S12" s="156"/>
      <c r="T12" s="157">
        <f ca="1">SUMIF($V$30:$V$582,R12, $Q$30:$Q$582)</f>
        <v>0</v>
      </c>
      <c r="U12" s="487" t="s">
        <v>514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167</v>
      </c>
      <c r="P14" s="155"/>
      <c r="Q14" s="145">
        <f t="shared" ca="1" si="2"/>
        <v>0</v>
      </c>
      <c r="R14" s="156" t="s">
        <v>185</v>
      </c>
      <c r="S14" s="156"/>
      <c r="T14" s="157">
        <f ca="1">SUMIF($Y$30:$Y$582,R14, $Q$30:$Q$582)</f>
        <v>0</v>
      </c>
      <c r="U14" s="487" t="s">
        <v>156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168</v>
      </c>
      <c r="P15" s="155"/>
      <c r="Q15" s="145">
        <f t="shared" ca="1" si="2"/>
        <v>0</v>
      </c>
      <c r="R15" s="156" t="s">
        <v>168</v>
      </c>
      <c r="S15" s="156"/>
      <c r="T15" s="157">
        <f ca="1">SUMIF($V$30:$V$582,R15, $Q$30:$Q$582)</f>
        <v>0</v>
      </c>
      <c r="U15" s="487" t="s">
        <v>515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0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e">
        <f ca="1">O30</f>
        <v>#N/A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 t="e">
        <f>L1</f>
        <v>#N/A</v>
      </c>
      <c r="N30" s="159">
        <f>Print!AC8</f>
        <v>13</v>
      </c>
      <c r="O30" s="160" t="e">
        <f ca="1">IF($M30="end",0,OFFSET($A$1,$M30-1,O$29,1,1))</f>
        <v>#N/A</v>
      </c>
      <c r="P30" s="160" t="e">
        <f t="shared" ref="P30:U45" ca="1" si="3">IF($M30="end",0,OFFSET($A$1,$M30-1,P$29,1,1))</f>
        <v>#N/A</v>
      </c>
      <c r="Q30" s="160" t="e">
        <f t="shared" ca="1" si="3"/>
        <v>#N/A</v>
      </c>
      <c r="R30" s="160" t="e">
        <f t="shared" ca="1" si="3"/>
        <v>#N/A</v>
      </c>
      <c r="S30" s="160" t="e">
        <f t="shared" ca="1" si="3"/>
        <v>#N/A</v>
      </c>
      <c r="T30" s="160" t="e">
        <f ca="1">IF($M30="end",0,OFFSET($A$1,$M30-1,T$29,1,1))</f>
        <v>#N/A</v>
      </c>
      <c r="U30" s="160" t="e">
        <f ca="1">IF($M30="end",0,OFFSET($A$1,$M30-1,U$29,1,1))</f>
        <v>#N/A</v>
      </c>
      <c r="V30" s="163" t="e">
        <f ca="1">IF(Q30=0,0,IF(S30=180,IF(R30=0,"Slab on Grade",IF(R30=1,"Exposed Floor",IF(R30=3,"Internal Floor",U30))),IF(S30&lt;45,IF(R30=3,"Internal Ceiling",IF(R30=1,"Roof",U30)))))</f>
        <v>#N/A</v>
      </c>
      <c r="W30" s="163" t="e">
        <f ca="1">IF(ISNUMBER(SEARCH($W$29,U30))=TRUE,IF(ISNUMBER(SEARCH($W$27,U30))=TRUE,IF(R30=1,"eFrame",IF(R30=3,"iFrame")),IF(R30=1,"eWindow",IF(R30=3,"iWindow"))),U30)</f>
        <v>#N/A</v>
      </c>
      <c r="X30" s="163" t="e">
        <f ca="1">IF(ISNUMBER(SEARCH($X$29,U30))=TRUE,IF(ISNUMBER(SEARCH($X$27,U30))=TRUE,IF(R30=1,"eFrameDoor",IF(R30=3,"iFrameDoor")),IF(R30=1,"eDoor",IF(R30=3,"iDoor"))),U30)</f>
        <v>#N/A</v>
      </c>
      <c r="Y30" s="163" t="e">
        <f ca="1">IF(ISNUMBER(SEARCH($W$29,U30))=TRUE,"Substract",IF(ISNUMBER(SEARCH($X$29,U30))=TRUE, "Sunstract",IF(S30=90,IF(R30=1,"External Wall",IF(R30=3,"Internal Wall",IF(R30=0,"Below Grade Wall",U30))),V30)))</f>
        <v>#N/A</v>
      </c>
    </row>
    <row r="31" spans="1:25" ht="14.4">
      <c r="I31" s="153"/>
      <c r="L31" s="464"/>
      <c r="M31" s="129" t="e">
        <f>IF(M30="end","end",IF(M30=$K$1,"end",M30+1))</f>
        <v>#N/A</v>
      </c>
      <c r="N31" s="161">
        <f>N30</f>
        <v>13</v>
      </c>
      <c r="O31" s="160" t="e">
        <f t="shared" ref="O31:O40" ca="1" si="4">IF($M31="end",0,OFFSET($A$1,$M31-1,O$29,1,1))</f>
        <v>#N/A</v>
      </c>
      <c r="P31" s="160" t="e">
        <f t="shared" ca="1" si="3"/>
        <v>#N/A</v>
      </c>
      <c r="Q31" s="160" t="e">
        <f t="shared" ca="1" si="3"/>
        <v>#N/A</v>
      </c>
      <c r="R31" s="160" t="e">
        <f t="shared" ca="1" si="3"/>
        <v>#N/A</v>
      </c>
      <c r="S31" s="160" t="e">
        <f t="shared" ca="1" si="3"/>
        <v>#N/A</v>
      </c>
      <c r="T31" s="160" t="e">
        <f t="shared" ca="1" si="3"/>
        <v>#N/A</v>
      </c>
      <c r="U31" s="160" t="e">
        <f t="shared" ca="1" si="3"/>
        <v>#N/A</v>
      </c>
      <c r="V31" s="163" t="e">
        <f t="shared" ref="V31:V94" ca="1" si="5">IF(Q31=0,0,IF(S31=180,IF(R31=0,"Slab on Grade",IF(R31=1,"Exposed Floor",IF(R31=3,"Internal Floor",U31))),IF(S31&lt;45,IF(R31=3,"Internal Ceiling",IF(R31=1,"Roof",U31)))))</f>
        <v>#N/A</v>
      </c>
      <c r="W31" s="163" t="e">
        <f t="shared" ref="W31:W94" ca="1" si="6">IF(ISNUMBER(SEARCH($W$29,U31))=TRUE,IF(ISNUMBER(SEARCH($W$27,U31))=TRUE,IF(R31=1,"eFrame",IF(R31=3,"iFrame")),IF(R31=1,"eWindow",IF(R31=3,"iWindow"))),U31)</f>
        <v>#N/A</v>
      </c>
      <c r="X31" s="163" t="e">
        <f t="shared" ref="X31:X94" ca="1" si="7">IF(ISNUMBER(SEARCH($X$29,U31))=TRUE,IF(ISNUMBER(SEARCH($X$27,U31))=TRUE,IF(R31=1,"eFrameDoor",IF(R31=3,"iFrameDoor")),IF(R31=1,"eDoor",IF(R31=3,"iDoor"))),U31)</f>
        <v>#N/A</v>
      </c>
      <c r="Y31" s="163" t="e">
        <f t="shared" ref="Y31:Y94" ca="1" si="8">IF(ISNUMBER(SEARCH($W$29,U31))=TRUE,"Substract",IF(ISNUMBER(SEARCH($X$29,U31))=TRUE, "Sunstract",IF(S31=90,IF(R31=1,"External Wall",IF(R31=3,"Internal Wall",IF(R31=0,"Below Grade Wall",U31))),V31)))</f>
        <v>#N/A</v>
      </c>
    </row>
    <row r="32" spans="1:25" ht="14.4">
      <c r="I32" s="153"/>
      <c r="L32" s="464"/>
      <c r="M32" s="129" t="e">
        <f t="shared" ref="M32:M95" si="9">IF(M31="end","end",IF(M31=$K$1,"end",M31+1))</f>
        <v>#N/A</v>
      </c>
      <c r="N32" s="161">
        <f t="shared" ref="N32:N40" si="10">N31</f>
        <v>13</v>
      </c>
      <c r="O32" s="160" t="e">
        <f t="shared" ca="1" si="4"/>
        <v>#N/A</v>
      </c>
      <c r="P32" s="160" t="e">
        <f t="shared" ca="1" si="3"/>
        <v>#N/A</v>
      </c>
      <c r="Q32" s="160" t="e">
        <f t="shared" ca="1" si="3"/>
        <v>#N/A</v>
      </c>
      <c r="R32" s="160" t="e">
        <f t="shared" ca="1" si="3"/>
        <v>#N/A</v>
      </c>
      <c r="S32" s="160" t="e">
        <f t="shared" ca="1" si="3"/>
        <v>#N/A</v>
      </c>
      <c r="T32" s="160" t="e">
        <f t="shared" ca="1" si="3"/>
        <v>#N/A</v>
      </c>
      <c r="U32" s="160" t="e">
        <f t="shared" ca="1" si="3"/>
        <v>#N/A</v>
      </c>
      <c r="V32" s="163" t="e">
        <f t="shared" ca="1" si="5"/>
        <v>#N/A</v>
      </c>
      <c r="W32" s="163" t="e">
        <f t="shared" ca="1" si="6"/>
        <v>#N/A</v>
      </c>
      <c r="X32" s="163" t="e">
        <f t="shared" ca="1" si="7"/>
        <v>#N/A</v>
      </c>
      <c r="Y32" s="163" t="e">
        <f t="shared" ca="1" si="8"/>
        <v>#N/A</v>
      </c>
    </row>
    <row r="33" spans="9:25" ht="14.4">
      <c r="I33" s="153"/>
      <c r="L33" s="464"/>
      <c r="M33" s="129" t="e">
        <f t="shared" si="9"/>
        <v>#N/A</v>
      </c>
      <c r="N33" s="161">
        <f t="shared" si="10"/>
        <v>13</v>
      </c>
      <c r="O33" s="160" t="e">
        <f t="shared" ca="1" si="4"/>
        <v>#N/A</v>
      </c>
      <c r="P33" s="160" t="e">
        <f t="shared" ca="1" si="3"/>
        <v>#N/A</v>
      </c>
      <c r="Q33" s="160" t="e">
        <f t="shared" ca="1" si="3"/>
        <v>#N/A</v>
      </c>
      <c r="R33" s="160" t="e">
        <f t="shared" ca="1" si="3"/>
        <v>#N/A</v>
      </c>
      <c r="S33" s="160" t="e">
        <f t="shared" ca="1" si="3"/>
        <v>#N/A</v>
      </c>
      <c r="T33" s="160" t="e">
        <f t="shared" ca="1" si="3"/>
        <v>#N/A</v>
      </c>
      <c r="U33" s="160" t="e">
        <f t="shared" ca="1" si="3"/>
        <v>#N/A</v>
      </c>
      <c r="V33" s="163" t="e">
        <f t="shared" ca="1" si="5"/>
        <v>#N/A</v>
      </c>
      <c r="W33" s="163" t="e">
        <f t="shared" ca="1" si="6"/>
        <v>#N/A</v>
      </c>
      <c r="X33" s="163" t="e">
        <f t="shared" ca="1" si="7"/>
        <v>#N/A</v>
      </c>
      <c r="Y33" s="163" t="e">
        <f t="shared" ca="1" si="8"/>
        <v>#N/A</v>
      </c>
    </row>
    <row r="34" spans="9:25" ht="14.4">
      <c r="I34" s="153"/>
      <c r="L34" s="464"/>
      <c r="M34" s="129" t="e">
        <f t="shared" si="9"/>
        <v>#N/A</v>
      </c>
      <c r="N34" s="161">
        <f t="shared" si="10"/>
        <v>13</v>
      </c>
      <c r="O34" s="160" t="e">
        <f t="shared" ca="1" si="4"/>
        <v>#N/A</v>
      </c>
      <c r="P34" s="160" t="e">
        <f t="shared" ca="1" si="3"/>
        <v>#N/A</v>
      </c>
      <c r="Q34" s="160" t="e">
        <f t="shared" ca="1" si="3"/>
        <v>#N/A</v>
      </c>
      <c r="R34" s="160" t="e">
        <f t="shared" ca="1" si="3"/>
        <v>#N/A</v>
      </c>
      <c r="S34" s="160" t="e">
        <f t="shared" ca="1" si="3"/>
        <v>#N/A</v>
      </c>
      <c r="T34" s="160" t="e">
        <f t="shared" ca="1" si="3"/>
        <v>#N/A</v>
      </c>
      <c r="U34" s="160" t="e">
        <f t="shared" ca="1" si="3"/>
        <v>#N/A</v>
      </c>
      <c r="V34" s="163" t="e">
        <f t="shared" ca="1" si="5"/>
        <v>#N/A</v>
      </c>
      <c r="W34" s="163" t="e">
        <f t="shared" ca="1" si="6"/>
        <v>#N/A</v>
      </c>
      <c r="X34" s="163" t="e">
        <f t="shared" ca="1" si="7"/>
        <v>#N/A</v>
      </c>
      <c r="Y34" s="163" t="e">
        <f t="shared" ca="1" si="8"/>
        <v>#N/A</v>
      </c>
    </row>
    <row r="35" spans="9:25" ht="14.4">
      <c r="I35" s="153"/>
      <c r="L35" s="464"/>
      <c r="M35" s="129" t="e">
        <f t="shared" si="9"/>
        <v>#N/A</v>
      </c>
      <c r="N35" s="161">
        <f t="shared" si="10"/>
        <v>13</v>
      </c>
      <c r="O35" s="160" t="e">
        <f t="shared" ca="1" si="4"/>
        <v>#N/A</v>
      </c>
      <c r="P35" s="160" t="e">
        <f t="shared" ca="1" si="3"/>
        <v>#N/A</v>
      </c>
      <c r="Q35" s="160" t="e">
        <f t="shared" ca="1" si="3"/>
        <v>#N/A</v>
      </c>
      <c r="R35" s="160" t="e">
        <f t="shared" ca="1" si="3"/>
        <v>#N/A</v>
      </c>
      <c r="S35" s="160" t="e">
        <f t="shared" ca="1" si="3"/>
        <v>#N/A</v>
      </c>
      <c r="T35" s="160" t="e">
        <f t="shared" ca="1" si="3"/>
        <v>#N/A</v>
      </c>
      <c r="U35" s="160" t="e">
        <f t="shared" ca="1" si="3"/>
        <v>#N/A</v>
      </c>
      <c r="V35" s="163" t="e">
        <f t="shared" ca="1" si="5"/>
        <v>#N/A</v>
      </c>
      <c r="W35" s="163" t="e">
        <f t="shared" ca="1" si="6"/>
        <v>#N/A</v>
      </c>
      <c r="X35" s="163" t="e">
        <f t="shared" ca="1" si="7"/>
        <v>#N/A</v>
      </c>
      <c r="Y35" s="163" t="e">
        <f t="shared" ca="1" si="8"/>
        <v>#N/A</v>
      </c>
    </row>
    <row r="36" spans="9:25" ht="14.4">
      <c r="I36" s="153"/>
      <c r="L36" s="464"/>
      <c r="M36" s="129" t="e">
        <f t="shared" si="9"/>
        <v>#N/A</v>
      </c>
      <c r="N36" s="161">
        <f t="shared" si="10"/>
        <v>13</v>
      </c>
      <c r="O36" s="160" t="e">
        <f t="shared" ca="1" si="4"/>
        <v>#N/A</v>
      </c>
      <c r="P36" s="160" t="e">
        <f t="shared" ca="1" si="3"/>
        <v>#N/A</v>
      </c>
      <c r="Q36" s="160" t="e">
        <f t="shared" ca="1" si="3"/>
        <v>#N/A</v>
      </c>
      <c r="R36" s="160" t="e">
        <f t="shared" ca="1" si="3"/>
        <v>#N/A</v>
      </c>
      <c r="S36" s="160" t="e">
        <f t="shared" ca="1" si="3"/>
        <v>#N/A</v>
      </c>
      <c r="T36" s="160" t="e">
        <f t="shared" ca="1" si="3"/>
        <v>#N/A</v>
      </c>
      <c r="U36" s="160" t="e">
        <f t="shared" ca="1" si="3"/>
        <v>#N/A</v>
      </c>
      <c r="V36" s="163" t="e">
        <f t="shared" ca="1" si="5"/>
        <v>#N/A</v>
      </c>
      <c r="W36" s="163" t="e">
        <f t="shared" ca="1" si="6"/>
        <v>#N/A</v>
      </c>
      <c r="X36" s="163" t="e">
        <f t="shared" ca="1" si="7"/>
        <v>#N/A</v>
      </c>
      <c r="Y36" s="163" t="e">
        <f t="shared" ca="1" si="8"/>
        <v>#N/A</v>
      </c>
    </row>
    <row r="37" spans="9:25" ht="14.4">
      <c r="I37" s="153"/>
      <c r="L37" s="464"/>
      <c r="M37" s="129" t="e">
        <f t="shared" si="9"/>
        <v>#N/A</v>
      </c>
      <c r="N37" s="161">
        <f t="shared" si="10"/>
        <v>13</v>
      </c>
      <c r="O37" s="160" t="e">
        <f t="shared" ca="1" si="4"/>
        <v>#N/A</v>
      </c>
      <c r="P37" s="160" t="e">
        <f t="shared" ca="1" si="3"/>
        <v>#N/A</v>
      </c>
      <c r="Q37" s="160" t="e">
        <f t="shared" ca="1" si="3"/>
        <v>#N/A</v>
      </c>
      <c r="R37" s="160" t="e">
        <f t="shared" ca="1" si="3"/>
        <v>#N/A</v>
      </c>
      <c r="S37" s="160" t="e">
        <f t="shared" ca="1" si="3"/>
        <v>#N/A</v>
      </c>
      <c r="T37" s="160" t="e">
        <f t="shared" ca="1" si="3"/>
        <v>#N/A</v>
      </c>
      <c r="U37" s="160" t="e">
        <f t="shared" ca="1" si="3"/>
        <v>#N/A</v>
      </c>
      <c r="V37" s="163" t="e">
        <f t="shared" ca="1" si="5"/>
        <v>#N/A</v>
      </c>
      <c r="W37" s="163" t="e">
        <f t="shared" ca="1" si="6"/>
        <v>#N/A</v>
      </c>
      <c r="X37" s="163" t="e">
        <f t="shared" ca="1" si="7"/>
        <v>#N/A</v>
      </c>
      <c r="Y37" s="163" t="e">
        <f t="shared" ca="1" si="8"/>
        <v>#N/A</v>
      </c>
    </row>
    <row r="38" spans="9:25" ht="14.4">
      <c r="I38" s="153"/>
      <c r="L38" s="464"/>
      <c r="M38" s="129" t="e">
        <f t="shared" si="9"/>
        <v>#N/A</v>
      </c>
      <c r="N38" s="161">
        <f t="shared" si="10"/>
        <v>13</v>
      </c>
      <c r="O38" s="160" t="e">
        <f t="shared" ca="1" si="4"/>
        <v>#N/A</v>
      </c>
      <c r="P38" s="160" t="e">
        <f t="shared" ca="1" si="3"/>
        <v>#N/A</v>
      </c>
      <c r="Q38" s="160" t="e">
        <f t="shared" ca="1" si="3"/>
        <v>#N/A</v>
      </c>
      <c r="R38" s="160" t="e">
        <f t="shared" ca="1" si="3"/>
        <v>#N/A</v>
      </c>
      <c r="S38" s="160" t="e">
        <f t="shared" ca="1" si="3"/>
        <v>#N/A</v>
      </c>
      <c r="T38" s="160" t="e">
        <f t="shared" ca="1" si="3"/>
        <v>#N/A</v>
      </c>
      <c r="U38" s="160" t="e">
        <f t="shared" ca="1" si="3"/>
        <v>#N/A</v>
      </c>
      <c r="V38" s="163" t="e">
        <f t="shared" ca="1" si="5"/>
        <v>#N/A</v>
      </c>
      <c r="W38" s="163" t="e">
        <f t="shared" ca="1" si="6"/>
        <v>#N/A</v>
      </c>
      <c r="X38" s="163" t="e">
        <f t="shared" ca="1" si="7"/>
        <v>#N/A</v>
      </c>
      <c r="Y38" s="163" t="e">
        <f t="shared" ca="1" si="8"/>
        <v>#N/A</v>
      </c>
    </row>
    <row r="39" spans="9:25" ht="14.4">
      <c r="I39" s="153"/>
      <c r="L39" s="464"/>
      <c r="M39" s="129" t="e">
        <f t="shared" si="9"/>
        <v>#N/A</v>
      </c>
      <c r="N39" s="161">
        <f t="shared" si="10"/>
        <v>13</v>
      </c>
      <c r="O39" s="160" t="e">
        <f t="shared" ca="1" si="4"/>
        <v>#N/A</v>
      </c>
      <c r="P39" s="160" t="e">
        <f t="shared" ca="1" si="3"/>
        <v>#N/A</v>
      </c>
      <c r="Q39" s="160" t="e">
        <f t="shared" ca="1" si="3"/>
        <v>#N/A</v>
      </c>
      <c r="R39" s="160" t="e">
        <f t="shared" ca="1" si="3"/>
        <v>#N/A</v>
      </c>
      <c r="S39" s="160" t="e">
        <f t="shared" ca="1" si="3"/>
        <v>#N/A</v>
      </c>
      <c r="T39" s="160" t="e">
        <f t="shared" ca="1" si="3"/>
        <v>#N/A</v>
      </c>
      <c r="U39" s="160" t="e">
        <f t="shared" ca="1" si="3"/>
        <v>#N/A</v>
      </c>
      <c r="V39" s="163" t="e">
        <f t="shared" ca="1" si="5"/>
        <v>#N/A</v>
      </c>
      <c r="W39" s="163" t="e">
        <f t="shared" ca="1" si="6"/>
        <v>#N/A</v>
      </c>
      <c r="X39" s="163" t="e">
        <f t="shared" ca="1" si="7"/>
        <v>#N/A</v>
      </c>
      <c r="Y39" s="163" t="e">
        <f t="shared" ca="1" si="8"/>
        <v>#N/A</v>
      </c>
    </row>
    <row r="40" spans="9:25" ht="14.4">
      <c r="I40" s="153"/>
      <c r="L40" s="464"/>
      <c r="M40" s="129" t="e">
        <f t="shared" si="9"/>
        <v>#N/A</v>
      </c>
      <c r="N40" s="161">
        <f t="shared" si="10"/>
        <v>13</v>
      </c>
      <c r="O40" s="160" t="e">
        <f t="shared" ca="1" si="4"/>
        <v>#N/A</v>
      </c>
      <c r="P40" s="160" t="e">
        <f t="shared" ca="1" si="3"/>
        <v>#N/A</v>
      </c>
      <c r="Q40" s="160" t="e">
        <f t="shared" ca="1" si="3"/>
        <v>#N/A</v>
      </c>
      <c r="R40" s="160" t="e">
        <f t="shared" ca="1" si="3"/>
        <v>#N/A</v>
      </c>
      <c r="S40" s="160" t="e">
        <f t="shared" ca="1" si="3"/>
        <v>#N/A</v>
      </c>
      <c r="T40" s="160" t="e">
        <f t="shared" ca="1" si="3"/>
        <v>#N/A</v>
      </c>
      <c r="U40" s="160" t="e">
        <f t="shared" ca="1" si="3"/>
        <v>#N/A</v>
      </c>
      <c r="V40" s="163" t="e">
        <f t="shared" ca="1" si="5"/>
        <v>#N/A</v>
      </c>
      <c r="W40" s="163" t="e">
        <f t="shared" ca="1" si="6"/>
        <v>#N/A</v>
      </c>
      <c r="X40" s="163" t="e">
        <f t="shared" ca="1" si="7"/>
        <v>#N/A</v>
      </c>
      <c r="Y40" s="163" t="e">
        <f t="shared" ca="1" si="8"/>
        <v>#N/A</v>
      </c>
    </row>
    <row r="41" spans="9:25" ht="14.4">
      <c r="I41" s="153"/>
      <c r="L41" s="464"/>
      <c r="M41" s="129" t="e">
        <f t="shared" si="9"/>
        <v>#N/A</v>
      </c>
      <c r="N41" s="161">
        <f t="shared" ref="N41:N81" si="11">N40</f>
        <v>13</v>
      </c>
      <c r="O41" s="160" t="e">
        <f t="shared" ref="O41:O104" ca="1" si="12">IF($M41="end",0,OFFSET($A$1,$M41-1,O$29,1,1))</f>
        <v>#N/A</v>
      </c>
      <c r="P41" s="160" t="e">
        <f t="shared" ca="1" si="3"/>
        <v>#N/A</v>
      </c>
      <c r="Q41" s="160" t="e">
        <f t="shared" ca="1" si="3"/>
        <v>#N/A</v>
      </c>
      <c r="R41" s="160" t="e">
        <f t="shared" ca="1" si="3"/>
        <v>#N/A</v>
      </c>
      <c r="S41" s="160" t="e">
        <f t="shared" ca="1" si="3"/>
        <v>#N/A</v>
      </c>
      <c r="T41" s="160" t="e">
        <f t="shared" ca="1" si="3"/>
        <v>#N/A</v>
      </c>
      <c r="U41" s="160" t="e">
        <f t="shared" ca="1" si="3"/>
        <v>#N/A</v>
      </c>
      <c r="V41" s="163" t="e">
        <f t="shared" ca="1" si="5"/>
        <v>#N/A</v>
      </c>
      <c r="W41" s="163" t="e">
        <f t="shared" ca="1" si="6"/>
        <v>#N/A</v>
      </c>
      <c r="X41" s="163" t="e">
        <f t="shared" ca="1" si="7"/>
        <v>#N/A</v>
      </c>
      <c r="Y41" s="163" t="e">
        <f t="shared" ca="1" si="8"/>
        <v>#N/A</v>
      </c>
    </row>
    <row r="42" spans="9:25" ht="14.4">
      <c r="L42" s="464"/>
      <c r="M42" s="129" t="e">
        <f t="shared" si="9"/>
        <v>#N/A</v>
      </c>
      <c r="N42" s="161">
        <f t="shared" si="11"/>
        <v>13</v>
      </c>
      <c r="O42" s="160" t="e">
        <f t="shared" ca="1" si="12"/>
        <v>#N/A</v>
      </c>
      <c r="P42" s="160" t="e">
        <f t="shared" ca="1" si="3"/>
        <v>#N/A</v>
      </c>
      <c r="Q42" s="160" t="e">
        <f t="shared" ca="1" si="3"/>
        <v>#N/A</v>
      </c>
      <c r="R42" s="160" t="e">
        <f t="shared" ca="1" si="3"/>
        <v>#N/A</v>
      </c>
      <c r="S42" s="160" t="e">
        <f t="shared" ca="1" si="3"/>
        <v>#N/A</v>
      </c>
      <c r="T42" s="160" t="e">
        <f t="shared" ca="1" si="3"/>
        <v>#N/A</v>
      </c>
      <c r="U42" s="160" t="e">
        <f t="shared" ca="1" si="3"/>
        <v>#N/A</v>
      </c>
      <c r="V42" s="163" t="e">
        <f t="shared" ca="1" si="5"/>
        <v>#N/A</v>
      </c>
      <c r="W42" s="163" t="e">
        <f t="shared" ca="1" si="6"/>
        <v>#N/A</v>
      </c>
      <c r="X42" s="163" t="e">
        <f t="shared" ca="1" si="7"/>
        <v>#N/A</v>
      </c>
      <c r="Y42" s="163" t="e">
        <f t="shared" ca="1" si="8"/>
        <v>#N/A</v>
      </c>
    </row>
    <row r="43" spans="9:25" ht="14.4">
      <c r="L43" s="464"/>
      <c r="M43" s="129" t="e">
        <f t="shared" si="9"/>
        <v>#N/A</v>
      </c>
      <c r="N43" s="161">
        <f t="shared" si="11"/>
        <v>13</v>
      </c>
      <c r="O43" s="160" t="e">
        <f t="shared" ca="1" si="12"/>
        <v>#N/A</v>
      </c>
      <c r="P43" s="160" t="e">
        <f t="shared" ca="1" si="3"/>
        <v>#N/A</v>
      </c>
      <c r="Q43" s="160" t="e">
        <f t="shared" ca="1" si="3"/>
        <v>#N/A</v>
      </c>
      <c r="R43" s="160" t="e">
        <f t="shared" ca="1" si="3"/>
        <v>#N/A</v>
      </c>
      <c r="S43" s="160" t="e">
        <f t="shared" ca="1" si="3"/>
        <v>#N/A</v>
      </c>
      <c r="T43" s="160" t="e">
        <f t="shared" ca="1" si="3"/>
        <v>#N/A</v>
      </c>
      <c r="U43" s="160" t="e">
        <f t="shared" ca="1" si="3"/>
        <v>#N/A</v>
      </c>
      <c r="V43" s="163" t="e">
        <f t="shared" ca="1" si="5"/>
        <v>#N/A</v>
      </c>
      <c r="W43" s="163" t="e">
        <f t="shared" ca="1" si="6"/>
        <v>#N/A</v>
      </c>
      <c r="X43" s="163" t="e">
        <f t="shared" ca="1" si="7"/>
        <v>#N/A</v>
      </c>
      <c r="Y43" s="163" t="e">
        <f t="shared" ca="1" si="8"/>
        <v>#N/A</v>
      </c>
    </row>
    <row r="44" spans="9:25" ht="14.4">
      <c r="L44" s="464"/>
      <c r="M44" s="129" t="e">
        <f t="shared" si="9"/>
        <v>#N/A</v>
      </c>
      <c r="N44" s="161">
        <f t="shared" si="11"/>
        <v>13</v>
      </c>
      <c r="O44" s="160" t="e">
        <f t="shared" ca="1" si="12"/>
        <v>#N/A</v>
      </c>
      <c r="P44" s="160" t="e">
        <f t="shared" ca="1" si="3"/>
        <v>#N/A</v>
      </c>
      <c r="Q44" s="160" t="e">
        <f t="shared" ca="1" si="3"/>
        <v>#N/A</v>
      </c>
      <c r="R44" s="160" t="e">
        <f t="shared" ca="1" si="3"/>
        <v>#N/A</v>
      </c>
      <c r="S44" s="160" t="e">
        <f t="shared" ca="1" si="3"/>
        <v>#N/A</v>
      </c>
      <c r="T44" s="160" t="e">
        <f t="shared" ca="1" si="3"/>
        <v>#N/A</v>
      </c>
      <c r="U44" s="160" t="e">
        <f t="shared" ca="1" si="3"/>
        <v>#N/A</v>
      </c>
      <c r="V44" s="163" t="e">
        <f t="shared" ca="1" si="5"/>
        <v>#N/A</v>
      </c>
      <c r="W44" s="163" t="e">
        <f t="shared" ca="1" si="6"/>
        <v>#N/A</v>
      </c>
      <c r="X44" s="163" t="e">
        <f t="shared" ca="1" si="7"/>
        <v>#N/A</v>
      </c>
      <c r="Y44" s="163" t="e">
        <f t="shared" ca="1" si="8"/>
        <v>#N/A</v>
      </c>
    </row>
    <row r="45" spans="9:25" ht="14.4">
      <c r="L45" s="464"/>
      <c r="M45" s="129" t="e">
        <f t="shared" si="9"/>
        <v>#N/A</v>
      </c>
      <c r="N45" s="161">
        <f t="shared" si="11"/>
        <v>13</v>
      </c>
      <c r="O45" s="160" t="e">
        <f t="shared" ca="1" si="12"/>
        <v>#N/A</v>
      </c>
      <c r="P45" s="160" t="e">
        <f t="shared" ca="1" si="3"/>
        <v>#N/A</v>
      </c>
      <c r="Q45" s="160" t="e">
        <f t="shared" ca="1" si="3"/>
        <v>#N/A</v>
      </c>
      <c r="R45" s="160" t="e">
        <f t="shared" ca="1" si="3"/>
        <v>#N/A</v>
      </c>
      <c r="S45" s="160" t="e">
        <f t="shared" ca="1" si="3"/>
        <v>#N/A</v>
      </c>
      <c r="T45" s="160" t="e">
        <f t="shared" ca="1" si="3"/>
        <v>#N/A</v>
      </c>
      <c r="U45" s="160" t="e">
        <f t="shared" ca="1" si="3"/>
        <v>#N/A</v>
      </c>
      <c r="V45" s="163" t="e">
        <f t="shared" ca="1" si="5"/>
        <v>#N/A</v>
      </c>
      <c r="W45" s="163" t="e">
        <f t="shared" ca="1" si="6"/>
        <v>#N/A</v>
      </c>
      <c r="X45" s="163" t="e">
        <f t="shared" ca="1" si="7"/>
        <v>#N/A</v>
      </c>
      <c r="Y45" s="163" t="e">
        <f t="shared" ca="1" si="8"/>
        <v>#N/A</v>
      </c>
    </row>
    <row r="46" spans="9:25" ht="14.4">
      <c r="L46" s="464"/>
      <c r="M46" s="129" t="e">
        <f t="shared" si="9"/>
        <v>#N/A</v>
      </c>
      <c r="N46" s="161">
        <f t="shared" si="11"/>
        <v>13</v>
      </c>
      <c r="O46" s="160" t="e">
        <f t="shared" ca="1" si="12"/>
        <v>#N/A</v>
      </c>
      <c r="P46" s="160" t="e">
        <f t="shared" ref="P46:Q65" ca="1" si="13">IF($M46="end",0,OFFSET($A$1,$M46-1,P$29,1,1))</f>
        <v>#N/A</v>
      </c>
      <c r="Q46" s="160" t="e">
        <f t="shared" ca="1" si="13"/>
        <v>#N/A</v>
      </c>
      <c r="R46" s="160" t="e">
        <f t="shared" ref="R46:U109" ca="1" si="14">IF($M46="end",0,OFFSET($A$1,$M46-1,R$29,1,1))</f>
        <v>#N/A</v>
      </c>
      <c r="S46" s="160" t="e">
        <f t="shared" ca="1" si="14"/>
        <v>#N/A</v>
      </c>
      <c r="T46" s="160" t="e">
        <f t="shared" ca="1" si="14"/>
        <v>#N/A</v>
      </c>
      <c r="U46" s="160" t="e">
        <f t="shared" ca="1" si="14"/>
        <v>#N/A</v>
      </c>
      <c r="V46" s="163" t="e">
        <f t="shared" ca="1" si="5"/>
        <v>#N/A</v>
      </c>
      <c r="W46" s="163" t="e">
        <f t="shared" ca="1" si="6"/>
        <v>#N/A</v>
      </c>
      <c r="X46" s="163" t="e">
        <f t="shared" ca="1" si="7"/>
        <v>#N/A</v>
      </c>
      <c r="Y46" s="163" t="e">
        <f t="shared" ca="1" si="8"/>
        <v>#N/A</v>
      </c>
    </row>
    <row r="47" spans="9:25" ht="14.4">
      <c r="L47" s="464"/>
      <c r="M47" s="129" t="e">
        <f t="shared" si="9"/>
        <v>#N/A</v>
      </c>
      <c r="N47" s="161">
        <f t="shared" si="11"/>
        <v>13</v>
      </c>
      <c r="O47" s="160" t="e">
        <f t="shared" ca="1" si="12"/>
        <v>#N/A</v>
      </c>
      <c r="P47" s="160" t="e">
        <f t="shared" ca="1" si="13"/>
        <v>#N/A</v>
      </c>
      <c r="Q47" s="160" t="e">
        <f t="shared" ca="1" si="13"/>
        <v>#N/A</v>
      </c>
      <c r="R47" s="160" t="e">
        <f t="shared" ca="1" si="14"/>
        <v>#N/A</v>
      </c>
      <c r="S47" s="160" t="e">
        <f t="shared" ca="1" si="14"/>
        <v>#N/A</v>
      </c>
      <c r="T47" s="160" t="e">
        <f t="shared" ca="1" si="14"/>
        <v>#N/A</v>
      </c>
      <c r="U47" s="160" t="e">
        <f t="shared" ca="1" si="14"/>
        <v>#N/A</v>
      </c>
      <c r="V47" s="163" t="e">
        <f t="shared" ca="1" si="5"/>
        <v>#N/A</v>
      </c>
      <c r="W47" s="163" t="e">
        <f t="shared" ca="1" si="6"/>
        <v>#N/A</v>
      </c>
      <c r="X47" s="163" t="e">
        <f t="shared" ca="1" si="7"/>
        <v>#N/A</v>
      </c>
      <c r="Y47" s="163" t="e">
        <f t="shared" ca="1" si="8"/>
        <v>#N/A</v>
      </c>
    </row>
    <row r="48" spans="9:25" ht="14.4">
      <c r="L48" s="464"/>
      <c r="M48" s="129" t="e">
        <f t="shared" si="9"/>
        <v>#N/A</v>
      </c>
      <c r="N48" s="161">
        <f t="shared" si="11"/>
        <v>13</v>
      </c>
      <c r="O48" s="160" t="e">
        <f t="shared" ca="1" si="12"/>
        <v>#N/A</v>
      </c>
      <c r="P48" s="160" t="e">
        <f t="shared" ca="1" si="13"/>
        <v>#N/A</v>
      </c>
      <c r="Q48" s="160" t="e">
        <f t="shared" ca="1" si="13"/>
        <v>#N/A</v>
      </c>
      <c r="R48" s="160" t="e">
        <f t="shared" ca="1" si="14"/>
        <v>#N/A</v>
      </c>
      <c r="S48" s="160" t="e">
        <f t="shared" ca="1" si="14"/>
        <v>#N/A</v>
      </c>
      <c r="T48" s="160" t="e">
        <f t="shared" ca="1" si="14"/>
        <v>#N/A</v>
      </c>
      <c r="U48" s="160" t="e">
        <f t="shared" ca="1" si="14"/>
        <v>#N/A</v>
      </c>
      <c r="V48" s="163" t="e">
        <f t="shared" ca="1" si="5"/>
        <v>#N/A</v>
      </c>
      <c r="W48" s="163" t="e">
        <f t="shared" ca="1" si="6"/>
        <v>#N/A</v>
      </c>
      <c r="X48" s="163" t="e">
        <f t="shared" ca="1" si="7"/>
        <v>#N/A</v>
      </c>
      <c r="Y48" s="163" t="e">
        <f t="shared" ca="1" si="8"/>
        <v>#N/A</v>
      </c>
    </row>
    <row r="49" spans="6:25" ht="14.4">
      <c r="L49" s="464"/>
      <c r="M49" s="129" t="e">
        <f t="shared" si="9"/>
        <v>#N/A</v>
      </c>
      <c r="N49" s="161">
        <f t="shared" si="11"/>
        <v>13</v>
      </c>
      <c r="O49" s="160" t="e">
        <f t="shared" ca="1" si="12"/>
        <v>#N/A</v>
      </c>
      <c r="P49" s="160" t="e">
        <f t="shared" ca="1" si="13"/>
        <v>#N/A</v>
      </c>
      <c r="Q49" s="160" t="e">
        <f t="shared" ca="1" si="13"/>
        <v>#N/A</v>
      </c>
      <c r="R49" s="160" t="e">
        <f t="shared" ca="1" si="14"/>
        <v>#N/A</v>
      </c>
      <c r="S49" s="160" t="e">
        <f t="shared" ca="1" si="14"/>
        <v>#N/A</v>
      </c>
      <c r="T49" s="160" t="e">
        <f t="shared" ca="1" si="14"/>
        <v>#N/A</v>
      </c>
      <c r="U49" s="160" t="e">
        <f t="shared" ca="1" si="14"/>
        <v>#N/A</v>
      </c>
      <c r="V49" s="163" t="e">
        <f t="shared" ca="1" si="5"/>
        <v>#N/A</v>
      </c>
      <c r="W49" s="163" t="e">
        <f t="shared" ca="1" si="6"/>
        <v>#N/A</v>
      </c>
      <c r="X49" s="163" t="e">
        <f t="shared" ca="1" si="7"/>
        <v>#N/A</v>
      </c>
      <c r="Y49" s="163" t="e">
        <f t="shared" ca="1" si="8"/>
        <v>#N/A</v>
      </c>
    </row>
    <row r="50" spans="6:25" ht="14.4">
      <c r="L50" s="464"/>
      <c r="M50" s="129" t="e">
        <f t="shared" si="9"/>
        <v>#N/A</v>
      </c>
      <c r="N50" s="161">
        <f t="shared" si="11"/>
        <v>13</v>
      </c>
      <c r="O50" s="160" t="e">
        <f t="shared" ca="1" si="12"/>
        <v>#N/A</v>
      </c>
      <c r="P50" s="160" t="e">
        <f t="shared" ca="1" si="13"/>
        <v>#N/A</v>
      </c>
      <c r="Q50" s="160" t="e">
        <f t="shared" ca="1" si="13"/>
        <v>#N/A</v>
      </c>
      <c r="R50" s="160" t="e">
        <f t="shared" ca="1" si="14"/>
        <v>#N/A</v>
      </c>
      <c r="S50" s="160" t="e">
        <f t="shared" ca="1" si="14"/>
        <v>#N/A</v>
      </c>
      <c r="T50" s="160" t="e">
        <f t="shared" ca="1" si="14"/>
        <v>#N/A</v>
      </c>
      <c r="U50" s="160" t="e">
        <f t="shared" ca="1" si="14"/>
        <v>#N/A</v>
      </c>
      <c r="V50" s="163" t="e">
        <f t="shared" ca="1" si="5"/>
        <v>#N/A</v>
      </c>
      <c r="W50" s="163" t="e">
        <f t="shared" ca="1" si="6"/>
        <v>#N/A</v>
      </c>
      <c r="X50" s="163" t="e">
        <f t="shared" ca="1" si="7"/>
        <v>#N/A</v>
      </c>
      <c r="Y50" s="163" t="e">
        <f t="shared" ca="1" si="8"/>
        <v>#N/A</v>
      </c>
    </row>
    <row r="51" spans="6:25" ht="14.4">
      <c r="L51" s="464"/>
      <c r="M51" s="129" t="e">
        <f t="shared" si="9"/>
        <v>#N/A</v>
      </c>
      <c r="N51" s="161">
        <f t="shared" si="11"/>
        <v>13</v>
      </c>
      <c r="O51" s="160" t="e">
        <f t="shared" ca="1" si="12"/>
        <v>#N/A</v>
      </c>
      <c r="P51" s="160" t="e">
        <f t="shared" ca="1" si="13"/>
        <v>#N/A</v>
      </c>
      <c r="Q51" s="160" t="e">
        <f t="shared" ca="1" si="13"/>
        <v>#N/A</v>
      </c>
      <c r="R51" s="160" t="e">
        <f t="shared" ca="1" si="14"/>
        <v>#N/A</v>
      </c>
      <c r="S51" s="160" t="e">
        <f t="shared" ca="1" si="14"/>
        <v>#N/A</v>
      </c>
      <c r="T51" s="160" t="e">
        <f t="shared" ca="1" si="14"/>
        <v>#N/A</v>
      </c>
      <c r="U51" s="160" t="e">
        <f t="shared" ca="1" si="14"/>
        <v>#N/A</v>
      </c>
      <c r="V51" s="163" t="e">
        <f t="shared" ca="1" si="5"/>
        <v>#N/A</v>
      </c>
      <c r="W51" s="163" t="e">
        <f t="shared" ca="1" si="6"/>
        <v>#N/A</v>
      </c>
      <c r="X51" s="163" t="e">
        <f t="shared" ca="1" si="7"/>
        <v>#N/A</v>
      </c>
      <c r="Y51" s="163" t="e">
        <f t="shared" ca="1" si="8"/>
        <v>#N/A</v>
      </c>
    </row>
    <row r="52" spans="6:25" ht="14.4">
      <c r="L52" s="464"/>
      <c r="M52" s="129" t="e">
        <f t="shared" si="9"/>
        <v>#N/A</v>
      </c>
      <c r="N52" s="161">
        <f t="shared" si="11"/>
        <v>13</v>
      </c>
      <c r="O52" s="160" t="e">
        <f t="shared" ca="1" si="12"/>
        <v>#N/A</v>
      </c>
      <c r="P52" s="160" t="e">
        <f t="shared" ca="1" si="13"/>
        <v>#N/A</v>
      </c>
      <c r="Q52" s="160" t="e">
        <f t="shared" ca="1" si="13"/>
        <v>#N/A</v>
      </c>
      <c r="R52" s="160" t="e">
        <f t="shared" ca="1" si="14"/>
        <v>#N/A</v>
      </c>
      <c r="S52" s="160" t="e">
        <f t="shared" ca="1" si="14"/>
        <v>#N/A</v>
      </c>
      <c r="T52" s="160" t="e">
        <f t="shared" ca="1" si="14"/>
        <v>#N/A</v>
      </c>
      <c r="U52" s="160" t="e">
        <f t="shared" ca="1" si="14"/>
        <v>#N/A</v>
      </c>
      <c r="V52" s="163" t="e">
        <f t="shared" ca="1" si="5"/>
        <v>#N/A</v>
      </c>
      <c r="W52" s="163" t="e">
        <f t="shared" ca="1" si="6"/>
        <v>#N/A</v>
      </c>
      <c r="X52" s="163" t="e">
        <f t="shared" ca="1" si="7"/>
        <v>#N/A</v>
      </c>
      <c r="Y52" s="163" t="e">
        <f t="shared" ca="1" si="8"/>
        <v>#N/A</v>
      </c>
    </row>
    <row r="53" spans="6:25" ht="14.4">
      <c r="L53" s="464"/>
      <c r="M53" s="129" t="e">
        <f t="shared" si="9"/>
        <v>#N/A</v>
      </c>
      <c r="N53" s="161">
        <f t="shared" si="11"/>
        <v>13</v>
      </c>
      <c r="O53" s="160" t="e">
        <f t="shared" ca="1" si="12"/>
        <v>#N/A</v>
      </c>
      <c r="P53" s="160" t="e">
        <f t="shared" ca="1" si="13"/>
        <v>#N/A</v>
      </c>
      <c r="Q53" s="160" t="e">
        <f t="shared" ca="1" si="13"/>
        <v>#N/A</v>
      </c>
      <c r="R53" s="160" t="e">
        <f t="shared" ca="1" si="14"/>
        <v>#N/A</v>
      </c>
      <c r="S53" s="160" t="e">
        <f t="shared" ca="1" si="14"/>
        <v>#N/A</v>
      </c>
      <c r="T53" s="160" t="e">
        <f t="shared" ca="1" si="14"/>
        <v>#N/A</v>
      </c>
      <c r="U53" s="160" t="e">
        <f t="shared" ca="1" si="14"/>
        <v>#N/A</v>
      </c>
      <c r="V53" s="163" t="e">
        <f t="shared" ca="1" si="5"/>
        <v>#N/A</v>
      </c>
      <c r="W53" s="163" t="e">
        <f t="shared" ca="1" si="6"/>
        <v>#N/A</v>
      </c>
      <c r="X53" s="163" t="e">
        <f t="shared" ca="1" si="7"/>
        <v>#N/A</v>
      </c>
      <c r="Y53" s="163" t="e">
        <f t="shared" ca="1" si="8"/>
        <v>#N/A</v>
      </c>
    </row>
    <row r="54" spans="6:25" ht="14.4">
      <c r="L54" s="464"/>
      <c r="M54" s="129" t="e">
        <f t="shared" si="9"/>
        <v>#N/A</v>
      </c>
      <c r="N54" s="161">
        <f t="shared" si="11"/>
        <v>13</v>
      </c>
      <c r="O54" s="160" t="e">
        <f t="shared" ca="1" si="12"/>
        <v>#N/A</v>
      </c>
      <c r="P54" s="160" t="e">
        <f t="shared" ca="1" si="13"/>
        <v>#N/A</v>
      </c>
      <c r="Q54" s="160" t="e">
        <f t="shared" ca="1" si="13"/>
        <v>#N/A</v>
      </c>
      <c r="R54" s="160" t="e">
        <f t="shared" ca="1" si="14"/>
        <v>#N/A</v>
      </c>
      <c r="S54" s="160" t="e">
        <f t="shared" ca="1" si="14"/>
        <v>#N/A</v>
      </c>
      <c r="T54" s="160" t="e">
        <f t="shared" ca="1" si="14"/>
        <v>#N/A</v>
      </c>
      <c r="U54" s="160" t="e">
        <f t="shared" ca="1" si="14"/>
        <v>#N/A</v>
      </c>
      <c r="V54" s="163" t="e">
        <f t="shared" ca="1" si="5"/>
        <v>#N/A</v>
      </c>
      <c r="W54" s="163" t="e">
        <f t="shared" ca="1" si="6"/>
        <v>#N/A</v>
      </c>
      <c r="X54" s="163" t="e">
        <f t="shared" ca="1" si="7"/>
        <v>#N/A</v>
      </c>
      <c r="Y54" s="163" t="e">
        <f t="shared" ca="1" si="8"/>
        <v>#N/A</v>
      </c>
    </row>
    <row r="55" spans="6:25" ht="14.4">
      <c r="L55" s="464"/>
      <c r="M55" s="129" t="e">
        <f t="shared" si="9"/>
        <v>#N/A</v>
      </c>
      <c r="N55" s="161">
        <f t="shared" si="11"/>
        <v>13</v>
      </c>
      <c r="O55" s="160" t="e">
        <f t="shared" ca="1" si="12"/>
        <v>#N/A</v>
      </c>
      <c r="P55" s="160" t="e">
        <f t="shared" ca="1" si="13"/>
        <v>#N/A</v>
      </c>
      <c r="Q55" s="160" t="e">
        <f t="shared" ca="1" si="13"/>
        <v>#N/A</v>
      </c>
      <c r="R55" s="160" t="e">
        <f t="shared" ca="1" si="14"/>
        <v>#N/A</v>
      </c>
      <c r="S55" s="160" t="e">
        <f t="shared" ca="1" si="14"/>
        <v>#N/A</v>
      </c>
      <c r="T55" s="160" t="e">
        <f t="shared" ca="1" si="14"/>
        <v>#N/A</v>
      </c>
      <c r="U55" s="160" t="e">
        <f t="shared" ca="1" si="14"/>
        <v>#N/A</v>
      </c>
      <c r="V55" s="163" t="e">
        <f t="shared" ca="1" si="5"/>
        <v>#N/A</v>
      </c>
      <c r="W55" s="163" t="e">
        <f t="shared" ca="1" si="6"/>
        <v>#N/A</v>
      </c>
      <c r="X55" s="163" t="e">
        <f t="shared" ca="1" si="7"/>
        <v>#N/A</v>
      </c>
      <c r="Y55" s="163" t="e">
        <f t="shared" ca="1" si="8"/>
        <v>#N/A</v>
      </c>
    </row>
    <row r="56" spans="6:25" ht="14.4">
      <c r="L56" s="464"/>
      <c r="M56" s="129" t="e">
        <f t="shared" si="9"/>
        <v>#N/A</v>
      </c>
      <c r="N56" s="161">
        <f t="shared" si="11"/>
        <v>13</v>
      </c>
      <c r="O56" s="160" t="e">
        <f t="shared" ca="1" si="12"/>
        <v>#N/A</v>
      </c>
      <c r="P56" s="160" t="e">
        <f t="shared" ca="1" si="13"/>
        <v>#N/A</v>
      </c>
      <c r="Q56" s="160" t="e">
        <f t="shared" ca="1" si="13"/>
        <v>#N/A</v>
      </c>
      <c r="R56" s="160" t="e">
        <f t="shared" ca="1" si="14"/>
        <v>#N/A</v>
      </c>
      <c r="S56" s="160" t="e">
        <f t="shared" ca="1" si="14"/>
        <v>#N/A</v>
      </c>
      <c r="T56" s="160" t="e">
        <f t="shared" ca="1" si="14"/>
        <v>#N/A</v>
      </c>
      <c r="U56" s="160" t="e">
        <f t="shared" ca="1" si="14"/>
        <v>#N/A</v>
      </c>
      <c r="V56" s="163" t="e">
        <f t="shared" ca="1" si="5"/>
        <v>#N/A</v>
      </c>
      <c r="W56" s="163" t="e">
        <f t="shared" ca="1" si="6"/>
        <v>#N/A</v>
      </c>
      <c r="X56" s="163" t="e">
        <f t="shared" ca="1" si="7"/>
        <v>#N/A</v>
      </c>
      <c r="Y56" s="163" t="e">
        <f t="shared" ca="1" si="8"/>
        <v>#N/A</v>
      </c>
    </row>
    <row r="57" spans="6:25" ht="14.4">
      <c r="F57" s="149"/>
      <c r="I57" s="149"/>
      <c r="L57" s="464"/>
      <c r="M57" s="129" t="e">
        <f t="shared" si="9"/>
        <v>#N/A</v>
      </c>
      <c r="N57" s="161">
        <f t="shared" si="11"/>
        <v>13</v>
      </c>
      <c r="O57" s="160" t="e">
        <f t="shared" ca="1" si="12"/>
        <v>#N/A</v>
      </c>
      <c r="P57" s="160" t="e">
        <f t="shared" ca="1" si="13"/>
        <v>#N/A</v>
      </c>
      <c r="Q57" s="160" t="e">
        <f t="shared" ca="1" si="13"/>
        <v>#N/A</v>
      </c>
      <c r="R57" s="160" t="e">
        <f t="shared" ca="1" si="14"/>
        <v>#N/A</v>
      </c>
      <c r="S57" s="160" t="e">
        <f t="shared" ca="1" si="14"/>
        <v>#N/A</v>
      </c>
      <c r="T57" s="160" t="e">
        <f t="shared" ca="1" si="14"/>
        <v>#N/A</v>
      </c>
      <c r="U57" s="160" t="e">
        <f t="shared" ca="1" si="14"/>
        <v>#N/A</v>
      </c>
      <c r="V57" s="163" t="e">
        <f t="shared" ca="1" si="5"/>
        <v>#N/A</v>
      </c>
      <c r="W57" s="163" t="e">
        <f t="shared" ca="1" si="6"/>
        <v>#N/A</v>
      </c>
      <c r="X57" s="163" t="e">
        <f t="shared" ca="1" si="7"/>
        <v>#N/A</v>
      </c>
      <c r="Y57" s="163" t="e">
        <f t="shared" ca="1" si="8"/>
        <v>#N/A</v>
      </c>
    </row>
    <row r="58" spans="6:25" ht="14.4">
      <c r="F58" s="149"/>
      <c r="I58" s="149"/>
      <c r="L58" s="464"/>
      <c r="M58" s="129" t="e">
        <f t="shared" si="9"/>
        <v>#N/A</v>
      </c>
      <c r="N58" s="161">
        <f t="shared" si="11"/>
        <v>13</v>
      </c>
      <c r="O58" s="160" t="e">
        <f t="shared" ca="1" si="12"/>
        <v>#N/A</v>
      </c>
      <c r="P58" s="160" t="e">
        <f t="shared" ca="1" si="13"/>
        <v>#N/A</v>
      </c>
      <c r="Q58" s="160" t="e">
        <f t="shared" ca="1" si="13"/>
        <v>#N/A</v>
      </c>
      <c r="R58" s="160" t="e">
        <f t="shared" ca="1" si="14"/>
        <v>#N/A</v>
      </c>
      <c r="S58" s="160" t="e">
        <f t="shared" ca="1" si="14"/>
        <v>#N/A</v>
      </c>
      <c r="T58" s="160" t="e">
        <f t="shared" ca="1" si="14"/>
        <v>#N/A</v>
      </c>
      <c r="U58" s="160" t="e">
        <f t="shared" ca="1" si="14"/>
        <v>#N/A</v>
      </c>
      <c r="V58" s="163" t="e">
        <f t="shared" ca="1" si="5"/>
        <v>#N/A</v>
      </c>
      <c r="W58" s="163" t="e">
        <f t="shared" ca="1" si="6"/>
        <v>#N/A</v>
      </c>
      <c r="X58" s="163" t="e">
        <f t="shared" ca="1" si="7"/>
        <v>#N/A</v>
      </c>
      <c r="Y58" s="163" t="e">
        <f t="shared" ca="1" si="8"/>
        <v>#N/A</v>
      </c>
    </row>
    <row r="59" spans="6:25" ht="14.4">
      <c r="L59" s="464"/>
      <c r="M59" s="129" t="e">
        <f t="shared" si="9"/>
        <v>#N/A</v>
      </c>
      <c r="N59" s="161">
        <f t="shared" si="11"/>
        <v>13</v>
      </c>
      <c r="O59" s="160" t="e">
        <f t="shared" ca="1" si="12"/>
        <v>#N/A</v>
      </c>
      <c r="P59" s="160" t="e">
        <f t="shared" ca="1" si="13"/>
        <v>#N/A</v>
      </c>
      <c r="Q59" s="160" t="e">
        <f t="shared" ca="1" si="13"/>
        <v>#N/A</v>
      </c>
      <c r="R59" s="160" t="e">
        <f t="shared" ca="1" si="14"/>
        <v>#N/A</v>
      </c>
      <c r="S59" s="160" t="e">
        <f t="shared" ca="1" si="14"/>
        <v>#N/A</v>
      </c>
      <c r="T59" s="160" t="e">
        <f t="shared" ca="1" si="14"/>
        <v>#N/A</v>
      </c>
      <c r="U59" s="160" t="e">
        <f t="shared" ca="1" si="14"/>
        <v>#N/A</v>
      </c>
      <c r="V59" s="163" t="e">
        <f t="shared" ca="1" si="5"/>
        <v>#N/A</v>
      </c>
      <c r="W59" s="163" t="e">
        <f t="shared" ca="1" si="6"/>
        <v>#N/A</v>
      </c>
      <c r="X59" s="163" t="e">
        <f t="shared" ca="1" si="7"/>
        <v>#N/A</v>
      </c>
      <c r="Y59" s="163" t="e">
        <f t="shared" ca="1" si="8"/>
        <v>#N/A</v>
      </c>
    </row>
    <row r="60" spans="6:25" ht="14.4">
      <c r="L60" s="464"/>
      <c r="M60" s="129" t="e">
        <f t="shared" si="9"/>
        <v>#N/A</v>
      </c>
      <c r="N60" s="161">
        <f t="shared" si="11"/>
        <v>13</v>
      </c>
      <c r="O60" s="160" t="e">
        <f t="shared" ca="1" si="12"/>
        <v>#N/A</v>
      </c>
      <c r="P60" s="160" t="e">
        <f t="shared" ca="1" si="13"/>
        <v>#N/A</v>
      </c>
      <c r="Q60" s="160" t="e">
        <f t="shared" ca="1" si="13"/>
        <v>#N/A</v>
      </c>
      <c r="R60" s="160" t="e">
        <f t="shared" ca="1" si="14"/>
        <v>#N/A</v>
      </c>
      <c r="S60" s="160" t="e">
        <f t="shared" ca="1" si="14"/>
        <v>#N/A</v>
      </c>
      <c r="T60" s="160" t="e">
        <f t="shared" ca="1" si="14"/>
        <v>#N/A</v>
      </c>
      <c r="U60" s="160" t="e">
        <f t="shared" ca="1" si="14"/>
        <v>#N/A</v>
      </c>
      <c r="V60" s="163" t="e">
        <f t="shared" ca="1" si="5"/>
        <v>#N/A</v>
      </c>
      <c r="W60" s="163" t="e">
        <f t="shared" ca="1" si="6"/>
        <v>#N/A</v>
      </c>
      <c r="X60" s="163" t="e">
        <f t="shared" ca="1" si="7"/>
        <v>#N/A</v>
      </c>
      <c r="Y60" s="163" t="e">
        <f t="shared" ca="1" si="8"/>
        <v>#N/A</v>
      </c>
    </row>
    <row r="61" spans="6:25" ht="14.4">
      <c r="L61" s="464"/>
      <c r="M61" s="129" t="e">
        <f t="shared" si="9"/>
        <v>#N/A</v>
      </c>
      <c r="N61" s="161">
        <f t="shared" si="11"/>
        <v>13</v>
      </c>
      <c r="O61" s="160" t="e">
        <f t="shared" ca="1" si="12"/>
        <v>#N/A</v>
      </c>
      <c r="P61" s="160" t="e">
        <f t="shared" ca="1" si="13"/>
        <v>#N/A</v>
      </c>
      <c r="Q61" s="160" t="e">
        <f t="shared" ca="1" si="13"/>
        <v>#N/A</v>
      </c>
      <c r="R61" s="160" t="e">
        <f t="shared" ca="1" si="14"/>
        <v>#N/A</v>
      </c>
      <c r="S61" s="160" t="e">
        <f t="shared" ca="1" si="14"/>
        <v>#N/A</v>
      </c>
      <c r="T61" s="160" t="e">
        <f t="shared" ca="1" si="14"/>
        <v>#N/A</v>
      </c>
      <c r="U61" s="160" t="e">
        <f t="shared" ca="1" si="14"/>
        <v>#N/A</v>
      </c>
      <c r="V61" s="163" t="e">
        <f t="shared" ca="1" si="5"/>
        <v>#N/A</v>
      </c>
      <c r="W61" s="163" t="e">
        <f t="shared" ca="1" si="6"/>
        <v>#N/A</v>
      </c>
      <c r="X61" s="163" t="e">
        <f t="shared" ca="1" si="7"/>
        <v>#N/A</v>
      </c>
      <c r="Y61" s="163" t="e">
        <f t="shared" ca="1" si="8"/>
        <v>#N/A</v>
      </c>
    </row>
    <row r="62" spans="6:25" ht="14.4">
      <c r="L62" s="464"/>
      <c r="M62" s="129" t="e">
        <f t="shared" si="9"/>
        <v>#N/A</v>
      </c>
      <c r="N62" s="161">
        <f t="shared" si="11"/>
        <v>13</v>
      </c>
      <c r="O62" s="160" t="e">
        <f t="shared" ca="1" si="12"/>
        <v>#N/A</v>
      </c>
      <c r="P62" s="160" t="e">
        <f t="shared" ca="1" si="13"/>
        <v>#N/A</v>
      </c>
      <c r="Q62" s="160" t="e">
        <f t="shared" ca="1" si="13"/>
        <v>#N/A</v>
      </c>
      <c r="R62" s="160" t="e">
        <f t="shared" ca="1" si="14"/>
        <v>#N/A</v>
      </c>
      <c r="S62" s="160" t="e">
        <f t="shared" ca="1" si="14"/>
        <v>#N/A</v>
      </c>
      <c r="T62" s="160" t="e">
        <f t="shared" ca="1" si="14"/>
        <v>#N/A</v>
      </c>
      <c r="U62" s="160" t="e">
        <f t="shared" ca="1" si="14"/>
        <v>#N/A</v>
      </c>
      <c r="V62" s="163" t="e">
        <f t="shared" ca="1" si="5"/>
        <v>#N/A</v>
      </c>
      <c r="W62" s="163" t="e">
        <f t="shared" ca="1" si="6"/>
        <v>#N/A</v>
      </c>
      <c r="X62" s="163" t="e">
        <f t="shared" ca="1" si="7"/>
        <v>#N/A</v>
      </c>
      <c r="Y62" s="163" t="e">
        <f t="shared" ca="1" si="8"/>
        <v>#N/A</v>
      </c>
    </row>
    <row r="63" spans="6:25" ht="14.4">
      <c r="L63" s="464"/>
      <c r="M63" s="129" t="e">
        <f t="shared" si="9"/>
        <v>#N/A</v>
      </c>
      <c r="N63" s="161">
        <f t="shared" si="11"/>
        <v>13</v>
      </c>
      <c r="O63" s="160" t="e">
        <f t="shared" ca="1" si="12"/>
        <v>#N/A</v>
      </c>
      <c r="P63" s="160" t="e">
        <f t="shared" ca="1" si="13"/>
        <v>#N/A</v>
      </c>
      <c r="Q63" s="160" t="e">
        <f t="shared" ca="1" si="13"/>
        <v>#N/A</v>
      </c>
      <c r="R63" s="160" t="e">
        <f t="shared" ca="1" si="14"/>
        <v>#N/A</v>
      </c>
      <c r="S63" s="160" t="e">
        <f t="shared" ca="1" si="14"/>
        <v>#N/A</v>
      </c>
      <c r="T63" s="160" t="e">
        <f t="shared" ca="1" si="14"/>
        <v>#N/A</v>
      </c>
      <c r="U63" s="160" t="e">
        <f t="shared" ca="1" si="14"/>
        <v>#N/A</v>
      </c>
      <c r="V63" s="163" t="e">
        <f t="shared" ca="1" si="5"/>
        <v>#N/A</v>
      </c>
      <c r="W63" s="163" t="e">
        <f t="shared" ca="1" si="6"/>
        <v>#N/A</v>
      </c>
      <c r="X63" s="163" t="e">
        <f t="shared" ca="1" si="7"/>
        <v>#N/A</v>
      </c>
      <c r="Y63" s="163" t="e">
        <f t="shared" ca="1" si="8"/>
        <v>#N/A</v>
      </c>
    </row>
    <row r="64" spans="6:25" ht="14.4">
      <c r="L64" s="464"/>
      <c r="M64" s="129" t="e">
        <f t="shared" si="9"/>
        <v>#N/A</v>
      </c>
      <c r="N64" s="161">
        <f t="shared" si="11"/>
        <v>13</v>
      </c>
      <c r="O64" s="160" t="e">
        <f t="shared" ca="1" si="12"/>
        <v>#N/A</v>
      </c>
      <c r="P64" s="160" t="e">
        <f t="shared" ca="1" si="13"/>
        <v>#N/A</v>
      </c>
      <c r="Q64" s="160" t="e">
        <f t="shared" ca="1" si="13"/>
        <v>#N/A</v>
      </c>
      <c r="R64" s="160" t="e">
        <f t="shared" ca="1" si="14"/>
        <v>#N/A</v>
      </c>
      <c r="S64" s="160" t="e">
        <f t="shared" ca="1" si="14"/>
        <v>#N/A</v>
      </c>
      <c r="T64" s="160" t="e">
        <f t="shared" ca="1" si="14"/>
        <v>#N/A</v>
      </c>
      <c r="U64" s="160" t="e">
        <f t="shared" ca="1" si="14"/>
        <v>#N/A</v>
      </c>
      <c r="V64" s="163" t="e">
        <f t="shared" ca="1" si="5"/>
        <v>#N/A</v>
      </c>
      <c r="W64" s="163" t="e">
        <f t="shared" ca="1" si="6"/>
        <v>#N/A</v>
      </c>
      <c r="X64" s="163" t="e">
        <f t="shared" ca="1" si="7"/>
        <v>#N/A</v>
      </c>
      <c r="Y64" s="163" t="e">
        <f t="shared" ca="1" si="8"/>
        <v>#N/A</v>
      </c>
    </row>
    <row r="65" spans="12:25" ht="14.4">
      <c r="L65" s="464"/>
      <c r="M65" s="129" t="e">
        <f t="shared" si="9"/>
        <v>#N/A</v>
      </c>
      <c r="N65" s="161">
        <f t="shared" si="11"/>
        <v>13</v>
      </c>
      <c r="O65" s="160" t="e">
        <f t="shared" ca="1" si="12"/>
        <v>#N/A</v>
      </c>
      <c r="P65" s="160" t="e">
        <f t="shared" ca="1" si="13"/>
        <v>#N/A</v>
      </c>
      <c r="Q65" s="160" t="e">
        <f t="shared" ca="1" si="13"/>
        <v>#N/A</v>
      </c>
      <c r="R65" s="160" t="e">
        <f t="shared" ca="1" si="14"/>
        <v>#N/A</v>
      </c>
      <c r="S65" s="160" t="e">
        <f t="shared" ca="1" si="14"/>
        <v>#N/A</v>
      </c>
      <c r="T65" s="160" t="e">
        <f t="shared" ca="1" si="14"/>
        <v>#N/A</v>
      </c>
      <c r="U65" s="160" t="e">
        <f t="shared" ca="1" si="14"/>
        <v>#N/A</v>
      </c>
      <c r="V65" s="163" t="e">
        <f t="shared" ca="1" si="5"/>
        <v>#N/A</v>
      </c>
      <c r="W65" s="163" t="e">
        <f t="shared" ca="1" si="6"/>
        <v>#N/A</v>
      </c>
      <c r="X65" s="163" t="e">
        <f t="shared" ca="1" si="7"/>
        <v>#N/A</v>
      </c>
      <c r="Y65" s="163" t="e">
        <f t="shared" ca="1" si="8"/>
        <v>#N/A</v>
      </c>
    </row>
    <row r="66" spans="12:25" ht="14.4">
      <c r="L66" s="464"/>
      <c r="M66" s="129" t="e">
        <f t="shared" si="9"/>
        <v>#N/A</v>
      </c>
      <c r="N66" s="161">
        <f t="shared" si="11"/>
        <v>13</v>
      </c>
      <c r="O66" s="160" t="e">
        <f t="shared" ca="1" si="12"/>
        <v>#N/A</v>
      </c>
      <c r="P66" s="160" t="e">
        <f t="shared" ref="P66:Q85" ca="1" si="15">IF($M66="end",0,OFFSET($A$1,$M66-1,P$29,1,1))</f>
        <v>#N/A</v>
      </c>
      <c r="Q66" s="160" t="e">
        <f t="shared" ca="1" si="15"/>
        <v>#N/A</v>
      </c>
      <c r="R66" s="160" t="e">
        <f t="shared" ca="1" si="14"/>
        <v>#N/A</v>
      </c>
      <c r="S66" s="160" t="e">
        <f t="shared" ca="1" si="14"/>
        <v>#N/A</v>
      </c>
      <c r="T66" s="160" t="e">
        <f t="shared" ca="1" si="14"/>
        <v>#N/A</v>
      </c>
      <c r="U66" s="160" t="e">
        <f t="shared" ca="1" si="14"/>
        <v>#N/A</v>
      </c>
      <c r="V66" s="163" t="e">
        <f t="shared" ca="1" si="5"/>
        <v>#N/A</v>
      </c>
      <c r="W66" s="163" t="e">
        <f t="shared" ca="1" si="6"/>
        <v>#N/A</v>
      </c>
      <c r="X66" s="163" t="e">
        <f t="shared" ca="1" si="7"/>
        <v>#N/A</v>
      </c>
      <c r="Y66" s="163" t="e">
        <f t="shared" ca="1" si="8"/>
        <v>#N/A</v>
      </c>
    </row>
    <row r="67" spans="12:25" ht="14.4">
      <c r="L67" s="464"/>
      <c r="M67" s="129" t="e">
        <f t="shared" si="9"/>
        <v>#N/A</v>
      </c>
      <c r="N67" s="161">
        <f t="shared" si="11"/>
        <v>13</v>
      </c>
      <c r="O67" s="160" t="e">
        <f t="shared" ca="1" si="12"/>
        <v>#N/A</v>
      </c>
      <c r="P67" s="160" t="e">
        <f t="shared" ca="1" si="15"/>
        <v>#N/A</v>
      </c>
      <c r="Q67" s="160" t="e">
        <f t="shared" ca="1" si="15"/>
        <v>#N/A</v>
      </c>
      <c r="R67" s="160" t="e">
        <f t="shared" ca="1" si="14"/>
        <v>#N/A</v>
      </c>
      <c r="S67" s="160" t="e">
        <f t="shared" ca="1" si="14"/>
        <v>#N/A</v>
      </c>
      <c r="T67" s="160" t="e">
        <f t="shared" ca="1" si="14"/>
        <v>#N/A</v>
      </c>
      <c r="U67" s="160" t="e">
        <f t="shared" ca="1" si="14"/>
        <v>#N/A</v>
      </c>
      <c r="V67" s="163" t="e">
        <f t="shared" ca="1" si="5"/>
        <v>#N/A</v>
      </c>
      <c r="W67" s="163" t="e">
        <f t="shared" ca="1" si="6"/>
        <v>#N/A</v>
      </c>
      <c r="X67" s="163" t="e">
        <f t="shared" ca="1" si="7"/>
        <v>#N/A</v>
      </c>
      <c r="Y67" s="163" t="e">
        <f t="shared" ca="1" si="8"/>
        <v>#N/A</v>
      </c>
    </row>
    <row r="68" spans="12:25" ht="14.4">
      <c r="L68" s="464"/>
      <c r="M68" s="129" t="e">
        <f t="shared" si="9"/>
        <v>#N/A</v>
      </c>
      <c r="N68" s="161">
        <f t="shared" si="11"/>
        <v>13</v>
      </c>
      <c r="O68" s="160" t="e">
        <f t="shared" ca="1" si="12"/>
        <v>#N/A</v>
      </c>
      <c r="P68" s="160" t="e">
        <f t="shared" ca="1" si="15"/>
        <v>#N/A</v>
      </c>
      <c r="Q68" s="160" t="e">
        <f t="shared" ca="1" si="15"/>
        <v>#N/A</v>
      </c>
      <c r="R68" s="160" t="e">
        <f t="shared" ca="1" si="14"/>
        <v>#N/A</v>
      </c>
      <c r="S68" s="160" t="e">
        <f t="shared" ca="1" si="14"/>
        <v>#N/A</v>
      </c>
      <c r="T68" s="160" t="e">
        <f t="shared" ca="1" si="14"/>
        <v>#N/A</v>
      </c>
      <c r="U68" s="160" t="e">
        <f t="shared" ca="1" si="14"/>
        <v>#N/A</v>
      </c>
      <c r="V68" s="163" t="e">
        <f t="shared" ca="1" si="5"/>
        <v>#N/A</v>
      </c>
      <c r="W68" s="163" t="e">
        <f t="shared" ca="1" si="6"/>
        <v>#N/A</v>
      </c>
      <c r="X68" s="163" t="e">
        <f t="shared" ca="1" si="7"/>
        <v>#N/A</v>
      </c>
      <c r="Y68" s="163" t="e">
        <f t="shared" ca="1" si="8"/>
        <v>#N/A</v>
      </c>
    </row>
    <row r="69" spans="12:25" ht="14.4">
      <c r="L69" s="464"/>
      <c r="M69" s="129" t="e">
        <f t="shared" si="9"/>
        <v>#N/A</v>
      </c>
      <c r="N69" s="161">
        <f t="shared" si="11"/>
        <v>13</v>
      </c>
      <c r="O69" s="160" t="e">
        <f t="shared" ca="1" si="12"/>
        <v>#N/A</v>
      </c>
      <c r="P69" s="160" t="e">
        <f t="shared" ca="1" si="15"/>
        <v>#N/A</v>
      </c>
      <c r="Q69" s="160" t="e">
        <f t="shared" ca="1" si="15"/>
        <v>#N/A</v>
      </c>
      <c r="R69" s="160" t="e">
        <f t="shared" ca="1" si="14"/>
        <v>#N/A</v>
      </c>
      <c r="S69" s="160" t="e">
        <f t="shared" ca="1" si="14"/>
        <v>#N/A</v>
      </c>
      <c r="T69" s="160" t="e">
        <f t="shared" ca="1" si="14"/>
        <v>#N/A</v>
      </c>
      <c r="U69" s="160" t="e">
        <f t="shared" ca="1" si="14"/>
        <v>#N/A</v>
      </c>
      <c r="V69" s="163" t="e">
        <f t="shared" ca="1" si="5"/>
        <v>#N/A</v>
      </c>
      <c r="W69" s="163" t="e">
        <f t="shared" ca="1" si="6"/>
        <v>#N/A</v>
      </c>
      <c r="X69" s="163" t="e">
        <f t="shared" ca="1" si="7"/>
        <v>#N/A</v>
      </c>
      <c r="Y69" s="163" t="e">
        <f t="shared" ca="1" si="8"/>
        <v>#N/A</v>
      </c>
    </row>
    <row r="70" spans="12:25" ht="14.4">
      <c r="L70" s="464"/>
      <c r="M70" s="129" t="e">
        <f t="shared" si="9"/>
        <v>#N/A</v>
      </c>
      <c r="N70" s="161">
        <f t="shared" si="11"/>
        <v>13</v>
      </c>
      <c r="O70" s="160" t="e">
        <f t="shared" ca="1" si="12"/>
        <v>#N/A</v>
      </c>
      <c r="P70" s="160" t="e">
        <f t="shared" ca="1" si="15"/>
        <v>#N/A</v>
      </c>
      <c r="Q70" s="160" t="e">
        <f t="shared" ca="1" si="15"/>
        <v>#N/A</v>
      </c>
      <c r="R70" s="160" t="e">
        <f t="shared" ca="1" si="14"/>
        <v>#N/A</v>
      </c>
      <c r="S70" s="160" t="e">
        <f t="shared" ca="1" si="14"/>
        <v>#N/A</v>
      </c>
      <c r="T70" s="160" t="e">
        <f t="shared" ca="1" si="14"/>
        <v>#N/A</v>
      </c>
      <c r="U70" s="160" t="e">
        <f t="shared" ca="1" si="14"/>
        <v>#N/A</v>
      </c>
      <c r="V70" s="163" t="e">
        <f t="shared" ca="1" si="5"/>
        <v>#N/A</v>
      </c>
      <c r="W70" s="163" t="e">
        <f t="shared" ca="1" si="6"/>
        <v>#N/A</v>
      </c>
      <c r="X70" s="163" t="e">
        <f t="shared" ca="1" si="7"/>
        <v>#N/A</v>
      </c>
      <c r="Y70" s="163" t="e">
        <f t="shared" ca="1" si="8"/>
        <v>#N/A</v>
      </c>
    </row>
    <row r="71" spans="12:25" ht="14.4">
      <c r="L71" s="464"/>
      <c r="M71" s="129" t="e">
        <f t="shared" si="9"/>
        <v>#N/A</v>
      </c>
      <c r="N71" s="161">
        <f t="shared" si="11"/>
        <v>13</v>
      </c>
      <c r="O71" s="160" t="e">
        <f t="shared" ca="1" si="12"/>
        <v>#N/A</v>
      </c>
      <c r="P71" s="160" t="e">
        <f t="shared" ca="1" si="15"/>
        <v>#N/A</v>
      </c>
      <c r="Q71" s="160" t="e">
        <f t="shared" ca="1" si="15"/>
        <v>#N/A</v>
      </c>
      <c r="R71" s="160" t="e">
        <f t="shared" ca="1" si="14"/>
        <v>#N/A</v>
      </c>
      <c r="S71" s="160" t="e">
        <f t="shared" ca="1" si="14"/>
        <v>#N/A</v>
      </c>
      <c r="T71" s="160" t="e">
        <f t="shared" ca="1" si="14"/>
        <v>#N/A</v>
      </c>
      <c r="U71" s="160" t="e">
        <f t="shared" ca="1" si="14"/>
        <v>#N/A</v>
      </c>
      <c r="V71" s="163" t="e">
        <f t="shared" ca="1" si="5"/>
        <v>#N/A</v>
      </c>
      <c r="W71" s="163" t="e">
        <f t="shared" ca="1" si="6"/>
        <v>#N/A</v>
      </c>
      <c r="X71" s="163" t="e">
        <f t="shared" ca="1" si="7"/>
        <v>#N/A</v>
      </c>
      <c r="Y71" s="163" t="e">
        <f t="shared" ca="1" si="8"/>
        <v>#N/A</v>
      </c>
    </row>
    <row r="72" spans="12:25" ht="14.4">
      <c r="L72" s="464"/>
      <c r="M72" s="129" t="e">
        <f t="shared" si="9"/>
        <v>#N/A</v>
      </c>
      <c r="N72" s="161">
        <f t="shared" si="11"/>
        <v>13</v>
      </c>
      <c r="O72" s="160" t="e">
        <f t="shared" ca="1" si="12"/>
        <v>#N/A</v>
      </c>
      <c r="P72" s="160" t="e">
        <f t="shared" ca="1" si="15"/>
        <v>#N/A</v>
      </c>
      <c r="Q72" s="160" t="e">
        <f t="shared" ca="1" si="15"/>
        <v>#N/A</v>
      </c>
      <c r="R72" s="160" t="e">
        <f t="shared" ca="1" si="14"/>
        <v>#N/A</v>
      </c>
      <c r="S72" s="160" t="e">
        <f t="shared" ca="1" si="14"/>
        <v>#N/A</v>
      </c>
      <c r="T72" s="160" t="e">
        <f t="shared" ca="1" si="14"/>
        <v>#N/A</v>
      </c>
      <c r="U72" s="160" t="e">
        <f t="shared" ca="1" si="14"/>
        <v>#N/A</v>
      </c>
      <c r="V72" s="163" t="e">
        <f t="shared" ca="1" si="5"/>
        <v>#N/A</v>
      </c>
      <c r="W72" s="163" t="e">
        <f t="shared" ca="1" si="6"/>
        <v>#N/A</v>
      </c>
      <c r="X72" s="163" t="e">
        <f t="shared" ca="1" si="7"/>
        <v>#N/A</v>
      </c>
      <c r="Y72" s="163" t="e">
        <f t="shared" ca="1" si="8"/>
        <v>#N/A</v>
      </c>
    </row>
    <row r="73" spans="12:25" ht="14.4">
      <c r="L73" s="464"/>
      <c r="M73" s="129" t="e">
        <f t="shared" si="9"/>
        <v>#N/A</v>
      </c>
      <c r="N73" s="161">
        <f t="shared" si="11"/>
        <v>13</v>
      </c>
      <c r="O73" s="160" t="e">
        <f t="shared" ca="1" si="12"/>
        <v>#N/A</v>
      </c>
      <c r="P73" s="160" t="e">
        <f t="shared" ca="1" si="15"/>
        <v>#N/A</v>
      </c>
      <c r="Q73" s="160" t="e">
        <f t="shared" ca="1" si="15"/>
        <v>#N/A</v>
      </c>
      <c r="R73" s="160" t="e">
        <f t="shared" ca="1" si="14"/>
        <v>#N/A</v>
      </c>
      <c r="S73" s="160" t="e">
        <f t="shared" ca="1" si="14"/>
        <v>#N/A</v>
      </c>
      <c r="T73" s="160" t="e">
        <f t="shared" ca="1" si="14"/>
        <v>#N/A</v>
      </c>
      <c r="U73" s="160" t="e">
        <f t="shared" ca="1" si="14"/>
        <v>#N/A</v>
      </c>
      <c r="V73" s="163" t="e">
        <f t="shared" ca="1" si="5"/>
        <v>#N/A</v>
      </c>
      <c r="W73" s="163" t="e">
        <f t="shared" ca="1" si="6"/>
        <v>#N/A</v>
      </c>
      <c r="X73" s="163" t="e">
        <f t="shared" ca="1" si="7"/>
        <v>#N/A</v>
      </c>
      <c r="Y73" s="163" t="e">
        <f t="shared" ca="1" si="8"/>
        <v>#N/A</v>
      </c>
    </row>
    <row r="74" spans="12:25" ht="14.4">
      <c r="L74" s="464"/>
      <c r="M74" s="129" t="e">
        <f t="shared" si="9"/>
        <v>#N/A</v>
      </c>
      <c r="N74" s="161">
        <f t="shared" si="11"/>
        <v>13</v>
      </c>
      <c r="O74" s="160" t="e">
        <f t="shared" ca="1" si="12"/>
        <v>#N/A</v>
      </c>
      <c r="P74" s="160" t="e">
        <f t="shared" ca="1" si="15"/>
        <v>#N/A</v>
      </c>
      <c r="Q74" s="160" t="e">
        <f t="shared" ca="1" si="15"/>
        <v>#N/A</v>
      </c>
      <c r="R74" s="160" t="e">
        <f t="shared" ca="1" si="14"/>
        <v>#N/A</v>
      </c>
      <c r="S74" s="160" t="e">
        <f t="shared" ca="1" si="14"/>
        <v>#N/A</v>
      </c>
      <c r="T74" s="160" t="e">
        <f t="shared" ca="1" si="14"/>
        <v>#N/A</v>
      </c>
      <c r="U74" s="160" t="e">
        <f t="shared" ca="1" si="14"/>
        <v>#N/A</v>
      </c>
      <c r="V74" s="163" t="e">
        <f t="shared" ca="1" si="5"/>
        <v>#N/A</v>
      </c>
      <c r="W74" s="163" t="e">
        <f t="shared" ca="1" si="6"/>
        <v>#N/A</v>
      </c>
      <c r="X74" s="163" t="e">
        <f t="shared" ca="1" si="7"/>
        <v>#N/A</v>
      </c>
      <c r="Y74" s="163" t="e">
        <f t="shared" ca="1" si="8"/>
        <v>#N/A</v>
      </c>
    </row>
    <row r="75" spans="12:25" ht="14.4">
      <c r="L75" s="464"/>
      <c r="M75" s="129" t="e">
        <f t="shared" si="9"/>
        <v>#N/A</v>
      </c>
      <c r="N75" s="161">
        <f t="shared" si="11"/>
        <v>13</v>
      </c>
      <c r="O75" s="160" t="e">
        <f t="shared" ca="1" si="12"/>
        <v>#N/A</v>
      </c>
      <c r="P75" s="160" t="e">
        <f t="shared" ca="1" si="15"/>
        <v>#N/A</v>
      </c>
      <c r="Q75" s="160" t="e">
        <f t="shared" ca="1" si="15"/>
        <v>#N/A</v>
      </c>
      <c r="R75" s="160" t="e">
        <f t="shared" ca="1" si="14"/>
        <v>#N/A</v>
      </c>
      <c r="S75" s="160" t="e">
        <f t="shared" ca="1" si="14"/>
        <v>#N/A</v>
      </c>
      <c r="T75" s="160" t="e">
        <f t="shared" ca="1" si="14"/>
        <v>#N/A</v>
      </c>
      <c r="U75" s="160" t="e">
        <f t="shared" ca="1" si="14"/>
        <v>#N/A</v>
      </c>
      <c r="V75" s="163" t="e">
        <f t="shared" ca="1" si="5"/>
        <v>#N/A</v>
      </c>
      <c r="W75" s="163" t="e">
        <f t="shared" ca="1" si="6"/>
        <v>#N/A</v>
      </c>
      <c r="X75" s="163" t="e">
        <f t="shared" ca="1" si="7"/>
        <v>#N/A</v>
      </c>
      <c r="Y75" s="163" t="e">
        <f t="shared" ca="1" si="8"/>
        <v>#N/A</v>
      </c>
    </row>
    <row r="76" spans="12:25" ht="14.4">
      <c r="L76" s="464"/>
      <c r="M76" s="129" t="e">
        <f t="shared" si="9"/>
        <v>#N/A</v>
      </c>
      <c r="N76" s="161">
        <f t="shared" si="11"/>
        <v>13</v>
      </c>
      <c r="O76" s="160" t="e">
        <f t="shared" ca="1" si="12"/>
        <v>#N/A</v>
      </c>
      <c r="P76" s="160" t="e">
        <f t="shared" ca="1" si="15"/>
        <v>#N/A</v>
      </c>
      <c r="Q76" s="160" t="e">
        <f t="shared" ca="1" si="15"/>
        <v>#N/A</v>
      </c>
      <c r="R76" s="160" t="e">
        <f t="shared" ca="1" si="14"/>
        <v>#N/A</v>
      </c>
      <c r="S76" s="160" t="e">
        <f t="shared" ca="1" si="14"/>
        <v>#N/A</v>
      </c>
      <c r="T76" s="160" t="e">
        <f t="shared" ca="1" si="14"/>
        <v>#N/A</v>
      </c>
      <c r="U76" s="160" t="e">
        <f t="shared" ca="1" si="14"/>
        <v>#N/A</v>
      </c>
      <c r="V76" s="163" t="e">
        <f t="shared" ca="1" si="5"/>
        <v>#N/A</v>
      </c>
      <c r="W76" s="163" t="e">
        <f t="shared" ca="1" si="6"/>
        <v>#N/A</v>
      </c>
      <c r="X76" s="163" t="e">
        <f t="shared" ca="1" si="7"/>
        <v>#N/A</v>
      </c>
      <c r="Y76" s="163" t="e">
        <f t="shared" ca="1" si="8"/>
        <v>#N/A</v>
      </c>
    </row>
    <row r="77" spans="12:25" ht="14.4">
      <c r="L77" s="464"/>
      <c r="M77" s="129" t="e">
        <f t="shared" si="9"/>
        <v>#N/A</v>
      </c>
      <c r="N77" s="161">
        <f t="shared" si="11"/>
        <v>13</v>
      </c>
      <c r="O77" s="160" t="e">
        <f t="shared" ca="1" si="12"/>
        <v>#N/A</v>
      </c>
      <c r="P77" s="160" t="e">
        <f t="shared" ca="1" si="15"/>
        <v>#N/A</v>
      </c>
      <c r="Q77" s="160" t="e">
        <f t="shared" ca="1" si="15"/>
        <v>#N/A</v>
      </c>
      <c r="R77" s="160" t="e">
        <f t="shared" ca="1" si="14"/>
        <v>#N/A</v>
      </c>
      <c r="S77" s="160" t="e">
        <f t="shared" ca="1" si="14"/>
        <v>#N/A</v>
      </c>
      <c r="T77" s="160" t="e">
        <f t="shared" ca="1" si="14"/>
        <v>#N/A</v>
      </c>
      <c r="U77" s="160" t="e">
        <f t="shared" ca="1" si="14"/>
        <v>#N/A</v>
      </c>
      <c r="V77" s="163" t="e">
        <f t="shared" ca="1" si="5"/>
        <v>#N/A</v>
      </c>
      <c r="W77" s="163" t="e">
        <f t="shared" ca="1" si="6"/>
        <v>#N/A</v>
      </c>
      <c r="X77" s="163" t="e">
        <f t="shared" ca="1" si="7"/>
        <v>#N/A</v>
      </c>
      <c r="Y77" s="163" t="e">
        <f t="shared" ca="1" si="8"/>
        <v>#N/A</v>
      </c>
    </row>
    <row r="78" spans="12:25" ht="14.4">
      <c r="L78" s="464"/>
      <c r="M78" s="129" t="e">
        <f t="shared" si="9"/>
        <v>#N/A</v>
      </c>
      <c r="N78" s="161">
        <f t="shared" si="11"/>
        <v>13</v>
      </c>
      <c r="O78" s="160" t="e">
        <f t="shared" ca="1" si="12"/>
        <v>#N/A</v>
      </c>
      <c r="P78" s="160" t="e">
        <f t="shared" ca="1" si="15"/>
        <v>#N/A</v>
      </c>
      <c r="Q78" s="160" t="e">
        <f t="shared" ca="1" si="15"/>
        <v>#N/A</v>
      </c>
      <c r="R78" s="160" t="e">
        <f t="shared" ca="1" si="14"/>
        <v>#N/A</v>
      </c>
      <c r="S78" s="160" t="e">
        <f t="shared" ca="1" si="14"/>
        <v>#N/A</v>
      </c>
      <c r="T78" s="160" t="e">
        <f t="shared" ca="1" si="14"/>
        <v>#N/A</v>
      </c>
      <c r="U78" s="160" t="e">
        <f t="shared" ca="1" si="14"/>
        <v>#N/A</v>
      </c>
      <c r="V78" s="163" t="e">
        <f t="shared" ca="1" si="5"/>
        <v>#N/A</v>
      </c>
      <c r="W78" s="163" t="e">
        <f t="shared" ca="1" si="6"/>
        <v>#N/A</v>
      </c>
      <c r="X78" s="163" t="e">
        <f t="shared" ca="1" si="7"/>
        <v>#N/A</v>
      </c>
      <c r="Y78" s="163" t="e">
        <f t="shared" ca="1" si="8"/>
        <v>#N/A</v>
      </c>
    </row>
    <row r="79" spans="12:25" ht="14.4">
      <c r="L79" s="464"/>
      <c r="M79" s="129" t="e">
        <f t="shared" si="9"/>
        <v>#N/A</v>
      </c>
      <c r="N79" s="161">
        <f t="shared" si="11"/>
        <v>13</v>
      </c>
      <c r="O79" s="160" t="e">
        <f t="shared" ca="1" si="12"/>
        <v>#N/A</v>
      </c>
      <c r="P79" s="160" t="e">
        <f t="shared" ca="1" si="15"/>
        <v>#N/A</v>
      </c>
      <c r="Q79" s="160" t="e">
        <f t="shared" ca="1" si="15"/>
        <v>#N/A</v>
      </c>
      <c r="R79" s="160" t="e">
        <f t="shared" ca="1" si="14"/>
        <v>#N/A</v>
      </c>
      <c r="S79" s="160" t="e">
        <f t="shared" ca="1" si="14"/>
        <v>#N/A</v>
      </c>
      <c r="T79" s="160" t="e">
        <f t="shared" ca="1" si="14"/>
        <v>#N/A</v>
      </c>
      <c r="U79" s="160" t="e">
        <f t="shared" ca="1" si="14"/>
        <v>#N/A</v>
      </c>
      <c r="V79" s="163" t="e">
        <f t="shared" ca="1" si="5"/>
        <v>#N/A</v>
      </c>
      <c r="W79" s="163" t="e">
        <f t="shared" ca="1" si="6"/>
        <v>#N/A</v>
      </c>
      <c r="X79" s="163" t="e">
        <f t="shared" ca="1" si="7"/>
        <v>#N/A</v>
      </c>
      <c r="Y79" s="163" t="e">
        <f t="shared" ca="1" si="8"/>
        <v>#N/A</v>
      </c>
    </row>
    <row r="80" spans="12:25" ht="14.4">
      <c r="L80" s="464"/>
      <c r="M80" s="129" t="e">
        <f t="shared" si="9"/>
        <v>#N/A</v>
      </c>
      <c r="N80" s="161">
        <f t="shared" si="11"/>
        <v>13</v>
      </c>
      <c r="O80" s="160" t="e">
        <f t="shared" ca="1" si="12"/>
        <v>#N/A</v>
      </c>
      <c r="P80" s="160" t="e">
        <f t="shared" ca="1" si="15"/>
        <v>#N/A</v>
      </c>
      <c r="Q80" s="160" t="e">
        <f t="shared" ca="1" si="15"/>
        <v>#N/A</v>
      </c>
      <c r="R80" s="160" t="e">
        <f t="shared" ca="1" si="14"/>
        <v>#N/A</v>
      </c>
      <c r="S80" s="160" t="e">
        <f t="shared" ca="1" si="14"/>
        <v>#N/A</v>
      </c>
      <c r="T80" s="160" t="e">
        <f t="shared" ca="1" si="14"/>
        <v>#N/A</v>
      </c>
      <c r="U80" s="160" t="e">
        <f t="shared" ca="1" si="14"/>
        <v>#N/A</v>
      </c>
      <c r="V80" s="163" t="e">
        <f t="shared" ca="1" si="5"/>
        <v>#N/A</v>
      </c>
      <c r="W80" s="163" t="e">
        <f t="shared" ca="1" si="6"/>
        <v>#N/A</v>
      </c>
      <c r="X80" s="163" t="e">
        <f t="shared" ca="1" si="7"/>
        <v>#N/A</v>
      </c>
      <c r="Y80" s="163" t="e">
        <f t="shared" ca="1" si="8"/>
        <v>#N/A</v>
      </c>
    </row>
    <row r="81" spans="12:25" ht="14.4">
      <c r="L81" s="464"/>
      <c r="M81" s="129" t="e">
        <f t="shared" si="9"/>
        <v>#N/A</v>
      </c>
      <c r="N81" s="161">
        <f t="shared" si="11"/>
        <v>13</v>
      </c>
      <c r="O81" s="160" t="e">
        <f t="shared" ca="1" si="12"/>
        <v>#N/A</v>
      </c>
      <c r="P81" s="160" t="e">
        <f t="shared" ca="1" si="15"/>
        <v>#N/A</v>
      </c>
      <c r="Q81" s="160" t="e">
        <f t="shared" ca="1" si="15"/>
        <v>#N/A</v>
      </c>
      <c r="R81" s="160" t="e">
        <f t="shared" ca="1" si="14"/>
        <v>#N/A</v>
      </c>
      <c r="S81" s="160" t="e">
        <f t="shared" ca="1" si="14"/>
        <v>#N/A</v>
      </c>
      <c r="T81" s="160" t="e">
        <f t="shared" ca="1" si="14"/>
        <v>#N/A</v>
      </c>
      <c r="U81" s="160" t="e">
        <f t="shared" ca="1" si="14"/>
        <v>#N/A</v>
      </c>
      <c r="V81" s="163" t="e">
        <f t="shared" ca="1" si="5"/>
        <v>#N/A</v>
      </c>
      <c r="W81" s="163" t="e">
        <f t="shared" ca="1" si="6"/>
        <v>#N/A</v>
      </c>
      <c r="X81" s="163" t="e">
        <f t="shared" ca="1" si="7"/>
        <v>#N/A</v>
      </c>
      <c r="Y81" s="163" t="e">
        <f t="shared" ca="1" si="8"/>
        <v>#N/A</v>
      </c>
    </row>
    <row r="82" spans="12:25" ht="14.4">
      <c r="L82" s="464"/>
      <c r="M82" s="129" t="e">
        <f t="shared" si="9"/>
        <v>#N/A</v>
      </c>
      <c r="N82" s="161">
        <f t="shared" ref="N82:N145" si="16">N81</f>
        <v>13</v>
      </c>
      <c r="O82" s="160" t="e">
        <f t="shared" ca="1" si="12"/>
        <v>#N/A</v>
      </c>
      <c r="P82" s="160" t="e">
        <f t="shared" ca="1" si="15"/>
        <v>#N/A</v>
      </c>
      <c r="Q82" s="160" t="e">
        <f t="shared" ca="1" si="15"/>
        <v>#N/A</v>
      </c>
      <c r="R82" s="160" t="e">
        <f t="shared" ca="1" si="14"/>
        <v>#N/A</v>
      </c>
      <c r="S82" s="160" t="e">
        <f t="shared" ca="1" si="14"/>
        <v>#N/A</v>
      </c>
      <c r="T82" s="160" t="e">
        <f t="shared" ca="1" si="14"/>
        <v>#N/A</v>
      </c>
      <c r="U82" s="160" t="e">
        <f t="shared" ca="1" si="14"/>
        <v>#N/A</v>
      </c>
      <c r="V82" s="163" t="e">
        <f t="shared" ca="1" si="5"/>
        <v>#N/A</v>
      </c>
      <c r="W82" s="163" t="e">
        <f t="shared" ca="1" si="6"/>
        <v>#N/A</v>
      </c>
      <c r="X82" s="163" t="e">
        <f t="shared" ca="1" si="7"/>
        <v>#N/A</v>
      </c>
      <c r="Y82" s="163" t="e">
        <f t="shared" ca="1" si="8"/>
        <v>#N/A</v>
      </c>
    </row>
    <row r="83" spans="12:25" ht="14.4">
      <c r="L83" s="464"/>
      <c r="M83" s="129" t="e">
        <f t="shared" si="9"/>
        <v>#N/A</v>
      </c>
      <c r="N83" s="161">
        <f t="shared" si="16"/>
        <v>13</v>
      </c>
      <c r="O83" s="160" t="e">
        <f t="shared" ca="1" si="12"/>
        <v>#N/A</v>
      </c>
      <c r="P83" s="160" t="e">
        <f t="shared" ca="1" si="15"/>
        <v>#N/A</v>
      </c>
      <c r="Q83" s="160" t="e">
        <f t="shared" ca="1" si="15"/>
        <v>#N/A</v>
      </c>
      <c r="R83" s="160" t="e">
        <f t="shared" ca="1" si="14"/>
        <v>#N/A</v>
      </c>
      <c r="S83" s="160" t="e">
        <f t="shared" ca="1" si="14"/>
        <v>#N/A</v>
      </c>
      <c r="T83" s="160" t="e">
        <f t="shared" ca="1" si="14"/>
        <v>#N/A</v>
      </c>
      <c r="U83" s="160" t="e">
        <f t="shared" ca="1" si="14"/>
        <v>#N/A</v>
      </c>
      <c r="V83" s="163" t="e">
        <f t="shared" ca="1" si="5"/>
        <v>#N/A</v>
      </c>
      <c r="W83" s="163" t="e">
        <f t="shared" ca="1" si="6"/>
        <v>#N/A</v>
      </c>
      <c r="X83" s="163" t="e">
        <f t="shared" ca="1" si="7"/>
        <v>#N/A</v>
      </c>
      <c r="Y83" s="163" t="e">
        <f t="shared" ca="1" si="8"/>
        <v>#N/A</v>
      </c>
    </row>
    <row r="84" spans="12:25" ht="14.4">
      <c r="L84" s="464"/>
      <c r="M84" s="129" t="e">
        <f t="shared" si="9"/>
        <v>#N/A</v>
      </c>
      <c r="N84" s="161">
        <f t="shared" si="16"/>
        <v>13</v>
      </c>
      <c r="O84" s="160" t="e">
        <f t="shared" ca="1" si="12"/>
        <v>#N/A</v>
      </c>
      <c r="P84" s="160" t="e">
        <f t="shared" ca="1" si="15"/>
        <v>#N/A</v>
      </c>
      <c r="Q84" s="160" t="e">
        <f t="shared" ca="1" si="15"/>
        <v>#N/A</v>
      </c>
      <c r="R84" s="160" t="e">
        <f t="shared" ca="1" si="14"/>
        <v>#N/A</v>
      </c>
      <c r="S84" s="160" t="e">
        <f t="shared" ca="1" si="14"/>
        <v>#N/A</v>
      </c>
      <c r="T84" s="160" t="e">
        <f t="shared" ca="1" si="14"/>
        <v>#N/A</v>
      </c>
      <c r="U84" s="160" t="e">
        <f t="shared" ca="1" si="14"/>
        <v>#N/A</v>
      </c>
      <c r="V84" s="163" t="e">
        <f t="shared" ca="1" si="5"/>
        <v>#N/A</v>
      </c>
      <c r="W84" s="163" t="e">
        <f t="shared" ca="1" si="6"/>
        <v>#N/A</v>
      </c>
      <c r="X84" s="163" t="e">
        <f t="shared" ca="1" si="7"/>
        <v>#N/A</v>
      </c>
      <c r="Y84" s="163" t="e">
        <f t="shared" ca="1" si="8"/>
        <v>#N/A</v>
      </c>
    </row>
    <row r="85" spans="12:25" ht="14.4">
      <c r="L85" s="464"/>
      <c r="M85" s="129" t="e">
        <f t="shared" si="9"/>
        <v>#N/A</v>
      </c>
      <c r="N85" s="161">
        <f t="shared" si="16"/>
        <v>13</v>
      </c>
      <c r="O85" s="160" t="e">
        <f t="shared" ca="1" si="12"/>
        <v>#N/A</v>
      </c>
      <c r="P85" s="160" t="e">
        <f t="shared" ca="1" si="15"/>
        <v>#N/A</v>
      </c>
      <c r="Q85" s="160" t="e">
        <f t="shared" ca="1" si="15"/>
        <v>#N/A</v>
      </c>
      <c r="R85" s="160" t="e">
        <f t="shared" ca="1" si="14"/>
        <v>#N/A</v>
      </c>
      <c r="S85" s="160" t="e">
        <f t="shared" ca="1" si="14"/>
        <v>#N/A</v>
      </c>
      <c r="T85" s="160" t="e">
        <f t="shared" ca="1" si="14"/>
        <v>#N/A</v>
      </c>
      <c r="U85" s="160" t="e">
        <f t="shared" ca="1" si="14"/>
        <v>#N/A</v>
      </c>
      <c r="V85" s="163" t="e">
        <f t="shared" ca="1" si="5"/>
        <v>#N/A</v>
      </c>
      <c r="W85" s="163" t="e">
        <f t="shared" ca="1" si="6"/>
        <v>#N/A</v>
      </c>
      <c r="X85" s="163" t="e">
        <f t="shared" ca="1" si="7"/>
        <v>#N/A</v>
      </c>
      <c r="Y85" s="163" t="e">
        <f t="shared" ca="1" si="8"/>
        <v>#N/A</v>
      </c>
    </row>
    <row r="86" spans="12:25" ht="14.4">
      <c r="L86" s="464"/>
      <c r="M86" s="129" t="e">
        <f t="shared" si="9"/>
        <v>#N/A</v>
      </c>
      <c r="N86" s="161">
        <f t="shared" si="16"/>
        <v>13</v>
      </c>
      <c r="O86" s="160" t="e">
        <f t="shared" ca="1" si="12"/>
        <v>#N/A</v>
      </c>
      <c r="P86" s="160" t="e">
        <f t="shared" ref="P86:Q105" ca="1" si="17">IF($M86="end",0,OFFSET($A$1,$M86-1,P$29,1,1))</f>
        <v>#N/A</v>
      </c>
      <c r="Q86" s="160" t="e">
        <f t="shared" ca="1" si="17"/>
        <v>#N/A</v>
      </c>
      <c r="R86" s="160" t="e">
        <f t="shared" ca="1" si="14"/>
        <v>#N/A</v>
      </c>
      <c r="S86" s="160" t="e">
        <f t="shared" ca="1" si="14"/>
        <v>#N/A</v>
      </c>
      <c r="T86" s="160" t="e">
        <f t="shared" ca="1" si="14"/>
        <v>#N/A</v>
      </c>
      <c r="U86" s="160" t="e">
        <f t="shared" ca="1" si="14"/>
        <v>#N/A</v>
      </c>
      <c r="V86" s="163" t="e">
        <f t="shared" ca="1" si="5"/>
        <v>#N/A</v>
      </c>
      <c r="W86" s="163" t="e">
        <f t="shared" ca="1" si="6"/>
        <v>#N/A</v>
      </c>
      <c r="X86" s="163" t="e">
        <f t="shared" ca="1" si="7"/>
        <v>#N/A</v>
      </c>
      <c r="Y86" s="163" t="e">
        <f t="shared" ca="1" si="8"/>
        <v>#N/A</v>
      </c>
    </row>
    <row r="87" spans="12:25" ht="14.4">
      <c r="L87" s="464"/>
      <c r="M87" s="129" t="e">
        <f t="shared" si="9"/>
        <v>#N/A</v>
      </c>
      <c r="N87" s="161">
        <f t="shared" si="16"/>
        <v>13</v>
      </c>
      <c r="O87" s="160" t="e">
        <f t="shared" ca="1" si="12"/>
        <v>#N/A</v>
      </c>
      <c r="P87" s="160" t="e">
        <f t="shared" ca="1" si="17"/>
        <v>#N/A</v>
      </c>
      <c r="Q87" s="160" t="e">
        <f t="shared" ca="1" si="17"/>
        <v>#N/A</v>
      </c>
      <c r="R87" s="160" t="e">
        <f t="shared" ca="1" si="14"/>
        <v>#N/A</v>
      </c>
      <c r="S87" s="160" t="e">
        <f t="shared" ca="1" si="14"/>
        <v>#N/A</v>
      </c>
      <c r="T87" s="160" t="e">
        <f t="shared" ca="1" si="14"/>
        <v>#N/A</v>
      </c>
      <c r="U87" s="160" t="e">
        <f t="shared" ca="1" si="14"/>
        <v>#N/A</v>
      </c>
      <c r="V87" s="163" t="e">
        <f t="shared" ca="1" si="5"/>
        <v>#N/A</v>
      </c>
      <c r="W87" s="163" t="e">
        <f t="shared" ca="1" si="6"/>
        <v>#N/A</v>
      </c>
      <c r="X87" s="163" t="e">
        <f t="shared" ca="1" si="7"/>
        <v>#N/A</v>
      </c>
      <c r="Y87" s="163" t="e">
        <f t="shared" ca="1" si="8"/>
        <v>#N/A</v>
      </c>
    </row>
    <row r="88" spans="12:25" ht="14.4">
      <c r="L88" s="464"/>
      <c r="M88" s="129" t="e">
        <f t="shared" si="9"/>
        <v>#N/A</v>
      </c>
      <c r="N88" s="161">
        <f t="shared" si="16"/>
        <v>13</v>
      </c>
      <c r="O88" s="160" t="e">
        <f t="shared" ca="1" si="12"/>
        <v>#N/A</v>
      </c>
      <c r="P88" s="160" t="e">
        <f t="shared" ca="1" si="17"/>
        <v>#N/A</v>
      </c>
      <c r="Q88" s="160" t="e">
        <f t="shared" ca="1" si="17"/>
        <v>#N/A</v>
      </c>
      <c r="R88" s="160" t="e">
        <f t="shared" ca="1" si="14"/>
        <v>#N/A</v>
      </c>
      <c r="S88" s="160" t="e">
        <f t="shared" ca="1" si="14"/>
        <v>#N/A</v>
      </c>
      <c r="T88" s="160" t="e">
        <f t="shared" ca="1" si="14"/>
        <v>#N/A</v>
      </c>
      <c r="U88" s="160" t="e">
        <f t="shared" ca="1" si="14"/>
        <v>#N/A</v>
      </c>
      <c r="V88" s="163" t="e">
        <f t="shared" ca="1" si="5"/>
        <v>#N/A</v>
      </c>
      <c r="W88" s="163" t="e">
        <f t="shared" ca="1" si="6"/>
        <v>#N/A</v>
      </c>
      <c r="X88" s="163" t="e">
        <f t="shared" ca="1" si="7"/>
        <v>#N/A</v>
      </c>
      <c r="Y88" s="163" t="e">
        <f t="shared" ca="1" si="8"/>
        <v>#N/A</v>
      </c>
    </row>
    <row r="89" spans="12:25" ht="14.4">
      <c r="L89" s="464"/>
      <c r="M89" s="129" t="e">
        <f t="shared" si="9"/>
        <v>#N/A</v>
      </c>
      <c r="N89" s="161">
        <f t="shared" si="16"/>
        <v>13</v>
      </c>
      <c r="O89" s="160" t="e">
        <f t="shared" ca="1" si="12"/>
        <v>#N/A</v>
      </c>
      <c r="P89" s="160" t="e">
        <f t="shared" ca="1" si="17"/>
        <v>#N/A</v>
      </c>
      <c r="Q89" s="160" t="e">
        <f t="shared" ca="1" si="17"/>
        <v>#N/A</v>
      </c>
      <c r="R89" s="160" t="e">
        <f t="shared" ca="1" si="14"/>
        <v>#N/A</v>
      </c>
      <c r="S89" s="160" t="e">
        <f t="shared" ca="1" si="14"/>
        <v>#N/A</v>
      </c>
      <c r="T89" s="160" t="e">
        <f t="shared" ca="1" si="14"/>
        <v>#N/A</v>
      </c>
      <c r="U89" s="160" t="e">
        <f t="shared" ca="1" si="14"/>
        <v>#N/A</v>
      </c>
      <c r="V89" s="163" t="e">
        <f t="shared" ca="1" si="5"/>
        <v>#N/A</v>
      </c>
      <c r="W89" s="163" t="e">
        <f t="shared" ca="1" si="6"/>
        <v>#N/A</v>
      </c>
      <c r="X89" s="163" t="e">
        <f t="shared" ca="1" si="7"/>
        <v>#N/A</v>
      </c>
      <c r="Y89" s="163" t="e">
        <f t="shared" ca="1" si="8"/>
        <v>#N/A</v>
      </c>
    </row>
    <row r="90" spans="12:25" ht="14.4">
      <c r="L90" s="464"/>
      <c r="M90" s="129" t="e">
        <f t="shared" si="9"/>
        <v>#N/A</v>
      </c>
      <c r="N90" s="161">
        <f t="shared" si="16"/>
        <v>13</v>
      </c>
      <c r="O90" s="160" t="e">
        <f t="shared" ca="1" si="12"/>
        <v>#N/A</v>
      </c>
      <c r="P90" s="160" t="e">
        <f t="shared" ca="1" si="17"/>
        <v>#N/A</v>
      </c>
      <c r="Q90" s="160" t="e">
        <f t="shared" ca="1" si="17"/>
        <v>#N/A</v>
      </c>
      <c r="R90" s="160" t="e">
        <f t="shared" ca="1" si="14"/>
        <v>#N/A</v>
      </c>
      <c r="S90" s="160" t="e">
        <f t="shared" ca="1" si="14"/>
        <v>#N/A</v>
      </c>
      <c r="T90" s="160" t="e">
        <f t="shared" ca="1" si="14"/>
        <v>#N/A</v>
      </c>
      <c r="U90" s="160" t="e">
        <f t="shared" ca="1" si="14"/>
        <v>#N/A</v>
      </c>
      <c r="V90" s="163" t="e">
        <f t="shared" ca="1" si="5"/>
        <v>#N/A</v>
      </c>
      <c r="W90" s="163" t="e">
        <f t="shared" ca="1" si="6"/>
        <v>#N/A</v>
      </c>
      <c r="X90" s="163" t="e">
        <f t="shared" ca="1" si="7"/>
        <v>#N/A</v>
      </c>
      <c r="Y90" s="163" t="e">
        <f t="shared" ca="1" si="8"/>
        <v>#N/A</v>
      </c>
    </row>
    <row r="91" spans="12:25" ht="14.4">
      <c r="L91" s="464"/>
      <c r="M91" s="129" t="e">
        <f t="shared" si="9"/>
        <v>#N/A</v>
      </c>
      <c r="N91" s="161">
        <f t="shared" si="16"/>
        <v>13</v>
      </c>
      <c r="O91" s="160" t="e">
        <f t="shared" ca="1" si="12"/>
        <v>#N/A</v>
      </c>
      <c r="P91" s="160" t="e">
        <f t="shared" ca="1" si="17"/>
        <v>#N/A</v>
      </c>
      <c r="Q91" s="160" t="e">
        <f t="shared" ca="1" si="17"/>
        <v>#N/A</v>
      </c>
      <c r="R91" s="160" t="e">
        <f t="shared" ca="1" si="14"/>
        <v>#N/A</v>
      </c>
      <c r="S91" s="160" t="e">
        <f t="shared" ca="1" si="14"/>
        <v>#N/A</v>
      </c>
      <c r="T91" s="160" t="e">
        <f t="shared" ca="1" si="14"/>
        <v>#N/A</v>
      </c>
      <c r="U91" s="160" t="e">
        <f t="shared" ca="1" si="14"/>
        <v>#N/A</v>
      </c>
      <c r="V91" s="163" t="e">
        <f t="shared" ca="1" si="5"/>
        <v>#N/A</v>
      </c>
      <c r="W91" s="163" t="e">
        <f t="shared" ca="1" si="6"/>
        <v>#N/A</v>
      </c>
      <c r="X91" s="163" t="e">
        <f t="shared" ca="1" si="7"/>
        <v>#N/A</v>
      </c>
      <c r="Y91" s="163" t="e">
        <f t="shared" ca="1" si="8"/>
        <v>#N/A</v>
      </c>
    </row>
    <row r="92" spans="12:25" ht="14.4">
      <c r="L92" s="464"/>
      <c r="M92" s="129" t="e">
        <f t="shared" si="9"/>
        <v>#N/A</v>
      </c>
      <c r="N92" s="161">
        <f t="shared" si="16"/>
        <v>13</v>
      </c>
      <c r="O92" s="160" t="e">
        <f t="shared" ca="1" si="12"/>
        <v>#N/A</v>
      </c>
      <c r="P92" s="160" t="e">
        <f t="shared" ca="1" si="17"/>
        <v>#N/A</v>
      </c>
      <c r="Q92" s="160" t="e">
        <f t="shared" ca="1" si="17"/>
        <v>#N/A</v>
      </c>
      <c r="R92" s="160" t="e">
        <f t="shared" ca="1" si="14"/>
        <v>#N/A</v>
      </c>
      <c r="S92" s="160" t="e">
        <f t="shared" ca="1" si="14"/>
        <v>#N/A</v>
      </c>
      <c r="T92" s="160" t="e">
        <f t="shared" ca="1" si="14"/>
        <v>#N/A</v>
      </c>
      <c r="U92" s="160" t="e">
        <f t="shared" ca="1" si="14"/>
        <v>#N/A</v>
      </c>
      <c r="V92" s="163" t="e">
        <f t="shared" ca="1" si="5"/>
        <v>#N/A</v>
      </c>
      <c r="W92" s="163" t="e">
        <f t="shared" ca="1" si="6"/>
        <v>#N/A</v>
      </c>
      <c r="X92" s="163" t="e">
        <f t="shared" ca="1" si="7"/>
        <v>#N/A</v>
      </c>
      <c r="Y92" s="163" t="e">
        <f t="shared" ca="1" si="8"/>
        <v>#N/A</v>
      </c>
    </row>
    <row r="93" spans="12:25" ht="14.4">
      <c r="L93" s="464"/>
      <c r="M93" s="129" t="e">
        <f t="shared" si="9"/>
        <v>#N/A</v>
      </c>
      <c r="N93" s="161">
        <f t="shared" si="16"/>
        <v>13</v>
      </c>
      <c r="O93" s="160" t="e">
        <f t="shared" ca="1" si="12"/>
        <v>#N/A</v>
      </c>
      <c r="P93" s="160" t="e">
        <f t="shared" ca="1" si="17"/>
        <v>#N/A</v>
      </c>
      <c r="Q93" s="160" t="e">
        <f t="shared" ca="1" si="17"/>
        <v>#N/A</v>
      </c>
      <c r="R93" s="160" t="e">
        <f t="shared" ca="1" si="14"/>
        <v>#N/A</v>
      </c>
      <c r="S93" s="160" t="e">
        <f t="shared" ca="1" si="14"/>
        <v>#N/A</v>
      </c>
      <c r="T93" s="160" t="e">
        <f t="shared" ca="1" si="14"/>
        <v>#N/A</v>
      </c>
      <c r="U93" s="160" t="e">
        <f t="shared" ca="1" si="14"/>
        <v>#N/A</v>
      </c>
      <c r="V93" s="163" t="e">
        <f t="shared" ca="1" si="5"/>
        <v>#N/A</v>
      </c>
      <c r="W93" s="163" t="e">
        <f t="shared" ca="1" si="6"/>
        <v>#N/A</v>
      </c>
      <c r="X93" s="163" t="e">
        <f t="shared" ca="1" si="7"/>
        <v>#N/A</v>
      </c>
      <c r="Y93" s="163" t="e">
        <f t="shared" ca="1" si="8"/>
        <v>#N/A</v>
      </c>
    </row>
    <row r="94" spans="12:25" ht="14.4">
      <c r="L94" s="464"/>
      <c r="M94" s="129" t="e">
        <f t="shared" si="9"/>
        <v>#N/A</v>
      </c>
      <c r="N94" s="161">
        <f t="shared" si="16"/>
        <v>13</v>
      </c>
      <c r="O94" s="160" t="e">
        <f t="shared" ca="1" si="12"/>
        <v>#N/A</v>
      </c>
      <c r="P94" s="160" t="e">
        <f t="shared" ca="1" si="17"/>
        <v>#N/A</v>
      </c>
      <c r="Q94" s="160" t="e">
        <f t="shared" ca="1" si="17"/>
        <v>#N/A</v>
      </c>
      <c r="R94" s="160" t="e">
        <f t="shared" ca="1" si="14"/>
        <v>#N/A</v>
      </c>
      <c r="S94" s="160" t="e">
        <f t="shared" ca="1" si="14"/>
        <v>#N/A</v>
      </c>
      <c r="T94" s="160" t="e">
        <f t="shared" ca="1" si="14"/>
        <v>#N/A</v>
      </c>
      <c r="U94" s="160" t="e">
        <f t="shared" ca="1" si="14"/>
        <v>#N/A</v>
      </c>
      <c r="V94" s="163" t="e">
        <f t="shared" ca="1" si="5"/>
        <v>#N/A</v>
      </c>
      <c r="W94" s="163" t="e">
        <f t="shared" ca="1" si="6"/>
        <v>#N/A</v>
      </c>
      <c r="X94" s="163" t="e">
        <f t="shared" ca="1" si="7"/>
        <v>#N/A</v>
      </c>
      <c r="Y94" s="163" t="e">
        <f t="shared" ca="1" si="8"/>
        <v>#N/A</v>
      </c>
    </row>
    <row r="95" spans="12:25" ht="14.4">
      <c r="L95" s="464"/>
      <c r="M95" s="129" t="e">
        <f t="shared" si="9"/>
        <v>#N/A</v>
      </c>
      <c r="N95" s="161">
        <f t="shared" si="16"/>
        <v>13</v>
      </c>
      <c r="O95" s="160" t="e">
        <f t="shared" ca="1" si="12"/>
        <v>#N/A</v>
      </c>
      <c r="P95" s="160" t="e">
        <f t="shared" ca="1" si="17"/>
        <v>#N/A</v>
      </c>
      <c r="Q95" s="160" t="e">
        <f t="shared" ca="1" si="17"/>
        <v>#N/A</v>
      </c>
      <c r="R95" s="160" t="e">
        <f t="shared" ca="1" si="14"/>
        <v>#N/A</v>
      </c>
      <c r="S95" s="160" t="e">
        <f t="shared" ca="1" si="14"/>
        <v>#N/A</v>
      </c>
      <c r="T95" s="160" t="e">
        <f t="shared" ca="1" si="14"/>
        <v>#N/A</v>
      </c>
      <c r="U95" s="160" t="e">
        <f t="shared" ca="1" si="14"/>
        <v>#N/A</v>
      </c>
      <c r="V95" s="163" t="e">
        <f t="shared" ref="V95:V158" ca="1" si="18">IF(Q95=0,0,IF(S95=180,IF(R95=0,"Slab on Grade",IF(R95=1,"Exposed Floor",IF(R95=3,"Internal Floor",U95))),IF(S95&lt;45,IF(R95=3,"Internal Ceiling",IF(R95=1,"Roof",U95)))))</f>
        <v>#N/A</v>
      </c>
      <c r="W95" s="163" t="e">
        <f t="shared" ref="W95:W158" ca="1" si="19">IF(ISNUMBER(SEARCH($W$29,U95))=TRUE,IF(ISNUMBER(SEARCH($W$27,U95))=TRUE,IF(R95=1,"eFrame",IF(R95=3,"iFrame")),IF(R95=1,"eWindow",IF(R95=3,"iWindow"))),U95)</f>
        <v>#N/A</v>
      </c>
      <c r="X95" s="163" t="e">
        <f t="shared" ref="X95:X158" ca="1" si="20">IF(ISNUMBER(SEARCH($X$29,U95))=TRUE,IF(ISNUMBER(SEARCH($X$27,U95))=TRUE,IF(R95=1,"eFrameDoor",IF(R95=3,"iFrameDoor")),IF(R95=1,"eDoor",IF(R95=3,"iDoor"))),U95)</f>
        <v>#N/A</v>
      </c>
      <c r="Y95" s="163" t="e">
        <f t="shared" ref="Y95:Y158" ca="1" si="21">IF(ISNUMBER(SEARCH($W$29,U95))=TRUE,"Substract",IF(ISNUMBER(SEARCH($X$29,U95))=TRUE, "Sunstract",IF(S95=90,IF(R95=1,"External Wall",IF(R95=3,"Internal Wall",IF(R95=0,"Below Grade Wall",U95))),V95)))</f>
        <v>#N/A</v>
      </c>
    </row>
    <row r="96" spans="12:25" ht="14.4">
      <c r="L96" s="464"/>
      <c r="M96" s="129" t="e">
        <f t="shared" ref="M96:M159" si="22">IF(M95="end","end",IF(M95=$K$1,"end",M95+1))</f>
        <v>#N/A</v>
      </c>
      <c r="N96" s="161">
        <f t="shared" si="16"/>
        <v>13</v>
      </c>
      <c r="O96" s="160" t="e">
        <f t="shared" ca="1" si="12"/>
        <v>#N/A</v>
      </c>
      <c r="P96" s="160" t="e">
        <f t="shared" ca="1" si="17"/>
        <v>#N/A</v>
      </c>
      <c r="Q96" s="160" t="e">
        <f t="shared" ca="1" si="17"/>
        <v>#N/A</v>
      </c>
      <c r="R96" s="160" t="e">
        <f t="shared" ca="1" si="14"/>
        <v>#N/A</v>
      </c>
      <c r="S96" s="160" t="e">
        <f t="shared" ca="1" si="14"/>
        <v>#N/A</v>
      </c>
      <c r="T96" s="160" t="e">
        <f t="shared" ca="1" si="14"/>
        <v>#N/A</v>
      </c>
      <c r="U96" s="160" t="e">
        <f t="shared" ca="1" si="14"/>
        <v>#N/A</v>
      </c>
      <c r="V96" s="163" t="e">
        <f t="shared" ca="1" si="18"/>
        <v>#N/A</v>
      </c>
      <c r="W96" s="163" t="e">
        <f t="shared" ca="1" si="19"/>
        <v>#N/A</v>
      </c>
      <c r="X96" s="163" t="e">
        <f t="shared" ca="1" si="20"/>
        <v>#N/A</v>
      </c>
      <c r="Y96" s="163" t="e">
        <f t="shared" ca="1" si="21"/>
        <v>#N/A</v>
      </c>
    </row>
    <row r="97" spans="12:25" ht="14.4">
      <c r="L97" s="464"/>
      <c r="M97" s="129" t="e">
        <f t="shared" si="22"/>
        <v>#N/A</v>
      </c>
      <c r="N97" s="161">
        <f t="shared" si="16"/>
        <v>13</v>
      </c>
      <c r="O97" s="160" t="e">
        <f t="shared" ca="1" si="12"/>
        <v>#N/A</v>
      </c>
      <c r="P97" s="160" t="e">
        <f t="shared" ca="1" si="17"/>
        <v>#N/A</v>
      </c>
      <c r="Q97" s="160" t="e">
        <f t="shared" ca="1" si="17"/>
        <v>#N/A</v>
      </c>
      <c r="R97" s="160" t="e">
        <f t="shared" ca="1" si="14"/>
        <v>#N/A</v>
      </c>
      <c r="S97" s="160" t="e">
        <f t="shared" ca="1" si="14"/>
        <v>#N/A</v>
      </c>
      <c r="T97" s="160" t="e">
        <f t="shared" ca="1" si="14"/>
        <v>#N/A</v>
      </c>
      <c r="U97" s="160" t="e">
        <f t="shared" ca="1" si="14"/>
        <v>#N/A</v>
      </c>
      <c r="V97" s="163" t="e">
        <f t="shared" ca="1" si="18"/>
        <v>#N/A</v>
      </c>
      <c r="W97" s="163" t="e">
        <f t="shared" ca="1" si="19"/>
        <v>#N/A</v>
      </c>
      <c r="X97" s="163" t="e">
        <f t="shared" ca="1" si="20"/>
        <v>#N/A</v>
      </c>
      <c r="Y97" s="163" t="e">
        <f t="shared" ca="1" si="21"/>
        <v>#N/A</v>
      </c>
    </row>
    <row r="98" spans="12:25" ht="14.4">
      <c r="L98" s="464"/>
      <c r="M98" s="129" t="e">
        <f t="shared" si="22"/>
        <v>#N/A</v>
      </c>
      <c r="N98" s="161">
        <f t="shared" si="16"/>
        <v>13</v>
      </c>
      <c r="O98" s="160" t="e">
        <f t="shared" ca="1" si="12"/>
        <v>#N/A</v>
      </c>
      <c r="P98" s="160" t="e">
        <f t="shared" ca="1" si="17"/>
        <v>#N/A</v>
      </c>
      <c r="Q98" s="160" t="e">
        <f t="shared" ca="1" si="17"/>
        <v>#N/A</v>
      </c>
      <c r="R98" s="160" t="e">
        <f t="shared" ca="1" si="14"/>
        <v>#N/A</v>
      </c>
      <c r="S98" s="160" t="e">
        <f t="shared" ca="1" si="14"/>
        <v>#N/A</v>
      </c>
      <c r="T98" s="160" t="e">
        <f t="shared" ca="1" si="14"/>
        <v>#N/A</v>
      </c>
      <c r="U98" s="160" t="e">
        <f t="shared" ca="1" si="14"/>
        <v>#N/A</v>
      </c>
      <c r="V98" s="163" t="e">
        <f t="shared" ca="1" si="18"/>
        <v>#N/A</v>
      </c>
      <c r="W98" s="163" t="e">
        <f t="shared" ca="1" si="19"/>
        <v>#N/A</v>
      </c>
      <c r="X98" s="163" t="e">
        <f t="shared" ca="1" si="20"/>
        <v>#N/A</v>
      </c>
      <c r="Y98" s="163" t="e">
        <f t="shared" ca="1" si="21"/>
        <v>#N/A</v>
      </c>
    </row>
    <row r="99" spans="12:25" ht="14.4">
      <c r="L99" s="464"/>
      <c r="M99" s="129" t="e">
        <f t="shared" si="22"/>
        <v>#N/A</v>
      </c>
      <c r="N99" s="161">
        <f t="shared" si="16"/>
        <v>13</v>
      </c>
      <c r="O99" s="160" t="e">
        <f t="shared" ca="1" si="12"/>
        <v>#N/A</v>
      </c>
      <c r="P99" s="160" t="e">
        <f t="shared" ca="1" si="17"/>
        <v>#N/A</v>
      </c>
      <c r="Q99" s="160" t="e">
        <f t="shared" ca="1" si="17"/>
        <v>#N/A</v>
      </c>
      <c r="R99" s="160" t="e">
        <f t="shared" ca="1" si="14"/>
        <v>#N/A</v>
      </c>
      <c r="S99" s="160" t="e">
        <f t="shared" ca="1" si="14"/>
        <v>#N/A</v>
      </c>
      <c r="T99" s="160" t="e">
        <f t="shared" ca="1" si="14"/>
        <v>#N/A</v>
      </c>
      <c r="U99" s="160" t="e">
        <f t="shared" ca="1" si="14"/>
        <v>#N/A</v>
      </c>
      <c r="V99" s="163" t="e">
        <f t="shared" ca="1" si="18"/>
        <v>#N/A</v>
      </c>
      <c r="W99" s="163" t="e">
        <f t="shared" ca="1" si="19"/>
        <v>#N/A</v>
      </c>
      <c r="X99" s="163" t="e">
        <f t="shared" ca="1" si="20"/>
        <v>#N/A</v>
      </c>
      <c r="Y99" s="163" t="e">
        <f t="shared" ca="1" si="21"/>
        <v>#N/A</v>
      </c>
    </row>
    <row r="100" spans="12:25" ht="14.4">
      <c r="L100" s="464"/>
      <c r="M100" s="129" t="e">
        <f t="shared" si="22"/>
        <v>#N/A</v>
      </c>
      <c r="N100" s="161">
        <f t="shared" si="16"/>
        <v>13</v>
      </c>
      <c r="O100" s="160" t="e">
        <f t="shared" ca="1" si="12"/>
        <v>#N/A</v>
      </c>
      <c r="P100" s="160" t="e">
        <f t="shared" ca="1" si="17"/>
        <v>#N/A</v>
      </c>
      <c r="Q100" s="160" t="e">
        <f t="shared" ca="1" si="17"/>
        <v>#N/A</v>
      </c>
      <c r="R100" s="160" t="e">
        <f t="shared" ca="1" si="14"/>
        <v>#N/A</v>
      </c>
      <c r="S100" s="160" t="e">
        <f t="shared" ca="1" si="14"/>
        <v>#N/A</v>
      </c>
      <c r="T100" s="160" t="e">
        <f t="shared" ca="1" si="14"/>
        <v>#N/A</v>
      </c>
      <c r="U100" s="160" t="e">
        <f t="shared" ca="1" si="14"/>
        <v>#N/A</v>
      </c>
      <c r="V100" s="163" t="e">
        <f t="shared" ca="1" si="18"/>
        <v>#N/A</v>
      </c>
      <c r="W100" s="163" t="e">
        <f t="shared" ca="1" si="19"/>
        <v>#N/A</v>
      </c>
      <c r="X100" s="163" t="e">
        <f t="shared" ca="1" si="20"/>
        <v>#N/A</v>
      </c>
      <c r="Y100" s="163" t="e">
        <f t="shared" ca="1" si="21"/>
        <v>#N/A</v>
      </c>
    </row>
    <row r="101" spans="12:25" ht="14.4">
      <c r="L101" s="464"/>
      <c r="M101" s="129" t="e">
        <f t="shared" si="22"/>
        <v>#N/A</v>
      </c>
      <c r="N101" s="161">
        <f t="shared" si="16"/>
        <v>13</v>
      </c>
      <c r="O101" s="160" t="e">
        <f t="shared" ca="1" si="12"/>
        <v>#N/A</v>
      </c>
      <c r="P101" s="160" t="e">
        <f t="shared" ca="1" si="17"/>
        <v>#N/A</v>
      </c>
      <c r="Q101" s="160" t="e">
        <f t="shared" ca="1" si="17"/>
        <v>#N/A</v>
      </c>
      <c r="R101" s="160" t="e">
        <f t="shared" ca="1" si="14"/>
        <v>#N/A</v>
      </c>
      <c r="S101" s="160" t="e">
        <f t="shared" ca="1" si="14"/>
        <v>#N/A</v>
      </c>
      <c r="T101" s="160" t="e">
        <f t="shared" ca="1" si="14"/>
        <v>#N/A</v>
      </c>
      <c r="U101" s="160" t="e">
        <f t="shared" ca="1" si="14"/>
        <v>#N/A</v>
      </c>
      <c r="V101" s="163" t="e">
        <f t="shared" ca="1" si="18"/>
        <v>#N/A</v>
      </c>
      <c r="W101" s="163" t="e">
        <f t="shared" ca="1" si="19"/>
        <v>#N/A</v>
      </c>
      <c r="X101" s="163" t="e">
        <f t="shared" ca="1" si="20"/>
        <v>#N/A</v>
      </c>
      <c r="Y101" s="163" t="e">
        <f t="shared" ca="1" si="21"/>
        <v>#N/A</v>
      </c>
    </row>
    <row r="102" spans="12:25" ht="14.4">
      <c r="L102" s="464"/>
      <c r="M102" s="129" t="e">
        <f t="shared" si="22"/>
        <v>#N/A</v>
      </c>
      <c r="N102" s="161">
        <f t="shared" si="16"/>
        <v>13</v>
      </c>
      <c r="O102" s="160" t="e">
        <f t="shared" ca="1" si="12"/>
        <v>#N/A</v>
      </c>
      <c r="P102" s="160" t="e">
        <f t="shared" ca="1" si="17"/>
        <v>#N/A</v>
      </c>
      <c r="Q102" s="160" t="e">
        <f t="shared" ca="1" si="17"/>
        <v>#N/A</v>
      </c>
      <c r="R102" s="160" t="e">
        <f t="shared" ca="1" si="14"/>
        <v>#N/A</v>
      </c>
      <c r="S102" s="160" t="e">
        <f t="shared" ca="1" si="14"/>
        <v>#N/A</v>
      </c>
      <c r="T102" s="160" t="e">
        <f t="shared" ca="1" si="14"/>
        <v>#N/A</v>
      </c>
      <c r="U102" s="160" t="e">
        <f t="shared" ca="1" si="14"/>
        <v>#N/A</v>
      </c>
      <c r="V102" s="163" t="e">
        <f t="shared" ca="1" si="18"/>
        <v>#N/A</v>
      </c>
      <c r="W102" s="163" t="e">
        <f t="shared" ca="1" si="19"/>
        <v>#N/A</v>
      </c>
      <c r="X102" s="163" t="e">
        <f t="shared" ca="1" si="20"/>
        <v>#N/A</v>
      </c>
      <c r="Y102" s="163" t="e">
        <f t="shared" ca="1" si="21"/>
        <v>#N/A</v>
      </c>
    </row>
    <row r="103" spans="12:25" ht="14.4">
      <c r="L103" s="464"/>
      <c r="M103" s="129" t="e">
        <f t="shared" si="22"/>
        <v>#N/A</v>
      </c>
      <c r="N103" s="161">
        <f t="shared" si="16"/>
        <v>13</v>
      </c>
      <c r="O103" s="160" t="e">
        <f t="shared" ca="1" si="12"/>
        <v>#N/A</v>
      </c>
      <c r="P103" s="160" t="e">
        <f t="shared" ca="1" si="17"/>
        <v>#N/A</v>
      </c>
      <c r="Q103" s="160" t="e">
        <f t="shared" ca="1" si="17"/>
        <v>#N/A</v>
      </c>
      <c r="R103" s="160" t="e">
        <f t="shared" ca="1" si="14"/>
        <v>#N/A</v>
      </c>
      <c r="S103" s="160" t="e">
        <f t="shared" ca="1" si="14"/>
        <v>#N/A</v>
      </c>
      <c r="T103" s="160" t="e">
        <f t="shared" ca="1" si="14"/>
        <v>#N/A</v>
      </c>
      <c r="U103" s="160" t="e">
        <f t="shared" ca="1" si="14"/>
        <v>#N/A</v>
      </c>
      <c r="V103" s="163" t="e">
        <f t="shared" ca="1" si="18"/>
        <v>#N/A</v>
      </c>
      <c r="W103" s="163" t="e">
        <f t="shared" ca="1" si="19"/>
        <v>#N/A</v>
      </c>
      <c r="X103" s="163" t="e">
        <f t="shared" ca="1" si="20"/>
        <v>#N/A</v>
      </c>
      <c r="Y103" s="163" t="e">
        <f t="shared" ca="1" si="21"/>
        <v>#N/A</v>
      </c>
    </row>
    <row r="104" spans="12:25" ht="14.4">
      <c r="L104" s="464"/>
      <c r="M104" s="129" t="e">
        <f t="shared" si="22"/>
        <v>#N/A</v>
      </c>
      <c r="N104" s="161">
        <f t="shared" si="16"/>
        <v>13</v>
      </c>
      <c r="O104" s="160" t="e">
        <f t="shared" ca="1" si="12"/>
        <v>#N/A</v>
      </c>
      <c r="P104" s="160" t="e">
        <f t="shared" ca="1" si="17"/>
        <v>#N/A</v>
      </c>
      <c r="Q104" s="160" t="e">
        <f t="shared" ca="1" si="17"/>
        <v>#N/A</v>
      </c>
      <c r="R104" s="160" t="e">
        <f t="shared" ca="1" si="14"/>
        <v>#N/A</v>
      </c>
      <c r="S104" s="160" t="e">
        <f t="shared" ca="1" si="14"/>
        <v>#N/A</v>
      </c>
      <c r="T104" s="160" t="e">
        <f t="shared" ca="1" si="14"/>
        <v>#N/A</v>
      </c>
      <c r="U104" s="160" t="e">
        <f t="shared" ca="1" si="14"/>
        <v>#N/A</v>
      </c>
      <c r="V104" s="163" t="e">
        <f t="shared" ca="1" si="18"/>
        <v>#N/A</v>
      </c>
      <c r="W104" s="163" t="e">
        <f t="shared" ca="1" si="19"/>
        <v>#N/A</v>
      </c>
      <c r="X104" s="163" t="e">
        <f t="shared" ca="1" si="20"/>
        <v>#N/A</v>
      </c>
      <c r="Y104" s="163" t="e">
        <f t="shared" ca="1" si="21"/>
        <v>#N/A</v>
      </c>
    </row>
    <row r="105" spans="12:25" ht="14.4">
      <c r="L105" s="464"/>
      <c r="M105" s="129" t="e">
        <f t="shared" si="22"/>
        <v>#N/A</v>
      </c>
      <c r="N105" s="161">
        <f t="shared" si="16"/>
        <v>13</v>
      </c>
      <c r="O105" s="160" t="e">
        <f t="shared" ref="O105:O168" ca="1" si="23">IF($M105="end",0,OFFSET($A$1,$M105-1,O$29,1,1))</f>
        <v>#N/A</v>
      </c>
      <c r="P105" s="160" t="e">
        <f t="shared" ca="1" si="17"/>
        <v>#N/A</v>
      </c>
      <c r="Q105" s="160" t="e">
        <f t="shared" ca="1" si="17"/>
        <v>#N/A</v>
      </c>
      <c r="R105" s="160" t="e">
        <f t="shared" ca="1" si="14"/>
        <v>#N/A</v>
      </c>
      <c r="S105" s="160" t="e">
        <f t="shared" ca="1" si="14"/>
        <v>#N/A</v>
      </c>
      <c r="T105" s="160" t="e">
        <f t="shared" ca="1" si="14"/>
        <v>#N/A</v>
      </c>
      <c r="U105" s="160" t="e">
        <f t="shared" ca="1" si="14"/>
        <v>#N/A</v>
      </c>
      <c r="V105" s="163" t="e">
        <f t="shared" ca="1" si="18"/>
        <v>#N/A</v>
      </c>
      <c r="W105" s="163" t="e">
        <f t="shared" ca="1" si="19"/>
        <v>#N/A</v>
      </c>
      <c r="X105" s="163" t="e">
        <f t="shared" ca="1" si="20"/>
        <v>#N/A</v>
      </c>
      <c r="Y105" s="163" t="e">
        <f t="shared" ca="1" si="21"/>
        <v>#N/A</v>
      </c>
    </row>
    <row r="106" spans="12:25" ht="14.4">
      <c r="L106" s="464"/>
      <c r="M106" s="129" t="e">
        <f t="shared" si="22"/>
        <v>#N/A</v>
      </c>
      <c r="N106" s="161">
        <f t="shared" si="16"/>
        <v>13</v>
      </c>
      <c r="O106" s="160" t="e">
        <f t="shared" ca="1" si="23"/>
        <v>#N/A</v>
      </c>
      <c r="P106" s="160" t="e">
        <f t="shared" ref="P106:Q113" ca="1" si="24">IF($M106="end",0,OFFSET($A$1,$M106-1,P$29,1,1))</f>
        <v>#N/A</v>
      </c>
      <c r="Q106" s="160" t="e">
        <f t="shared" ca="1" si="24"/>
        <v>#N/A</v>
      </c>
      <c r="R106" s="160" t="e">
        <f t="shared" ca="1" si="14"/>
        <v>#N/A</v>
      </c>
      <c r="S106" s="160" t="e">
        <f t="shared" ca="1" si="14"/>
        <v>#N/A</v>
      </c>
      <c r="T106" s="160" t="e">
        <f t="shared" ca="1" si="14"/>
        <v>#N/A</v>
      </c>
      <c r="U106" s="160" t="e">
        <f t="shared" ca="1" si="14"/>
        <v>#N/A</v>
      </c>
      <c r="V106" s="163" t="e">
        <f t="shared" ca="1" si="18"/>
        <v>#N/A</v>
      </c>
      <c r="W106" s="163" t="e">
        <f t="shared" ca="1" si="19"/>
        <v>#N/A</v>
      </c>
      <c r="X106" s="163" t="e">
        <f t="shared" ca="1" si="20"/>
        <v>#N/A</v>
      </c>
      <c r="Y106" s="163" t="e">
        <f t="shared" ca="1" si="21"/>
        <v>#N/A</v>
      </c>
    </row>
    <row r="107" spans="12:25" ht="14.4">
      <c r="L107" s="464"/>
      <c r="M107" s="129" t="e">
        <f t="shared" si="22"/>
        <v>#N/A</v>
      </c>
      <c r="N107" s="161">
        <f t="shared" si="16"/>
        <v>13</v>
      </c>
      <c r="O107" s="160" t="e">
        <f t="shared" ca="1" si="23"/>
        <v>#N/A</v>
      </c>
      <c r="P107" s="160" t="e">
        <f t="shared" ca="1" si="24"/>
        <v>#N/A</v>
      </c>
      <c r="Q107" s="160" t="e">
        <f t="shared" ca="1" si="24"/>
        <v>#N/A</v>
      </c>
      <c r="R107" s="160" t="e">
        <f t="shared" ca="1" si="14"/>
        <v>#N/A</v>
      </c>
      <c r="S107" s="160" t="e">
        <f t="shared" ca="1" si="14"/>
        <v>#N/A</v>
      </c>
      <c r="T107" s="160" t="e">
        <f t="shared" ca="1" si="14"/>
        <v>#N/A</v>
      </c>
      <c r="U107" s="160" t="e">
        <f t="shared" ca="1" si="14"/>
        <v>#N/A</v>
      </c>
      <c r="V107" s="163" t="e">
        <f t="shared" ca="1" si="18"/>
        <v>#N/A</v>
      </c>
      <c r="W107" s="163" t="e">
        <f t="shared" ca="1" si="19"/>
        <v>#N/A</v>
      </c>
      <c r="X107" s="163" t="e">
        <f t="shared" ca="1" si="20"/>
        <v>#N/A</v>
      </c>
      <c r="Y107" s="163" t="e">
        <f t="shared" ca="1" si="21"/>
        <v>#N/A</v>
      </c>
    </row>
    <row r="108" spans="12:25" ht="14.4">
      <c r="L108" s="464"/>
      <c r="M108" s="129" t="e">
        <f t="shared" si="22"/>
        <v>#N/A</v>
      </c>
      <c r="N108" s="161">
        <f t="shared" si="16"/>
        <v>13</v>
      </c>
      <c r="O108" s="160" t="e">
        <f t="shared" ca="1" si="23"/>
        <v>#N/A</v>
      </c>
      <c r="P108" s="160" t="e">
        <f t="shared" ca="1" si="24"/>
        <v>#N/A</v>
      </c>
      <c r="Q108" s="160" t="e">
        <f t="shared" ca="1" si="24"/>
        <v>#N/A</v>
      </c>
      <c r="R108" s="160" t="e">
        <f t="shared" ca="1" si="14"/>
        <v>#N/A</v>
      </c>
      <c r="S108" s="160" t="e">
        <f t="shared" ca="1" si="14"/>
        <v>#N/A</v>
      </c>
      <c r="T108" s="160" t="e">
        <f t="shared" ca="1" si="14"/>
        <v>#N/A</v>
      </c>
      <c r="U108" s="160" t="e">
        <f t="shared" ca="1" si="14"/>
        <v>#N/A</v>
      </c>
      <c r="V108" s="163" t="e">
        <f t="shared" ca="1" si="18"/>
        <v>#N/A</v>
      </c>
      <c r="W108" s="163" t="e">
        <f t="shared" ca="1" si="19"/>
        <v>#N/A</v>
      </c>
      <c r="X108" s="163" t="e">
        <f t="shared" ca="1" si="20"/>
        <v>#N/A</v>
      </c>
      <c r="Y108" s="163" t="e">
        <f t="shared" ca="1" si="21"/>
        <v>#N/A</v>
      </c>
    </row>
    <row r="109" spans="12:25" ht="14.4">
      <c r="L109" s="464"/>
      <c r="M109" s="129" t="e">
        <f t="shared" si="22"/>
        <v>#N/A</v>
      </c>
      <c r="N109" s="161">
        <f t="shared" si="16"/>
        <v>13</v>
      </c>
      <c r="O109" s="160" t="e">
        <f t="shared" ca="1" si="23"/>
        <v>#N/A</v>
      </c>
      <c r="P109" s="160" t="e">
        <f t="shared" ca="1" si="24"/>
        <v>#N/A</v>
      </c>
      <c r="Q109" s="160" t="e">
        <f t="shared" ca="1" si="24"/>
        <v>#N/A</v>
      </c>
      <c r="R109" s="160" t="e">
        <f t="shared" ca="1" si="14"/>
        <v>#N/A</v>
      </c>
      <c r="S109" s="160" t="e">
        <f t="shared" ca="1" si="14"/>
        <v>#N/A</v>
      </c>
      <c r="T109" s="160" t="e">
        <f t="shared" ca="1" si="14"/>
        <v>#N/A</v>
      </c>
      <c r="U109" s="160" t="e">
        <f t="shared" ref="U109:U172" ca="1" si="25">IF($M109="end",0,OFFSET($A$1,$M109-1,U$29,1,1))</f>
        <v>#N/A</v>
      </c>
      <c r="V109" s="163" t="e">
        <f t="shared" ca="1" si="18"/>
        <v>#N/A</v>
      </c>
      <c r="W109" s="163" t="e">
        <f t="shared" ca="1" si="19"/>
        <v>#N/A</v>
      </c>
      <c r="X109" s="163" t="e">
        <f t="shared" ca="1" si="20"/>
        <v>#N/A</v>
      </c>
      <c r="Y109" s="163" t="e">
        <f t="shared" ca="1" si="21"/>
        <v>#N/A</v>
      </c>
    </row>
    <row r="110" spans="12:25" ht="14.4">
      <c r="L110" s="464"/>
      <c r="M110" s="129" t="e">
        <f t="shared" si="22"/>
        <v>#N/A</v>
      </c>
      <c r="N110" s="161">
        <f t="shared" si="16"/>
        <v>13</v>
      </c>
      <c r="O110" s="160" t="e">
        <f t="shared" ca="1" si="23"/>
        <v>#N/A</v>
      </c>
      <c r="P110" s="160" t="e">
        <f t="shared" ca="1" si="24"/>
        <v>#N/A</v>
      </c>
      <c r="Q110" s="160" t="e">
        <f t="shared" ca="1" si="24"/>
        <v>#N/A</v>
      </c>
      <c r="R110" s="160" t="e">
        <f t="shared" ref="R110:T113" ca="1" si="26">IF($M110="end",0,OFFSET($A$1,$M110-1,R$29,1,1))</f>
        <v>#N/A</v>
      </c>
      <c r="S110" s="160" t="e">
        <f t="shared" ca="1" si="26"/>
        <v>#N/A</v>
      </c>
      <c r="T110" s="160" t="e">
        <f t="shared" ca="1" si="26"/>
        <v>#N/A</v>
      </c>
      <c r="U110" s="160" t="e">
        <f t="shared" ca="1" si="25"/>
        <v>#N/A</v>
      </c>
      <c r="V110" s="163" t="e">
        <f t="shared" ca="1" si="18"/>
        <v>#N/A</v>
      </c>
      <c r="W110" s="163" t="e">
        <f t="shared" ca="1" si="19"/>
        <v>#N/A</v>
      </c>
      <c r="X110" s="163" t="e">
        <f t="shared" ca="1" si="20"/>
        <v>#N/A</v>
      </c>
      <c r="Y110" s="163" t="e">
        <f t="shared" ca="1" si="21"/>
        <v>#N/A</v>
      </c>
    </row>
    <row r="111" spans="12:25" ht="14.4">
      <c r="L111" s="464"/>
      <c r="M111" s="129" t="e">
        <f t="shared" si="22"/>
        <v>#N/A</v>
      </c>
      <c r="N111" s="161">
        <f t="shared" si="16"/>
        <v>13</v>
      </c>
      <c r="O111" s="160" t="e">
        <f t="shared" ca="1" si="23"/>
        <v>#N/A</v>
      </c>
      <c r="P111" s="160" t="e">
        <f t="shared" ca="1" si="24"/>
        <v>#N/A</v>
      </c>
      <c r="Q111" s="160" t="e">
        <f t="shared" ca="1" si="24"/>
        <v>#N/A</v>
      </c>
      <c r="R111" s="160" t="e">
        <f t="shared" ca="1" si="26"/>
        <v>#N/A</v>
      </c>
      <c r="S111" s="160" t="e">
        <f t="shared" ca="1" si="26"/>
        <v>#N/A</v>
      </c>
      <c r="T111" s="160" t="e">
        <f t="shared" ca="1" si="26"/>
        <v>#N/A</v>
      </c>
      <c r="U111" s="160" t="e">
        <f t="shared" ca="1" si="25"/>
        <v>#N/A</v>
      </c>
      <c r="V111" s="163" t="e">
        <f t="shared" ca="1" si="18"/>
        <v>#N/A</v>
      </c>
      <c r="W111" s="163" t="e">
        <f t="shared" ca="1" si="19"/>
        <v>#N/A</v>
      </c>
      <c r="X111" s="163" t="e">
        <f t="shared" ca="1" si="20"/>
        <v>#N/A</v>
      </c>
      <c r="Y111" s="163" t="e">
        <f t="shared" ca="1" si="21"/>
        <v>#N/A</v>
      </c>
    </row>
    <row r="112" spans="12:25" ht="14.4">
      <c r="L112" s="464"/>
      <c r="M112" s="129" t="e">
        <f t="shared" si="22"/>
        <v>#N/A</v>
      </c>
      <c r="N112" s="161">
        <f t="shared" si="16"/>
        <v>13</v>
      </c>
      <c r="O112" s="160" t="e">
        <f t="shared" ca="1" si="23"/>
        <v>#N/A</v>
      </c>
      <c r="P112" s="160" t="e">
        <f t="shared" ca="1" si="24"/>
        <v>#N/A</v>
      </c>
      <c r="Q112" s="160" t="e">
        <f t="shared" ca="1" si="24"/>
        <v>#N/A</v>
      </c>
      <c r="R112" s="160" t="e">
        <f t="shared" ca="1" si="26"/>
        <v>#N/A</v>
      </c>
      <c r="S112" s="160" t="e">
        <f t="shared" ca="1" si="26"/>
        <v>#N/A</v>
      </c>
      <c r="T112" s="160" t="e">
        <f t="shared" ca="1" si="26"/>
        <v>#N/A</v>
      </c>
      <c r="U112" s="160" t="e">
        <f t="shared" ca="1" si="25"/>
        <v>#N/A</v>
      </c>
      <c r="V112" s="163" t="e">
        <f t="shared" ca="1" si="18"/>
        <v>#N/A</v>
      </c>
      <c r="W112" s="163" t="e">
        <f t="shared" ca="1" si="19"/>
        <v>#N/A</v>
      </c>
      <c r="X112" s="163" t="e">
        <f t="shared" ca="1" si="20"/>
        <v>#N/A</v>
      </c>
      <c r="Y112" s="163" t="e">
        <f t="shared" ca="1" si="21"/>
        <v>#N/A</v>
      </c>
    </row>
    <row r="113" spans="12:25" ht="14.4">
      <c r="L113" s="464"/>
      <c r="M113" s="129" t="e">
        <f t="shared" si="22"/>
        <v>#N/A</v>
      </c>
      <c r="N113" s="161">
        <f t="shared" si="16"/>
        <v>13</v>
      </c>
      <c r="O113" s="160" t="e">
        <f t="shared" ca="1" si="23"/>
        <v>#N/A</v>
      </c>
      <c r="P113" s="160" t="e">
        <f t="shared" ca="1" si="24"/>
        <v>#N/A</v>
      </c>
      <c r="Q113" s="160" t="e">
        <f t="shared" ca="1" si="24"/>
        <v>#N/A</v>
      </c>
      <c r="R113" s="160" t="e">
        <f t="shared" ca="1" si="26"/>
        <v>#N/A</v>
      </c>
      <c r="S113" s="160" t="e">
        <f t="shared" ca="1" si="26"/>
        <v>#N/A</v>
      </c>
      <c r="T113" s="160" t="e">
        <f t="shared" ca="1" si="26"/>
        <v>#N/A</v>
      </c>
      <c r="U113" s="160" t="e">
        <f t="shared" ca="1" si="25"/>
        <v>#N/A</v>
      </c>
      <c r="V113" s="163" t="e">
        <f t="shared" ca="1" si="18"/>
        <v>#N/A</v>
      </c>
      <c r="W113" s="163" t="e">
        <f t="shared" ca="1" si="19"/>
        <v>#N/A</v>
      </c>
      <c r="X113" s="163" t="e">
        <f t="shared" ca="1" si="20"/>
        <v>#N/A</v>
      </c>
      <c r="Y113" s="163" t="e">
        <f t="shared" ca="1" si="21"/>
        <v>#N/A</v>
      </c>
    </row>
    <row r="114" spans="12:25" ht="14.4">
      <c r="L114" s="464"/>
      <c r="M114" s="129" t="e">
        <f t="shared" si="22"/>
        <v>#N/A</v>
      </c>
      <c r="N114" s="161">
        <f t="shared" si="16"/>
        <v>13</v>
      </c>
      <c r="O114" s="160" t="e">
        <f t="shared" ca="1" si="23"/>
        <v>#N/A</v>
      </c>
      <c r="P114" s="160" t="e">
        <f t="shared" ref="P114:P177" ca="1" si="27">IF($M114="end",0,OFFSET($A$1,$M114-1,P$29,1,1))</f>
        <v>#N/A</v>
      </c>
      <c r="Q114" s="160" t="e">
        <f t="shared" ref="Q114:T177" ca="1" si="28">IF($M114="end",0,OFFSET($A$1,$M114-1,Q$29,1,1))</f>
        <v>#N/A</v>
      </c>
      <c r="R114" s="160" t="e">
        <f t="shared" ca="1" si="28"/>
        <v>#N/A</v>
      </c>
      <c r="S114" s="160" t="e">
        <f t="shared" ca="1" si="28"/>
        <v>#N/A</v>
      </c>
      <c r="T114" s="160" t="e">
        <f t="shared" ca="1" si="28"/>
        <v>#N/A</v>
      </c>
      <c r="U114" s="160" t="e">
        <f t="shared" ca="1" si="25"/>
        <v>#N/A</v>
      </c>
      <c r="V114" s="163" t="e">
        <f t="shared" ca="1" si="18"/>
        <v>#N/A</v>
      </c>
      <c r="W114" s="163" t="e">
        <f t="shared" ca="1" si="19"/>
        <v>#N/A</v>
      </c>
      <c r="X114" s="163" t="e">
        <f t="shared" ca="1" si="20"/>
        <v>#N/A</v>
      </c>
      <c r="Y114" s="163" t="e">
        <f t="shared" ca="1" si="21"/>
        <v>#N/A</v>
      </c>
    </row>
    <row r="115" spans="12:25" ht="14.4">
      <c r="L115" s="464"/>
      <c r="M115" s="129" t="e">
        <f t="shared" si="22"/>
        <v>#N/A</v>
      </c>
      <c r="N115" s="161">
        <f t="shared" si="16"/>
        <v>13</v>
      </c>
      <c r="O115" s="160" t="e">
        <f t="shared" ca="1" si="23"/>
        <v>#N/A</v>
      </c>
      <c r="P115" s="160" t="e">
        <f t="shared" ca="1" si="27"/>
        <v>#N/A</v>
      </c>
      <c r="Q115" s="160" t="e">
        <f t="shared" ca="1" si="28"/>
        <v>#N/A</v>
      </c>
      <c r="R115" s="160" t="e">
        <f t="shared" ca="1" si="28"/>
        <v>#N/A</v>
      </c>
      <c r="S115" s="160" t="e">
        <f t="shared" ca="1" si="28"/>
        <v>#N/A</v>
      </c>
      <c r="T115" s="160" t="e">
        <f t="shared" ca="1" si="28"/>
        <v>#N/A</v>
      </c>
      <c r="U115" s="160" t="e">
        <f t="shared" ca="1" si="25"/>
        <v>#N/A</v>
      </c>
      <c r="V115" s="163" t="e">
        <f t="shared" ca="1" si="18"/>
        <v>#N/A</v>
      </c>
      <c r="W115" s="163" t="e">
        <f t="shared" ca="1" si="19"/>
        <v>#N/A</v>
      </c>
      <c r="X115" s="163" t="e">
        <f t="shared" ca="1" si="20"/>
        <v>#N/A</v>
      </c>
      <c r="Y115" s="163" t="e">
        <f t="shared" ca="1" si="21"/>
        <v>#N/A</v>
      </c>
    </row>
    <row r="116" spans="12:25" ht="14.4">
      <c r="L116" s="464"/>
      <c r="M116" s="129" t="e">
        <f t="shared" si="22"/>
        <v>#N/A</v>
      </c>
      <c r="N116" s="161">
        <f t="shared" si="16"/>
        <v>13</v>
      </c>
      <c r="O116" s="160" t="e">
        <f t="shared" ca="1" si="23"/>
        <v>#N/A</v>
      </c>
      <c r="P116" s="160" t="e">
        <f t="shared" ca="1" si="27"/>
        <v>#N/A</v>
      </c>
      <c r="Q116" s="160" t="e">
        <f t="shared" ca="1" si="28"/>
        <v>#N/A</v>
      </c>
      <c r="R116" s="160" t="e">
        <f t="shared" ca="1" si="28"/>
        <v>#N/A</v>
      </c>
      <c r="S116" s="160" t="e">
        <f t="shared" ca="1" si="28"/>
        <v>#N/A</v>
      </c>
      <c r="T116" s="160" t="e">
        <f t="shared" ca="1" si="28"/>
        <v>#N/A</v>
      </c>
      <c r="U116" s="160" t="e">
        <f t="shared" ca="1" si="25"/>
        <v>#N/A</v>
      </c>
      <c r="V116" s="163" t="e">
        <f t="shared" ca="1" si="18"/>
        <v>#N/A</v>
      </c>
      <c r="W116" s="163" t="e">
        <f t="shared" ca="1" si="19"/>
        <v>#N/A</v>
      </c>
      <c r="X116" s="163" t="e">
        <f t="shared" ca="1" si="20"/>
        <v>#N/A</v>
      </c>
      <c r="Y116" s="163" t="e">
        <f t="shared" ca="1" si="21"/>
        <v>#N/A</v>
      </c>
    </row>
    <row r="117" spans="12:25" ht="14.4">
      <c r="L117" s="464"/>
      <c r="M117" s="129" t="e">
        <f t="shared" si="22"/>
        <v>#N/A</v>
      </c>
      <c r="N117" s="161">
        <f t="shared" si="16"/>
        <v>13</v>
      </c>
      <c r="O117" s="160" t="e">
        <f t="shared" ca="1" si="23"/>
        <v>#N/A</v>
      </c>
      <c r="P117" s="160" t="e">
        <f t="shared" ca="1" si="27"/>
        <v>#N/A</v>
      </c>
      <c r="Q117" s="160" t="e">
        <f t="shared" ca="1" si="28"/>
        <v>#N/A</v>
      </c>
      <c r="R117" s="160" t="e">
        <f t="shared" ca="1" si="28"/>
        <v>#N/A</v>
      </c>
      <c r="S117" s="160" t="e">
        <f t="shared" ca="1" si="28"/>
        <v>#N/A</v>
      </c>
      <c r="T117" s="160" t="e">
        <f t="shared" ca="1" si="28"/>
        <v>#N/A</v>
      </c>
      <c r="U117" s="160" t="e">
        <f t="shared" ca="1" si="25"/>
        <v>#N/A</v>
      </c>
      <c r="V117" s="163" t="e">
        <f t="shared" ca="1" si="18"/>
        <v>#N/A</v>
      </c>
      <c r="W117" s="163" t="e">
        <f t="shared" ca="1" si="19"/>
        <v>#N/A</v>
      </c>
      <c r="X117" s="163" t="e">
        <f t="shared" ca="1" si="20"/>
        <v>#N/A</v>
      </c>
      <c r="Y117" s="163" t="e">
        <f t="shared" ca="1" si="21"/>
        <v>#N/A</v>
      </c>
    </row>
    <row r="118" spans="12:25" ht="14.4">
      <c r="L118" s="464"/>
      <c r="M118" s="129" t="e">
        <f t="shared" si="22"/>
        <v>#N/A</v>
      </c>
      <c r="N118" s="161">
        <f t="shared" si="16"/>
        <v>13</v>
      </c>
      <c r="O118" s="160" t="e">
        <f t="shared" ca="1" si="23"/>
        <v>#N/A</v>
      </c>
      <c r="P118" s="160" t="e">
        <f t="shared" ca="1" si="27"/>
        <v>#N/A</v>
      </c>
      <c r="Q118" s="160" t="e">
        <f t="shared" ca="1" si="28"/>
        <v>#N/A</v>
      </c>
      <c r="R118" s="160" t="e">
        <f t="shared" ca="1" si="28"/>
        <v>#N/A</v>
      </c>
      <c r="S118" s="160" t="e">
        <f t="shared" ca="1" si="28"/>
        <v>#N/A</v>
      </c>
      <c r="T118" s="160" t="e">
        <f t="shared" ca="1" si="28"/>
        <v>#N/A</v>
      </c>
      <c r="U118" s="160" t="e">
        <f t="shared" ca="1" si="25"/>
        <v>#N/A</v>
      </c>
      <c r="V118" s="163" t="e">
        <f t="shared" ca="1" si="18"/>
        <v>#N/A</v>
      </c>
      <c r="W118" s="163" t="e">
        <f t="shared" ca="1" si="19"/>
        <v>#N/A</v>
      </c>
      <c r="X118" s="163" t="e">
        <f t="shared" ca="1" si="20"/>
        <v>#N/A</v>
      </c>
      <c r="Y118" s="163" t="e">
        <f t="shared" ca="1" si="21"/>
        <v>#N/A</v>
      </c>
    </row>
    <row r="119" spans="12:25" ht="14.4">
      <c r="L119" s="464"/>
      <c r="M119" s="129" t="e">
        <f t="shared" si="22"/>
        <v>#N/A</v>
      </c>
      <c r="N119" s="161">
        <f t="shared" si="16"/>
        <v>13</v>
      </c>
      <c r="O119" s="160" t="e">
        <f t="shared" ca="1" si="23"/>
        <v>#N/A</v>
      </c>
      <c r="P119" s="160" t="e">
        <f t="shared" ca="1" si="27"/>
        <v>#N/A</v>
      </c>
      <c r="Q119" s="160" t="e">
        <f t="shared" ca="1" si="28"/>
        <v>#N/A</v>
      </c>
      <c r="R119" s="160" t="e">
        <f t="shared" ca="1" si="28"/>
        <v>#N/A</v>
      </c>
      <c r="S119" s="160" t="e">
        <f t="shared" ca="1" si="28"/>
        <v>#N/A</v>
      </c>
      <c r="T119" s="160" t="e">
        <f t="shared" ca="1" si="28"/>
        <v>#N/A</v>
      </c>
      <c r="U119" s="160" t="e">
        <f t="shared" ca="1" si="25"/>
        <v>#N/A</v>
      </c>
      <c r="V119" s="163" t="e">
        <f t="shared" ca="1" si="18"/>
        <v>#N/A</v>
      </c>
      <c r="W119" s="163" t="e">
        <f t="shared" ca="1" si="19"/>
        <v>#N/A</v>
      </c>
      <c r="X119" s="163" t="e">
        <f t="shared" ca="1" si="20"/>
        <v>#N/A</v>
      </c>
      <c r="Y119" s="163" t="e">
        <f t="shared" ca="1" si="21"/>
        <v>#N/A</v>
      </c>
    </row>
    <row r="120" spans="12:25" ht="14.4">
      <c r="L120" s="464"/>
      <c r="M120" s="129" t="e">
        <f t="shared" si="22"/>
        <v>#N/A</v>
      </c>
      <c r="N120" s="161">
        <f t="shared" si="16"/>
        <v>13</v>
      </c>
      <c r="O120" s="160" t="e">
        <f t="shared" ca="1" si="23"/>
        <v>#N/A</v>
      </c>
      <c r="P120" s="160" t="e">
        <f t="shared" ca="1" si="27"/>
        <v>#N/A</v>
      </c>
      <c r="Q120" s="160" t="e">
        <f t="shared" ca="1" si="28"/>
        <v>#N/A</v>
      </c>
      <c r="R120" s="160" t="e">
        <f t="shared" ca="1" si="28"/>
        <v>#N/A</v>
      </c>
      <c r="S120" s="160" t="e">
        <f t="shared" ca="1" si="28"/>
        <v>#N/A</v>
      </c>
      <c r="T120" s="160" t="e">
        <f t="shared" ca="1" si="28"/>
        <v>#N/A</v>
      </c>
      <c r="U120" s="160" t="e">
        <f t="shared" ca="1" si="25"/>
        <v>#N/A</v>
      </c>
      <c r="V120" s="163" t="e">
        <f t="shared" ca="1" si="18"/>
        <v>#N/A</v>
      </c>
      <c r="W120" s="163" t="e">
        <f t="shared" ca="1" si="19"/>
        <v>#N/A</v>
      </c>
      <c r="X120" s="163" t="e">
        <f t="shared" ca="1" si="20"/>
        <v>#N/A</v>
      </c>
      <c r="Y120" s="163" t="e">
        <f t="shared" ca="1" si="21"/>
        <v>#N/A</v>
      </c>
    </row>
    <row r="121" spans="12:25" ht="14.4">
      <c r="L121" s="464"/>
      <c r="M121" s="129" t="e">
        <f t="shared" si="22"/>
        <v>#N/A</v>
      </c>
      <c r="N121" s="161">
        <f t="shared" si="16"/>
        <v>13</v>
      </c>
      <c r="O121" s="160" t="e">
        <f t="shared" ca="1" si="23"/>
        <v>#N/A</v>
      </c>
      <c r="P121" s="160" t="e">
        <f t="shared" ca="1" si="27"/>
        <v>#N/A</v>
      </c>
      <c r="Q121" s="160" t="e">
        <f t="shared" ca="1" si="28"/>
        <v>#N/A</v>
      </c>
      <c r="R121" s="160" t="e">
        <f t="shared" ca="1" si="28"/>
        <v>#N/A</v>
      </c>
      <c r="S121" s="160" t="e">
        <f t="shared" ca="1" si="28"/>
        <v>#N/A</v>
      </c>
      <c r="T121" s="160" t="e">
        <f t="shared" ca="1" si="28"/>
        <v>#N/A</v>
      </c>
      <c r="U121" s="160" t="e">
        <f t="shared" ca="1" si="25"/>
        <v>#N/A</v>
      </c>
      <c r="V121" s="163" t="e">
        <f t="shared" ca="1" si="18"/>
        <v>#N/A</v>
      </c>
      <c r="W121" s="163" t="e">
        <f t="shared" ca="1" si="19"/>
        <v>#N/A</v>
      </c>
      <c r="X121" s="163" t="e">
        <f t="shared" ca="1" si="20"/>
        <v>#N/A</v>
      </c>
      <c r="Y121" s="163" t="e">
        <f t="shared" ca="1" si="21"/>
        <v>#N/A</v>
      </c>
    </row>
    <row r="122" spans="12:25" ht="14.4">
      <c r="L122" s="464"/>
      <c r="M122" s="129" t="e">
        <f t="shared" si="22"/>
        <v>#N/A</v>
      </c>
      <c r="N122" s="161">
        <f t="shared" si="16"/>
        <v>13</v>
      </c>
      <c r="O122" s="160" t="e">
        <f t="shared" ca="1" si="23"/>
        <v>#N/A</v>
      </c>
      <c r="P122" s="160" t="e">
        <f t="shared" ca="1" si="27"/>
        <v>#N/A</v>
      </c>
      <c r="Q122" s="160" t="e">
        <f t="shared" ca="1" si="28"/>
        <v>#N/A</v>
      </c>
      <c r="R122" s="160" t="e">
        <f t="shared" ca="1" si="28"/>
        <v>#N/A</v>
      </c>
      <c r="S122" s="160" t="e">
        <f t="shared" ca="1" si="28"/>
        <v>#N/A</v>
      </c>
      <c r="T122" s="160" t="e">
        <f t="shared" ca="1" si="28"/>
        <v>#N/A</v>
      </c>
      <c r="U122" s="160" t="e">
        <f t="shared" ca="1" si="25"/>
        <v>#N/A</v>
      </c>
      <c r="V122" s="163" t="e">
        <f t="shared" ca="1" si="18"/>
        <v>#N/A</v>
      </c>
      <c r="W122" s="163" t="e">
        <f t="shared" ca="1" si="19"/>
        <v>#N/A</v>
      </c>
      <c r="X122" s="163" t="e">
        <f t="shared" ca="1" si="20"/>
        <v>#N/A</v>
      </c>
      <c r="Y122" s="163" t="e">
        <f t="shared" ca="1" si="21"/>
        <v>#N/A</v>
      </c>
    </row>
    <row r="123" spans="12:25" ht="14.4">
      <c r="L123" s="464"/>
      <c r="M123" s="129" t="e">
        <f t="shared" si="22"/>
        <v>#N/A</v>
      </c>
      <c r="N123" s="161">
        <f t="shared" si="16"/>
        <v>13</v>
      </c>
      <c r="O123" s="160" t="e">
        <f t="shared" ca="1" si="23"/>
        <v>#N/A</v>
      </c>
      <c r="P123" s="160" t="e">
        <f t="shared" ca="1" si="27"/>
        <v>#N/A</v>
      </c>
      <c r="Q123" s="160" t="e">
        <f t="shared" ca="1" si="28"/>
        <v>#N/A</v>
      </c>
      <c r="R123" s="160" t="e">
        <f t="shared" ca="1" si="28"/>
        <v>#N/A</v>
      </c>
      <c r="S123" s="160" t="e">
        <f t="shared" ca="1" si="28"/>
        <v>#N/A</v>
      </c>
      <c r="T123" s="160" t="e">
        <f t="shared" ca="1" si="28"/>
        <v>#N/A</v>
      </c>
      <c r="U123" s="160" t="e">
        <f t="shared" ca="1" si="25"/>
        <v>#N/A</v>
      </c>
      <c r="V123" s="163" t="e">
        <f t="shared" ca="1" si="18"/>
        <v>#N/A</v>
      </c>
      <c r="W123" s="163" t="e">
        <f t="shared" ca="1" si="19"/>
        <v>#N/A</v>
      </c>
      <c r="X123" s="163" t="e">
        <f t="shared" ca="1" si="20"/>
        <v>#N/A</v>
      </c>
      <c r="Y123" s="163" t="e">
        <f t="shared" ca="1" si="21"/>
        <v>#N/A</v>
      </c>
    </row>
    <row r="124" spans="12:25" ht="14.4">
      <c r="L124" s="464"/>
      <c r="M124" s="129" t="e">
        <f t="shared" si="22"/>
        <v>#N/A</v>
      </c>
      <c r="N124" s="161">
        <f t="shared" si="16"/>
        <v>13</v>
      </c>
      <c r="O124" s="160" t="e">
        <f t="shared" ca="1" si="23"/>
        <v>#N/A</v>
      </c>
      <c r="P124" s="160" t="e">
        <f t="shared" ca="1" si="27"/>
        <v>#N/A</v>
      </c>
      <c r="Q124" s="160" t="e">
        <f t="shared" ca="1" si="28"/>
        <v>#N/A</v>
      </c>
      <c r="R124" s="160" t="e">
        <f t="shared" ca="1" si="28"/>
        <v>#N/A</v>
      </c>
      <c r="S124" s="160" t="e">
        <f t="shared" ca="1" si="28"/>
        <v>#N/A</v>
      </c>
      <c r="T124" s="160" t="e">
        <f t="shared" ca="1" si="28"/>
        <v>#N/A</v>
      </c>
      <c r="U124" s="160" t="e">
        <f t="shared" ca="1" si="25"/>
        <v>#N/A</v>
      </c>
      <c r="V124" s="163" t="e">
        <f t="shared" ca="1" si="18"/>
        <v>#N/A</v>
      </c>
      <c r="W124" s="163" t="e">
        <f t="shared" ca="1" si="19"/>
        <v>#N/A</v>
      </c>
      <c r="X124" s="163" t="e">
        <f t="shared" ca="1" si="20"/>
        <v>#N/A</v>
      </c>
      <c r="Y124" s="163" t="e">
        <f t="shared" ca="1" si="21"/>
        <v>#N/A</v>
      </c>
    </row>
    <row r="125" spans="12:25" ht="14.4">
      <c r="L125" s="464"/>
      <c r="M125" s="129" t="e">
        <f t="shared" si="22"/>
        <v>#N/A</v>
      </c>
      <c r="N125" s="161">
        <f t="shared" si="16"/>
        <v>13</v>
      </c>
      <c r="O125" s="160" t="e">
        <f t="shared" ca="1" si="23"/>
        <v>#N/A</v>
      </c>
      <c r="P125" s="160" t="e">
        <f t="shared" ca="1" si="27"/>
        <v>#N/A</v>
      </c>
      <c r="Q125" s="160" t="e">
        <f t="shared" ca="1" si="28"/>
        <v>#N/A</v>
      </c>
      <c r="R125" s="160" t="e">
        <f t="shared" ca="1" si="28"/>
        <v>#N/A</v>
      </c>
      <c r="S125" s="160" t="e">
        <f t="shared" ca="1" si="28"/>
        <v>#N/A</v>
      </c>
      <c r="T125" s="160" t="e">
        <f t="shared" ca="1" si="28"/>
        <v>#N/A</v>
      </c>
      <c r="U125" s="160" t="e">
        <f t="shared" ca="1" si="25"/>
        <v>#N/A</v>
      </c>
      <c r="V125" s="163" t="e">
        <f t="shared" ca="1" si="18"/>
        <v>#N/A</v>
      </c>
      <c r="W125" s="163" t="e">
        <f t="shared" ca="1" si="19"/>
        <v>#N/A</v>
      </c>
      <c r="X125" s="163" t="e">
        <f t="shared" ca="1" si="20"/>
        <v>#N/A</v>
      </c>
      <c r="Y125" s="163" t="e">
        <f t="shared" ca="1" si="21"/>
        <v>#N/A</v>
      </c>
    </row>
    <row r="126" spans="12:25" ht="14.4">
      <c r="L126" s="464"/>
      <c r="M126" s="129" t="e">
        <f t="shared" si="22"/>
        <v>#N/A</v>
      </c>
      <c r="N126" s="161">
        <f t="shared" si="16"/>
        <v>13</v>
      </c>
      <c r="O126" s="160" t="e">
        <f t="shared" ca="1" si="23"/>
        <v>#N/A</v>
      </c>
      <c r="P126" s="160" t="e">
        <f t="shared" ca="1" si="27"/>
        <v>#N/A</v>
      </c>
      <c r="Q126" s="160" t="e">
        <f t="shared" ca="1" si="28"/>
        <v>#N/A</v>
      </c>
      <c r="R126" s="160" t="e">
        <f t="shared" ca="1" si="28"/>
        <v>#N/A</v>
      </c>
      <c r="S126" s="160" t="e">
        <f t="shared" ca="1" si="28"/>
        <v>#N/A</v>
      </c>
      <c r="T126" s="160" t="e">
        <f t="shared" ca="1" si="28"/>
        <v>#N/A</v>
      </c>
      <c r="U126" s="160" t="e">
        <f t="shared" ca="1" si="25"/>
        <v>#N/A</v>
      </c>
      <c r="V126" s="163" t="e">
        <f t="shared" ca="1" si="18"/>
        <v>#N/A</v>
      </c>
      <c r="W126" s="163" t="e">
        <f t="shared" ca="1" si="19"/>
        <v>#N/A</v>
      </c>
      <c r="X126" s="163" t="e">
        <f t="shared" ca="1" si="20"/>
        <v>#N/A</v>
      </c>
      <c r="Y126" s="163" t="e">
        <f t="shared" ca="1" si="21"/>
        <v>#N/A</v>
      </c>
    </row>
    <row r="127" spans="12:25" ht="14.4">
      <c r="L127" s="464"/>
      <c r="M127" s="129" t="e">
        <f t="shared" si="22"/>
        <v>#N/A</v>
      </c>
      <c r="N127" s="161">
        <f t="shared" si="16"/>
        <v>13</v>
      </c>
      <c r="O127" s="160" t="e">
        <f t="shared" ca="1" si="23"/>
        <v>#N/A</v>
      </c>
      <c r="P127" s="160" t="e">
        <f t="shared" ca="1" si="27"/>
        <v>#N/A</v>
      </c>
      <c r="Q127" s="160" t="e">
        <f t="shared" ca="1" si="28"/>
        <v>#N/A</v>
      </c>
      <c r="R127" s="160" t="e">
        <f t="shared" ca="1" si="28"/>
        <v>#N/A</v>
      </c>
      <c r="S127" s="160" t="e">
        <f t="shared" ca="1" si="28"/>
        <v>#N/A</v>
      </c>
      <c r="T127" s="160" t="e">
        <f t="shared" ca="1" si="28"/>
        <v>#N/A</v>
      </c>
      <c r="U127" s="160" t="e">
        <f t="shared" ca="1" si="25"/>
        <v>#N/A</v>
      </c>
      <c r="V127" s="163" t="e">
        <f t="shared" ca="1" si="18"/>
        <v>#N/A</v>
      </c>
      <c r="W127" s="163" t="e">
        <f t="shared" ca="1" si="19"/>
        <v>#N/A</v>
      </c>
      <c r="X127" s="163" t="e">
        <f t="shared" ca="1" si="20"/>
        <v>#N/A</v>
      </c>
      <c r="Y127" s="163" t="e">
        <f t="shared" ca="1" si="21"/>
        <v>#N/A</v>
      </c>
    </row>
    <row r="128" spans="12:25" ht="14.4">
      <c r="L128" s="464"/>
      <c r="M128" s="129" t="e">
        <f t="shared" si="22"/>
        <v>#N/A</v>
      </c>
      <c r="N128" s="161">
        <f t="shared" si="16"/>
        <v>13</v>
      </c>
      <c r="O128" s="160" t="e">
        <f t="shared" ca="1" si="23"/>
        <v>#N/A</v>
      </c>
      <c r="P128" s="160" t="e">
        <f t="shared" ca="1" si="27"/>
        <v>#N/A</v>
      </c>
      <c r="Q128" s="160" t="e">
        <f t="shared" ca="1" si="28"/>
        <v>#N/A</v>
      </c>
      <c r="R128" s="160" t="e">
        <f t="shared" ca="1" si="28"/>
        <v>#N/A</v>
      </c>
      <c r="S128" s="160" t="e">
        <f t="shared" ca="1" si="28"/>
        <v>#N/A</v>
      </c>
      <c r="T128" s="160" t="e">
        <f t="shared" ca="1" si="28"/>
        <v>#N/A</v>
      </c>
      <c r="U128" s="160" t="e">
        <f t="shared" ca="1" si="25"/>
        <v>#N/A</v>
      </c>
      <c r="V128" s="163" t="e">
        <f t="shared" ca="1" si="18"/>
        <v>#N/A</v>
      </c>
      <c r="W128" s="163" t="e">
        <f t="shared" ca="1" si="19"/>
        <v>#N/A</v>
      </c>
      <c r="X128" s="163" t="e">
        <f t="shared" ca="1" si="20"/>
        <v>#N/A</v>
      </c>
      <c r="Y128" s="163" t="e">
        <f t="shared" ca="1" si="21"/>
        <v>#N/A</v>
      </c>
    </row>
    <row r="129" spans="12:25" ht="14.4">
      <c r="L129" s="464"/>
      <c r="M129" s="129" t="e">
        <f t="shared" si="22"/>
        <v>#N/A</v>
      </c>
      <c r="N129" s="161">
        <f t="shared" si="16"/>
        <v>13</v>
      </c>
      <c r="O129" s="160" t="e">
        <f t="shared" ca="1" si="23"/>
        <v>#N/A</v>
      </c>
      <c r="P129" s="160" t="e">
        <f t="shared" ca="1" si="27"/>
        <v>#N/A</v>
      </c>
      <c r="Q129" s="160" t="e">
        <f t="shared" ca="1" si="28"/>
        <v>#N/A</v>
      </c>
      <c r="R129" s="160" t="e">
        <f t="shared" ca="1" si="28"/>
        <v>#N/A</v>
      </c>
      <c r="S129" s="160" t="e">
        <f t="shared" ca="1" si="28"/>
        <v>#N/A</v>
      </c>
      <c r="T129" s="160" t="e">
        <f t="shared" ca="1" si="28"/>
        <v>#N/A</v>
      </c>
      <c r="U129" s="160" t="e">
        <f t="shared" ca="1" si="25"/>
        <v>#N/A</v>
      </c>
      <c r="V129" s="163" t="e">
        <f t="shared" ca="1" si="18"/>
        <v>#N/A</v>
      </c>
      <c r="W129" s="163" t="e">
        <f t="shared" ca="1" si="19"/>
        <v>#N/A</v>
      </c>
      <c r="X129" s="163" t="e">
        <f t="shared" ca="1" si="20"/>
        <v>#N/A</v>
      </c>
      <c r="Y129" s="163" t="e">
        <f t="shared" ca="1" si="21"/>
        <v>#N/A</v>
      </c>
    </row>
    <row r="130" spans="12:25" ht="14.4">
      <c r="L130" s="464"/>
      <c r="M130" s="129" t="e">
        <f t="shared" si="22"/>
        <v>#N/A</v>
      </c>
      <c r="N130" s="161">
        <f t="shared" si="16"/>
        <v>13</v>
      </c>
      <c r="O130" s="160" t="e">
        <f t="shared" ca="1" si="23"/>
        <v>#N/A</v>
      </c>
      <c r="P130" s="160" t="e">
        <f t="shared" ca="1" si="27"/>
        <v>#N/A</v>
      </c>
      <c r="Q130" s="160" t="e">
        <f t="shared" ca="1" si="28"/>
        <v>#N/A</v>
      </c>
      <c r="R130" s="160" t="e">
        <f t="shared" ca="1" si="28"/>
        <v>#N/A</v>
      </c>
      <c r="S130" s="160" t="e">
        <f t="shared" ca="1" si="28"/>
        <v>#N/A</v>
      </c>
      <c r="T130" s="160" t="e">
        <f t="shared" ca="1" si="28"/>
        <v>#N/A</v>
      </c>
      <c r="U130" s="160" t="e">
        <f t="shared" ca="1" si="25"/>
        <v>#N/A</v>
      </c>
      <c r="V130" s="163" t="e">
        <f t="shared" ca="1" si="18"/>
        <v>#N/A</v>
      </c>
      <c r="W130" s="163" t="e">
        <f t="shared" ca="1" si="19"/>
        <v>#N/A</v>
      </c>
      <c r="X130" s="163" t="e">
        <f t="shared" ca="1" si="20"/>
        <v>#N/A</v>
      </c>
      <c r="Y130" s="163" t="e">
        <f t="shared" ca="1" si="21"/>
        <v>#N/A</v>
      </c>
    </row>
    <row r="131" spans="12:25" ht="14.4">
      <c r="L131" s="464"/>
      <c r="M131" s="129" t="e">
        <f t="shared" si="22"/>
        <v>#N/A</v>
      </c>
      <c r="N131" s="161">
        <f t="shared" si="16"/>
        <v>13</v>
      </c>
      <c r="O131" s="160" t="e">
        <f t="shared" ca="1" si="23"/>
        <v>#N/A</v>
      </c>
      <c r="P131" s="160" t="e">
        <f t="shared" ca="1" si="27"/>
        <v>#N/A</v>
      </c>
      <c r="Q131" s="160" t="e">
        <f t="shared" ca="1" si="28"/>
        <v>#N/A</v>
      </c>
      <c r="R131" s="160" t="e">
        <f t="shared" ca="1" si="28"/>
        <v>#N/A</v>
      </c>
      <c r="S131" s="160" t="e">
        <f t="shared" ca="1" si="28"/>
        <v>#N/A</v>
      </c>
      <c r="T131" s="160" t="e">
        <f t="shared" ca="1" si="28"/>
        <v>#N/A</v>
      </c>
      <c r="U131" s="160" t="e">
        <f t="shared" ca="1" si="25"/>
        <v>#N/A</v>
      </c>
      <c r="V131" s="163" t="e">
        <f t="shared" ca="1" si="18"/>
        <v>#N/A</v>
      </c>
      <c r="W131" s="163" t="e">
        <f t="shared" ca="1" si="19"/>
        <v>#N/A</v>
      </c>
      <c r="X131" s="163" t="e">
        <f t="shared" ca="1" si="20"/>
        <v>#N/A</v>
      </c>
      <c r="Y131" s="163" t="e">
        <f t="shared" ca="1" si="21"/>
        <v>#N/A</v>
      </c>
    </row>
    <row r="132" spans="12:25" ht="14.4">
      <c r="L132" s="464"/>
      <c r="M132" s="129" t="e">
        <f t="shared" si="22"/>
        <v>#N/A</v>
      </c>
      <c r="N132" s="161">
        <f t="shared" si="16"/>
        <v>13</v>
      </c>
      <c r="O132" s="160" t="e">
        <f t="shared" ca="1" si="23"/>
        <v>#N/A</v>
      </c>
      <c r="P132" s="160" t="e">
        <f t="shared" ca="1" si="27"/>
        <v>#N/A</v>
      </c>
      <c r="Q132" s="160" t="e">
        <f t="shared" ca="1" si="28"/>
        <v>#N/A</v>
      </c>
      <c r="R132" s="160" t="e">
        <f t="shared" ca="1" si="28"/>
        <v>#N/A</v>
      </c>
      <c r="S132" s="160" t="e">
        <f t="shared" ca="1" si="28"/>
        <v>#N/A</v>
      </c>
      <c r="T132" s="160" t="e">
        <f t="shared" ca="1" si="28"/>
        <v>#N/A</v>
      </c>
      <c r="U132" s="160" t="e">
        <f t="shared" ca="1" si="25"/>
        <v>#N/A</v>
      </c>
      <c r="V132" s="163" t="e">
        <f t="shared" ca="1" si="18"/>
        <v>#N/A</v>
      </c>
      <c r="W132" s="163" t="e">
        <f t="shared" ca="1" si="19"/>
        <v>#N/A</v>
      </c>
      <c r="X132" s="163" t="e">
        <f t="shared" ca="1" si="20"/>
        <v>#N/A</v>
      </c>
      <c r="Y132" s="163" t="e">
        <f t="shared" ca="1" si="21"/>
        <v>#N/A</v>
      </c>
    </row>
    <row r="133" spans="12:25" ht="14.4">
      <c r="L133" s="464"/>
      <c r="M133" s="129" t="e">
        <f t="shared" si="22"/>
        <v>#N/A</v>
      </c>
      <c r="N133" s="161">
        <f t="shared" si="16"/>
        <v>13</v>
      </c>
      <c r="O133" s="160" t="e">
        <f t="shared" ca="1" si="23"/>
        <v>#N/A</v>
      </c>
      <c r="P133" s="160" t="e">
        <f t="shared" ca="1" si="27"/>
        <v>#N/A</v>
      </c>
      <c r="Q133" s="160" t="e">
        <f t="shared" ca="1" si="28"/>
        <v>#N/A</v>
      </c>
      <c r="R133" s="160" t="e">
        <f t="shared" ca="1" si="28"/>
        <v>#N/A</v>
      </c>
      <c r="S133" s="160" t="e">
        <f t="shared" ca="1" si="28"/>
        <v>#N/A</v>
      </c>
      <c r="T133" s="160" t="e">
        <f t="shared" ca="1" si="28"/>
        <v>#N/A</v>
      </c>
      <c r="U133" s="160" t="e">
        <f t="shared" ca="1" si="25"/>
        <v>#N/A</v>
      </c>
      <c r="V133" s="163" t="e">
        <f t="shared" ca="1" si="18"/>
        <v>#N/A</v>
      </c>
      <c r="W133" s="163" t="e">
        <f t="shared" ca="1" si="19"/>
        <v>#N/A</v>
      </c>
      <c r="X133" s="163" t="e">
        <f t="shared" ca="1" si="20"/>
        <v>#N/A</v>
      </c>
      <c r="Y133" s="163" t="e">
        <f t="shared" ca="1" si="21"/>
        <v>#N/A</v>
      </c>
    </row>
    <row r="134" spans="12:25" ht="14.4">
      <c r="L134" s="464"/>
      <c r="M134" s="129" t="e">
        <f t="shared" si="22"/>
        <v>#N/A</v>
      </c>
      <c r="N134" s="161">
        <f t="shared" si="16"/>
        <v>13</v>
      </c>
      <c r="O134" s="160" t="e">
        <f t="shared" ca="1" si="23"/>
        <v>#N/A</v>
      </c>
      <c r="P134" s="160" t="e">
        <f t="shared" ca="1" si="27"/>
        <v>#N/A</v>
      </c>
      <c r="Q134" s="160" t="e">
        <f t="shared" ca="1" si="28"/>
        <v>#N/A</v>
      </c>
      <c r="R134" s="160" t="e">
        <f t="shared" ca="1" si="28"/>
        <v>#N/A</v>
      </c>
      <c r="S134" s="160" t="e">
        <f t="shared" ca="1" si="28"/>
        <v>#N/A</v>
      </c>
      <c r="T134" s="160" t="e">
        <f t="shared" ca="1" si="28"/>
        <v>#N/A</v>
      </c>
      <c r="U134" s="160" t="e">
        <f t="shared" ca="1" si="25"/>
        <v>#N/A</v>
      </c>
      <c r="V134" s="163" t="e">
        <f t="shared" ca="1" si="18"/>
        <v>#N/A</v>
      </c>
      <c r="W134" s="163" t="e">
        <f t="shared" ca="1" si="19"/>
        <v>#N/A</v>
      </c>
      <c r="X134" s="163" t="e">
        <f t="shared" ca="1" si="20"/>
        <v>#N/A</v>
      </c>
      <c r="Y134" s="163" t="e">
        <f t="shared" ca="1" si="21"/>
        <v>#N/A</v>
      </c>
    </row>
    <row r="135" spans="12:25" ht="14.4">
      <c r="L135" s="464"/>
      <c r="M135" s="129" t="e">
        <f t="shared" si="22"/>
        <v>#N/A</v>
      </c>
      <c r="N135" s="161">
        <f t="shared" si="16"/>
        <v>13</v>
      </c>
      <c r="O135" s="160" t="e">
        <f t="shared" ca="1" si="23"/>
        <v>#N/A</v>
      </c>
      <c r="P135" s="160" t="e">
        <f t="shared" ca="1" si="27"/>
        <v>#N/A</v>
      </c>
      <c r="Q135" s="160" t="e">
        <f t="shared" ca="1" si="28"/>
        <v>#N/A</v>
      </c>
      <c r="R135" s="160" t="e">
        <f t="shared" ca="1" si="28"/>
        <v>#N/A</v>
      </c>
      <c r="S135" s="160" t="e">
        <f t="shared" ca="1" si="28"/>
        <v>#N/A</v>
      </c>
      <c r="T135" s="160" t="e">
        <f t="shared" ca="1" si="28"/>
        <v>#N/A</v>
      </c>
      <c r="U135" s="160" t="e">
        <f t="shared" ca="1" si="25"/>
        <v>#N/A</v>
      </c>
      <c r="V135" s="163" t="e">
        <f t="shared" ca="1" si="18"/>
        <v>#N/A</v>
      </c>
      <c r="W135" s="163" t="e">
        <f t="shared" ca="1" si="19"/>
        <v>#N/A</v>
      </c>
      <c r="X135" s="163" t="e">
        <f t="shared" ca="1" si="20"/>
        <v>#N/A</v>
      </c>
      <c r="Y135" s="163" t="e">
        <f t="shared" ca="1" si="21"/>
        <v>#N/A</v>
      </c>
    </row>
    <row r="136" spans="12:25" ht="14.4">
      <c r="L136" s="464"/>
      <c r="M136" s="129" t="e">
        <f t="shared" si="22"/>
        <v>#N/A</v>
      </c>
      <c r="N136" s="161">
        <f t="shared" si="16"/>
        <v>13</v>
      </c>
      <c r="O136" s="160" t="e">
        <f t="shared" ca="1" si="23"/>
        <v>#N/A</v>
      </c>
      <c r="P136" s="160" t="e">
        <f t="shared" ca="1" si="27"/>
        <v>#N/A</v>
      </c>
      <c r="Q136" s="160" t="e">
        <f t="shared" ca="1" si="28"/>
        <v>#N/A</v>
      </c>
      <c r="R136" s="160" t="e">
        <f t="shared" ca="1" si="28"/>
        <v>#N/A</v>
      </c>
      <c r="S136" s="160" t="e">
        <f t="shared" ca="1" si="28"/>
        <v>#N/A</v>
      </c>
      <c r="T136" s="160" t="e">
        <f t="shared" ca="1" si="28"/>
        <v>#N/A</v>
      </c>
      <c r="U136" s="160" t="e">
        <f t="shared" ca="1" si="25"/>
        <v>#N/A</v>
      </c>
      <c r="V136" s="163" t="e">
        <f t="shared" ca="1" si="18"/>
        <v>#N/A</v>
      </c>
      <c r="W136" s="163" t="e">
        <f t="shared" ca="1" si="19"/>
        <v>#N/A</v>
      </c>
      <c r="X136" s="163" t="e">
        <f t="shared" ca="1" si="20"/>
        <v>#N/A</v>
      </c>
      <c r="Y136" s="163" t="e">
        <f t="shared" ca="1" si="21"/>
        <v>#N/A</v>
      </c>
    </row>
    <row r="137" spans="12:25" ht="14.4">
      <c r="L137" s="464"/>
      <c r="M137" s="129" t="e">
        <f t="shared" si="22"/>
        <v>#N/A</v>
      </c>
      <c r="N137" s="161">
        <f t="shared" si="16"/>
        <v>13</v>
      </c>
      <c r="O137" s="160" t="e">
        <f t="shared" ca="1" si="23"/>
        <v>#N/A</v>
      </c>
      <c r="P137" s="160" t="e">
        <f t="shared" ca="1" si="27"/>
        <v>#N/A</v>
      </c>
      <c r="Q137" s="160" t="e">
        <f t="shared" ca="1" si="28"/>
        <v>#N/A</v>
      </c>
      <c r="R137" s="160" t="e">
        <f t="shared" ca="1" si="28"/>
        <v>#N/A</v>
      </c>
      <c r="S137" s="160" t="e">
        <f t="shared" ca="1" si="28"/>
        <v>#N/A</v>
      </c>
      <c r="T137" s="160" t="e">
        <f t="shared" ca="1" si="28"/>
        <v>#N/A</v>
      </c>
      <c r="U137" s="160" t="e">
        <f t="shared" ca="1" si="25"/>
        <v>#N/A</v>
      </c>
      <c r="V137" s="163" t="e">
        <f t="shared" ca="1" si="18"/>
        <v>#N/A</v>
      </c>
      <c r="W137" s="163" t="e">
        <f t="shared" ca="1" si="19"/>
        <v>#N/A</v>
      </c>
      <c r="X137" s="163" t="e">
        <f t="shared" ca="1" si="20"/>
        <v>#N/A</v>
      </c>
      <c r="Y137" s="163" t="e">
        <f t="shared" ca="1" si="21"/>
        <v>#N/A</v>
      </c>
    </row>
    <row r="138" spans="12:25" ht="14.4">
      <c r="L138" s="464"/>
      <c r="M138" s="129" t="e">
        <f t="shared" si="22"/>
        <v>#N/A</v>
      </c>
      <c r="N138" s="161">
        <f t="shared" si="16"/>
        <v>13</v>
      </c>
      <c r="O138" s="160" t="e">
        <f t="shared" ca="1" si="23"/>
        <v>#N/A</v>
      </c>
      <c r="P138" s="160" t="e">
        <f t="shared" ca="1" si="27"/>
        <v>#N/A</v>
      </c>
      <c r="Q138" s="160" t="e">
        <f t="shared" ca="1" si="28"/>
        <v>#N/A</v>
      </c>
      <c r="R138" s="160" t="e">
        <f t="shared" ca="1" si="28"/>
        <v>#N/A</v>
      </c>
      <c r="S138" s="160" t="e">
        <f t="shared" ca="1" si="28"/>
        <v>#N/A</v>
      </c>
      <c r="T138" s="160" t="e">
        <f t="shared" ca="1" si="28"/>
        <v>#N/A</v>
      </c>
      <c r="U138" s="160" t="e">
        <f t="shared" ca="1" si="25"/>
        <v>#N/A</v>
      </c>
      <c r="V138" s="163" t="e">
        <f t="shared" ca="1" si="18"/>
        <v>#N/A</v>
      </c>
      <c r="W138" s="163" t="e">
        <f t="shared" ca="1" si="19"/>
        <v>#N/A</v>
      </c>
      <c r="X138" s="163" t="e">
        <f t="shared" ca="1" si="20"/>
        <v>#N/A</v>
      </c>
      <c r="Y138" s="163" t="e">
        <f t="shared" ca="1" si="21"/>
        <v>#N/A</v>
      </c>
    </row>
    <row r="139" spans="12:25" ht="14.4">
      <c r="L139" s="464"/>
      <c r="M139" s="129" t="e">
        <f t="shared" si="22"/>
        <v>#N/A</v>
      </c>
      <c r="N139" s="161">
        <f t="shared" si="16"/>
        <v>13</v>
      </c>
      <c r="O139" s="160" t="e">
        <f t="shared" ca="1" si="23"/>
        <v>#N/A</v>
      </c>
      <c r="P139" s="160" t="e">
        <f t="shared" ca="1" si="27"/>
        <v>#N/A</v>
      </c>
      <c r="Q139" s="160" t="e">
        <f t="shared" ca="1" si="28"/>
        <v>#N/A</v>
      </c>
      <c r="R139" s="160" t="e">
        <f t="shared" ca="1" si="28"/>
        <v>#N/A</v>
      </c>
      <c r="S139" s="160" t="e">
        <f t="shared" ca="1" si="28"/>
        <v>#N/A</v>
      </c>
      <c r="T139" s="160" t="e">
        <f t="shared" ca="1" si="28"/>
        <v>#N/A</v>
      </c>
      <c r="U139" s="160" t="e">
        <f t="shared" ca="1" si="25"/>
        <v>#N/A</v>
      </c>
      <c r="V139" s="163" t="e">
        <f t="shared" ca="1" si="18"/>
        <v>#N/A</v>
      </c>
      <c r="W139" s="163" t="e">
        <f t="shared" ca="1" si="19"/>
        <v>#N/A</v>
      </c>
      <c r="X139" s="163" t="e">
        <f t="shared" ca="1" si="20"/>
        <v>#N/A</v>
      </c>
      <c r="Y139" s="163" t="e">
        <f t="shared" ca="1" si="21"/>
        <v>#N/A</v>
      </c>
    </row>
    <row r="140" spans="12:25" ht="14.4">
      <c r="L140" s="464"/>
      <c r="M140" s="129" t="e">
        <f t="shared" si="22"/>
        <v>#N/A</v>
      </c>
      <c r="N140" s="161">
        <f t="shared" si="16"/>
        <v>13</v>
      </c>
      <c r="O140" s="160" t="e">
        <f t="shared" ca="1" si="23"/>
        <v>#N/A</v>
      </c>
      <c r="P140" s="160" t="e">
        <f t="shared" ca="1" si="27"/>
        <v>#N/A</v>
      </c>
      <c r="Q140" s="160" t="e">
        <f t="shared" ca="1" si="28"/>
        <v>#N/A</v>
      </c>
      <c r="R140" s="160" t="e">
        <f t="shared" ca="1" si="28"/>
        <v>#N/A</v>
      </c>
      <c r="S140" s="160" t="e">
        <f t="shared" ca="1" si="28"/>
        <v>#N/A</v>
      </c>
      <c r="T140" s="160" t="e">
        <f t="shared" ca="1" si="28"/>
        <v>#N/A</v>
      </c>
      <c r="U140" s="160" t="e">
        <f t="shared" ca="1" si="25"/>
        <v>#N/A</v>
      </c>
      <c r="V140" s="163" t="e">
        <f t="shared" ca="1" si="18"/>
        <v>#N/A</v>
      </c>
      <c r="W140" s="163" t="e">
        <f t="shared" ca="1" si="19"/>
        <v>#N/A</v>
      </c>
      <c r="X140" s="163" t="e">
        <f t="shared" ca="1" si="20"/>
        <v>#N/A</v>
      </c>
      <c r="Y140" s="163" t="e">
        <f t="shared" ca="1" si="21"/>
        <v>#N/A</v>
      </c>
    </row>
    <row r="141" spans="12:25" ht="14.4">
      <c r="L141" s="464"/>
      <c r="M141" s="129" t="e">
        <f t="shared" si="22"/>
        <v>#N/A</v>
      </c>
      <c r="N141" s="161">
        <f t="shared" si="16"/>
        <v>13</v>
      </c>
      <c r="O141" s="160" t="e">
        <f t="shared" ca="1" si="23"/>
        <v>#N/A</v>
      </c>
      <c r="P141" s="160" t="e">
        <f t="shared" ca="1" si="27"/>
        <v>#N/A</v>
      </c>
      <c r="Q141" s="160" t="e">
        <f t="shared" ca="1" si="28"/>
        <v>#N/A</v>
      </c>
      <c r="R141" s="160" t="e">
        <f t="shared" ca="1" si="28"/>
        <v>#N/A</v>
      </c>
      <c r="S141" s="160" t="e">
        <f t="shared" ca="1" si="28"/>
        <v>#N/A</v>
      </c>
      <c r="T141" s="160" t="e">
        <f t="shared" ca="1" si="28"/>
        <v>#N/A</v>
      </c>
      <c r="U141" s="160" t="e">
        <f t="shared" ca="1" si="25"/>
        <v>#N/A</v>
      </c>
      <c r="V141" s="163" t="e">
        <f t="shared" ca="1" si="18"/>
        <v>#N/A</v>
      </c>
      <c r="W141" s="163" t="e">
        <f t="shared" ca="1" si="19"/>
        <v>#N/A</v>
      </c>
      <c r="X141" s="163" t="e">
        <f t="shared" ca="1" si="20"/>
        <v>#N/A</v>
      </c>
      <c r="Y141" s="163" t="e">
        <f t="shared" ca="1" si="21"/>
        <v>#N/A</v>
      </c>
    </row>
    <row r="142" spans="12:25" ht="14.4">
      <c r="L142" s="464"/>
      <c r="M142" s="129" t="e">
        <f t="shared" si="22"/>
        <v>#N/A</v>
      </c>
      <c r="N142" s="161">
        <f t="shared" si="16"/>
        <v>13</v>
      </c>
      <c r="O142" s="160" t="e">
        <f t="shared" ca="1" si="23"/>
        <v>#N/A</v>
      </c>
      <c r="P142" s="160" t="e">
        <f t="shared" ca="1" si="27"/>
        <v>#N/A</v>
      </c>
      <c r="Q142" s="160" t="e">
        <f t="shared" ca="1" si="28"/>
        <v>#N/A</v>
      </c>
      <c r="R142" s="160" t="e">
        <f t="shared" ca="1" si="28"/>
        <v>#N/A</v>
      </c>
      <c r="S142" s="160" t="e">
        <f t="shared" ca="1" si="28"/>
        <v>#N/A</v>
      </c>
      <c r="T142" s="160" t="e">
        <f t="shared" ca="1" si="28"/>
        <v>#N/A</v>
      </c>
      <c r="U142" s="160" t="e">
        <f t="shared" ca="1" si="25"/>
        <v>#N/A</v>
      </c>
      <c r="V142" s="163" t="e">
        <f t="shared" ca="1" si="18"/>
        <v>#N/A</v>
      </c>
      <c r="W142" s="163" t="e">
        <f t="shared" ca="1" si="19"/>
        <v>#N/A</v>
      </c>
      <c r="X142" s="163" t="e">
        <f t="shared" ca="1" si="20"/>
        <v>#N/A</v>
      </c>
      <c r="Y142" s="163" t="e">
        <f t="shared" ca="1" si="21"/>
        <v>#N/A</v>
      </c>
    </row>
    <row r="143" spans="12:25" ht="14.4">
      <c r="L143" s="464"/>
      <c r="M143" s="129" t="e">
        <f t="shared" si="22"/>
        <v>#N/A</v>
      </c>
      <c r="N143" s="161">
        <f t="shared" si="16"/>
        <v>13</v>
      </c>
      <c r="O143" s="160" t="e">
        <f t="shared" ca="1" si="23"/>
        <v>#N/A</v>
      </c>
      <c r="P143" s="160" t="e">
        <f t="shared" ca="1" si="27"/>
        <v>#N/A</v>
      </c>
      <c r="Q143" s="160" t="e">
        <f t="shared" ca="1" si="28"/>
        <v>#N/A</v>
      </c>
      <c r="R143" s="160" t="e">
        <f t="shared" ca="1" si="28"/>
        <v>#N/A</v>
      </c>
      <c r="S143" s="160" t="e">
        <f t="shared" ca="1" si="28"/>
        <v>#N/A</v>
      </c>
      <c r="T143" s="160" t="e">
        <f t="shared" ca="1" si="28"/>
        <v>#N/A</v>
      </c>
      <c r="U143" s="160" t="e">
        <f t="shared" ca="1" si="25"/>
        <v>#N/A</v>
      </c>
      <c r="V143" s="163" t="e">
        <f t="shared" ca="1" si="18"/>
        <v>#N/A</v>
      </c>
      <c r="W143" s="163" t="e">
        <f t="shared" ca="1" si="19"/>
        <v>#N/A</v>
      </c>
      <c r="X143" s="163" t="e">
        <f t="shared" ca="1" si="20"/>
        <v>#N/A</v>
      </c>
      <c r="Y143" s="163" t="e">
        <f t="shared" ca="1" si="21"/>
        <v>#N/A</v>
      </c>
    </row>
    <row r="144" spans="12:25" ht="14.4">
      <c r="L144" s="464"/>
      <c r="M144" s="129" t="e">
        <f t="shared" si="22"/>
        <v>#N/A</v>
      </c>
      <c r="N144" s="161">
        <f t="shared" si="16"/>
        <v>13</v>
      </c>
      <c r="O144" s="160" t="e">
        <f t="shared" ca="1" si="23"/>
        <v>#N/A</v>
      </c>
      <c r="P144" s="160" t="e">
        <f t="shared" ca="1" si="27"/>
        <v>#N/A</v>
      </c>
      <c r="Q144" s="160" t="e">
        <f t="shared" ca="1" si="28"/>
        <v>#N/A</v>
      </c>
      <c r="R144" s="160" t="e">
        <f t="shared" ca="1" si="28"/>
        <v>#N/A</v>
      </c>
      <c r="S144" s="160" t="e">
        <f t="shared" ca="1" si="28"/>
        <v>#N/A</v>
      </c>
      <c r="T144" s="160" t="e">
        <f t="shared" ca="1" si="28"/>
        <v>#N/A</v>
      </c>
      <c r="U144" s="160" t="e">
        <f t="shared" ca="1" si="25"/>
        <v>#N/A</v>
      </c>
      <c r="V144" s="163" t="e">
        <f t="shared" ca="1" si="18"/>
        <v>#N/A</v>
      </c>
      <c r="W144" s="163" t="e">
        <f t="shared" ca="1" si="19"/>
        <v>#N/A</v>
      </c>
      <c r="X144" s="163" t="e">
        <f t="shared" ca="1" si="20"/>
        <v>#N/A</v>
      </c>
      <c r="Y144" s="163" t="e">
        <f t="shared" ca="1" si="21"/>
        <v>#N/A</v>
      </c>
    </row>
    <row r="145" spans="12:25" ht="14.4">
      <c r="L145" s="464"/>
      <c r="M145" s="129" t="e">
        <f t="shared" si="22"/>
        <v>#N/A</v>
      </c>
      <c r="N145" s="161">
        <f t="shared" si="16"/>
        <v>13</v>
      </c>
      <c r="O145" s="160" t="e">
        <f t="shared" ca="1" si="23"/>
        <v>#N/A</v>
      </c>
      <c r="P145" s="160" t="e">
        <f t="shared" ca="1" si="27"/>
        <v>#N/A</v>
      </c>
      <c r="Q145" s="160" t="e">
        <f t="shared" ca="1" si="28"/>
        <v>#N/A</v>
      </c>
      <c r="R145" s="160" t="e">
        <f t="shared" ca="1" si="28"/>
        <v>#N/A</v>
      </c>
      <c r="S145" s="160" t="e">
        <f t="shared" ca="1" si="28"/>
        <v>#N/A</v>
      </c>
      <c r="T145" s="160" t="e">
        <f t="shared" ca="1" si="28"/>
        <v>#N/A</v>
      </c>
      <c r="U145" s="160" t="e">
        <f t="shared" ca="1" si="25"/>
        <v>#N/A</v>
      </c>
      <c r="V145" s="163" t="e">
        <f t="shared" ca="1" si="18"/>
        <v>#N/A</v>
      </c>
      <c r="W145" s="163" t="e">
        <f t="shared" ca="1" si="19"/>
        <v>#N/A</v>
      </c>
      <c r="X145" s="163" t="e">
        <f t="shared" ca="1" si="20"/>
        <v>#N/A</v>
      </c>
      <c r="Y145" s="163" t="e">
        <f t="shared" ca="1" si="21"/>
        <v>#N/A</v>
      </c>
    </row>
    <row r="146" spans="12:25" ht="14.4">
      <c r="L146" s="464"/>
      <c r="M146" s="129" t="e">
        <f t="shared" si="22"/>
        <v>#N/A</v>
      </c>
      <c r="N146" s="161">
        <f t="shared" ref="N146:N209" si="29">N145</f>
        <v>13</v>
      </c>
      <c r="O146" s="160" t="e">
        <f t="shared" ca="1" si="23"/>
        <v>#N/A</v>
      </c>
      <c r="P146" s="160" t="e">
        <f t="shared" ca="1" si="27"/>
        <v>#N/A</v>
      </c>
      <c r="Q146" s="160" t="e">
        <f t="shared" ca="1" si="28"/>
        <v>#N/A</v>
      </c>
      <c r="R146" s="160" t="e">
        <f t="shared" ca="1" si="28"/>
        <v>#N/A</v>
      </c>
      <c r="S146" s="160" t="e">
        <f t="shared" ca="1" si="28"/>
        <v>#N/A</v>
      </c>
      <c r="T146" s="160" t="e">
        <f t="shared" ca="1" si="28"/>
        <v>#N/A</v>
      </c>
      <c r="U146" s="160" t="e">
        <f t="shared" ca="1" si="25"/>
        <v>#N/A</v>
      </c>
      <c r="V146" s="163" t="e">
        <f t="shared" ca="1" si="18"/>
        <v>#N/A</v>
      </c>
      <c r="W146" s="163" t="e">
        <f t="shared" ca="1" si="19"/>
        <v>#N/A</v>
      </c>
      <c r="X146" s="163" t="e">
        <f t="shared" ca="1" si="20"/>
        <v>#N/A</v>
      </c>
      <c r="Y146" s="163" t="e">
        <f t="shared" ca="1" si="21"/>
        <v>#N/A</v>
      </c>
    </row>
    <row r="147" spans="12:25" ht="14.4">
      <c r="L147" s="464"/>
      <c r="M147" s="129" t="e">
        <f t="shared" si="22"/>
        <v>#N/A</v>
      </c>
      <c r="N147" s="161">
        <f t="shared" si="29"/>
        <v>13</v>
      </c>
      <c r="O147" s="160" t="e">
        <f t="shared" ca="1" si="23"/>
        <v>#N/A</v>
      </c>
      <c r="P147" s="160" t="e">
        <f t="shared" ca="1" si="27"/>
        <v>#N/A</v>
      </c>
      <c r="Q147" s="160" t="e">
        <f t="shared" ca="1" si="28"/>
        <v>#N/A</v>
      </c>
      <c r="R147" s="160" t="e">
        <f t="shared" ca="1" si="28"/>
        <v>#N/A</v>
      </c>
      <c r="S147" s="160" t="e">
        <f t="shared" ca="1" si="28"/>
        <v>#N/A</v>
      </c>
      <c r="T147" s="160" t="e">
        <f t="shared" ca="1" si="28"/>
        <v>#N/A</v>
      </c>
      <c r="U147" s="160" t="e">
        <f t="shared" ca="1" si="25"/>
        <v>#N/A</v>
      </c>
      <c r="V147" s="163" t="e">
        <f t="shared" ca="1" si="18"/>
        <v>#N/A</v>
      </c>
      <c r="W147" s="163" t="e">
        <f t="shared" ca="1" si="19"/>
        <v>#N/A</v>
      </c>
      <c r="X147" s="163" t="e">
        <f t="shared" ca="1" si="20"/>
        <v>#N/A</v>
      </c>
      <c r="Y147" s="163" t="e">
        <f t="shared" ca="1" si="21"/>
        <v>#N/A</v>
      </c>
    </row>
    <row r="148" spans="12:25" ht="14.4">
      <c r="L148" s="464"/>
      <c r="M148" s="129" t="e">
        <f t="shared" si="22"/>
        <v>#N/A</v>
      </c>
      <c r="N148" s="161">
        <f t="shared" si="29"/>
        <v>13</v>
      </c>
      <c r="O148" s="160" t="e">
        <f t="shared" ca="1" si="23"/>
        <v>#N/A</v>
      </c>
      <c r="P148" s="160" t="e">
        <f t="shared" ca="1" si="27"/>
        <v>#N/A</v>
      </c>
      <c r="Q148" s="160" t="e">
        <f t="shared" ca="1" si="28"/>
        <v>#N/A</v>
      </c>
      <c r="R148" s="160" t="e">
        <f t="shared" ca="1" si="28"/>
        <v>#N/A</v>
      </c>
      <c r="S148" s="160" t="e">
        <f t="shared" ca="1" si="28"/>
        <v>#N/A</v>
      </c>
      <c r="T148" s="160" t="e">
        <f t="shared" ca="1" si="28"/>
        <v>#N/A</v>
      </c>
      <c r="U148" s="160" t="e">
        <f t="shared" ca="1" si="25"/>
        <v>#N/A</v>
      </c>
      <c r="V148" s="163" t="e">
        <f t="shared" ca="1" si="18"/>
        <v>#N/A</v>
      </c>
      <c r="W148" s="163" t="e">
        <f t="shared" ca="1" si="19"/>
        <v>#N/A</v>
      </c>
      <c r="X148" s="163" t="e">
        <f t="shared" ca="1" si="20"/>
        <v>#N/A</v>
      </c>
      <c r="Y148" s="163" t="e">
        <f t="shared" ca="1" si="21"/>
        <v>#N/A</v>
      </c>
    </row>
    <row r="149" spans="12:25" ht="14.4">
      <c r="L149" s="464"/>
      <c r="M149" s="129" t="e">
        <f t="shared" si="22"/>
        <v>#N/A</v>
      </c>
      <c r="N149" s="161">
        <f t="shared" si="29"/>
        <v>13</v>
      </c>
      <c r="O149" s="160" t="e">
        <f t="shared" ca="1" si="23"/>
        <v>#N/A</v>
      </c>
      <c r="P149" s="160" t="e">
        <f t="shared" ca="1" si="27"/>
        <v>#N/A</v>
      </c>
      <c r="Q149" s="160" t="e">
        <f t="shared" ca="1" si="28"/>
        <v>#N/A</v>
      </c>
      <c r="R149" s="160" t="e">
        <f t="shared" ca="1" si="28"/>
        <v>#N/A</v>
      </c>
      <c r="S149" s="160" t="e">
        <f t="shared" ca="1" si="28"/>
        <v>#N/A</v>
      </c>
      <c r="T149" s="160" t="e">
        <f t="shared" ca="1" si="28"/>
        <v>#N/A</v>
      </c>
      <c r="U149" s="160" t="e">
        <f t="shared" ca="1" si="25"/>
        <v>#N/A</v>
      </c>
      <c r="V149" s="163" t="e">
        <f t="shared" ca="1" si="18"/>
        <v>#N/A</v>
      </c>
      <c r="W149" s="163" t="e">
        <f t="shared" ca="1" si="19"/>
        <v>#N/A</v>
      </c>
      <c r="X149" s="163" t="e">
        <f t="shared" ca="1" si="20"/>
        <v>#N/A</v>
      </c>
      <c r="Y149" s="163" t="e">
        <f t="shared" ca="1" si="21"/>
        <v>#N/A</v>
      </c>
    </row>
    <row r="150" spans="12:25" ht="14.4">
      <c r="L150" s="464"/>
      <c r="M150" s="129" t="e">
        <f t="shared" si="22"/>
        <v>#N/A</v>
      </c>
      <c r="N150" s="161">
        <f t="shared" si="29"/>
        <v>13</v>
      </c>
      <c r="O150" s="160" t="e">
        <f t="shared" ca="1" si="23"/>
        <v>#N/A</v>
      </c>
      <c r="P150" s="160" t="e">
        <f t="shared" ca="1" si="27"/>
        <v>#N/A</v>
      </c>
      <c r="Q150" s="160" t="e">
        <f t="shared" ca="1" si="28"/>
        <v>#N/A</v>
      </c>
      <c r="R150" s="160" t="e">
        <f t="shared" ca="1" si="28"/>
        <v>#N/A</v>
      </c>
      <c r="S150" s="160" t="e">
        <f t="shared" ca="1" si="28"/>
        <v>#N/A</v>
      </c>
      <c r="T150" s="160" t="e">
        <f t="shared" ca="1" si="28"/>
        <v>#N/A</v>
      </c>
      <c r="U150" s="160" t="e">
        <f t="shared" ca="1" si="25"/>
        <v>#N/A</v>
      </c>
      <c r="V150" s="163" t="e">
        <f t="shared" ca="1" si="18"/>
        <v>#N/A</v>
      </c>
      <c r="W150" s="163" t="e">
        <f t="shared" ca="1" si="19"/>
        <v>#N/A</v>
      </c>
      <c r="X150" s="163" t="e">
        <f t="shared" ca="1" si="20"/>
        <v>#N/A</v>
      </c>
      <c r="Y150" s="163" t="e">
        <f t="shared" ca="1" si="21"/>
        <v>#N/A</v>
      </c>
    </row>
    <row r="151" spans="12:25" ht="14.4">
      <c r="L151" s="464"/>
      <c r="M151" s="129" t="e">
        <f t="shared" si="22"/>
        <v>#N/A</v>
      </c>
      <c r="N151" s="161">
        <f t="shared" si="29"/>
        <v>13</v>
      </c>
      <c r="O151" s="160" t="e">
        <f t="shared" ca="1" si="23"/>
        <v>#N/A</v>
      </c>
      <c r="P151" s="160" t="e">
        <f t="shared" ca="1" si="27"/>
        <v>#N/A</v>
      </c>
      <c r="Q151" s="160" t="e">
        <f t="shared" ca="1" si="28"/>
        <v>#N/A</v>
      </c>
      <c r="R151" s="160" t="e">
        <f t="shared" ca="1" si="28"/>
        <v>#N/A</v>
      </c>
      <c r="S151" s="160" t="e">
        <f t="shared" ca="1" si="28"/>
        <v>#N/A</v>
      </c>
      <c r="T151" s="160" t="e">
        <f t="shared" ca="1" si="28"/>
        <v>#N/A</v>
      </c>
      <c r="U151" s="160" t="e">
        <f t="shared" ca="1" si="25"/>
        <v>#N/A</v>
      </c>
      <c r="V151" s="163" t="e">
        <f t="shared" ca="1" si="18"/>
        <v>#N/A</v>
      </c>
      <c r="W151" s="163" t="e">
        <f t="shared" ca="1" si="19"/>
        <v>#N/A</v>
      </c>
      <c r="X151" s="163" t="e">
        <f t="shared" ca="1" si="20"/>
        <v>#N/A</v>
      </c>
      <c r="Y151" s="163" t="e">
        <f t="shared" ca="1" si="21"/>
        <v>#N/A</v>
      </c>
    </row>
    <row r="152" spans="12:25" ht="14.4">
      <c r="L152" s="464"/>
      <c r="M152" s="129" t="e">
        <f t="shared" si="22"/>
        <v>#N/A</v>
      </c>
      <c r="N152" s="161">
        <f t="shared" si="29"/>
        <v>13</v>
      </c>
      <c r="O152" s="160" t="e">
        <f t="shared" ca="1" si="23"/>
        <v>#N/A</v>
      </c>
      <c r="P152" s="160" t="e">
        <f t="shared" ca="1" si="27"/>
        <v>#N/A</v>
      </c>
      <c r="Q152" s="160" t="e">
        <f t="shared" ca="1" si="28"/>
        <v>#N/A</v>
      </c>
      <c r="R152" s="160" t="e">
        <f t="shared" ca="1" si="28"/>
        <v>#N/A</v>
      </c>
      <c r="S152" s="160" t="e">
        <f t="shared" ca="1" si="28"/>
        <v>#N/A</v>
      </c>
      <c r="T152" s="160" t="e">
        <f t="shared" ca="1" si="28"/>
        <v>#N/A</v>
      </c>
      <c r="U152" s="160" t="e">
        <f t="shared" ca="1" si="25"/>
        <v>#N/A</v>
      </c>
      <c r="V152" s="163" t="e">
        <f t="shared" ca="1" si="18"/>
        <v>#N/A</v>
      </c>
      <c r="W152" s="163" t="e">
        <f t="shared" ca="1" si="19"/>
        <v>#N/A</v>
      </c>
      <c r="X152" s="163" t="e">
        <f t="shared" ca="1" si="20"/>
        <v>#N/A</v>
      </c>
      <c r="Y152" s="163" t="e">
        <f t="shared" ca="1" si="21"/>
        <v>#N/A</v>
      </c>
    </row>
    <row r="153" spans="12:25" ht="14.4">
      <c r="L153" s="464"/>
      <c r="M153" s="129" t="e">
        <f t="shared" si="22"/>
        <v>#N/A</v>
      </c>
      <c r="N153" s="161">
        <f t="shared" si="29"/>
        <v>13</v>
      </c>
      <c r="O153" s="160" t="e">
        <f t="shared" ca="1" si="23"/>
        <v>#N/A</v>
      </c>
      <c r="P153" s="160" t="e">
        <f t="shared" ca="1" si="27"/>
        <v>#N/A</v>
      </c>
      <c r="Q153" s="160" t="e">
        <f t="shared" ca="1" si="28"/>
        <v>#N/A</v>
      </c>
      <c r="R153" s="160" t="e">
        <f t="shared" ca="1" si="28"/>
        <v>#N/A</v>
      </c>
      <c r="S153" s="160" t="e">
        <f t="shared" ca="1" si="28"/>
        <v>#N/A</v>
      </c>
      <c r="T153" s="160" t="e">
        <f t="shared" ca="1" si="28"/>
        <v>#N/A</v>
      </c>
      <c r="U153" s="160" t="e">
        <f t="shared" ca="1" si="25"/>
        <v>#N/A</v>
      </c>
      <c r="V153" s="163" t="e">
        <f t="shared" ca="1" si="18"/>
        <v>#N/A</v>
      </c>
      <c r="W153" s="163" t="e">
        <f t="shared" ca="1" si="19"/>
        <v>#N/A</v>
      </c>
      <c r="X153" s="163" t="e">
        <f t="shared" ca="1" si="20"/>
        <v>#N/A</v>
      </c>
      <c r="Y153" s="163" t="e">
        <f t="shared" ca="1" si="21"/>
        <v>#N/A</v>
      </c>
    </row>
    <row r="154" spans="12:25" ht="14.4">
      <c r="L154" s="464"/>
      <c r="M154" s="129" t="e">
        <f t="shared" si="22"/>
        <v>#N/A</v>
      </c>
      <c r="N154" s="161">
        <f t="shared" si="29"/>
        <v>13</v>
      </c>
      <c r="O154" s="160" t="e">
        <f t="shared" ca="1" si="23"/>
        <v>#N/A</v>
      </c>
      <c r="P154" s="160" t="e">
        <f t="shared" ca="1" si="27"/>
        <v>#N/A</v>
      </c>
      <c r="Q154" s="160" t="e">
        <f t="shared" ca="1" si="28"/>
        <v>#N/A</v>
      </c>
      <c r="R154" s="160" t="e">
        <f t="shared" ca="1" si="28"/>
        <v>#N/A</v>
      </c>
      <c r="S154" s="160" t="e">
        <f t="shared" ca="1" si="28"/>
        <v>#N/A</v>
      </c>
      <c r="T154" s="160" t="e">
        <f t="shared" ca="1" si="28"/>
        <v>#N/A</v>
      </c>
      <c r="U154" s="160" t="e">
        <f t="shared" ca="1" si="25"/>
        <v>#N/A</v>
      </c>
      <c r="V154" s="163" t="e">
        <f t="shared" ca="1" si="18"/>
        <v>#N/A</v>
      </c>
      <c r="W154" s="163" t="e">
        <f t="shared" ca="1" si="19"/>
        <v>#N/A</v>
      </c>
      <c r="X154" s="163" t="e">
        <f t="shared" ca="1" si="20"/>
        <v>#N/A</v>
      </c>
      <c r="Y154" s="163" t="e">
        <f t="shared" ca="1" si="21"/>
        <v>#N/A</v>
      </c>
    </row>
    <row r="155" spans="12:25" ht="14.4">
      <c r="L155" s="464"/>
      <c r="M155" s="129" t="e">
        <f t="shared" si="22"/>
        <v>#N/A</v>
      </c>
      <c r="N155" s="161">
        <f t="shared" si="29"/>
        <v>13</v>
      </c>
      <c r="O155" s="160" t="e">
        <f t="shared" ca="1" si="23"/>
        <v>#N/A</v>
      </c>
      <c r="P155" s="160" t="e">
        <f t="shared" ca="1" si="27"/>
        <v>#N/A</v>
      </c>
      <c r="Q155" s="160" t="e">
        <f t="shared" ca="1" si="28"/>
        <v>#N/A</v>
      </c>
      <c r="R155" s="160" t="e">
        <f t="shared" ca="1" si="28"/>
        <v>#N/A</v>
      </c>
      <c r="S155" s="160" t="e">
        <f t="shared" ca="1" si="28"/>
        <v>#N/A</v>
      </c>
      <c r="T155" s="160" t="e">
        <f t="shared" ca="1" si="28"/>
        <v>#N/A</v>
      </c>
      <c r="U155" s="160" t="e">
        <f t="shared" ca="1" si="25"/>
        <v>#N/A</v>
      </c>
      <c r="V155" s="163" t="e">
        <f t="shared" ca="1" si="18"/>
        <v>#N/A</v>
      </c>
      <c r="W155" s="163" t="e">
        <f t="shared" ca="1" si="19"/>
        <v>#N/A</v>
      </c>
      <c r="X155" s="163" t="e">
        <f t="shared" ca="1" si="20"/>
        <v>#N/A</v>
      </c>
      <c r="Y155" s="163" t="e">
        <f t="shared" ca="1" si="21"/>
        <v>#N/A</v>
      </c>
    </row>
    <row r="156" spans="12:25" ht="14.4">
      <c r="L156" s="464"/>
      <c r="M156" s="129" t="e">
        <f t="shared" si="22"/>
        <v>#N/A</v>
      </c>
      <c r="N156" s="161">
        <f t="shared" si="29"/>
        <v>13</v>
      </c>
      <c r="O156" s="160" t="e">
        <f t="shared" ca="1" si="23"/>
        <v>#N/A</v>
      </c>
      <c r="P156" s="160" t="e">
        <f t="shared" ca="1" si="27"/>
        <v>#N/A</v>
      </c>
      <c r="Q156" s="160" t="e">
        <f t="shared" ca="1" si="28"/>
        <v>#N/A</v>
      </c>
      <c r="R156" s="160" t="e">
        <f t="shared" ca="1" si="28"/>
        <v>#N/A</v>
      </c>
      <c r="S156" s="160" t="e">
        <f t="shared" ca="1" si="28"/>
        <v>#N/A</v>
      </c>
      <c r="T156" s="160" t="e">
        <f t="shared" ca="1" si="28"/>
        <v>#N/A</v>
      </c>
      <c r="U156" s="160" t="e">
        <f t="shared" ca="1" si="25"/>
        <v>#N/A</v>
      </c>
      <c r="V156" s="163" t="e">
        <f t="shared" ca="1" si="18"/>
        <v>#N/A</v>
      </c>
      <c r="W156" s="163" t="e">
        <f t="shared" ca="1" si="19"/>
        <v>#N/A</v>
      </c>
      <c r="X156" s="163" t="e">
        <f t="shared" ca="1" si="20"/>
        <v>#N/A</v>
      </c>
      <c r="Y156" s="163" t="e">
        <f t="shared" ca="1" si="21"/>
        <v>#N/A</v>
      </c>
    </row>
    <row r="157" spans="12:25" ht="14.4">
      <c r="L157" s="464"/>
      <c r="M157" s="129" t="e">
        <f t="shared" si="22"/>
        <v>#N/A</v>
      </c>
      <c r="N157" s="161">
        <f t="shared" si="29"/>
        <v>13</v>
      </c>
      <c r="O157" s="160" t="e">
        <f t="shared" ca="1" si="23"/>
        <v>#N/A</v>
      </c>
      <c r="P157" s="160" t="e">
        <f t="shared" ca="1" si="27"/>
        <v>#N/A</v>
      </c>
      <c r="Q157" s="160" t="e">
        <f t="shared" ca="1" si="28"/>
        <v>#N/A</v>
      </c>
      <c r="R157" s="160" t="e">
        <f t="shared" ca="1" si="28"/>
        <v>#N/A</v>
      </c>
      <c r="S157" s="160" t="e">
        <f t="shared" ca="1" si="28"/>
        <v>#N/A</v>
      </c>
      <c r="T157" s="160" t="e">
        <f t="shared" ca="1" si="28"/>
        <v>#N/A</v>
      </c>
      <c r="U157" s="160" t="e">
        <f t="shared" ca="1" si="25"/>
        <v>#N/A</v>
      </c>
      <c r="V157" s="163" t="e">
        <f t="shared" ca="1" si="18"/>
        <v>#N/A</v>
      </c>
      <c r="W157" s="163" t="e">
        <f t="shared" ca="1" si="19"/>
        <v>#N/A</v>
      </c>
      <c r="X157" s="163" t="e">
        <f t="shared" ca="1" si="20"/>
        <v>#N/A</v>
      </c>
      <c r="Y157" s="163" t="e">
        <f t="shared" ca="1" si="21"/>
        <v>#N/A</v>
      </c>
    </row>
    <row r="158" spans="12:25" ht="14.4">
      <c r="L158" s="464"/>
      <c r="M158" s="129" t="e">
        <f t="shared" si="22"/>
        <v>#N/A</v>
      </c>
      <c r="N158" s="161">
        <f t="shared" si="29"/>
        <v>13</v>
      </c>
      <c r="O158" s="160" t="e">
        <f t="shared" ca="1" si="23"/>
        <v>#N/A</v>
      </c>
      <c r="P158" s="160" t="e">
        <f t="shared" ca="1" si="27"/>
        <v>#N/A</v>
      </c>
      <c r="Q158" s="160" t="e">
        <f t="shared" ca="1" si="28"/>
        <v>#N/A</v>
      </c>
      <c r="R158" s="160" t="e">
        <f t="shared" ca="1" si="28"/>
        <v>#N/A</v>
      </c>
      <c r="S158" s="160" t="e">
        <f t="shared" ca="1" si="28"/>
        <v>#N/A</v>
      </c>
      <c r="T158" s="160" t="e">
        <f t="shared" ca="1" si="28"/>
        <v>#N/A</v>
      </c>
      <c r="U158" s="160" t="e">
        <f t="shared" ca="1" si="25"/>
        <v>#N/A</v>
      </c>
      <c r="V158" s="163" t="e">
        <f t="shared" ca="1" si="18"/>
        <v>#N/A</v>
      </c>
      <c r="W158" s="163" t="e">
        <f t="shared" ca="1" si="19"/>
        <v>#N/A</v>
      </c>
      <c r="X158" s="163" t="e">
        <f t="shared" ca="1" si="20"/>
        <v>#N/A</v>
      </c>
      <c r="Y158" s="163" t="e">
        <f t="shared" ca="1" si="21"/>
        <v>#N/A</v>
      </c>
    </row>
    <row r="159" spans="12:25" ht="14.4">
      <c r="L159" s="464"/>
      <c r="M159" s="129" t="e">
        <f t="shared" si="22"/>
        <v>#N/A</v>
      </c>
      <c r="N159" s="161">
        <f t="shared" si="29"/>
        <v>13</v>
      </c>
      <c r="O159" s="160" t="e">
        <f t="shared" ca="1" si="23"/>
        <v>#N/A</v>
      </c>
      <c r="P159" s="160" t="e">
        <f t="shared" ca="1" si="27"/>
        <v>#N/A</v>
      </c>
      <c r="Q159" s="160" t="e">
        <f t="shared" ca="1" si="28"/>
        <v>#N/A</v>
      </c>
      <c r="R159" s="160" t="e">
        <f t="shared" ca="1" si="28"/>
        <v>#N/A</v>
      </c>
      <c r="S159" s="160" t="e">
        <f t="shared" ca="1" si="28"/>
        <v>#N/A</v>
      </c>
      <c r="T159" s="160" t="e">
        <f t="shared" ca="1" si="28"/>
        <v>#N/A</v>
      </c>
      <c r="U159" s="160" t="e">
        <f t="shared" ca="1" si="25"/>
        <v>#N/A</v>
      </c>
      <c r="V159" s="163" t="e">
        <f t="shared" ref="V159:V222" ca="1" si="30">IF(Q159=0,0,IF(S159=180,IF(R159=0,"Slab on Grade",IF(R159=1,"Exposed Floor",IF(R159=3,"Internal Floor",U159))),IF(S159&lt;45,IF(R159=3,"Internal Ceiling",IF(R159=1,"Roof",U159)))))</f>
        <v>#N/A</v>
      </c>
      <c r="W159" s="163" t="e">
        <f t="shared" ref="W159:W222" ca="1" si="31">IF(ISNUMBER(SEARCH($W$29,U159))=TRUE,IF(ISNUMBER(SEARCH($W$27,U159))=TRUE,IF(R159=1,"eFrame",IF(R159=3,"iFrame")),IF(R159=1,"eWindow",IF(R159=3,"iWindow"))),U159)</f>
        <v>#N/A</v>
      </c>
      <c r="X159" s="163" t="e">
        <f t="shared" ref="X159:X222" ca="1" si="32">IF(ISNUMBER(SEARCH($X$29,U159))=TRUE,IF(ISNUMBER(SEARCH($X$27,U159))=TRUE,IF(R159=1,"eFrameDoor",IF(R159=3,"iFrameDoor")),IF(R159=1,"eDoor",IF(R159=3,"iDoor"))),U159)</f>
        <v>#N/A</v>
      </c>
      <c r="Y159" s="163" t="e">
        <f t="shared" ref="Y159:Y222" ca="1" si="33">IF(ISNUMBER(SEARCH($W$29,U159))=TRUE,"Substract",IF(ISNUMBER(SEARCH($X$29,U159))=TRUE, "Sunstract",IF(S159=90,IF(R159=1,"External Wall",IF(R159=3,"Internal Wall",IF(R159=0,"Below Grade Wall",U159))),V159)))</f>
        <v>#N/A</v>
      </c>
    </row>
    <row r="160" spans="12:25" ht="14.4">
      <c r="L160" s="464"/>
      <c r="M160" s="129" t="e">
        <f t="shared" ref="M160:M223" si="34">IF(M159="end","end",IF(M159=$K$1,"end",M159+1))</f>
        <v>#N/A</v>
      </c>
      <c r="N160" s="161">
        <f t="shared" si="29"/>
        <v>13</v>
      </c>
      <c r="O160" s="160" t="e">
        <f t="shared" ca="1" si="23"/>
        <v>#N/A</v>
      </c>
      <c r="P160" s="160" t="e">
        <f t="shared" ca="1" si="27"/>
        <v>#N/A</v>
      </c>
      <c r="Q160" s="160" t="e">
        <f t="shared" ca="1" si="28"/>
        <v>#N/A</v>
      </c>
      <c r="R160" s="160" t="e">
        <f t="shared" ca="1" si="28"/>
        <v>#N/A</v>
      </c>
      <c r="S160" s="160" t="e">
        <f t="shared" ca="1" si="28"/>
        <v>#N/A</v>
      </c>
      <c r="T160" s="160" t="e">
        <f t="shared" ca="1" si="28"/>
        <v>#N/A</v>
      </c>
      <c r="U160" s="160" t="e">
        <f t="shared" ca="1" si="25"/>
        <v>#N/A</v>
      </c>
      <c r="V160" s="163" t="e">
        <f t="shared" ca="1" si="30"/>
        <v>#N/A</v>
      </c>
      <c r="W160" s="163" t="e">
        <f t="shared" ca="1" si="31"/>
        <v>#N/A</v>
      </c>
      <c r="X160" s="163" t="e">
        <f t="shared" ca="1" si="32"/>
        <v>#N/A</v>
      </c>
      <c r="Y160" s="163" t="e">
        <f t="shared" ca="1" si="33"/>
        <v>#N/A</v>
      </c>
    </row>
    <row r="161" spans="12:25" ht="14.4">
      <c r="L161" s="464"/>
      <c r="M161" s="129" t="e">
        <f t="shared" si="34"/>
        <v>#N/A</v>
      </c>
      <c r="N161" s="161">
        <f t="shared" si="29"/>
        <v>13</v>
      </c>
      <c r="O161" s="160" t="e">
        <f t="shared" ca="1" si="23"/>
        <v>#N/A</v>
      </c>
      <c r="P161" s="160" t="e">
        <f t="shared" ca="1" si="27"/>
        <v>#N/A</v>
      </c>
      <c r="Q161" s="160" t="e">
        <f t="shared" ca="1" si="28"/>
        <v>#N/A</v>
      </c>
      <c r="R161" s="160" t="e">
        <f t="shared" ca="1" si="28"/>
        <v>#N/A</v>
      </c>
      <c r="S161" s="160" t="e">
        <f t="shared" ca="1" si="28"/>
        <v>#N/A</v>
      </c>
      <c r="T161" s="160" t="e">
        <f t="shared" ca="1" si="28"/>
        <v>#N/A</v>
      </c>
      <c r="U161" s="160" t="e">
        <f t="shared" ca="1" si="25"/>
        <v>#N/A</v>
      </c>
      <c r="V161" s="163" t="e">
        <f t="shared" ca="1" si="30"/>
        <v>#N/A</v>
      </c>
      <c r="W161" s="163" t="e">
        <f t="shared" ca="1" si="31"/>
        <v>#N/A</v>
      </c>
      <c r="X161" s="163" t="e">
        <f t="shared" ca="1" si="32"/>
        <v>#N/A</v>
      </c>
      <c r="Y161" s="163" t="e">
        <f t="shared" ca="1" si="33"/>
        <v>#N/A</v>
      </c>
    </row>
    <row r="162" spans="12:25" ht="14.4">
      <c r="L162" s="464"/>
      <c r="M162" s="129" t="e">
        <f t="shared" si="34"/>
        <v>#N/A</v>
      </c>
      <c r="N162" s="161">
        <f t="shared" si="29"/>
        <v>13</v>
      </c>
      <c r="O162" s="160" t="e">
        <f t="shared" ca="1" si="23"/>
        <v>#N/A</v>
      </c>
      <c r="P162" s="160" t="e">
        <f t="shared" ca="1" si="27"/>
        <v>#N/A</v>
      </c>
      <c r="Q162" s="160" t="e">
        <f t="shared" ca="1" si="28"/>
        <v>#N/A</v>
      </c>
      <c r="R162" s="160" t="e">
        <f t="shared" ca="1" si="28"/>
        <v>#N/A</v>
      </c>
      <c r="S162" s="160" t="e">
        <f t="shared" ca="1" si="28"/>
        <v>#N/A</v>
      </c>
      <c r="T162" s="160" t="e">
        <f t="shared" ca="1" si="28"/>
        <v>#N/A</v>
      </c>
      <c r="U162" s="160" t="e">
        <f t="shared" ca="1" si="25"/>
        <v>#N/A</v>
      </c>
      <c r="V162" s="163" t="e">
        <f t="shared" ca="1" si="30"/>
        <v>#N/A</v>
      </c>
      <c r="W162" s="163" t="e">
        <f t="shared" ca="1" si="31"/>
        <v>#N/A</v>
      </c>
      <c r="X162" s="163" t="e">
        <f t="shared" ca="1" si="32"/>
        <v>#N/A</v>
      </c>
      <c r="Y162" s="163" t="e">
        <f t="shared" ca="1" si="33"/>
        <v>#N/A</v>
      </c>
    </row>
    <row r="163" spans="12:25" ht="14.4">
      <c r="L163" s="464"/>
      <c r="M163" s="129" t="e">
        <f t="shared" si="34"/>
        <v>#N/A</v>
      </c>
      <c r="N163" s="161">
        <f t="shared" si="29"/>
        <v>13</v>
      </c>
      <c r="O163" s="160" t="e">
        <f t="shared" ca="1" si="23"/>
        <v>#N/A</v>
      </c>
      <c r="P163" s="160" t="e">
        <f t="shared" ca="1" si="27"/>
        <v>#N/A</v>
      </c>
      <c r="Q163" s="160" t="e">
        <f t="shared" ca="1" si="28"/>
        <v>#N/A</v>
      </c>
      <c r="R163" s="160" t="e">
        <f t="shared" ca="1" si="28"/>
        <v>#N/A</v>
      </c>
      <c r="S163" s="160" t="e">
        <f t="shared" ca="1" si="28"/>
        <v>#N/A</v>
      </c>
      <c r="T163" s="160" t="e">
        <f t="shared" ca="1" si="28"/>
        <v>#N/A</v>
      </c>
      <c r="U163" s="160" t="e">
        <f t="shared" ca="1" si="25"/>
        <v>#N/A</v>
      </c>
      <c r="V163" s="163" t="e">
        <f t="shared" ca="1" si="30"/>
        <v>#N/A</v>
      </c>
      <c r="W163" s="163" t="e">
        <f t="shared" ca="1" si="31"/>
        <v>#N/A</v>
      </c>
      <c r="X163" s="163" t="e">
        <f t="shared" ca="1" si="32"/>
        <v>#N/A</v>
      </c>
      <c r="Y163" s="163" t="e">
        <f t="shared" ca="1" si="33"/>
        <v>#N/A</v>
      </c>
    </row>
    <row r="164" spans="12:25" ht="14.4">
      <c r="L164" s="464"/>
      <c r="M164" s="129" t="e">
        <f t="shared" si="34"/>
        <v>#N/A</v>
      </c>
      <c r="N164" s="161">
        <f t="shared" si="29"/>
        <v>13</v>
      </c>
      <c r="O164" s="160" t="e">
        <f t="shared" ca="1" si="23"/>
        <v>#N/A</v>
      </c>
      <c r="P164" s="160" t="e">
        <f t="shared" ca="1" si="27"/>
        <v>#N/A</v>
      </c>
      <c r="Q164" s="160" t="e">
        <f t="shared" ca="1" si="28"/>
        <v>#N/A</v>
      </c>
      <c r="R164" s="160" t="e">
        <f t="shared" ca="1" si="28"/>
        <v>#N/A</v>
      </c>
      <c r="S164" s="160" t="e">
        <f t="shared" ca="1" si="28"/>
        <v>#N/A</v>
      </c>
      <c r="T164" s="160" t="e">
        <f t="shared" ca="1" si="28"/>
        <v>#N/A</v>
      </c>
      <c r="U164" s="160" t="e">
        <f t="shared" ca="1" si="25"/>
        <v>#N/A</v>
      </c>
      <c r="V164" s="163" t="e">
        <f t="shared" ca="1" si="30"/>
        <v>#N/A</v>
      </c>
      <c r="W164" s="163" t="e">
        <f t="shared" ca="1" si="31"/>
        <v>#N/A</v>
      </c>
      <c r="X164" s="163" t="e">
        <f t="shared" ca="1" si="32"/>
        <v>#N/A</v>
      </c>
      <c r="Y164" s="163" t="e">
        <f t="shared" ca="1" si="33"/>
        <v>#N/A</v>
      </c>
    </row>
    <row r="165" spans="12:25" ht="14.4">
      <c r="L165" s="464"/>
      <c r="M165" s="129" t="e">
        <f t="shared" si="34"/>
        <v>#N/A</v>
      </c>
      <c r="N165" s="161">
        <f t="shared" si="29"/>
        <v>13</v>
      </c>
      <c r="O165" s="160" t="e">
        <f t="shared" ca="1" si="23"/>
        <v>#N/A</v>
      </c>
      <c r="P165" s="160" t="e">
        <f t="shared" ca="1" si="27"/>
        <v>#N/A</v>
      </c>
      <c r="Q165" s="160" t="e">
        <f t="shared" ca="1" si="28"/>
        <v>#N/A</v>
      </c>
      <c r="R165" s="160" t="e">
        <f t="shared" ca="1" si="28"/>
        <v>#N/A</v>
      </c>
      <c r="S165" s="160" t="e">
        <f t="shared" ca="1" si="28"/>
        <v>#N/A</v>
      </c>
      <c r="T165" s="160" t="e">
        <f t="shared" ca="1" si="28"/>
        <v>#N/A</v>
      </c>
      <c r="U165" s="160" t="e">
        <f t="shared" ca="1" si="25"/>
        <v>#N/A</v>
      </c>
      <c r="V165" s="163" t="e">
        <f t="shared" ca="1" si="30"/>
        <v>#N/A</v>
      </c>
      <c r="W165" s="163" t="e">
        <f t="shared" ca="1" si="31"/>
        <v>#N/A</v>
      </c>
      <c r="X165" s="163" t="e">
        <f t="shared" ca="1" si="32"/>
        <v>#N/A</v>
      </c>
      <c r="Y165" s="163" t="e">
        <f t="shared" ca="1" si="33"/>
        <v>#N/A</v>
      </c>
    </row>
    <row r="166" spans="12:25" ht="14.4">
      <c r="L166" s="464"/>
      <c r="M166" s="129" t="e">
        <f t="shared" si="34"/>
        <v>#N/A</v>
      </c>
      <c r="N166" s="161">
        <f t="shared" si="29"/>
        <v>13</v>
      </c>
      <c r="O166" s="160" t="e">
        <f t="shared" ca="1" si="23"/>
        <v>#N/A</v>
      </c>
      <c r="P166" s="160" t="e">
        <f t="shared" ca="1" si="27"/>
        <v>#N/A</v>
      </c>
      <c r="Q166" s="160" t="e">
        <f t="shared" ca="1" si="28"/>
        <v>#N/A</v>
      </c>
      <c r="R166" s="160" t="e">
        <f t="shared" ca="1" si="28"/>
        <v>#N/A</v>
      </c>
      <c r="S166" s="160" t="e">
        <f t="shared" ca="1" si="28"/>
        <v>#N/A</v>
      </c>
      <c r="T166" s="160" t="e">
        <f t="shared" ca="1" si="28"/>
        <v>#N/A</v>
      </c>
      <c r="U166" s="160" t="e">
        <f t="shared" ca="1" si="25"/>
        <v>#N/A</v>
      </c>
      <c r="V166" s="163" t="e">
        <f t="shared" ca="1" si="30"/>
        <v>#N/A</v>
      </c>
      <c r="W166" s="163" t="e">
        <f t="shared" ca="1" si="31"/>
        <v>#N/A</v>
      </c>
      <c r="X166" s="163" t="e">
        <f t="shared" ca="1" si="32"/>
        <v>#N/A</v>
      </c>
      <c r="Y166" s="163" t="e">
        <f t="shared" ca="1" si="33"/>
        <v>#N/A</v>
      </c>
    </row>
    <row r="167" spans="12:25" ht="14.4">
      <c r="L167" s="464"/>
      <c r="M167" s="129" t="e">
        <f t="shared" si="34"/>
        <v>#N/A</v>
      </c>
      <c r="N167" s="161">
        <f t="shared" si="29"/>
        <v>13</v>
      </c>
      <c r="O167" s="160" t="e">
        <f t="shared" ca="1" si="23"/>
        <v>#N/A</v>
      </c>
      <c r="P167" s="160" t="e">
        <f t="shared" ca="1" si="27"/>
        <v>#N/A</v>
      </c>
      <c r="Q167" s="160" t="e">
        <f t="shared" ca="1" si="28"/>
        <v>#N/A</v>
      </c>
      <c r="R167" s="160" t="e">
        <f t="shared" ca="1" si="28"/>
        <v>#N/A</v>
      </c>
      <c r="S167" s="160" t="e">
        <f t="shared" ca="1" si="28"/>
        <v>#N/A</v>
      </c>
      <c r="T167" s="160" t="e">
        <f t="shared" ca="1" si="28"/>
        <v>#N/A</v>
      </c>
      <c r="U167" s="160" t="e">
        <f t="shared" ca="1" si="25"/>
        <v>#N/A</v>
      </c>
      <c r="V167" s="163" t="e">
        <f t="shared" ca="1" si="30"/>
        <v>#N/A</v>
      </c>
      <c r="W167" s="163" t="e">
        <f t="shared" ca="1" si="31"/>
        <v>#N/A</v>
      </c>
      <c r="X167" s="163" t="e">
        <f t="shared" ca="1" si="32"/>
        <v>#N/A</v>
      </c>
      <c r="Y167" s="163" t="e">
        <f t="shared" ca="1" si="33"/>
        <v>#N/A</v>
      </c>
    </row>
    <row r="168" spans="12:25" ht="14.4">
      <c r="L168" s="464"/>
      <c r="M168" s="129" t="e">
        <f t="shared" si="34"/>
        <v>#N/A</v>
      </c>
      <c r="N168" s="161">
        <f t="shared" si="29"/>
        <v>13</v>
      </c>
      <c r="O168" s="160" t="e">
        <f t="shared" ca="1" si="23"/>
        <v>#N/A</v>
      </c>
      <c r="P168" s="160" t="e">
        <f t="shared" ca="1" si="27"/>
        <v>#N/A</v>
      </c>
      <c r="Q168" s="160" t="e">
        <f t="shared" ca="1" si="28"/>
        <v>#N/A</v>
      </c>
      <c r="R168" s="160" t="e">
        <f t="shared" ca="1" si="28"/>
        <v>#N/A</v>
      </c>
      <c r="S168" s="160" t="e">
        <f t="shared" ca="1" si="28"/>
        <v>#N/A</v>
      </c>
      <c r="T168" s="160" t="e">
        <f t="shared" ca="1" si="28"/>
        <v>#N/A</v>
      </c>
      <c r="U168" s="160" t="e">
        <f t="shared" ca="1" si="25"/>
        <v>#N/A</v>
      </c>
      <c r="V168" s="163" t="e">
        <f t="shared" ca="1" si="30"/>
        <v>#N/A</v>
      </c>
      <c r="W168" s="163" t="e">
        <f t="shared" ca="1" si="31"/>
        <v>#N/A</v>
      </c>
      <c r="X168" s="163" t="e">
        <f t="shared" ca="1" si="32"/>
        <v>#N/A</v>
      </c>
      <c r="Y168" s="163" t="e">
        <f t="shared" ca="1" si="33"/>
        <v>#N/A</v>
      </c>
    </row>
    <row r="169" spans="12:25" ht="14.4">
      <c r="L169" s="464"/>
      <c r="M169" s="129" t="e">
        <f t="shared" si="34"/>
        <v>#N/A</v>
      </c>
      <c r="N169" s="161">
        <f t="shared" si="29"/>
        <v>13</v>
      </c>
      <c r="O169" s="160" t="e">
        <f t="shared" ref="O169:O232" ca="1" si="35">IF($M169="end",0,OFFSET($A$1,$M169-1,O$29,1,1))</f>
        <v>#N/A</v>
      </c>
      <c r="P169" s="160" t="e">
        <f t="shared" ca="1" si="27"/>
        <v>#N/A</v>
      </c>
      <c r="Q169" s="160" t="e">
        <f t="shared" ca="1" si="28"/>
        <v>#N/A</v>
      </c>
      <c r="R169" s="160" t="e">
        <f t="shared" ca="1" si="28"/>
        <v>#N/A</v>
      </c>
      <c r="S169" s="160" t="e">
        <f t="shared" ca="1" si="28"/>
        <v>#N/A</v>
      </c>
      <c r="T169" s="160" t="e">
        <f t="shared" ca="1" si="28"/>
        <v>#N/A</v>
      </c>
      <c r="U169" s="160" t="e">
        <f t="shared" ca="1" si="25"/>
        <v>#N/A</v>
      </c>
      <c r="V169" s="163" t="e">
        <f t="shared" ca="1" si="30"/>
        <v>#N/A</v>
      </c>
      <c r="W169" s="163" t="e">
        <f t="shared" ca="1" si="31"/>
        <v>#N/A</v>
      </c>
      <c r="X169" s="163" t="e">
        <f t="shared" ca="1" si="32"/>
        <v>#N/A</v>
      </c>
      <c r="Y169" s="163" t="e">
        <f t="shared" ca="1" si="33"/>
        <v>#N/A</v>
      </c>
    </row>
    <row r="170" spans="12:25" ht="14.4">
      <c r="L170" s="464"/>
      <c r="M170" s="129" t="e">
        <f t="shared" si="34"/>
        <v>#N/A</v>
      </c>
      <c r="N170" s="161">
        <f t="shared" si="29"/>
        <v>13</v>
      </c>
      <c r="O170" s="160" t="e">
        <f t="shared" ca="1" si="35"/>
        <v>#N/A</v>
      </c>
      <c r="P170" s="160" t="e">
        <f t="shared" ca="1" si="27"/>
        <v>#N/A</v>
      </c>
      <c r="Q170" s="160" t="e">
        <f t="shared" ca="1" si="28"/>
        <v>#N/A</v>
      </c>
      <c r="R170" s="160" t="e">
        <f t="shared" ca="1" si="28"/>
        <v>#N/A</v>
      </c>
      <c r="S170" s="160" t="e">
        <f t="shared" ca="1" si="28"/>
        <v>#N/A</v>
      </c>
      <c r="T170" s="160" t="e">
        <f t="shared" ca="1" si="28"/>
        <v>#N/A</v>
      </c>
      <c r="U170" s="160" t="e">
        <f t="shared" ca="1" si="25"/>
        <v>#N/A</v>
      </c>
      <c r="V170" s="163" t="e">
        <f t="shared" ca="1" si="30"/>
        <v>#N/A</v>
      </c>
      <c r="W170" s="163" t="e">
        <f t="shared" ca="1" si="31"/>
        <v>#N/A</v>
      </c>
      <c r="X170" s="163" t="e">
        <f t="shared" ca="1" si="32"/>
        <v>#N/A</v>
      </c>
      <c r="Y170" s="163" t="e">
        <f t="shared" ca="1" si="33"/>
        <v>#N/A</v>
      </c>
    </row>
    <row r="171" spans="12:25" ht="14.4">
      <c r="L171" s="464"/>
      <c r="M171" s="129" t="e">
        <f t="shared" si="34"/>
        <v>#N/A</v>
      </c>
      <c r="N171" s="161">
        <f t="shared" si="29"/>
        <v>13</v>
      </c>
      <c r="O171" s="160" t="e">
        <f t="shared" ca="1" si="35"/>
        <v>#N/A</v>
      </c>
      <c r="P171" s="160" t="e">
        <f t="shared" ca="1" si="27"/>
        <v>#N/A</v>
      </c>
      <c r="Q171" s="160" t="e">
        <f t="shared" ca="1" si="28"/>
        <v>#N/A</v>
      </c>
      <c r="R171" s="160" t="e">
        <f t="shared" ca="1" si="28"/>
        <v>#N/A</v>
      </c>
      <c r="S171" s="160" t="e">
        <f t="shared" ca="1" si="28"/>
        <v>#N/A</v>
      </c>
      <c r="T171" s="160" t="e">
        <f t="shared" ca="1" si="28"/>
        <v>#N/A</v>
      </c>
      <c r="U171" s="160" t="e">
        <f t="shared" ca="1" si="25"/>
        <v>#N/A</v>
      </c>
      <c r="V171" s="163" t="e">
        <f t="shared" ca="1" si="30"/>
        <v>#N/A</v>
      </c>
      <c r="W171" s="163" t="e">
        <f t="shared" ca="1" si="31"/>
        <v>#N/A</v>
      </c>
      <c r="X171" s="163" t="e">
        <f t="shared" ca="1" si="32"/>
        <v>#N/A</v>
      </c>
      <c r="Y171" s="163" t="e">
        <f t="shared" ca="1" si="33"/>
        <v>#N/A</v>
      </c>
    </row>
    <row r="172" spans="12:25" ht="14.4">
      <c r="L172" s="464"/>
      <c r="M172" s="129" t="e">
        <f t="shared" si="34"/>
        <v>#N/A</v>
      </c>
      <c r="N172" s="161">
        <f t="shared" si="29"/>
        <v>13</v>
      </c>
      <c r="O172" s="160" t="e">
        <f t="shared" ca="1" si="35"/>
        <v>#N/A</v>
      </c>
      <c r="P172" s="160" t="e">
        <f t="shared" ca="1" si="27"/>
        <v>#N/A</v>
      </c>
      <c r="Q172" s="160" t="e">
        <f t="shared" ca="1" si="28"/>
        <v>#N/A</v>
      </c>
      <c r="R172" s="160" t="e">
        <f t="shared" ca="1" si="28"/>
        <v>#N/A</v>
      </c>
      <c r="S172" s="160" t="e">
        <f t="shared" ca="1" si="28"/>
        <v>#N/A</v>
      </c>
      <c r="T172" s="160" t="e">
        <f t="shared" ca="1" si="28"/>
        <v>#N/A</v>
      </c>
      <c r="U172" s="160" t="e">
        <f t="shared" ca="1" si="25"/>
        <v>#N/A</v>
      </c>
      <c r="V172" s="163" t="e">
        <f t="shared" ca="1" si="30"/>
        <v>#N/A</v>
      </c>
      <c r="W172" s="163" t="e">
        <f t="shared" ca="1" si="31"/>
        <v>#N/A</v>
      </c>
      <c r="X172" s="163" t="e">
        <f t="shared" ca="1" si="32"/>
        <v>#N/A</v>
      </c>
      <c r="Y172" s="163" t="e">
        <f t="shared" ca="1" si="33"/>
        <v>#N/A</v>
      </c>
    </row>
    <row r="173" spans="12:25" ht="14.4">
      <c r="L173" s="464"/>
      <c r="M173" s="129" t="e">
        <f t="shared" si="34"/>
        <v>#N/A</v>
      </c>
      <c r="N173" s="161">
        <f t="shared" si="29"/>
        <v>13</v>
      </c>
      <c r="O173" s="160" t="e">
        <f t="shared" ca="1" si="35"/>
        <v>#N/A</v>
      </c>
      <c r="P173" s="160" t="e">
        <f t="shared" ca="1" si="27"/>
        <v>#N/A</v>
      </c>
      <c r="Q173" s="160" t="e">
        <f t="shared" ca="1" si="28"/>
        <v>#N/A</v>
      </c>
      <c r="R173" s="160" t="e">
        <f t="shared" ca="1" si="28"/>
        <v>#N/A</v>
      </c>
      <c r="S173" s="160" t="e">
        <f t="shared" ca="1" si="28"/>
        <v>#N/A</v>
      </c>
      <c r="T173" s="160" t="e">
        <f t="shared" ca="1" si="28"/>
        <v>#N/A</v>
      </c>
      <c r="U173" s="160" t="e">
        <f t="shared" ref="U173:U236" ca="1" si="36">IF($M173="end",0,OFFSET($A$1,$M173-1,U$29,1,1))</f>
        <v>#N/A</v>
      </c>
      <c r="V173" s="163" t="e">
        <f t="shared" ca="1" si="30"/>
        <v>#N/A</v>
      </c>
      <c r="W173" s="163" t="e">
        <f t="shared" ca="1" si="31"/>
        <v>#N/A</v>
      </c>
      <c r="X173" s="163" t="e">
        <f t="shared" ca="1" si="32"/>
        <v>#N/A</v>
      </c>
      <c r="Y173" s="163" t="e">
        <f t="shared" ca="1" si="33"/>
        <v>#N/A</v>
      </c>
    </row>
    <row r="174" spans="12:25" ht="14.4">
      <c r="L174" s="464"/>
      <c r="M174" s="129" t="e">
        <f t="shared" si="34"/>
        <v>#N/A</v>
      </c>
      <c r="N174" s="161">
        <f t="shared" si="29"/>
        <v>13</v>
      </c>
      <c r="O174" s="160" t="e">
        <f t="shared" ca="1" si="35"/>
        <v>#N/A</v>
      </c>
      <c r="P174" s="160" t="e">
        <f t="shared" ca="1" si="27"/>
        <v>#N/A</v>
      </c>
      <c r="Q174" s="160" t="e">
        <f t="shared" ca="1" si="28"/>
        <v>#N/A</v>
      </c>
      <c r="R174" s="160" t="e">
        <f t="shared" ca="1" si="28"/>
        <v>#N/A</v>
      </c>
      <c r="S174" s="160" t="e">
        <f t="shared" ca="1" si="28"/>
        <v>#N/A</v>
      </c>
      <c r="T174" s="160" t="e">
        <f t="shared" ca="1" si="28"/>
        <v>#N/A</v>
      </c>
      <c r="U174" s="160" t="e">
        <f t="shared" ca="1" si="36"/>
        <v>#N/A</v>
      </c>
      <c r="V174" s="163" t="e">
        <f t="shared" ca="1" si="30"/>
        <v>#N/A</v>
      </c>
      <c r="W174" s="163" t="e">
        <f t="shared" ca="1" si="31"/>
        <v>#N/A</v>
      </c>
      <c r="X174" s="163" t="e">
        <f t="shared" ca="1" si="32"/>
        <v>#N/A</v>
      </c>
      <c r="Y174" s="163" t="e">
        <f t="shared" ca="1" si="33"/>
        <v>#N/A</v>
      </c>
    </row>
    <row r="175" spans="12:25" ht="14.4">
      <c r="L175" s="464"/>
      <c r="M175" s="129" t="e">
        <f t="shared" si="34"/>
        <v>#N/A</v>
      </c>
      <c r="N175" s="161">
        <f t="shared" si="29"/>
        <v>13</v>
      </c>
      <c r="O175" s="160" t="e">
        <f t="shared" ca="1" si="35"/>
        <v>#N/A</v>
      </c>
      <c r="P175" s="160" t="e">
        <f t="shared" ca="1" si="27"/>
        <v>#N/A</v>
      </c>
      <c r="Q175" s="160" t="e">
        <f t="shared" ca="1" si="28"/>
        <v>#N/A</v>
      </c>
      <c r="R175" s="160" t="e">
        <f t="shared" ca="1" si="28"/>
        <v>#N/A</v>
      </c>
      <c r="S175" s="160" t="e">
        <f t="shared" ca="1" si="28"/>
        <v>#N/A</v>
      </c>
      <c r="T175" s="160" t="e">
        <f t="shared" ca="1" si="28"/>
        <v>#N/A</v>
      </c>
      <c r="U175" s="160" t="e">
        <f t="shared" ca="1" si="36"/>
        <v>#N/A</v>
      </c>
      <c r="V175" s="163" t="e">
        <f t="shared" ca="1" si="30"/>
        <v>#N/A</v>
      </c>
      <c r="W175" s="163" t="e">
        <f t="shared" ca="1" si="31"/>
        <v>#N/A</v>
      </c>
      <c r="X175" s="163" t="e">
        <f t="shared" ca="1" si="32"/>
        <v>#N/A</v>
      </c>
      <c r="Y175" s="163" t="e">
        <f t="shared" ca="1" si="33"/>
        <v>#N/A</v>
      </c>
    </row>
    <row r="176" spans="12:25" ht="14.4">
      <c r="L176" s="464"/>
      <c r="M176" s="129" t="e">
        <f t="shared" si="34"/>
        <v>#N/A</v>
      </c>
      <c r="N176" s="161">
        <f t="shared" si="29"/>
        <v>13</v>
      </c>
      <c r="O176" s="160" t="e">
        <f t="shared" ca="1" si="35"/>
        <v>#N/A</v>
      </c>
      <c r="P176" s="160" t="e">
        <f t="shared" ca="1" si="27"/>
        <v>#N/A</v>
      </c>
      <c r="Q176" s="160" t="e">
        <f t="shared" ca="1" si="28"/>
        <v>#N/A</v>
      </c>
      <c r="R176" s="160" t="e">
        <f t="shared" ca="1" si="28"/>
        <v>#N/A</v>
      </c>
      <c r="S176" s="160" t="e">
        <f t="shared" ca="1" si="28"/>
        <v>#N/A</v>
      </c>
      <c r="T176" s="160" t="e">
        <f t="shared" ca="1" si="28"/>
        <v>#N/A</v>
      </c>
      <c r="U176" s="160" t="e">
        <f t="shared" ca="1" si="36"/>
        <v>#N/A</v>
      </c>
      <c r="V176" s="163" t="e">
        <f t="shared" ca="1" si="30"/>
        <v>#N/A</v>
      </c>
      <c r="W176" s="163" t="e">
        <f t="shared" ca="1" si="31"/>
        <v>#N/A</v>
      </c>
      <c r="X176" s="163" t="e">
        <f t="shared" ca="1" si="32"/>
        <v>#N/A</v>
      </c>
      <c r="Y176" s="163" t="e">
        <f t="shared" ca="1" si="33"/>
        <v>#N/A</v>
      </c>
    </row>
    <row r="177" spans="12:25" ht="14.4">
      <c r="L177" s="464"/>
      <c r="M177" s="129" t="e">
        <f t="shared" si="34"/>
        <v>#N/A</v>
      </c>
      <c r="N177" s="161">
        <f t="shared" si="29"/>
        <v>13</v>
      </c>
      <c r="O177" s="160" t="e">
        <f t="shared" ca="1" si="35"/>
        <v>#N/A</v>
      </c>
      <c r="P177" s="160" t="e">
        <f t="shared" ca="1" si="27"/>
        <v>#N/A</v>
      </c>
      <c r="Q177" s="160" t="e">
        <f t="shared" ca="1" si="28"/>
        <v>#N/A</v>
      </c>
      <c r="R177" s="160" t="e">
        <f t="shared" ca="1" si="28"/>
        <v>#N/A</v>
      </c>
      <c r="S177" s="160" t="e">
        <f t="shared" ca="1" si="28"/>
        <v>#N/A</v>
      </c>
      <c r="T177" s="160" t="e">
        <f t="shared" ref="T177:U240" ca="1" si="37">IF($M177="end",0,OFFSET($A$1,$M177-1,T$29,1,1))</f>
        <v>#N/A</v>
      </c>
      <c r="U177" s="160" t="e">
        <f t="shared" ca="1" si="36"/>
        <v>#N/A</v>
      </c>
      <c r="V177" s="163" t="e">
        <f t="shared" ca="1" si="30"/>
        <v>#N/A</v>
      </c>
      <c r="W177" s="163" t="e">
        <f t="shared" ca="1" si="31"/>
        <v>#N/A</v>
      </c>
      <c r="X177" s="163" t="e">
        <f t="shared" ca="1" si="32"/>
        <v>#N/A</v>
      </c>
      <c r="Y177" s="163" t="e">
        <f t="shared" ca="1" si="33"/>
        <v>#N/A</v>
      </c>
    </row>
    <row r="178" spans="12:25" ht="14.4">
      <c r="L178" s="464"/>
      <c r="M178" s="129" t="e">
        <f t="shared" si="34"/>
        <v>#N/A</v>
      </c>
      <c r="N178" s="161">
        <f t="shared" si="29"/>
        <v>13</v>
      </c>
      <c r="O178" s="160" t="e">
        <f t="shared" ca="1" si="35"/>
        <v>#N/A</v>
      </c>
      <c r="P178" s="160" t="e">
        <f t="shared" ref="P178:P241" ca="1" si="38">IF($M178="end",0,OFFSET($A$1,$M178-1,P$29,1,1))</f>
        <v>#N/A</v>
      </c>
      <c r="Q178" s="160" t="e">
        <f t="shared" ref="Q178:U241" ca="1" si="39">IF($M178="end",0,OFFSET($A$1,$M178-1,Q$29,1,1))</f>
        <v>#N/A</v>
      </c>
      <c r="R178" s="160" t="e">
        <f t="shared" ca="1" si="39"/>
        <v>#N/A</v>
      </c>
      <c r="S178" s="160" t="e">
        <f t="shared" ca="1" si="39"/>
        <v>#N/A</v>
      </c>
      <c r="T178" s="160" t="e">
        <f t="shared" ca="1" si="37"/>
        <v>#N/A</v>
      </c>
      <c r="U178" s="160" t="e">
        <f t="shared" ca="1" si="36"/>
        <v>#N/A</v>
      </c>
      <c r="V178" s="163" t="e">
        <f t="shared" ca="1" si="30"/>
        <v>#N/A</v>
      </c>
      <c r="W178" s="163" t="e">
        <f t="shared" ca="1" si="31"/>
        <v>#N/A</v>
      </c>
      <c r="X178" s="163" t="e">
        <f t="shared" ca="1" si="32"/>
        <v>#N/A</v>
      </c>
      <c r="Y178" s="163" t="e">
        <f t="shared" ca="1" si="33"/>
        <v>#N/A</v>
      </c>
    </row>
    <row r="179" spans="12:25" ht="14.4">
      <c r="L179" s="464"/>
      <c r="M179" s="129" t="e">
        <f t="shared" si="34"/>
        <v>#N/A</v>
      </c>
      <c r="N179" s="161">
        <f t="shared" si="29"/>
        <v>13</v>
      </c>
      <c r="O179" s="160" t="e">
        <f t="shared" ca="1" si="35"/>
        <v>#N/A</v>
      </c>
      <c r="P179" s="160" t="e">
        <f t="shared" ca="1" si="38"/>
        <v>#N/A</v>
      </c>
      <c r="Q179" s="160" t="e">
        <f t="shared" ca="1" si="39"/>
        <v>#N/A</v>
      </c>
      <c r="R179" s="160" t="e">
        <f t="shared" ca="1" si="39"/>
        <v>#N/A</v>
      </c>
      <c r="S179" s="160" t="e">
        <f t="shared" ca="1" si="39"/>
        <v>#N/A</v>
      </c>
      <c r="T179" s="160" t="e">
        <f t="shared" ca="1" si="37"/>
        <v>#N/A</v>
      </c>
      <c r="U179" s="160" t="e">
        <f t="shared" ca="1" si="36"/>
        <v>#N/A</v>
      </c>
      <c r="V179" s="163" t="e">
        <f t="shared" ca="1" si="30"/>
        <v>#N/A</v>
      </c>
      <c r="W179" s="163" t="e">
        <f t="shared" ca="1" si="31"/>
        <v>#N/A</v>
      </c>
      <c r="X179" s="163" t="e">
        <f t="shared" ca="1" si="32"/>
        <v>#N/A</v>
      </c>
      <c r="Y179" s="163" t="e">
        <f t="shared" ca="1" si="33"/>
        <v>#N/A</v>
      </c>
    </row>
    <row r="180" spans="12:25" ht="14.4">
      <c r="L180" s="464"/>
      <c r="M180" s="129" t="e">
        <f t="shared" si="34"/>
        <v>#N/A</v>
      </c>
      <c r="N180" s="161">
        <f t="shared" si="29"/>
        <v>13</v>
      </c>
      <c r="O180" s="160" t="e">
        <f t="shared" ca="1" si="35"/>
        <v>#N/A</v>
      </c>
      <c r="P180" s="160" t="e">
        <f t="shared" ca="1" si="38"/>
        <v>#N/A</v>
      </c>
      <c r="Q180" s="160" t="e">
        <f t="shared" ca="1" si="39"/>
        <v>#N/A</v>
      </c>
      <c r="R180" s="160" t="e">
        <f t="shared" ca="1" si="39"/>
        <v>#N/A</v>
      </c>
      <c r="S180" s="160" t="e">
        <f t="shared" ca="1" si="39"/>
        <v>#N/A</v>
      </c>
      <c r="T180" s="160" t="e">
        <f t="shared" ca="1" si="37"/>
        <v>#N/A</v>
      </c>
      <c r="U180" s="160" t="e">
        <f t="shared" ca="1" si="36"/>
        <v>#N/A</v>
      </c>
      <c r="V180" s="163" t="e">
        <f t="shared" ca="1" si="30"/>
        <v>#N/A</v>
      </c>
      <c r="W180" s="163" t="e">
        <f t="shared" ca="1" si="31"/>
        <v>#N/A</v>
      </c>
      <c r="X180" s="163" t="e">
        <f t="shared" ca="1" si="32"/>
        <v>#N/A</v>
      </c>
      <c r="Y180" s="163" t="e">
        <f t="shared" ca="1" si="33"/>
        <v>#N/A</v>
      </c>
    </row>
    <row r="181" spans="12:25" ht="14.4">
      <c r="L181" s="464"/>
      <c r="M181" s="129" t="e">
        <f t="shared" si="34"/>
        <v>#N/A</v>
      </c>
      <c r="N181" s="161">
        <f t="shared" si="29"/>
        <v>13</v>
      </c>
      <c r="O181" s="160" t="e">
        <f t="shared" ca="1" si="35"/>
        <v>#N/A</v>
      </c>
      <c r="P181" s="160" t="e">
        <f t="shared" ca="1" si="38"/>
        <v>#N/A</v>
      </c>
      <c r="Q181" s="160" t="e">
        <f t="shared" ca="1" si="39"/>
        <v>#N/A</v>
      </c>
      <c r="R181" s="160" t="e">
        <f t="shared" ca="1" si="39"/>
        <v>#N/A</v>
      </c>
      <c r="S181" s="160" t="e">
        <f t="shared" ca="1" si="39"/>
        <v>#N/A</v>
      </c>
      <c r="T181" s="160" t="e">
        <f t="shared" ca="1" si="37"/>
        <v>#N/A</v>
      </c>
      <c r="U181" s="160" t="e">
        <f t="shared" ca="1" si="36"/>
        <v>#N/A</v>
      </c>
      <c r="V181" s="163" t="e">
        <f t="shared" ca="1" si="30"/>
        <v>#N/A</v>
      </c>
      <c r="W181" s="163" t="e">
        <f t="shared" ca="1" si="31"/>
        <v>#N/A</v>
      </c>
      <c r="X181" s="163" t="e">
        <f t="shared" ca="1" si="32"/>
        <v>#N/A</v>
      </c>
      <c r="Y181" s="163" t="e">
        <f t="shared" ca="1" si="33"/>
        <v>#N/A</v>
      </c>
    </row>
    <row r="182" spans="12:25" ht="14.4">
      <c r="L182" s="464"/>
      <c r="M182" s="129" t="e">
        <f t="shared" si="34"/>
        <v>#N/A</v>
      </c>
      <c r="N182" s="161">
        <f t="shared" si="29"/>
        <v>13</v>
      </c>
      <c r="O182" s="160" t="e">
        <f t="shared" ca="1" si="35"/>
        <v>#N/A</v>
      </c>
      <c r="P182" s="160" t="e">
        <f t="shared" ca="1" si="38"/>
        <v>#N/A</v>
      </c>
      <c r="Q182" s="160" t="e">
        <f t="shared" ca="1" si="39"/>
        <v>#N/A</v>
      </c>
      <c r="R182" s="160" t="e">
        <f t="shared" ca="1" si="39"/>
        <v>#N/A</v>
      </c>
      <c r="S182" s="160" t="e">
        <f t="shared" ca="1" si="39"/>
        <v>#N/A</v>
      </c>
      <c r="T182" s="160" t="e">
        <f t="shared" ca="1" si="37"/>
        <v>#N/A</v>
      </c>
      <c r="U182" s="160" t="e">
        <f t="shared" ca="1" si="36"/>
        <v>#N/A</v>
      </c>
      <c r="V182" s="163" t="e">
        <f t="shared" ca="1" si="30"/>
        <v>#N/A</v>
      </c>
      <c r="W182" s="163" t="e">
        <f t="shared" ca="1" si="31"/>
        <v>#N/A</v>
      </c>
      <c r="X182" s="163" t="e">
        <f t="shared" ca="1" si="32"/>
        <v>#N/A</v>
      </c>
      <c r="Y182" s="163" t="e">
        <f t="shared" ca="1" si="33"/>
        <v>#N/A</v>
      </c>
    </row>
    <row r="183" spans="12:25" ht="14.4">
      <c r="L183" s="464"/>
      <c r="M183" s="129" t="e">
        <f t="shared" si="34"/>
        <v>#N/A</v>
      </c>
      <c r="N183" s="161">
        <f t="shared" si="29"/>
        <v>13</v>
      </c>
      <c r="O183" s="160" t="e">
        <f t="shared" ca="1" si="35"/>
        <v>#N/A</v>
      </c>
      <c r="P183" s="160" t="e">
        <f t="shared" ca="1" si="38"/>
        <v>#N/A</v>
      </c>
      <c r="Q183" s="160" t="e">
        <f t="shared" ca="1" si="39"/>
        <v>#N/A</v>
      </c>
      <c r="R183" s="160" t="e">
        <f t="shared" ca="1" si="39"/>
        <v>#N/A</v>
      </c>
      <c r="S183" s="160" t="e">
        <f t="shared" ca="1" si="39"/>
        <v>#N/A</v>
      </c>
      <c r="T183" s="160" t="e">
        <f t="shared" ca="1" si="37"/>
        <v>#N/A</v>
      </c>
      <c r="U183" s="160" t="e">
        <f t="shared" ca="1" si="36"/>
        <v>#N/A</v>
      </c>
      <c r="V183" s="163" t="e">
        <f t="shared" ca="1" si="30"/>
        <v>#N/A</v>
      </c>
      <c r="W183" s="163" t="e">
        <f t="shared" ca="1" si="31"/>
        <v>#N/A</v>
      </c>
      <c r="X183" s="163" t="e">
        <f t="shared" ca="1" si="32"/>
        <v>#N/A</v>
      </c>
      <c r="Y183" s="163" t="e">
        <f t="shared" ca="1" si="33"/>
        <v>#N/A</v>
      </c>
    </row>
    <row r="184" spans="12:25" ht="14.4">
      <c r="L184" s="464"/>
      <c r="M184" s="129" t="e">
        <f t="shared" si="34"/>
        <v>#N/A</v>
      </c>
      <c r="N184" s="161">
        <f t="shared" si="29"/>
        <v>13</v>
      </c>
      <c r="O184" s="160" t="e">
        <f t="shared" ca="1" si="35"/>
        <v>#N/A</v>
      </c>
      <c r="P184" s="160" t="e">
        <f t="shared" ca="1" si="38"/>
        <v>#N/A</v>
      </c>
      <c r="Q184" s="160" t="e">
        <f t="shared" ca="1" si="39"/>
        <v>#N/A</v>
      </c>
      <c r="R184" s="160" t="e">
        <f t="shared" ca="1" si="39"/>
        <v>#N/A</v>
      </c>
      <c r="S184" s="160" t="e">
        <f t="shared" ca="1" si="39"/>
        <v>#N/A</v>
      </c>
      <c r="T184" s="160" t="e">
        <f t="shared" ca="1" si="37"/>
        <v>#N/A</v>
      </c>
      <c r="U184" s="160" t="e">
        <f t="shared" ca="1" si="36"/>
        <v>#N/A</v>
      </c>
      <c r="V184" s="163" t="e">
        <f t="shared" ca="1" si="30"/>
        <v>#N/A</v>
      </c>
      <c r="W184" s="163" t="e">
        <f t="shared" ca="1" si="31"/>
        <v>#N/A</v>
      </c>
      <c r="X184" s="163" t="e">
        <f t="shared" ca="1" si="32"/>
        <v>#N/A</v>
      </c>
      <c r="Y184" s="163" t="e">
        <f t="shared" ca="1" si="33"/>
        <v>#N/A</v>
      </c>
    </row>
    <row r="185" spans="12:25" ht="14.4">
      <c r="L185" s="464"/>
      <c r="M185" s="129" t="e">
        <f t="shared" si="34"/>
        <v>#N/A</v>
      </c>
      <c r="N185" s="161">
        <f t="shared" si="29"/>
        <v>13</v>
      </c>
      <c r="O185" s="160" t="e">
        <f t="shared" ca="1" si="35"/>
        <v>#N/A</v>
      </c>
      <c r="P185" s="160" t="e">
        <f t="shared" ca="1" si="38"/>
        <v>#N/A</v>
      </c>
      <c r="Q185" s="160" t="e">
        <f t="shared" ca="1" si="39"/>
        <v>#N/A</v>
      </c>
      <c r="R185" s="160" t="e">
        <f t="shared" ca="1" si="39"/>
        <v>#N/A</v>
      </c>
      <c r="S185" s="160" t="e">
        <f t="shared" ca="1" si="39"/>
        <v>#N/A</v>
      </c>
      <c r="T185" s="160" t="e">
        <f t="shared" ca="1" si="37"/>
        <v>#N/A</v>
      </c>
      <c r="U185" s="160" t="e">
        <f t="shared" ca="1" si="36"/>
        <v>#N/A</v>
      </c>
      <c r="V185" s="163" t="e">
        <f t="shared" ca="1" si="30"/>
        <v>#N/A</v>
      </c>
      <c r="W185" s="163" t="e">
        <f t="shared" ca="1" si="31"/>
        <v>#N/A</v>
      </c>
      <c r="X185" s="163" t="e">
        <f t="shared" ca="1" si="32"/>
        <v>#N/A</v>
      </c>
      <c r="Y185" s="163" t="e">
        <f t="shared" ca="1" si="33"/>
        <v>#N/A</v>
      </c>
    </row>
    <row r="186" spans="12:25" ht="14.4">
      <c r="L186" s="464"/>
      <c r="M186" s="129" t="e">
        <f t="shared" si="34"/>
        <v>#N/A</v>
      </c>
      <c r="N186" s="161">
        <f t="shared" si="29"/>
        <v>13</v>
      </c>
      <c r="O186" s="160" t="e">
        <f t="shared" ca="1" si="35"/>
        <v>#N/A</v>
      </c>
      <c r="P186" s="160" t="e">
        <f t="shared" ca="1" si="38"/>
        <v>#N/A</v>
      </c>
      <c r="Q186" s="160" t="e">
        <f t="shared" ca="1" si="39"/>
        <v>#N/A</v>
      </c>
      <c r="R186" s="160" t="e">
        <f t="shared" ca="1" si="39"/>
        <v>#N/A</v>
      </c>
      <c r="S186" s="160" t="e">
        <f t="shared" ca="1" si="39"/>
        <v>#N/A</v>
      </c>
      <c r="T186" s="160" t="e">
        <f t="shared" ca="1" si="37"/>
        <v>#N/A</v>
      </c>
      <c r="U186" s="160" t="e">
        <f t="shared" ca="1" si="36"/>
        <v>#N/A</v>
      </c>
      <c r="V186" s="163" t="e">
        <f t="shared" ca="1" si="30"/>
        <v>#N/A</v>
      </c>
      <c r="W186" s="163" t="e">
        <f t="shared" ca="1" si="31"/>
        <v>#N/A</v>
      </c>
      <c r="X186" s="163" t="e">
        <f t="shared" ca="1" si="32"/>
        <v>#N/A</v>
      </c>
      <c r="Y186" s="163" t="e">
        <f t="shared" ca="1" si="33"/>
        <v>#N/A</v>
      </c>
    </row>
    <row r="187" spans="12:25" ht="14.4">
      <c r="L187" s="464"/>
      <c r="M187" s="129" t="e">
        <f t="shared" si="34"/>
        <v>#N/A</v>
      </c>
      <c r="N187" s="161">
        <f t="shared" si="29"/>
        <v>13</v>
      </c>
      <c r="O187" s="160" t="e">
        <f t="shared" ca="1" si="35"/>
        <v>#N/A</v>
      </c>
      <c r="P187" s="160" t="e">
        <f t="shared" ca="1" si="38"/>
        <v>#N/A</v>
      </c>
      <c r="Q187" s="160" t="e">
        <f t="shared" ca="1" si="39"/>
        <v>#N/A</v>
      </c>
      <c r="R187" s="160" t="e">
        <f t="shared" ca="1" si="39"/>
        <v>#N/A</v>
      </c>
      <c r="S187" s="160" t="e">
        <f t="shared" ca="1" si="39"/>
        <v>#N/A</v>
      </c>
      <c r="T187" s="160" t="e">
        <f t="shared" ca="1" si="37"/>
        <v>#N/A</v>
      </c>
      <c r="U187" s="160" t="e">
        <f t="shared" ca="1" si="36"/>
        <v>#N/A</v>
      </c>
      <c r="V187" s="163" t="e">
        <f t="shared" ca="1" si="30"/>
        <v>#N/A</v>
      </c>
      <c r="W187" s="163" t="e">
        <f t="shared" ca="1" si="31"/>
        <v>#N/A</v>
      </c>
      <c r="X187" s="163" t="e">
        <f t="shared" ca="1" si="32"/>
        <v>#N/A</v>
      </c>
      <c r="Y187" s="163" t="e">
        <f t="shared" ca="1" si="33"/>
        <v>#N/A</v>
      </c>
    </row>
    <row r="188" spans="12:25" ht="14.4">
      <c r="L188" s="464"/>
      <c r="M188" s="129" t="e">
        <f t="shared" si="34"/>
        <v>#N/A</v>
      </c>
      <c r="N188" s="161">
        <f t="shared" si="29"/>
        <v>13</v>
      </c>
      <c r="O188" s="160" t="e">
        <f t="shared" ca="1" si="35"/>
        <v>#N/A</v>
      </c>
      <c r="P188" s="160" t="e">
        <f t="shared" ca="1" si="38"/>
        <v>#N/A</v>
      </c>
      <c r="Q188" s="160" t="e">
        <f t="shared" ca="1" si="39"/>
        <v>#N/A</v>
      </c>
      <c r="R188" s="160" t="e">
        <f t="shared" ca="1" si="39"/>
        <v>#N/A</v>
      </c>
      <c r="S188" s="160" t="e">
        <f t="shared" ca="1" si="39"/>
        <v>#N/A</v>
      </c>
      <c r="T188" s="160" t="e">
        <f t="shared" ca="1" si="37"/>
        <v>#N/A</v>
      </c>
      <c r="U188" s="160" t="e">
        <f t="shared" ca="1" si="36"/>
        <v>#N/A</v>
      </c>
      <c r="V188" s="163" t="e">
        <f t="shared" ca="1" si="30"/>
        <v>#N/A</v>
      </c>
      <c r="W188" s="163" t="e">
        <f t="shared" ca="1" si="31"/>
        <v>#N/A</v>
      </c>
      <c r="X188" s="163" t="e">
        <f t="shared" ca="1" si="32"/>
        <v>#N/A</v>
      </c>
      <c r="Y188" s="163" t="e">
        <f t="shared" ca="1" si="33"/>
        <v>#N/A</v>
      </c>
    </row>
    <row r="189" spans="12:25" ht="14.4">
      <c r="L189" s="464"/>
      <c r="M189" s="129" t="e">
        <f t="shared" si="34"/>
        <v>#N/A</v>
      </c>
      <c r="N189" s="161">
        <f t="shared" si="29"/>
        <v>13</v>
      </c>
      <c r="O189" s="160" t="e">
        <f t="shared" ca="1" si="35"/>
        <v>#N/A</v>
      </c>
      <c r="P189" s="160" t="e">
        <f t="shared" ca="1" si="38"/>
        <v>#N/A</v>
      </c>
      <c r="Q189" s="160" t="e">
        <f t="shared" ca="1" si="39"/>
        <v>#N/A</v>
      </c>
      <c r="R189" s="160" t="e">
        <f t="shared" ca="1" si="39"/>
        <v>#N/A</v>
      </c>
      <c r="S189" s="160" t="e">
        <f t="shared" ca="1" si="39"/>
        <v>#N/A</v>
      </c>
      <c r="T189" s="160" t="e">
        <f t="shared" ca="1" si="37"/>
        <v>#N/A</v>
      </c>
      <c r="U189" s="160" t="e">
        <f t="shared" ca="1" si="36"/>
        <v>#N/A</v>
      </c>
      <c r="V189" s="163" t="e">
        <f t="shared" ca="1" si="30"/>
        <v>#N/A</v>
      </c>
      <c r="W189" s="163" t="e">
        <f t="shared" ca="1" si="31"/>
        <v>#N/A</v>
      </c>
      <c r="X189" s="163" t="e">
        <f t="shared" ca="1" si="32"/>
        <v>#N/A</v>
      </c>
      <c r="Y189" s="163" t="e">
        <f t="shared" ca="1" si="33"/>
        <v>#N/A</v>
      </c>
    </row>
    <row r="190" spans="12:25" ht="14.4">
      <c r="L190" s="464"/>
      <c r="M190" s="129" t="e">
        <f t="shared" si="34"/>
        <v>#N/A</v>
      </c>
      <c r="N190" s="161">
        <f t="shared" si="29"/>
        <v>13</v>
      </c>
      <c r="O190" s="160" t="e">
        <f t="shared" ca="1" si="35"/>
        <v>#N/A</v>
      </c>
      <c r="P190" s="160" t="e">
        <f t="shared" ca="1" si="38"/>
        <v>#N/A</v>
      </c>
      <c r="Q190" s="160" t="e">
        <f t="shared" ca="1" si="39"/>
        <v>#N/A</v>
      </c>
      <c r="R190" s="160" t="e">
        <f t="shared" ca="1" si="39"/>
        <v>#N/A</v>
      </c>
      <c r="S190" s="160" t="e">
        <f t="shared" ca="1" si="39"/>
        <v>#N/A</v>
      </c>
      <c r="T190" s="160" t="e">
        <f t="shared" ca="1" si="37"/>
        <v>#N/A</v>
      </c>
      <c r="U190" s="160" t="e">
        <f t="shared" ca="1" si="36"/>
        <v>#N/A</v>
      </c>
      <c r="V190" s="163" t="e">
        <f t="shared" ca="1" si="30"/>
        <v>#N/A</v>
      </c>
      <c r="W190" s="163" t="e">
        <f t="shared" ca="1" si="31"/>
        <v>#N/A</v>
      </c>
      <c r="X190" s="163" t="e">
        <f t="shared" ca="1" si="32"/>
        <v>#N/A</v>
      </c>
      <c r="Y190" s="163" t="e">
        <f t="shared" ca="1" si="33"/>
        <v>#N/A</v>
      </c>
    </row>
    <row r="191" spans="12:25" ht="14.4">
      <c r="L191" s="464"/>
      <c r="M191" s="129" t="e">
        <f t="shared" si="34"/>
        <v>#N/A</v>
      </c>
      <c r="N191" s="161">
        <f t="shared" si="29"/>
        <v>13</v>
      </c>
      <c r="O191" s="160" t="e">
        <f t="shared" ca="1" si="35"/>
        <v>#N/A</v>
      </c>
      <c r="P191" s="160" t="e">
        <f t="shared" ca="1" si="38"/>
        <v>#N/A</v>
      </c>
      <c r="Q191" s="160" t="e">
        <f t="shared" ca="1" si="39"/>
        <v>#N/A</v>
      </c>
      <c r="R191" s="160" t="e">
        <f t="shared" ca="1" si="39"/>
        <v>#N/A</v>
      </c>
      <c r="S191" s="160" t="e">
        <f t="shared" ca="1" si="39"/>
        <v>#N/A</v>
      </c>
      <c r="T191" s="160" t="e">
        <f t="shared" ca="1" si="37"/>
        <v>#N/A</v>
      </c>
      <c r="U191" s="160" t="e">
        <f t="shared" ca="1" si="36"/>
        <v>#N/A</v>
      </c>
      <c r="V191" s="163" t="e">
        <f t="shared" ca="1" si="30"/>
        <v>#N/A</v>
      </c>
      <c r="W191" s="163" t="e">
        <f t="shared" ca="1" si="31"/>
        <v>#N/A</v>
      </c>
      <c r="X191" s="163" t="e">
        <f t="shared" ca="1" si="32"/>
        <v>#N/A</v>
      </c>
      <c r="Y191" s="163" t="e">
        <f t="shared" ca="1" si="33"/>
        <v>#N/A</v>
      </c>
    </row>
    <row r="192" spans="12:25" ht="14.4">
      <c r="L192" s="464"/>
      <c r="M192" s="129" t="e">
        <f t="shared" si="34"/>
        <v>#N/A</v>
      </c>
      <c r="N192" s="161">
        <f t="shared" si="29"/>
        <v>13</v>
      </c>
      <c r="O192" s="160" t="e">
        <f t="shared" ca="1" si="35"/>
        <v>#N/A</v>
      </c>
      <c r="P192" s="160" t="e">
        <f t="shared" ca="1" si="38"/>
        <v>#N/A</v>
      </c>
      <c r="Q192" s="160" t="e">
        <f t="shared" ca="1" si="39"/>
        <v>#N/A</v>
      </c>
      <c r="R192" s="160" t="e">
        <f t="shared" ca="1" si="39"/>
        <v>#N/A</v>
      </c>
      <c r="S192" s="160" t="e">
        <f t="shared" ca="1" si="39"/>
        <v>#N/A</v>
      </c>
      <c r="T192" s="160" t="e">
        <f t="shared" ca="1" si="37"/>
        <v>#N/A</v>
      </c>
      <c r="U192" s="160" t="e">
        <f t="shared" ca="1" si="36"/>
        <v>#N/A</v>
      </c>
      <c r="V192" s="163" t="e">
        <f t="shared" ca="1" si="30"/>
        <v>#N/A</v>
      </c>
      <c r="W192" s="163" t="e">
        <f t="shared" ca="1" si="31"/>
        <v>#N/A</v>
      </c>
      <c r="X192" s="163" t="e">
        <f t="shared" ca="1" si="32"/>
        <v>#N/A</v>
      </c>
      <c r="Y192" s="163" t="e">
        <f t="shared" ca="1" si="33"/>
        <v>#N/A</v>
      </c>
    </row>
    <row r="193" spans="12:25" ht="14.4">
      <c r="L193" s="464"/>
      <c r="M193" s="129" t="e">
        <f t="shared" si="34"/>
        <v>#N/A</v>
      </c>
      <c r="N193" s="161">
        <f t="shared" si="29"/>
        <v>13</v>
      </c>
      <c r="O193" s="160" t="e">
        <f t="shared" ca="1" si="35"/>
        <v>#N/A</v>
      </c>
      <c r="P193" s="160" t="e">
        <f t="shared" ca="1" si="38"/>
        <v>#N/A</v>
      </c>
      <c r="Q193" s="160" t="e">
        <f t="shared" ca="1" si="39"/>
        <v>#N/A</v>
      </c>
      <c r="R193" s="160" t="e">
        <f t="shared" ca="1" si="39"/>
        <v>#N/A</v>
      </c>
      <c r="S193" s="160" t="e">
        <f t="shared" ca="1" si="39"/>
        <v>#N/A</v>
      </c>
      <c r="T193" s="160" t="e">
        <f t="shared" ca="1" si="37"/>
        <v>#N/A</v>
      </c>
      <c r="U193" s="160" t="e">
        <f t="shared" ca="1" si="36"/>
        <v>#N/A</v>
      </c>
      <c r="V193" s="163" t="e">
        <f t="shared" ca="1" si="30"/>
        <v>#N/A</v>
      </c>
      <c r="W193" s="163" t="e">
        <f t="shared" ca="1" si="31"/>
        <v>#N/A</v>
      </c>
      <c r="X193" s="163" t="e">
        <f t="shared" ca="1" si="32"/>
        <v>#N/A</v>
      </c>
      <c r="Y193" s="163" t="e">
        <f t="shared" ca="1" si="33"/>
        <v>#N/A</v>
      </c>
    </row>
    <row r="194" spans="12:25" ht="14.4">
      <c r="L194" s="464"/>
      <c r="M194" s="129" t="e">
        <f t="shared" si="34"/>
        <v>#N/A</v>
      </c>
      <c r="N194" s="161">
        <f t="shared" si="29"/>
        <v>13</v>
      </c>
      <c r="O194" s="160" t="e">
        <f t="shared" ca="1" si="35"/>
        <v>#N/A</v>
      </c>
      <c r="P194" s="160" t="e">
        <f t="shared" ca="1" si="38"/>
        <v>#N/A</v>
      </c>
      <c r="Q194" s="160" t="e">
        <f t="shared" ca="1" si="39"/>
        <v>#N/A</v>
      </c>
      <c r="R194" s="160" t="e">
        <f t="shared" ca="1" si="39"/>
        <v>#N/A</v>
      </c>
      <c r="S194" s="160" t="e">
        <f t="shared" ca="1" si="39"/>
        <v>#N/A</v>
      </c>
      <c r="T194" s="160" t="e">
        <f t="shared" ca="1" si="37"/>
        <v>#N/A</v>
      </c>
      <c r="U194" s="160" t="e">
        <f t="shared" ca="1" si="36"/>
        <v>#N/A</v>
      </c>
      <c r="V194" s="163" t="e">
        <f t="shared" ca="1" si="30"/>
        <v>#N/A</v>
      </c>
      <c r="W194" s="163" t="e">
        <f t="shared" ca="1" si="31"/>
        <v>#N/A</v>
      </c>
      <c r="X194" s="163" t="e">
        <f t="shared" ca="1" si="32"/>
        <v>#N/A</v>
      </c>
      <c r="Y194" s="163" t="e">
        <f t="shared" ca="1" si="33"/>
        <v>#N/A</v>
      </c>
    </row>
    <row r="195" spans="12:25" ht="14.4">
      <c r="L195" s="464"/>
      <c r="M195" s="129" t="e">
        <f t="shared" si="34"/>
        <v>#N/A</v>
      </c>
      <c r="N195" s="161">
        <f t="shared" si="29"/>
        <v>13</v>
      </c>
      <c r="O195" s="160" t="e">
        <f t="shared" ca="1" si="35"/>
        <v>#N/A</v>
      </c>
      <c r="P195" s="160" t="e">
        <f t="shared" ca="1" si="38"/>
        <v>#N/A</v>
      </c>
      <c r="Q195" s="160" t="e">
        <f t="shared" ca="1" si="39"/>
        <v>#N/A</v>
      </c>
      <c r="R195" s="160" t="e">
        <f t="shared" ca="1" si="39"/>
        <v>#N/A</v>
      </c>
      <c r="S195" s="160" t="e">
        <f t="shared" ca="1" si="39"/>
        <v>#N/A</v>
      </c>
      <c r="T195" s="160" t="e">
        <f t="shared" ca="1" si="37"/>
        <v>#N/A</v>
      </c>
      <c r="U195" s="160" t="e">
        <f t="shared" ca="1" si="36"/>
        <v>#N/A</v>
      </c>
      <c r="V195" s="163" t="e">
        <f t="shared" ca="1" si="30"/>
        <v>#N/A</v>
      </c>
      <c r="W195" s="163" t="e">
        <f t="shared" ca="1" si="31"/>
        <v>#N/A</v>
      </c>
      <c r="X195" s="163" t="e">
        <f t="shared" ca="1" si="32"/>
        <v>#N/A</v>
      </c>
      <c r="Y195" s="163" t="e">
        <f t="shared" ca="1" si="33"/>
        <v>#N/A</v>
      </c>
    </row>
    <row r="196" spans="12:25" ht="14.4">
      <c r="L196" s="464"/>
      <c r="M196" s="129" t="e">
        <f t="shared" si="34"/>
        <v>#N/A</v>
      </c>
      <c r="N196" s="161">
        <f t="shared" si="29"/>
        <v>13</v>
      </c>
      <c r="O196" s="160" t="e">
        <f t="shared" ca="1" si="35"/>
        <v>#N/A</v>
      </c>
      <c r="P196" s="160" t="e">
        <f t="shared" ca="1" si="38"/>
        <v>#N/A</v>
      </c>
      <c r="Q196" s="160" t="e">
        <f t="shared" ca="1" si="39"/>
        <v>#N/A</v>
      </c>
      <c r="R196" s="160" t="e">
        <f t="shared" ca="1" si="39"/>
        <v>#N/A</v>
      </c>
      <c r="S196" s="160" t="e">
        <f t="shared" ca="1" si="39"/>
        <v>#N/A</v>
      </c>
      <c r="T196" s="160" t="e">
        <f t="shared" ca="1" si="37"/>
        <v>#N/A</v>
      </c>
      <c r="U196" s="160" t="e">
        <f t="shared" ca="1" si="36"/>
        <v>#N/A</v>
      </c>
      <c r="V196" s="163" t="e">
        <f t="shared" ca="1" si="30"/>
        <v>#N/A</v>
      </c>
      <c r="W196" s="163" t="e">
        <f t="shared" ca="1" si="31"/>
        <v>#N/A</v>
      </c>
      <c r="X196" s="163" t="e">
        <f t="shared" ca="1" si="32"/>
        <v>#N/A</v>
      </c>
      <c r="Y196" s="163" t="e">
        <f t="shared" ca="1" si="33"/>
        <v>#N/A</v>
      </c>
    </row>
    <row r="197" spans="12:25" ht="14.4">
      <c r="L197" s="464"/>
      <c r="M197" s="129" t="e">
        <f t="shared" si="34"/>
        <v>#N/A</v>
      </c>
      <c r="N197" s="161">
        <f t="shared" si="29"/>
        <v>13</v>
      </c>
      <c r="O197" s="160" t="e">
        <f t="shared" ca="1" si="35"/>
        <v>#N/A</v>
      </c>
      <c r="P197" s="160" t="e">
        <f t="shared" ca="1" si="38"/>
        <v>#N/A</v>
      </c>
      <c r="Q197" s="160" t="e">
        <f t="shared" ca="1" si="39"/>
        <v>#N/A</v>
      </c>
      <c r="R197" s="160" t="e">
        <f t="shared" ca="1" si="39"/>
        <v>#N/A</v>
      </c>
      <c r="S197" s="160" t="e">
        <f t="shared" ca="1" si="39"/>
        <v>#N/A</v>
      </c>
      <c r="T197" s="160" t="e">
        <f t="shared" ca="1" si="37"/>
        <v>#N/A</v>
      </c>
      <c r="U197" s="160" t="e">
        <f t="shared" ca="1" si="36"/>
        <v>#N/A</v>
      </c>
      <c r="V197" s="163" t="e">
        <f t="shared" ca="1" si="30"/>
        <v>#N/A</v>
      </c>
      <c r="W197" s="163" t="e">
        <f t="shared" ca="1" si="31"/>
        <v>#N/A</v>
      </c>
      <c r="X197" s="163" t="e">
        <f t="shared" ca="1" si="32"/>
        <v>#N/A</v>
      </c>
      <c r="Y197" s="163" t="e">
        <f t="shared" ca="1" si="33"/>
        <v>#N/A</v>
      </c>
    </row>
    <row r="198" spans="12:25" ht="14.4">
      <c r="L198" s="464"/>
      <c r="M198" s="129" t="e">
        <f t="shared" si="34"/>
        <v>#N/A</v>
      </c>
      <c r="N198" s="161">
        <f t="shared" si="29"/>
        <v>13</v>
      </c>
      <c r="O198" s="160" t="e">
        <f t="shared" ca="1" si="35"/>
        <v>#N/A</v>
      </c>
      <c r="P198" s="160" t="e">
        <f t="shared" ca="1" si="38"/>
        <v>#N/A</v>
      </c>
      <c r="Q198" s="160" t="e">
        <f t="shared" ca="1" si="39"/>
        <v>#N/A</v>
      </c>
      <c r="R198" s="160" t="e">
        <f t="shared" ca="1" si="39"/>
        <v>#N/A</v>
      </c>
      <c r="S198" s="160" t="e">
        <f t="shared" ca="1" si="39"/>
        <v>#N/A</v>
      </c>
      <c r="T198" s="160" t="e">
        <f t="shared" ca="1" si="37"/>
        <v>#N/A</v>
      </c>
      <c r="U198" s="160" t="e">
        <f t="shared" ca="1" si="36"/>
        <v>#N/A</v>
      </c>
      <c r="V198" s="163" t="e">
        <f t="shared" ca="1" si="30"/>
        <v>#N/A</v>
      </c>
      <c r="W198" s="163" t="e">
        <f t="shared" ca="1" si="31"/>
        <v>#N/A</v>
      </c>
      <c r="X198" s="163" t="e">
        <f t="shared" ca="1" si="32"/>
        <v>#N/A</v>
      </c>
      <c r="Y198" s="163" t="e">
        <f t="shared" ca="1" si="33"/>
        <v>#N/A</v>
      </c>
    </row>
    <row r="199" spans="12:25" ht="14.4">
      <c r="L199" s="464"/>
      <c r="M199" s="129" t="e">
        <f t="shared" si="34"/>
        <v>#N/A</v>
      </c>
      <c r="N199" s="161">
        <f t="shared" si="29"/>
        <v>13</v>
      </c>
      <c r="O199" s="160" t="e">
        <f t="shared" ca="1" si="35"/>
        <v>#N/A</v>
      </c>
      <c r="P199" s="160" t="e">
        <f t="shared" ca="1" si="38"/>
        <v>#N/A</v>
      </c>
      <c r="Q199" s="160" t="e">
        <f t="shared" ca="1" si="39"/>
        <v>#N/A</v>
      </c>
      <c r="R199" s="160" t="e">
        <f t="shared" ca="1" si="39"/>
        <v>#N/A</v>
      </c>
      <c r="S199" s="160" t="e">
        <f t="shared" ca="1" si="39"/>
        <v>#N/A</v>
      </c>
      <c r="T199" s="160" t="e">
        <f t="shared" ca="1" si="37"/>
        <v>#N/A</v>
      </c>
      <c r="U199" s="160" t="e">
        <f t="shared" ca="1" si="36"/>
        <v>#N/A</v>
      </c>
      <c r="V199" s="163" t="e">
        <f t="shared" ca="1" si="30"/>
        <v>#N/A</v>
      </c>
      <c r="W199" s="163" t="e">
        <f t="shared" ca="1" si="31"/>
        <v>#N/A</v>
      </c>
      <c r="X199" s="163" t="e">
        <f t="shared" ca="1" si="32"/>
        <v>#N/A</v>
      </c>
      <c r="Y199" s="163" t="e">
        <f t="shared" ca="1" si="33"/>
        <v>#N/A</v>
      </c>
    </row>
    <row r="200" spans="12:25" ht="14.4">
      <c r="L200" s="464"/>
      <c r="M200" s="129" t="e">
        <f t="shared" si="34"/>
        <v>#N/A</v>
      </c>
      <c r="N200" s="161">
        <f t="shared" si="29"/>
        <v>13</v>
      </c>
      <c r="O200" s="160" t="e">
        <f t="shared" ca="1" si="35"/>
        <v>#N/A</v>
      </c>
      <c r="P200" s="160" t="e">
        <f t="shared" ca="1" si="38"/>
        <v>#N/A</v>
      </c>
      <c r="Q200" s="160" t="e">
        <f t="shared" ca="1" si="39"/>
        <v>#N/A</v>
      </c>
      <c r="R200" s="160" t="e">
        <f t="shared" ca="1" si="39"/>
        <v>#N/A</v>
      </c>
      <c r="S200" s="160" t="e">
        <f t="shared" ca="1" si="39"/>
        <v>#N/A</v>
      </c>
      <c r="T200" s="160" t="e">
        <f t="shared" ca="1" si="37"/>
        <v>#N/A</v>
      </c>
      <c r="U200" s="160" t="e">
        <f t="shared" ca="1" si="36"/>
        <v>#N/A</v>
      </c>
      <c r="V200" s="163" t="e">
        <f t="shared" ca="1" si="30"/>
        <v>#N/A</v>
      </c>
      <c r="W200" s="163" t="e">
        <f t="shared" ca="1" si="31"/>
        <v>#N/A</v>
      </c>
      <c r="X200" s="163" t="e">
        <f t="shared" ca="1" si="32"/>
        <v>#N/A</v>
      </c>
      <c r="Y200" s="163" t="e">
        <f t="shared" ca="1" si="33"/>
        <v>#N/A</v>
      </c>
    </row>
    <row r="201" spans="12:25" ht="14.4">
      <c r="L201" s="464"/>
      <c r="M201" s="129" t="e">
        <f t="shared" si="34"/>
        <v>#N/A</v>
      </c>
      <c r="N201" s="161">
        <f t="shared" si="29"/>
        <v>13</v>
      </c>
      <c r="O201" s="160" t="e">
        <f t="shared" ca="1" si="35"/>
        <v>#N/A</v>
      </c>
      <c r="P201" s="160" t="e">
        <f t="shared" ca="1" si="38"/>
        <v>#N/A</v>
      </c>
      <c r="Q201" s="160" t="e">
        <f t="shared" ca="1" si="39"/>
        <v>#N/A</v>
      </c>
      <c r="R201" s="160" t="e">
        <f t="shared" ca="1" si="39"/>
        <v>#N/A</v>
      </c>
      <c r="S201" s="160" t="e">
        <f t="shared" ca="1" si="39"/>
        <v>#N/A</v>
      </c>
      <c r="T201" s="160" t="e">
        <f t="shared" ca="1" si="37"/>
        <v>#N/A</v>
      </c>
      <c r="U201" s="160" t="e">
        <f t="shared" ca="1" si="36"/>
        <v>#N/A</v>
      </c>
      <c r="V201" s="163" t="e">
        <f t="shared" ca="1" si="30"/>
        <v>#N/A</v>
      </c>
      <c r="W201" s="163" t="e">
        <f t="shared" ca="1" si="31"/>
        <v>#N/A</v>
      </c>
      <c r="X201" s="163" t="e">
        <f t="shared" ca="1" si="32"/>
        <v>#N/A</v>
      </c>
      <c r="Y201" s="163" t="e">
        <f t="shared" ca="1" si="33"/>
        <v>#N/A</v>
      </c>
    </row>
    <row r="202" spans="12:25" ht="14.4">
      <c r="L202" s="464"/>
      <c r="M202" s="129" t="e">
        <f t="shared" si="34"/>
        <v>#N/A</v>
      </c>
      <c r="N202" s="161">
        <f t="shared" si="29"/>
        <v>13</v>
      </c>
      <c r="O202" s="160" t="e">
        <f t="shared" ca="1" si="35"/>
        <v>#N/A</v>
      </c>
      <c r="P202" s="160" t="e">
        <f t="shared" ca="1" si="38"/>
        <v>#N/A</v>
      </c>
      <c r="Q202" s="160" t="e">
        <f t="shared" ca="1" si="39"/>
        <v>#N/A</v>
      </c>
      <c r="R202" s="160" t="e">
        <f t="shared" ca="1" si="39"/>
        <v>#N/A</v>
      </c>
      <c r="S202" s="160" t="e">
        <f t="shared" ca="1" si="39"/>
        <v>#N/A</v>
      </c>
      <c r="T202" s="160" t="e">
        <f t="shared" ca="1" si="37"/>
        <v>#N/A</v>
      </c>
      <c r="U202" s="160" t="e">
        <f t="shared" ca="1" si="36"/>
        <v>#N/A</v>
      </c>
      <c r="V202" s="163" t="e">
        <f t="shared" ca="1" si="30"/>
        <v>#N/A</v>
      </c>
      <c r="W202" s="163" t="e">
        <f t="shared" ca="1" si="31"/>
        <v>#N/A</v>
      </c>
      <c r="X202" s="163" t="e">
        <f t="shared" ca="1" si="32"/>
        <v>#N/A</v>
      </c>
      <c r="Y202" s="163" t="e">
        <f t="shared" ca="1" si="33"/>
        <v>#N/A</v>
      </c>
    </row>
    <row r="203" spans="12:25" ht="14.4">
      <c r="L203" s="464"/>
      <c r="M203" s="129" t="e">
        <f t="shared" si="34"/>
        <v>#N/A</v>
      </c>
      <c r="N203" s="161">
        <f t="shared" si="29"/>
        <v>13</v>
      </c>
      <c r="O203" s="160" t="e">
        <f t="shared" ca="1" si="35"/>
        <v>#N/A</v>
      </c>
      <c r="P203" s="160" t="e">
        <f t="shared" ca="1" si="38"/>
        <v>#N/A</v>
      </c>
      <c r="Q203" s="160" t="e">
        <f t="shared" ca="1" si="39"/>
        <v>#N/A</v>
      </c>
      <c r="R203" s="160" t="e">
        <f t="shared" ca="1" si="39"/>
        <v>#N/A</v>
      </c>
      <c r="S203" s="160" t="e">
        <f t="shared" ca="1" si="39"/>
        <v>#N/A</v>
      </c>
      <c r="T203" s="160" t="e">
        <f t="shared" ca="1" si="37"/>
        <v>#N/A</v>
      </c>
      <c r="U203" s="160" t="e">
        <f t="shared" ca="1" si="36"/>
        <v>#N/A</v>
      </c>
      <c r="V203" s="163" t="e">
        <f t="shared" ca="1" si="30"/>
        <v>#N/A</v>
      </c>
      <c r="W203" s="163" t="e">
        <f t="shared" ca="1" si="31"/>
        <v>#N/A</v>
      </c>
      <c r="X203" s="163" t="e">
        <f t="shared" ca="1" si="32"/>
        <v>#N/A</v>
      </c>
      <c r="Y203" s="163" t="e">
        <f t="shared" ca="1" si="33"/>
        <v>#N/A</v>
      </c>
    </row>
    <row r="204" spans="12:25" ht="14.4">
      <c r="L204" s="464"/>
      <c r="M204" s="129" t="e">
        <f t="shared" si="34"/>
        <v>#N/A</v>
      </c>
      <c r="N204" s="161">
        <f t="shared" si="29"/>
        <v>13</v>
      </c>
      <c r="O204" s="160" t="e">
        <f t="shared" ca="1" si="35"/>
        <v>#N/A</v>
      </c>
      <c r="P204" s="160" t="e">
        <f t="shared" ca="1" si="38"/>
        <v>#N/A</v>
      </c>
      <c r="Q204" s="160" t="e">
        <f t="shared" ca="1" si="39"/>
        <v>#N/A</v>
      </c>
      <c r="R204" s="160" t="e">
        <f t="shared" ca="1" si="39"/>
        <v>#N/A</v>
      </c>
      <c r="S204" s="160" t="e">
        <f t="shared" ca="1" si="39"/>
        <v>#N/A</v>
      </c>
      <c r="T204" s="160" t="e">
        <f t="shared" ca="1" si="37"/>
        <v>#N/A</v>
      </c>
      <c r="U204" s="160" t="e">
        <f t="shared" ca="1" si="36"/>
        <v>#N/A</v>
      </c>
      <c r="V204" s="163" t="e">
        <f t="shared" ca="1" si="30"/>
        <v>#N/A</v>
      </c>
      <c r="W204" s="163" t="e">
        <f t="shared" ca="1" si="31"/>
        <v>#N/A</v>
      </c>
      <c r="X204" s="163" t="e">
        <f t="shared" ca="1" si="32"/>
        <v>#N/A</v>
      </c>
      <c r="Y204" s="163" t="e">
        <f t="shared" ca="1" si="33"/>
        <v>#N/A</v>
      </c>
    </row>
    <row r="205" spans="12:25" ht="14.4">
      <c r="L205" s="464"/>
      <c r="M205" s="129" t="e">
        <f t="shared" si="34"/>
        <v>#N/A</v>
      </c>
      <c r="N205" s="161">
        <f t="shared" si="29"/>
        <v>13</v>
      </c>
      <c r="O205" s="160" t="e">
        <f t="shared" ca="1" si="35"/>
        <v>#N/A</v>
      </c>
      <c r="P205" s="160" t="e">
        <f t="shared" ca="1" si="38"/>
        <v>#N/A</v>
      </c>
      <c r="Q205" s="160" t="e">
        <f t="shared" ca="1" si="39"/>
        <v>#N/A</v>
      </c>
      <c r="R205" s="160" t="e">
        <f t="shared" ca="1" si="39"/>
        <v>#N/A</v>
      </c>
      <c r="S205" s="160" t="e">
        <f t="shared" ca="1" si="39"/>
        <v>#N/A</v>
      </c>
      <c r="T205" s="160" t="e">
        <f t="shared" ca="1" si="37"/>
        <v>#N/A</v>
      </c>
      <c r="U205" s="160" t="e">
        <f t="shared" ca="1" si="36"/>
        <v>#N/A</v>
      </c>
      <c r="V205" s="163" t="e">
        <f t="shared" ca="1" si="30"/>
        <v>#N/A</v>
      </c>
      <c r="W205" s="163" t="e">
        <f t="shared" ca="1" si="31"/>
        <v>#N/A</v>
      </c>
      <c r="X205" s="163" t="e">
        <f t="shared" ca="1" si="32"/>
        <v>#N/A</v>
      </c>
      <c r="Y205" s="163" t="e">
        <f t="shared" ca="1" si="33"/>
        <v>#N/A</v>
      </c>
    </row>
    <row r="206" spans="12:25" ht="14.4">
      <c r="L206" s="464"/>
      <c r="M206" s="129" t="e">
        <f t="shared" si="34"/>
        <v>#N/A</v>
      </c>
      <c r="N206" s="161">
        <f t="shared" si="29"/>
        <v>13</v>
      </c>
      <c r="O206" s="160" t="e">
        <f t="shared" ca="1" si="35"/>
        <v>#N/A</v>
      </c>
      <c r="P206" s="160" t="e">
        <f t="shared" ca="1" si="38"/>
        <v>#N/A</v>
      </c>
      <c r="Q206" s="160" t="e">
        <f t="shared" ca="1" si="39"/>
        <v>#N/A</v>
      </c>
      <c r="R206" s="160" t="e">
        <f t="shared" ca="1" si="39"/>
        <v>#N/A</v>
      </c>
      <c r="S206" s="160" t="e">
        <f t="shared" ca="1" si="39"/>
        <v>#N/A</v>
      </c>
      <c r="T206" s="160" t="e">
        <f t="shared" ca="1" si="37"/>
        <v>#N/A</v>
      </c>
      <c r="U206" s="160" t="e">
        <f t="shared" ca="1" si="36"/>
        <v>#N/A</v>
      </c>
      <c r="V206" s="163" t="e">
        <f t="shared" ca="1" si="30"/>
        <v>#N/A</v>
      </c>
      <c r="W206" s="163" t="e">
        <f t="shared" ca="1" si="31"/>
        <v>#N/A</v>
      </c>
      <c r="X206" s="163" t="e">
        <f t="shared" ca="1" si="32"/>
        <v>#N/A</v>
      </c>
      <c r="Y206" s="163" t="e">
        <f t="shared" ca="1" si="33"/>
        <v>#N/A</v>
      </c>
    </row>
    <row r="207" spans="12:25" ht="14.4">
      <c r="L207" s="464"/>
      <c r="M207" s="129" t="e">
        <f t="shared" si="34"/>
        <v>#N/A</v>
      </c>
      <c r="N207" s="161">
        <f t="shared" si="29"/>
        <v>13</v>
      </c>
      <c r="O207" s="160" t="e">
        <f t="shared" ca="1" si="35"/>
        <v>#N/A</v>
      </c>
      <c r="P207" s="160" t="e">
        <f t="shared" ca="1" si="38"/>
        <v>#N/A</v>
      </c>
      <c r="Q207" s="160" t="e">
        <f t="shared" ca="1" si="39"/>
        <v>#N/A</v>
      </c>
      <c r="R207" s="160" t="e">
        <f t="shared" ca="1" si="39"/>
        <v>#N/A</v>
      </c>
      <c r="S207" s="160" t="e">
        <f t="shared" ca="1" si="39"/>
        <v>#N/A</v>
      </c>
      <c r="T207" s="160" t="e">
        <f t="shared" ca="1" si="37"/>
        <v>#N/A</v>
      </c>
      <c r="U207" s="160" t="e">
        <f t="shared" ca="1" si="36"/>
        <v>#N/A</v>
      </c>
      <c r="V207" s="163" t="e">
        <f t="shared" ca="1" si="30"/>
        <v>#N/A</v>
      </c>
      <c r="W207" s="163" t="e">
        <f t="shared" ca="1" si="31"/>
        <v>#N/A</v>
      </c>
      <c r="X207" s="163" t="e">
        <f t="shared" ca="1" si="32"/>
        <v>#N/A</v>
      </c>
      <c r="Y207" s="163" t="e">
        <f t="shared" ca="1" si="33"/>
        <v>#N/A</v>
      </c>
    </row>
    <row r="208" spans="12:25" ht="14.4">
      <c r="L208" s="464"/>
      <c r="M208" s="129" t="e">
        <f t="shared" si="34"/>
        <v>#N/A</v>
      </c>
      <c r="N208" s="161">
        <f t="shared" si="29"/>
        <v>13</v>
      </c>
      <c r="O208" s="160" t="e">
        <f t="shared" ca="1" si="35"/>
        <v>#N/A</v>
      </c>
      <c r="P208" s="160" t="e">
        <f t="shared" ca="1" si="38"/>
        <v>#N/A</v>
      </c>
      <c r="Q208" s="160" t="e">
        <f t="shared" ca="1" si="39"/>
        <v>#N/A</v>
      </c>
      <c r="R208" s="160" t="e">
        <f t="shared" ca="1" si="39"/>
        <v>#N/A</v>
      </c>
      <c r="S208" s="160" t="e">
        <f t="shared" ca="1" si="39"/>
        <v>#N/A</v>
      </c>
      <c r="T208" s="160" t="e">
        <f t="shared" ca="1" si="37"/>
        <v>#N/A</v>
      </c>
      <c r="U208" s="160" t="e">
        <f t="shared" ca="1" si="36"/>
        <v>#N/A</v>
      </c>
      <c r="V208" s="163" t="e">
        <f t="shared" ca="1" si="30"/>
        <v>#N/A</v>
      </c>
      <c r="W208" s="163" t="e">
        <f t="shared" ca="1" si="31"/>
        <v>#N/A</v>
      </c>
      <c r="X208" s="163" t="e">
        <f t="shared" ca="1" si="32"/>
        <v>#N/A</v>
      </c>
      <c r="Y208" s="163" t="e">
        <f t="shared" ca="1" si="33"/>
        <v>#N/A</v>
      </c>
    </row>
    <row r="209" spans="12:25" ht="14.4">
      <c r="L209" s="464"/>
      <c r="M209" s="129" t="e">
        <f t="shared" si="34"/>
        <v>#N/A</v>
      </c>
      <c r="N209" s="161">
        <f t="shared" si="29"/>
        <v>13</v>
      </c>
      <c r="O209" s="160" t="e">
        <f t="shared" ca="1" si="35"/>
        <v>#N/A</v>
      </c>
      <c r="P209" s="160" t="e">
        <f t="shared" ca="1" si="38"/>
        <v>#N/A</v>
      </c>
      <c r="Q209" s="160" t="e">
        <f t="shared" ca="1" si="39"/>
        <v>#N/A</v>
      </c>
      <c r="R209" s="160" t="e">
        <f t="shared" ca="1" si="39"/>
        <v>#N/A</v>
      </c>
      <c r="S209" s="160" t="e">
        <f t="shared" ca="1" si="39"/>
        <v>#N/A</v>
      </c>
      <c r="T209" s="160" t="e">
        <f t="shared" ca="1" si="37"/>
        <v>#N/A</v>
      </c>
      <c r="U209" s="160" t="e">
        <f t="shared" ca="1" si="36"/>
        <v>#N/A</v>
      </c>
      <c r="V209" s="163" t="e">
        <f t="shared" ca="1" si="30"/>
        <v>#N/A</v>
      </c>
      <c r="W209" s="163" t="e">
        <f t="shared" ca="1" si="31"/>
        <v>#N/A</v>
      </c>
      <c r="X209" s="163" t="e">
        <f t="shared" ca="1" si="32"/>
        <v>#N/A</v>
      </c>
      <c r="Y209" s="163" t="e">
        <f t="shared" ca="1" si="33"/>
        <v>#N/A</v>
      </c>
    </row>
    <row r="210" spans="12:25" ht="14.4">
      <c r="L210" s="464"/>
      <c r="M210" s="129" t="e">
        <f t="shared" si="34"/>
        <v>#N/A</v>
      </c>
      <c r="N210" s="161">
        <f t="shared" ref="N210:N273" si="40">N209</f>
        <v>13</v>
      </c>
      <c r="O210" s="160" t="e">
        <f t="shared" ca="1" si="35"/>
        <v>#N/A</v>
      </c>
      <c r="P210" s="160" t="e">
        <f t="shared" ca="1" si="38"/>
        <v>#N/A</v>
      </c>
      <c r="Q210" s="160" t="e">
        <f t="shared" ca="1" si="39"/>
        <v>#N/A</v>
      </c>
      <c r="R210" s="160" t="e">
        <f t="shared" ca="1" si="39"/>
        <v>#N/A</v>
      </c>
      <c r="S210" s="160" t="e">
        <f t="shared" ca="1" si="39"/>
        <v>#N/A</v>
      </c>
      <c r="T210" s="160" t="e">
        <f t="shared" ca="1" si="37"/>
        <v>#N/A</v>
      </c>
      <c r="U210" s="160" t="e">
        <f t="shared" ca="1" si="36"/>
        <v>#N/A</v>
      </c>
      <c r="V210" s="163" t="e">
        <f t="shared" ca="1" si="30"/>
        <v>#N/A</v>
      </c>
      <c r="W210" s="163" t="e">
        <f t="shared" ca="1" si="31"/>
        <v>#N/A</v>
      </c>
      <c r="X210" s="163" t="e">
        <f t="shared" ca="1" si="32"/>
        <v>#N/A</v>
      </c>
      <c r="Y210" s="163" t="e">
        <f t="shared" ca="1" si="33"/>
        <v>#N/A</v>
      </c>
    </row>
    <row r="211" spans="12:25" ht="14.4">
      <c r="L211" s="464"/>
      <c r="M211" s="129" t="e">
        <f t="shared" si="34"/>
        <v>#N/A</v>
      </c>
      <c r="N211" s="161">
        <f t="shared" si="40"/>
        <v>13</v>
      </c>
      <c r="O211" s="160" t="e">
        <f t="shared" ca="1" si="35"/>
        <v>#N/A</v>
      </c>
      <c r="P211" s="160" t="e">
        <f t="shared" ca="1" si="38"/>
        <v>#N/A</v>
      </c>
      <c r="Q211" s="160" t="e">
        <f t="shared" ca="1" si="39"/>
        <v>#N/A</v>
      </c>
      <c r="R211" s="160" t="e">
        <f t="shared" ca="1" si="39"/>
        <v>#N/A</v>
      </c>
      <c r="S211" s="160" t="e">
        <f t="shared" ca="1" si="39"/>
        <v>#N/A</v>
      </c>
      <c r="T211" s="160" t="e">
        <f t="shared" ca="1" si="37"/>
        <v>#N/A</v>
      </c>
      <c r="U211" s="160" t="e">
        <f t="shared" ca="1" si="36"/>
        <v>#N/A</v>
      </c>
      <c r="V211" s="163" t="e">
        <f t="shared" ca="1" si="30"/>
        <v>#N/A</v>
      </c>
      <c r="W211" s="163" t="e">
        <f t="shared" ca="1" si="31"/>
        <v>#N/A</v>
      </c>
      <c r="X211" s="163" t="e">
        <f t="shared" ca="1" si="32"/>
        <v>#N/A</v>
      </c>
      <c r="Y211" s="163" t="e">
        <f t="shared" ca="1" si="33"/>
        <v>#N/A</v>
      </c>
    </row>
    <row r="212" spans="12:25" ht="14.4">
      <c r="L212" s="464"/>
      <c r="M212" s="129" t="e">
        <f t="shared" si="34"/>
        <v>#N/A</v>
      </c>
      <c r="N212" s="161">
        <f t="shared" si="40"/>
        <v>13</v>
      </c>
      <c r="O212" s="160" t="e">
        <f t="shared" ca="1" si="35"/>
        <v>#N/A</v>
      </c>
      <c r="P212" s="160" t="e">
        <f t="shared" ca="1" si="38"/>
        <v>#N/A</v>
      </c>
      <c r="Q212" s="160" t="e">
        <f t="shared" ca="1" si="39"/>
        <v>#N/A</v>
      </c>
      <c r="R212" s="160" t="e">
        <f t="shared" ca="1" si="39"/>
        <v>#N/A</v>
      </c>
      <c r="S212" s="160" t="e">
        <f t="shared" ca="1" si="39"/>
        <v>#N/A</v>
      </c>
      <c r="T212" s="160" t="e">
        <f t="shared" ca="1" si="37"/>
        <v>#N/A</v>
      </c>
      <c r="U212" s="160" t="e">
        <f t="shared" ca="1" si="36"/>
        <v>#N/A</v>
      </c>
      <c r="V212" s="163" t="e">
        <f t="shared" ca="1" si="30"/>
        <v>#N/A</v>
      </c>
      <c r="W212" s="163" t="e">
        <f t="shared" ca="1" si="31"/>
        <v>#N/A</v>
      </c>
      <c r="X212" s="163" t="e">
        <f t="shared" ca="1" si="32"/>
        <v>#N/A</v>
      </c>
      <c r="Y212" s="163" t="e">
        <f t="shared" ca="1" si="33"/>
        <v>#N/A</v>
      </c>
    </row>
    <row r="213" spans="12:25" ht="14.4">
      <c r="L213" s="464"/>
      <c r="M213" s="129" t="e">
        <f t="shared" si="34"/>
        <v>#N/A</v>
      </c>
      <c r="N213" s="161">
        <f t="shared" si="40"/>
        <v>13</v>
      </c>
      <c r="O213" s="160" t="e">
        <f t="shared" ca="1" si="35"/>
        <v>#N/A</v>
      </c>
      <c r="P213" s="160" t="e">
        <f t="shared" ca="1" si="38"/>
        <v>#N/A</v>
      </c>
      <c r="Q213" s="160" t="e">
        <f t="shared" ca="1" si="39"/>
        <v>#N/A</v>
      </c>
      <c r="R213" s="160" t="e">
        <f t="shared" ca="1" si="39"/>
        <v>#N/A</v>
      </c>
      <c r="S213" s="160" t="e">
        <f t="shared" ca="1" si="39"/>
        <v>#N/A</v>
      </c>
      <c r="T213" s="160" t="e">
        <f t="shared" ca="1" si="37"/>
        <v>#N/A</v>
      </c>
      <c r="U213" s="160" t="e">
        <f t="shared" ca="1" si="36"/>
        <v>#N/A</v>
      </c>
      <c r="V213" s="163" t="e">
        <f t="shared" ca="1" si="30"/>
        <v>#N/A</v>
      </c>
      <c r="W213" s="163" t="e">
        <f t="shared" ca="1" si="31"/>
        <v>#N/A</v>
      </c>
      <c r="X213" s="163" t="e">
        <f t="shared" ca="1" si="32"/>
        <v>#N/A</v>
      </c>
      <c r="Y213" s="163" t="e">
        <f t="shared" ca="1" si="33"/>
        <v>#N/A</v>
      </c>
    </row>
    <row r="214" spans="12:25" ht="14.4">
      <c r="L214" s="464"/>
      <c r="M214" s="129" t="e">
        <f t="shared" si="34"/>
        <v>#N/A</v>
      </c>
      <c r="N214" s="161">
        <f t="shared" si="40"/>
        <v>13</v>
      </c>
      <c r="O214" s="160" t="e">
        <f t="shared" ca="1" si="35"/>
        <v>#N/A</v>
      </c>
      <c r="P214" s="160" t="e">
        <f t="shared" ca="1" si="38"/>
        <v>#N/A</v>
      </c>
      <c r="Q214" s="160" t="e">
        <f t="shared" ca="1" si="39"/>
        <v>#N/A</v>
      </c>
      <c r="R214" s="160" t="e">
        <f t="shared" ca="1" si="39"/>
        <v>#N/A</v>
      </c>
      <c r="S214" s="160" t="e">
        <f t="shared" ca="1" si="39"/>
        <v>#N/A</v>
      </c>
      <c r="T214" s="160" t="e">
        <f t="shared" ca="1" si="37"/>
        <v>#N/A</v>
      </c>
      <c r="U214" s="160" t="e">
        <f t="shared" ca="1" si="36"/>
        <v>#N/A</v>
      </c>
      <c r="V214" s="163" t="e">
        <f t="shared" ca="1" si="30"/>
        <v>#N/A</v>
      </c>
      <c r="W214" s="163" t="e">
        <f t="shared" ca="1" si="31"/>
        <v>#N/A</v>
      </c>
      <c r="X214" s="163" t="e">
        <f t="shared" ca="1" si="32"/>
        <v>#N/A</v>
      </c>
      <c r="Y214" s="163" t="e">
        <f t="shared" ca="1" si="33"/>
        <v>#N/A</v>
      </c>
    </row>
    <row r="215" spans="12:25" ht="14.4">
      <c r="L215" s="464"/>
      <c r="M215" s="129" t="e">
        <f t="shared" si="34"/>
        <v>#N/A</v>
      </c>
      <c r="N215" s="161">
        <f t="shared" si="40"/>
        <v>13</v>
      </c>
      <c r="O215" s="160" t="e">
        <f t="shared" ca="1" si="35"/>
        <v>#N/A</v>
      </c>
      <c r="P215" s="160" t="e">
        <f t="shared" ca="1" si="38"/>
        <v>#N/A</v>
      </c>
      <c r="Q215" s="160" t="e">
        <f t="shared" ca="1" si="39"/>
        <v>#N/A</v>
      </c>
      <c r="R215" s="160" t="e">
        <f t="shared" ca="1" si="39"/>
        <v>#N/A</v>
      </c>
      <c r="S215" s="160" t="e">
        <f t="shared" ca="1" si="39"/>
        <v>#N/A</v>
      </c>
      <c r="T215" s="160" t="e">
        <f t="shared" ca="1" si="37"/>
        <v>#N/A</v>
      </c>
      <c r="U215" s="160" t="e">
        <f t="shared" ca="1" si="36"/>
        <v>#N/A</v>
      </c>
      <c r="V215" s="163" t="e">
        <f t="shared" ca="1" si="30"/>
        <v>#N/A</v>
      </c>
      <c r="W215" s="163" t="e">
        <f t="shared" ca="1" si="31"/>
        <v>#N/A</v>
      </c>
      <c r="X215" s="163" t="e">
        <f t="shared" ca="1" si="32"/>
        <v>#N/A</v>
      </c>
      <c r="Y215" s="163" t="e">
        <f t="shared" ca="1" si="33"/>
        <v>#N/A</v>
      </c>
    </row>
    <row r="216" spans="12:25" ht="14.4">
      <c r="L216" s="464"/>
      <c r="M216" s="129" t="e">
        <f t="shared" si="34"/>
        <v>#N/A</v>
      </c>
      <c r="N216" s="161">
        <f t="shared" si="40"/>
        <v>13</v>
      </c>
      <c r="O216" s="160" t="e">
        <f t="shared" ca="1" si="35"/>
        <v>#N/A</v>
      </c>
      <c r="P216" s="160" t="e">
        <f t="shared" ca="1" si="38"/>
        <v>#N/A</v>
      </c>
      <c r="Q216" s="160" t="e">
        <f t="shared" ca="1" si="39"/>
        <v>#N/A</v>
      </c>
      <c r="R216" s="160" t="e">
        <f t="shared" ca="1" si="39"/>
        <v>#N/A</v>
      </c>
      <c r="S216" s="160" t="e">
        <f t="shared" ca="1" si="39"/>
        <v>#N/A</v>
      </c>
      <c r="T216" s="160" t="e">
        <f t="shared" ca="1" si="37"/>
        <v>#N/A</v>
      </c>
      <c r="U216" s="160" t="e">
        <f t="shared" ca="1" si="36"/>
        <v>#N/A</v>
      </c>
      <c r="V216" s="163" t="e">
        <f t="shared" ca="1" si="30"/>
        <v>#N/A</v>
      </c>
      <c r="W216" s="163" t="e">
        <f t="shared" ca="1" si="31"/>
        <v>#N/A</v>
      </c>
      <c r="X216" s="163" t="e">
        <f t="shared" ca="1" si="32"/>
        <v>#N/A</v>
      </c>
      <c r="Y216" s="163" t="e">
        <f t="shared" ca="1" si="33"/>
        <v>#N/A</v>
      </c>
    </row>
    <row r="217" spans="12:25" ht="14.4">
      <c r="L217" s="464"/>
      <c r="M217" s="129" t="e">
        <f t="shared" si="34"/>
        <v>#N/A</v>
      </c>
      <c r="N217" s="161">
        <f t="shared" si="40"/>
        <v>13</v>
      </c>
      <c r="O217" s="160" t="e">
        <f t="shared" ca="1" si="35"/>
        <v>#N/A</v>
      </c>
      <c r="P217" s="160" t="e">
        <f t="shared" ca="1" si="38"/>
        <v>#N/A</v>
      </c>
      <c r="Q217" s="160" t="e">
        <f t="shared" ca="1" si="39"/>
        <v>#N/A</v>
      </c>
      <c r="R217" s="160" t="e">
        <f t="shared" ca="1" si="39"/>
        <v>#N/A</v>
      </c>
      <c r="S217" s="160" t="e">
        <f t="shared" ca="1" si="39"/>
        <v>#N/A</v>
      </c>
      <c r="T217" s="160" t="e">
        <f t="shared" ca="1" si="37"/>
        <v>#N/A</v>
      </c>
      <c r="U217" s="160" t="e">
        <f t="shared" ca="1" si="36"/>
        <v>#N/A</v>
      </c>
      <c r="V217" s="163" t="e">
        <f t="shared" ca="1" si="30"/>
        <v>#N/A</v>
      </c>
      <c r="W217" s="163" t="e">
        <f t="shared" ca="1" si="31"/>
        <v>#N/A</v>
      </c>
      <c r="X217" s="163" t="e">
        <f t="shared" ca="1" si="32"/>
        <v>#N/A</v>
      </c>
      <c r="Y217" s="163" t="e">
        <f t="shared" ca="1" si="33"/>
        <v>#N/A</v>
      </c>
    </row>
    <row r="218" spans="12:25" ht="14.4">
      <c r="L218" s="464"/>
      <c r="M218" s="129" t="e">
        <f t="shared" si="34"/>
        <v>#N/A</v>
      </c>
      <c r="N218" s="161">
        <f t="shared" si="40"/>
        <v>13</v>
      </c>
      <c r="O218" s="160" t="e">
        <f t="shared" ca="1" si="35"/>
        <v>#N/A</v>
      </c>
      <c r="P218" s="160" t="e">
        <f t="shared" ca="1" si="38"/>
        <v>#N/A</v>
      </c>
      <c r="Q218" s="160" t="e">
        <f t="shared" ca="1" si="39"/>
        <v>#N/A</v>
      </c>
      <c r="R218" s="160" t="e">
        <f t="shared" ca="1" si="39"/>
        <v>#N/A</v>
      </c>
      <c r="S218" s="160" t="e">
        <f t="shared" ca="1" si="39"/>
        <v>#N/A</v>
      </c>
      <c r="T218" s="160" t="e">
        <f t="shared" ca="1" si="37"/>
        <v>#N/A</v>
      </c>
      <c r="U218" s="160" t="e">
        <f t="shared" ca="1" si="36"/>
        <v>#N/A</v>
      </c>
      <c r="V218" s="163" t="e">
        <f t="shared" ca="1" si="30"/>
        <v>#N/A</v>
      </c>
      <c r="W218" s="163" t="e">
        <f t="shared" ca="1" si="31"/>
        <v>#N/A</v>
      </c>
      <c r="X218" s="163" t="e">
        <f t="shared" ca="1" si="32"/>
        <v>#N/A</v>
      </c>
      <c r="Y218" s="163" t="e">
        <f t="shared" ca="1" si="33"/>
        <v>#N/A</v>
      </c>
    </row>
    <row r="219" spans="12:25" ht="14.4">
      <c r="L219" s="464"/>
      <c r="M219" s="129" t="e">
        <f t="shared" si="34"/>
        <v>#N/A</v>
      </c>
      <c r="N219" s="161">
        <f t="shared" si="40"/>
        <v>13</v>
      </c>
      <c r="O219" s="160" t="e">
        <f t="shared" ca="1" si="35"/>
        <v>#N/A</v>
      </c>
      <c r="P219" s="160" t="e">
        <f t="shared" ca="1" si="38"/>
        <v>#N/A</v>
      </c>
      <c r="Q219" s="160" t="e">
        <f t="shared" ca="1" si="39"/>
        <v>#N/A</v>
      </c>
      <c r="R219" s="160" t="e">
        <f t="shared" ca="1" si="39"/>
        <v>#N/A</v>
      </c>
      <c r="S219" s="160" t="e">
        <f t="shared" ca="1" si="39"/>
        <v>#N/A</v>
      </c>
      <c r="T219" s="160" t="e">
        <f t="shared" ca="1" si="37"/>
        <v>#N/A</v>
      </c>
      <c r="U219" s="160" t="e">
        <f t="shared" ca="1" si="36"/>
        <v>#N/A</v>
      </c>
      <c r="V219" s="163" t="e">
        <f t="shared" ca="1" si="30"/>
        <v>#N/A</v>
      </c>
      <c r="W219" s="163" t="e">
        <f t="shared" ca="1" si="31"/>
        <v>#N/A</v>
      </c>
      <c r="X219" s="163" t="e">
        <f t="shared" ca="1" si="32"/>
        <v>#N/A</v>
      </c>
      <c r="Y219" s="163" t="e">
        <f t="shared" ca="1" si="33"/>
        <v>#N/A</v>
      </c>
    </row>
    <row r="220" spans="12:25" ht="14.4">
      <c r="L220" s="464"/>
      <c r="M220" s="129" t="e">
        <f t="shared" si="34"/>
        <v>#N/A</v>
      </c>
      <c r="N220" s="161">
        <f t="shared" si="40"/>
        <v>13</v>
      </c>
      <c r="O220" s="160" t="e">
        <f t="shared" ca="1" si="35"/>
        <v>#N/A</v>
      </c>
      <c r="P220" s="160" t="e">
        <f t="shared" ca="1" si="38"/>
        <v>#N/A</v>
      </c>
      <c r="Q220" s="160" t="e">
        <f t="shared" ca="1" si="39"/>
        <v>#N/A</v>
      </c>
      <c r="R220" s="160" t="e">
        <f t="shared" ca="1" si="39"/>
        <v>#N/A</v>
      </c>
      <c r="S220" s="160" t="e">
        <f t="shared" ca="1" si="39"/>
        <v>#N/A</v>
      </c>
      <c r="T220" s="160" t="e">
        <f t="shared" ca="1" si="37"/>
        <v>#N/A</v>
      </c>
      <c r="U220" s="160" t="e">
        <f t="shared" ca="1" si="36"/>
        <v>#N/A</v>
      </c>
      <c r="V220" s="163" t="e">
        <f t="shared" ca="1" si="30"/>
        <v>#N/A</v>
      </c>
      <c r="W220" s="163" t="e">
        <f t="shared" ca="1" si="31"/>
        <v>#N/A</v>
      </c>
      <c r="X220" s="163" t="e">
        <f t="shared" ca="1" si="32"/>
        <v>#N/A</v>
      </c>
      <c r="Y220" s="163" t="e">
        <f t="shared" ca="1" si="33"/>
        <v>#N/A</v>
      </c>
    </row>
    <row r="221" spans="12:25" ht="14.4">
      <c r="L221" s="464"/>
      <c r="M221" s="129" t="e">
        <f t="shared" si="34"/>
        <v>#N/A</v>
      </c>
      <c r="N221" s="161">
        <f t="shared" si="40"/>
        <v>13</v>
      </c>
      <c r="O221" s="160" t="e">
        <f t="shared" ca="1" si="35"/>
        <v>#N/A</v>
      </c>
      <c r="P221" s="160" t="e">
        <f t="shared" ca="1" si="38"/>
        <v>#N/A</v>
      </c>
      <c r="Q221" s="160" t="e">
        <f t="shared" ca="1" si="39"/>
        <v>#N/A</v>
      </c>
      <c r="R221" s="160" t="e">
        <f t="shared" ca="1" si="39"/>
        <v>#N/A</v>
      </c>
      <c r="S221" s="160" t="e">
        <f t="shared" ca="1" si="39"/>
        <v>#N/A</v>
      </c>
      <c r="T221" s="160" t="e">
        <f t="shared" ca="1" si="37"/>
        <v>#N/A</v>
      </c>
      <c r="U221" s="160" t="e">
        <f t="shared" ca="1" si="36"/>
        <v>#N/A</v>
      </c>
      <c r="V221" s="163" t="e">
        <f t="shared" ca="1" si="30"/>
        <v>#N/A</v>
      </c>
      <c r="W221" s="163" t="e">
        <f t="shared" ca="1" si="31"/>
        <v>#N/A</v>
      </c>
      <c r="X221" s="163" t="e">
        <f t="shared" ca="1" si="32"/>
        <v>#N/A</v>
      </c>
      <c r="Y221" s="163" t="e">
        <f t="shared" ca="1" si="33"/>
        <v>#N/A</v>
      </c>
    </row>
    <row r="222" spans="12:25" ht="14.4">
      <c r="L222" s="464"/>
      <c r="M222" s="129" t="e">
        <f t="shared" si="34"/>
        <v>#N/A</v>
      </c>
      <c r="N222" s="161">
        <f t="shared" si="40"/>
        <v>13</v>
      </c>
      <c r="O222" s="160" t="e">
        <f t="shared" ca="1" si="35"/>
        <v>#N/A</v>
      </c>
      <c r="P222" s="160" t="e">
        <f t="shared" ca="1" si="38"/>
        <v>#N/A</v>
      </c>
      <c r="Q222" s="160" t="e">
        <f t="shared" ca="1" si="39"/>
        <v>#N/A</v>
      </c>
      <c r="R222" s="160" t="e">
        <f t="shared" ca="1" si="39"/>
        <v>#N/A</v>
      </c>
      <c r="S222" s="160" t="e">
        <f t="shared" ca="1" si="39"/>
        <v>#N/A</v>
      </c>
      <c r="T222" s="160" t="e">
        <f t="shared" ca="1" si="37"/>
        <v>#N/A</v>
      </c>
      <c r="U222" s="160" t="e">
        <f t="shared" ca="1" si="36"/>
        <v>#N/A</v>
      </c>
      <c r="V222" s="163" t="e">
        <f t="shared" ca="1" si="30"/>
        <v>#N/A</v>
      </c>
      <c r="W222" s="163" t="e">
        <f t="shared" ca="1" si="31"/>
        <v>#N/A</v>
      </c>
      <c r="X222" s="163" t="e">
        <f t="shared" ca="1" si="32"/>
        <v>#N/A</v>
      </c>
      <c r="Y222" s="163" t="e">
        <f t="shared" ca="1" si="33"/>
        <v>#N/A</v>
      </c>
    </row>
    <row r="223" spans="12:25" ht="14.4">
      <c r="L223" s="464"/>
      <c r="M223" s="129" t="e">
        <f t="shared" si="34"/>
        <v>#N/A</v>
      </c>
      <c r="N223" s="161">
        <f t="shared" si="40"/>
        <v>13</v>
      </c>
      <c r="O223" s="160" t="e">
        <f t="shared" ca="1" si="35"/>
        <v>#N/A</v>
      </c>
      <c r="P223" s="160" t="e">
        <f t="shared" ca="1" si="38"/>
        <v>#N/A</v>
      </c>
      <c r="Q223" s="160" t="e">
        <f t="shared" ca="1" si="39"/>
        <v>#N/A</v>
      </c>
      <c r="R223" s="160" t="e">
        <f t="shared" ca="1" si="39"/>
        <v>#N/A</v>
      </c>
      <c r="S223" s="160" t="e">
        <f t="shared" ca="1" si="39"/>
        <v>#N/A</v>
      </c>
      <c r="T223" s="160" t="e">
        <f t="shared" ca="1" si="37"/>
        <v>#N/A</v>
      </c>
      <c r="U223" s="160" t="e">
        <f t="shared" ca="1" si="36"/>
        <v>#N/A</v>
      </c>
      <c r="V223" s="163" t="e">
        <f t="shared" ref="V223:V286" ca="1" si="41">IF(Q223=0,0,IF(S223=180,IF(R223=0,"Slab on Grade",IF(R223=1,"Exposed Floor",IF(R223=3,"Internal Floor",U223))),IF(S223&lt;45,IF(R223=3,"Internal Ceiling",IF(R223=1,"Roof",U223)))))</f>
        <v>#N/A</v>
      </c>
      <c r="W223" s="163" t="e">
        <f t="shared" ref="W223:W286" ca="1" si="42">IF(ISNUMBER(SEARCH($W$29,U223))=TRUE,IF(ISNUMBER(SEARCH($W$27,U223))=TRUE,IF(R223=1,"eFrame",IF(R223=3,"iFrame")),IF(R223=1,"eWindow",IF(R223=3,"iWindow"))),U223)</f>
        <v>#N/A</v>
      </c>
      <c r="X223" s="163" t="e">
        <f t="shared" ref="X223:X286" ca="1" si="43">IF(ISNUMBER(SEARCH($X$29,U223))=TRUE,IF(ISNUMBER(SEARCH($X$27,U223))=TRUE,IF(R223=1,"eFrameDoor",IF(R223=3,"iFrameDoor")),IF(R223=1,"eDoor",IF(R223=3,"iDoor"))),U223)</f>
        <v>#N/A</v>
      </c>
      <c r="Y223" s="163" t="e">
        <f t="shared" ref="Y223:Y286" ca="1" si="44">IF(ISNUMBER(SEARCH($W$29,U223))=TRUE,"Substract",IF(ISNUMBER(SEARCH($X$29,U223))=TRUE, "Sunstract",IF(S223=90,IF(R223=1,"External Wall",IF(R223=3,"Internal Wall",IF(R223=0,"Below Grade Wall",U223))),V223)))</f>
        <v>#N/A</v>
      </c>
    </row>
    <row r="224" spans="12:25" ht="14.4">
      <c r="L224" s="464"/>
      <c r="M224" s="129" t="e">
        <f t="shared" ref="M224:M287" si="45">IF(M223="end","end",IF(M223=$K$1,"end",M223+1))</f>
        <v>#N/A</v>
      </c>
      <c r="N224" s="161">
        <f t="shared" si="40"/>
        <v>13</v>
      </c>
      <c r="O224" s="160" t="e">
        <f t="shared" ca="1" si="35"/>
        <v>#N/A</v>
      </c>
      <c r="P224" s="160" t="e">
        <f t="shared" ca="1" si="38"/>
        <v>#N/A</v>
      </c>
      <c r="Q224" s="160" t="e">
        <f t="shared" ca="1" si="39"/>
        <v>#N/A</v>
      </c>
      <c r="R224" s="160" t="e">
        <f t="shared" ca="1" si="39"/>
        <v>#N/A</v>
      </c>
      <c r="S224" s="160" t="e">
        <f t="shared" ca="1" si="39"/>
        <v>#N/A</v>
      </c>
      <c r="T224" s="160" t="e">
        <f t="shared" ca="1" si="37"/>
        <v>#N/A</v>
      </c>
      <c r="U224" s="160" t="e">
        <f t="shared" ca="1" si="36"/>
        <v>#N/A</v>
      </c>
      <c r="V224" s="163" t="e">
        <f t="shared" ca="1" si="41"/>
        <v>#N/A</v>
      </c>
      <c r="W224" s="163" t="e">
        <f t="shared" ca="1" si="42"/>
        <v>#N/A</v>
      </c>
      <c r="X224" s="163" t="e">
        <f t="shared" ca="1" si="43"/>
        <v>#N/A</v>
      </c>
      <c r="Y224" s="163" t="e">
        <f t="shared" ca="1" si="44"/>
        <v>#N/A</v>
      </c>
    </row>
    <row r="225" spans="12:25" ht="14.4">
      <c r="L225" s="464"/>
      <c r="M225" s="129" t="e">
        <f t="shared" si="45"/>
        <v>#N/A</v>
      </c>
      <c r="N225" s="161">
        <f t="shared" si="40"/>
        <v>13</v>
      </c>
      <c r="O225" s="160" t="e">
        <f t="shared" ca="1" si="35"/>
        <v>#N/A</v>
      </c>
      <c r="P225" s="160" t="e">
        <f t="shared" ca="1" si="38"/>
        <v>#N/A</v>
      </c>
      <c r="Q225" s="160" t="e">
        <f t="shared" ca="1" si="39"/>
        <v>#N/A</v>
      </c>
      <c r="R225" s="160" t="e">
        <f t="shared" ca="1" si="39"/>
        <v>#N/A</v>
      </c>
      <c r="S225" s="160" t="e">
        <f t="shared" ca="1" si="39"/>
        <v>#N/A</v>
      </c>
      <c r="T225" s="160" t="e">
        <f t="shared" ca="1" si="37"/>
        <v>#N/A</v>
      </c>
      <c r="U225" s="160" t="e">
        <f t="shared" ca="1" si="36"/>
        <v>#N/A</v>
      </c>
      <c r="V225" s="163" t="e">
        <f t="shared" ca="1" si="41"/>
        <v>#N/A</v>
      </c>
      <c r="W225" s="163" t="e">
        <f t="shared" ca="1" si="42"/>
        <v>#N/A</v>
      </c>
      <c r="X225" s="163" t="e">
        <f t="shared" ca="1" si="43"/>
        <v>#N/A</v>
      </c>
      <c r="Y225" s="163" t="e">
        <f t="shared" ca="1" si="44"/>
        <v>#N/A</v>
      </c>
    </row>
    <row r="226" spans="12:25" ht="14.4">
      <c r="L226" s="464"/>
      <c r="M226" s="129" t="e">
        <f t="shared" si="45"/>
        <v>#N/A</v>
      </c>
      <c r="N226" s="161">
        <f t="shared" si="40"/>
        <v>13</v>
      </c>
      <c r="O226" s="160" t="e">
        <f t="shared" ca="1" si="35"/>
        <v>#N/A</v>
      </c>
      <c r="P226" s="160" t="e">
        <f t="shared" ca="1" si="38"/>
        <v>#N/A</v>
      </c>
      <c r="Q226" s="160" t="e">
        <f t="shared" ca="1" si="39"/>
        <v>#N/A</v>
      </c>
      <c r="R226" s="160" t="e">
        <f t="shared" ca="1" si="39"/>
        <v>#N/A</v>
      </c>
      <c r="S226" s="160" t="e">
        <f t="shared" ca="1" si="39"/>
        <v>#N/A</v>
      </c>
      <c r="T226" s="160" t="e">
        <f t="shared" ca="1" si="37"/>
        <v>#N/A</v>
      </c>
      <c r="U226" s="160" t="e">
        <f t="shared" ca="1" si="36"/>
        <v>#N/A</v>
      </c>
      <c r="V226" s="163" t="e">
        <f t="shared" ca="1" si="41"/>
        <v>#N/A</v>
      </c>
      <c r="W226" s="163" t="e">
        <f t="shared" ca="1" si="42"/>
        <v>#N/A</v>
      </c>
      <c r="X226" s="163" t="e">
        <f t="shared" ca="1" si="43"/>
        <v>#N/A</v>
      </c>
      <c r="Y226" s="163" t="e">
        <f t="shared" ca="1" si="44"/>
        <v>#N/A</v>
      </c>
    </row>
    <row r="227" spans="12:25" ht="14.4">
      <c r="L227" s="464"/>
      <c r="M227" s="129" t="e">
        <f t="shared" si="45"/>
        <v>#N/A</v>
      </c>
      <c r="N227" s="161">
        <f t="shared" si="40"/>
        <v>13</v>
      </c>
      <c r="O227" s="160" t="e">
        <f t="shared" ca="1" si="35"/>
        <v>#N/A</v>
      </c>
      <c r="P227" s="160" t="e">
        <f t="shared" ca="1" si="38"/>
        <v>#N/A</v>
      </c>
      <c r="Q227" s="160" t="e">
        <f t="shared" ca="1" si="39"/>
        <v>#N/A</v>
      </c>
      <c r="R227" s="160" t="e">
        <f t="shared" ca="1" si="39"/>
        <v>#N/A</v>
      </c>
      <c r="S227" s="160" t="e">
        <f t="shared" ca="1" si="39"/>
        <v>#N/A</v>
      </c>
      <c r="T227" s="160" t="e">
        <f t="shared" ca="1" si="37"/>
        <v>#N/A</v>
      </c>
      <c r="U227" s="160" t="e">
        <f t="shared" ca="1" si="36"/>
        <v>#N/A</v>
      </c>
      <c r="V227" s="163" t="e">
        <f t="shared" ca="1" si="41"/>
        <v>#N/A</v>
      </c>
      <c r="W227" s="163" t="e">
        <f t="shared" ca="1" si="42"/>
        <v>#N/A</v>
      </c>
      <c r="X227" s="163" t="e">
        <f t="shared" ca="1" si="43"/>
        <v>#N/A</v>
      </c>
      <c r="Y227" s="163" t="e">
        <f t="shared" ca="1" si="44"/>
        <v>#N/A</v>
      </c>
    </row>
    <row r="228" spans="12:25" ht="14.4">
      <c r="L228" s="464"/>
      <c r="M228" s="129" t="e">
        <f t="shared" si="45"/>
        <v>#N/A</v>
      </c>
      <c r="N228" s="161">
        <f t="shared" si="40"/>
        <v>13</v>
      </c>
      <c r="O228" s="160" t="e">
        <f t="shared" ca="1" si="35"/>
        <v>#N/A</v>
      </c>
      <c r="P228" s="160" t="e">
        <f t="shared" ca="1" si="38"/>
        <v>#N/A</v>
      </c>
      <c r="Q228" s="160" t="e">
        <f t="shared" ca="1" si="39"/>
        <v>#N/A</v>
      </c>
      <c r="R228" s="160" t="e">
        <f t="shared" ca="1" si="39"/>
        <v>#N/A</v>
      </c>
      <c r="S228" s="160" t="e">
        <f t="shared" ca="1" si="39"/>
        <v>#N/A</v>
      </c>
      <c r="T228" s="160" t="e">
        <f t="shared" ca="1" si="37"/>
        <v>#N/A</v>
      </c>
      <c r="U228" s="160" t="e">
        <f t="shared" ca="1" si="36"/>
        <v>#N/A</v>
      </c>
      <c r="V228" s="163" t="e">
        <f t="shared" ca="1" si="41"/>
        <v>#N/A</v>
      </c>
      <c r="W228" s="163" t="e">
        <f t="shared" ca="1" si="42"/>
        <v>#N/A</v>
      </c>
      <c r="X228" s="163" t="e">
        <f t="shared" ca="1" si="43"/>
        <v>#N/A</v>
      </c>
      <c r="Y228" s="163" t="e">
        <f t="shared" ca="1" si="44"/>
        <v>#N/A</v>
      </c>
    </row>
    <row r="229" spans="12:25" ht="14.4">
      <c r="L229" s="464"/>
      <c r="M229" s="129" t="e">
        <f t="shared" si="45"/>
        <v>#N/A</v>
      </c>
      <c r="N229" s="161">
        <f t="shared" si="40"/>
        <v>13</v>
      </c>
      <c r="O229" s="160" t="e">
        <f t="shared" ca="1" si="35"/>
        <v>#N/A</v>
      </c>
      <c r="P229" s="160" t="e">
        <f t="shared" ca="1" si="38"/>
        <v>#N/A</v>
      </c>
      <c r="Q229" s="160" t="e">
        <f t="shared" ca="1" si="39"/>
        <v>#N/A</v>
      </c>
      <c r="R229" s="160" t="e">
        <f t="shared" ca="1" si="39"/>
        <v>#N/A</v>
      </c>
      <c r="S229" s="160" t="e">
        <f t="shared" ca="1" si="39"/>
        <v>#N/A</v>
      </c>
      <c r="T229" s="160" t="e">
        <f t="shared" ca="1" si="37"/>
        <v>#N/A</v>
      </c>
      <c r="U229" s="160" t="e">
        <f t="shared" ca="1" si="36"/>
        <v>#N/A</v>
      </c>
      <c r="V229" s="163" t="e">
        <f t="shared" ca="1" si="41"/>
        <v>#N/A</v>
      </c>
      <c r="W229" s="163" t="e">
        <f t="shared" ca="1" si="42"/>
        <v>#N/A</v>
      </c>
      <c r="X229" s="163" t="e">
        <f t="shared" ca="1" si="43"/>
        <v>#N/A</v>
      </c>
      <c r="Y229" s="163" t="e">
        <f t="shared" ca="1" si="44"/>
        <v>#N/A</v>
      </c>
    </row>
    <row r="230" spans="12:25" ht="14.4">
      <c r="L230" s="464"/>
      <c r="M230" s="129" t="e">
        <f t="shared" si="45"/>
        <v>#N/A</v>
      </c>
      <c r="N230" s="161">
        <f t="shared" si="40"/>
        <v>13</v>
      </c>
      <c r="O230" s="160" t="e">
        <f t="shared" ca="1" si="35"/>
        <v>#N/A</v>
      </c>
      <c r="P230" s="160" t="e">
        <f t="shared" ca="1" si="38"/>
        <v>#N/A</v>
      </c>
      <c r="Q230" s="160" t="e">
        <f t="shared" ca="1" si="39"/>
        <v>#N/A</v>
      </c>
      <c r="R230" s="160" t="e">
        <f t="shared" ca="1" si="39"/>
        <v>#N/A</v>
      </c>
      <c r="S230" s="160" t="e">
        <f t="shared" ca="1" si="39"/>
        <v>#N/A</v>
      </c>
      <c r="T230" s="160" t="e">
        <f t="shared" ca="1" si="37"/>
        <v>#N/A</v>
      </c>
      <c r="U230" s="160" t="e">
        <f t="shared" ca="1" si="36"/>
        <v>#N/A</v>
      </c>
      <c r="V230" s="163" t="e">
        <f t="shared" ca="1" si="41"/>
        <v>#N/A</v>
      </c>
      <c r="W230" s="163" t="e">
        <f t="shared" ca="1" si="42"/>
        <v>#N/A</v>
      </c>
      <c r="X230" s="163" t="e">
        <f t="shared" ca="1" si="43"/>
        <v>#N/A</v>
      </c>
      <c r="Y230" s="163" t="e">
        <f t="shared" ca="1" si="44"/>
        <v>#N/A</v>
      </c>
    </row>
    <row r="231" spans="12:25" ht="14.4">
      <c r="L231" s="464"/>
      <c r="M231" s="129" t="e">
        <f t="shared" si="45"/>
        <v>#N/A</v>
      </c>
      <c r="N231" s="161">
        <f t="shared" si="40"/>
        <v>13</v>
      </c>
      <c r="O231" s="160" t="e">
        <f t="shared" ca="1" si="35"/>
        <v>#N/A</v>
      </c>
      <c r="P231" s="160" t="e">
        <f t="shared" ca="1" si="38"/>
        <v>#N/A</v>
      </c>
      <c r="Q231" s="160" t="e">
        <f t="shared" ca="1" si="39"/>
        <v>#N/A</v>
      </c>
      <c r="R231" s="160" t="e">
        <f t="shared" ca="1" si="39"/>
        <v>#N/A</v>
      </c>
      <c r="S231" s="160" t="e">
        <f t="shared" ca="1" si="39"/>
        <v>#N/A</v>
      </c>
      <c r="T231" s="160" t="e">
        <f t="shared" ca="1" si="37"/>
        <v>#N/A</v>
      </c>
      <c r="U231" s="160" t="e">
        <f t="shared" ca="1" si="36"/>
        <v>#N/A</v>
      </c>
      <c r="V231" s="163" t="e">
        <f t="shared" ca="1" si="41"/>
        <v>#N/A</v>
      </c>
      <c r="W231" s="163" t="e">
        <f t="shared" ca="1" si="42"/>
        <v>#N/A</v>
      </c>
      <c r="X231" s="163" t="e">
        <f t="shared" ca="1" si="43"/>
        <v>#N/A</v>
      </c>
      <c r="Y231" s="163" t="e">
        <f t="shared" ca="1" si="44"/>
        <v>#N/A</v>
      </c>
    </row>
    <row r="232" spans="12:25" ht="14.4">
      <c r="L232" s="464"/>
      <c r="M232" s="129" t="e">
        <f t="shared" si="45"/>
        <v>#N/A</v>
      </c>
      <c r="N232" s="161">
        <f t="shared" si="40"/>
        <v>13</v>
      </c>
      <c r="O232" s="160" t="e">
        <f t="shared" ca="1" si="35"/>
        <v>#N/A</v>
      </c>
      <c r="P232" s="160" t="e">
        <f t="shared" ca="1" si="38"/>
        <v>#N/A</v>
      </c>
      <c r="Q232" s="160" t="e">
        <f t="shared" ca="1" si="39"/>
        <v>#N/A</v>
      </c>
      <c r="R232" s="160" t="e">
        <f t="shared" ca="1" si="39"/>
        <v>#N/A</v>
      </c>
      <c r="S232" s="160" t="e">
        <f t="shared" ca="1" si="39"/>
        <v>#N/A</v>
      </c>
      <c r="T232" s="160" t="e">
        <f t="shared" ca="1" si="37"/>
        <v>#N/A</v>
      </c>
      <c r="U232" s="160" t="e">
        <f t="shared" ca="1" si="36"/>
        <v>#N/A</v>
      </c>
      <c r="V232" s="163" t="e">
        <f t="shared" ca="1" si="41"/>
        <v>#N/A</v>
      </c>
      <c r="W232" s="163" t="e">
        <f t="shared" ca="1" si="42"/>
        <v>#N/A</v>
      </c>
      <c r="X232" s="163" t="e">
        <f t="shared" ca="1" si="43"/>
        <v>#N/A</v>
      </c>
      <c r="Y232" s="163" t="e">
        <f t="shared" ca="1" si="44"/>
        <v>#N/A</v>
      </c>
    </row>
    <row r="233" spans="12:25" ht="14.4">
      <c r="L233" s="464"/>
      <c r="M233" s="129" t="e">
        <f t="shared" si="45"/>
        <v>#N/A</v>
      </c>
      <c r="N233" s="161">
        <f t="shared" si="40"/>
        <v>13</v>
      </c>
      <c r="O233" s="160" t="e">
        <f t="shared" ref="O233:O296" ca="1" si="46">IF($M233="end",0,OFFSET($A$1,$M233-1,O$29,1,1))</f>
        <v>#N/A</v>
      </c>
      <c r="P233" s="160" t="e">
        <f t="shared" ca="1" si="38"/>
        <v>#N/A</v>
      </c>
      <c r="Q233" s="160" t="e">
        <f t="shared" ca="1" si="39"/>
        <v>#N/A</v>
      </c>
      <c r="R233" s="160" t="e">
        <f t="shared" ca="1" si="39"/>
        <v>#N/A</v>
      </c>
      <c r="S233" s="160" t="e">
        <f t="shared" ca="1" si="39"/>
        <v>#N/A</v>
      </c>
      <c r="T233" s="160" t="e">
        <f t="shared" ca="1" si="37"/>
        <v>#N/A</v>
      </c>
      <c r="U233" s="160" t="e">
        <f t="shared" ca="1" si="36"/>
        <v>#N/A</v>
      </c>
      <c r="V233" s="163" t="e">
        <f t="shared" ca="1" si="41"/>
        <v>#N/A</v>
      </c>
      <c r="W233" s="163" t="e">
        <f t="shared" ca="1" si="42"/>
        <v>#N/A</v>
      </c>
      <c r="X233" s="163" t="e">
        <f t="shared" ca="1" si="43"/>
        <v>#N/A</v>
      </c>
      <c r="Y233" s="163" t="e">
        <f t="shared" ca="1" si="44"/>
        <v>#N/A</v>
      </c>
    </row>
    <row r="234" spans="12:25" ht="14.4">
      <c r="L234" s="464"/>
      <c r="M234" s="129" t="e">
        <f t="shared" si="45"/>
        <v>#N/A</v>
      </c>
      <c r="N234" s="161">
        <f t="shared" si="40"/>
        <v>13</v>
      </c>
      <c r="O234" s="160" t="e">
        <f t="shared" ca="1" si="46"/>
        <v>#N/A</v>
      </c>
      <c r="P234" s="160" t="e">
        <f t="shared" ca="1" si="38"/>
        <v>#N/A</v>
      </c>
      <c r="Q234" s="160" t="e">
        <f t="shared" ca="1" si="39"/>
        <v>#N/A</v>
      </c>
      <c r="R234" s="160" t="e">
        <f t="shared" ca="1" si="39"/>
        <v>#N/A</v>
      </c>
      <c r="S234" s="160" t="e">
        <f t="shared" ca="1" si="39"/>
        <v>#N/A</v>
      </c>
      <c r="T234" s="160" t="e">
        <f t="shared" ca="1" si="37"/>
        <v>#N/A</v>
      </c>
      <c r="U234" s="160" t="e">
        <f t="shared" ca="1" si="36"/>
        <v>#N/A</v>
      </c>
      <c r="V234" s="163" t="e">
        <f t="shared" ca="1" si="41"/>
        <v>#N/A</v>
      </c>
      <c r="W234" s="163" t="e">
        <f t="shared" ca="1" si="42"/>
        <v>#N/A</v>
      </c>
      <c r="X234" s="163" t="e">
        <f t="shared" ca="1" si="43"/>
        <v>#N/A</v>
      </c>
      <c r="Y234" s="163" t="e">
        <f t="shared" ca="1" si="44"/>
        <v>#N/A</v>
      </c>
    </row>
    <row r="235" spans="12:25" ht="14.4">
      <c r="L235" s="464"/>
      <c r="M235" s="129" t="e">
        <f t="shared" si="45"/>
        <v>#N/A</v>
      </c>
      <c r="N235" s="161">
        <f t="shared" si="40"/>
        <v>13</v>
      </c>
      <c r="O235" s="160" t="e">
        <f t="shared" ca="1" si="46"/>
        <v>#N/A</v>
      </c>
      <c r="P235" s="160" t="e">
        <f t="shared" ca="1" si="38"/>
        <v>#N/A</v>
      </c>
      <c r="Q235" s="160" t="e">
        <f t="shared" ca="1" si="39"/>
        <v>#N/A</v>
      </c>
      <c r="R235" s="160" t="e">
        <f t="shared" ca="1" si="39"/>
        <v>#N/A</v>
      </c>
      <c r="S235" s="160" t="e">
        <f t="shared" ca="1" si="39"/>
        <v>#N/A</v>
      </c>
      <c r="T235" s="160" t="e">
        <f t="shared" ca="1" si="37"/>
        <v>#N/A</v>
      </c>
      <c r="U235" s="160" t="e">
        <f t="shared" ca="1" si="36"/>
        <v>#N/A</v>
      </c>
      <c r="V235" s="163" t="e">
        <f t="shared" ca="1" si="41"/>
        <v>#N/A</v>
      </c>
      <c r="W235" s="163" t="e">
        <f t="shared" ca="1" si="42"/>
        <v>#N/A</v>
      </c>
      <c r="X235" s="163" t="e">
        <f t="shared" ca="1" si="43"/>
        <v>#N/A</v>
      </c>
      <c r="Y235" s="163" t="e">
        <f t="shared" ca="1" si="44"/>
        <v>#N/A</v>
      </c>
    </row>
    <row r="236" spans="12:25" ht="14.4">
      <c r="L236" s="464"/>
      <c r="M236" s="129" t="e">
        <f t="shared" si="45"/>
        <v>#N/A</v>
      </c>
      <c r="N236" s="161">
        <f t="shared" si="40"/>
        <v>13</v>
      </c>
      <c r="O236" s="160" t="e">
        <f t="shared" ca="1" si="46"/>
        <v>#N/A</v>
      </c>
      <c r="P236" s="160" t="e">
        <f t="shared" ca="1" si="38"/>
        <v>#N/A</v>
      </c>
      <c r="Q236" s="160" t="e">
        <f t="shared" ca="1" si="39"/>
        <v>#N/A</v>
      </c>
      <c r="R236" s="160" t="e">
        <f t="shared" ca="1" si="39"/>
        <v>#N/A</v>
      </c>
      <c r="S236" s="160" t="e">
        <f t="shared" ca="1" si="39"/>
        <v>#N/A</v>
      </c>
      <c r="T236" s="160" t="e">
        <f t="shared" ca="1" si="37"/>
        <v>#N/A</v>
      </c>
      <c r="U236" s="160" t="e">
        <f t="shared" ca="1" si="36"/>
        <v>#N/A</v>
      </c>
      <c r="V236" s="163" t="e">
        <f t="shared" ca="1" si="41"/>
        <v>#N/A</v>
      </c>
      <c r="W236" s="163" t="e">
        <f t="shared" ca="1" si="42"/>
        <v>#N/A</v>
      </c>
      <c r="X236" s="163" t="e">
        <f t="shared" ca="1" si="43"/>
        <v>#N/A</v>
      </c>
      <c r="Y236" s="163" t="e">
        <f t="shared" ca="1" si="44"/>
        <v>#N/A</v>
      </c>
    </row>
    <row r="237" spans="12:25" ht="14.4">
      <c r="L237" s="464"/>
      <c r="M237" s="129" t="e">
        <f t="shared" si="45"/>
        <v>#N/A</v>
      </c>
      <c r="N237" s="161">
        <f t="shared" si="40"/>
        <v>13</v>
      </c>
      <c r="O237" s="160" t="e">
        <f t="shared" ca="1" si="46"/>
        <v>#N/A</v>
      </c>
      <c r="P237" s="160" t="e">
        <f t="shared" ca="1" si="38"/>
        <v>#N/A</v>
      </c>
      <c r="Q237" s="160" t="e">
        <f t="shared" ca="1" si="39"/>
        <v>#N/A</v>
      </c>
      <c r="R237" s="160" t="e">
        <f t="shared" ca="1" si="39"/>
        <v>#N/A</v>
      </c>
      <c r="S237" s="160" t="e">
        <f t="shared" ca="1" si="39"/>
        <v>#N/A</v>
      </c>
      <c r="T237" s="160" t="e">
        <f t="shared" ca="1" si="37"/>
        <v>#N/A</v>
      </c>
      <c r="U237" s="160" t="e">
        <f t="shared" ca="1" si="37"/>
        <v>#N/A</v>
      </c>
      <c r="V237" s="163" t="e">
        <f t="shared" ca="1" si="41"/>
        <v>#N/A</v>
      </c>
      <c r="W237" s="163" t="e">
        <f t="shared" ca="1" si="42"/>
        <v>#N/A</v>
      </c>
      <c r="X237" s="163" t="e">
        <f t="shared" ca="1" si="43"/>
        <v>#N/A</v>
      </c>
      <c r="Y237" s="163" t="e">
        <f t="shared" ca="1" si="44"/>
        <v>#N/A</v>
      </c>
    </row>
    <row r="238" spans="12:25" ht="14.4">
      <c r="L238" s="464"/>
      <c r="M238" s="129" t="e">
        <f t="shared" si="45"/>
        <v>#N/A</v>
      </c>
      <c r="N238" s="161">
        <f t="shared" si="40"/>
        <v>13</v>
      </c>
      <c r="O238" s="160" t="e">
        <f t="shared" ca="1" si="46"/>
        <v>#N/A</v>
      </c>
      <c r="P238" s="160" t="e">
        <f t="shared" ca="1" si="38"/>
        <v>#N/A</v>
      </c>
      <c r="Q238" s="160" t="e">
        <f t="shared" ca="1" si="39"/>
        <v>#N/A</v>
      </c>
      <c r="R238" s="160" t="e">
        <f t="shared" ca="1" si="39"/>
        <v>#N/A</v>
      </c>
      <c r="S238" s="160" t="e">
        <f t="shared" ca="1" si="39"/>
        <v>#N/A</v>
      </c>
      <c r="T238" s="160" t="e">
        <f t="shared" ca="1" si="37"/>
        <v>#N/A</v>
      </c>
      <c r="U238" s="160" t="e">
        <f t="shared" ca="1" si="37"/>
        <v>#N/A</v>
      </c>
      <c r="V238" s="163" t="e">
        <f t="shared" ca="1" si="41"/>
        <v>#N/A</v>
      </c>
      <c r="W238" s="163" t="e">
        <f t="shared" ca="1" si="42"/>
        <v>#N/A</v>
      </c>
      <c r="X238" s="163" t="e">
        <f t="shared" ca="1" si="43"/>
        <v>#N/A</v>
      </c>
      <c r="Y238" s="163" t="e">
        <f t="shared" ca="1" si="44"/>
        <v>#N/A</v>
      </c>
    </row>
    <row r="239" spans="12:25" ht="14.4">
      <c r="L239" s="464"/>
      <c r="M239" s="129" t="e">
        <f t="shared" si="45"/>
        <v>#N/A</v>
      </c>
      <c r="N239" s="161">
        <f t="shared" si="40"/>
        <v>13</v>
      </c>
      <c r="O239" s="160" t="e">
        <f t="shared" ca="1" si="46"/>
        <v>#N/A</v>
      </c>
      <c r="P239" s="160" t="e">
        <f t="shared" ca="1" si="38"/>
        <v>#N/A</v>
      </c>
      <c r="Q239" s="160" t="e">
        <f t="shared" ca="1" si="39"/>
        <v>#N/A</v>
      </c>
      <c r="R239" s="160" t="e">
        <f t="shared" ca="1" si="39"/>
        <v>#N/A</v>
      </c>
      <c r="S239" s="160" t="e">
        <f t="shared" ca="1" si="39"/>
        <v>#N/A</v>
      </c>
      <c r="T239" s="160" t="e">
        <f t="shared" ca="1" si="37"/>
        <v>#N/A</v>
      </c>
      <c r="U239" s="160" t="e">
        <f t="shared" ca="1" si="37"/>
        <v>#N/A</v>
      </c>
      <c r="V239" s="163" t="e">
        <f t="shared" ca="1" si="41"/>
        <v>#N/A</v>
      </c>
      <c r="W239" s="163" t="e">
        <f t="shared" ca="1" si="42"/>
        <v>#N/A</v>
      </c>
      <c r="X239" s="163" t="e">
        <f t="shared" ca="1" si="43"/>
        <v>#N/A</v>
      </c>
      <c r="Y239" s="163" t="e">
        <f t="shared" ca="1" si="44"/>
        <v>#N/A</v>
      </c>
    </row>
    <row r="240" spans="12:25" ht="14.4">
      <c r="L240" s="464"/>
      <c r="M240" s="129" t="e">
        <f t="shared" si="45"/>
        <v>#N/A</v>
      </c>
      <c r="N240" s="161">
        <f t="shared" si="40"/>
        <v>13</v>
      </c>
      <c r="O240" s="160" t="e">
        <f t="shared" ca="1" si="46"/>
        <v>#N/A</v>
      </c>
      <c r="P240" s="160" t="e">
        <f t="shared" ca="1" si="38"/>
        <v>#N/A</v>
      </c>
      <c r="Q240" s="160" t="e">
        <f t="shared" ca="1" si="39"/>
        <v>#N/A</v>
      </c>
      <c r="R240" s="160" t="e">
        <f t="shared" ca="1" si="39"/>
        <v>#N/A</v>
      </c>
      <c r="S240" s="160" t="e">
        <f t="shared" ca="1" si="39"/>
        <v>#N/A</v>
      </c>
      <c r="T240" s="160" t="e">
        <f t="shared" ca="1" si="37"/>
        <v>#N/A</v>
      </c>
      <c r="U240" s="160" t="e">
        <f t="shared" ca="1" si="37"/>
        <v>#N/A</v>
      </c>
      <c r="V240" s="163" t="e">
        <f t="shared" ca="1" si="41"/>
        <v>#N/A</v>
      </c>
      <c r="W240" s="163" t="e">
        <f t="shared" ca="1" si="42"/>
        <v>#N/A</v>
      </c>
      <c r="X240" s="163" t="e">
        <f t="shared" ca="1" si="43"/>
        <v>#N/A</v>
      </c>
      <c r="Y240" s="163" t="e">
        <f t="shared" ca="1" si="44"/>
        <v>#N/A</v>
      </c>
    </row>
    <row r="241" spans="12:25" ht="14.4">
      <c r="L241" s="464"/>
      <c r="M241" s="129" t="e">
        <f t="shared" si="45"/>
        <v>#N/A</v>
      </c>
      <c r="N241" s="161">
        <f t="shared" si="40"/>
        <v>13</v>
      </c>
      <c r="O241" s="160" t="e">
        <f t="shared" ca="1" si="46"/>
        <v>#N/A</v>
      </c>
      <c r="P241" s="160" t="e">
        <f t="shared" ca="1" si="38"/>
        <v>#N/A</v>
      </c>
      <c r="Q241" s="160" t="e">
        <f t="shared" ca="1" si="39"/>
        <v>#N/A</v>
      </c>
      <c r="R241" s="160" t="e">
        <f t="shared" ca="1" si="39"/>
        <v>#N/A</v>
      </c>
      <c r="S241" s="160" t="e">
        <f t="shared" ca="1" si="39"/>
        <v>#N/A</v>
      </c>
      <c r="T241" s="160" t="e">
        <f t="shared" ca="1" si="39"/>
        <v>#N/A</v>
      </c>
      <c r="U241" s="160" t="e">
        <f t="shared" ca="1" si="39"/>
        <v>#N/A</v>
      </c>
      <c r="V241" s="163" t="e">
        <f t="shared" ca="1" si="41"/>
        <v>#N/A</v>
      </c>
      <c r="W241" s="163" t="e">
        <f t="shared" ca="1" si="42"/>
        <v>#N/A</v>
      </c>
      <c r="X241" s="163" t="e">
        <f t="shared" ca="1" si="43"/>
        <v>#N/A</v>
      </c>
      <c r="Y241" s="163" t="e">
        <f t="shared" ca="1" si="44"/>
        <v>#N/A</v>
      </c>
    </row>
    <row r="242" spans="12:25" ht="14.4">
      <c r="L242" s="464"/>
      <c r="M242" s="129" t="e">
        <f t="shared" si="45"/>
        <v>#N/A</v>
      </c>
      <c r="N242" s="161">
        <f t="shared" si="40"/>
        <v>13</v>
      </c>
      <c r="O242" s="160" t="e">
        <f t="shared" ca="1" si="46"/>
        <v>#N/A</v>
      </c>
      <c r="P242" s="160" t="e">
        <f t="shared" ref="P242:P305" ca="1" si="47">IF($M242="end",0,OFFSET($A$1,$M242-1,P$29,1,1))</f>
        <v>#N/A</v>
      </c>
      <c r="Q242" s="160" t="e">
        <f t="shared" ref="Q242:T305" ca="1" si="48">IF($M242="end",0,OFFSET($A$1,$M242-1,Q$29,1,1))</f>
        <v>#N/A</v>
      </c>
      <c r="R242" s="160" t="e">
        <f t="shared" ca="1" si="48"/>
        <v>#N/A</v>
      </c>
      <c r="S242" s="160" t="e">
        <f t="shared" ca="1" si="48"/>
        <v>#N/A</v>
      </c>
      <c r="T242" s="160" t="e">
        <f t="shared" ca="1" si="48"/>
        <v>#N/A</v>
      </c>
      <c r="U242" s="160" t="e">
        <f t="shared" ref="U242:U305" ca="1" si="49">IF($M242="end",0,OFFSET($A$1,$M242-1,U$29,1,1))</f>
        <v>#N/A</v>
      </c>
      <c r="V242" s="163" t="e">
        <f t="shared" ca="1" si="41"/>
        <v>#N/A</v>
      </c>
      <c r="W242" s="163" t="e">
        <f t="shared" ca="1" si="42"/>
        <v>#N/A</v>
      </c>
      <c r="X242" s="163" t="e">
        <f t="shared" ca="1" si="43"/>
        <v>#N/A</v>
      </c>
      <c r="Y242" s="163" t="e">
        <f t="shared" ca="1" si="44"/>
        <v>#N/A</v>
      </c>
    </row>
    <row r="243" spans="12:25" ht="14.4">
      <c r="L243" s="464"/>
      <c r="M243" s="129" t="e">
        <f t="shared" si="45"/>
        <v>#N/A</v>
      </c>
      <c r="N243" s="161">
        <f t="shared" si="40"/>
        <v>13</v>
      </c>
      <c r="O243" s="160" t="e">
        <f t="shared" ca="1" si="46"/>
        <v>#N/A</v>
      </c>
      <c r="P243" s="160" t="e">
        <f t="shared" ca="1" si="47"/>
        <v>#N/A</v>
      </c>
      <c r="Q243" s="160" t="e">
        <f t="shared" ca="1" si="48"/>
        <v>#N/A</v>
      </c>
      <c r="R243" s="160" t="e">
        <f t="shared" ca="1" si="48"/>
        <v>#N/A</v>
      </c>
      <c r="S243" s="160" t="e">
        <f t="shared" ca="1" si="48"/>
        <v>#N/A</v>
      </c>
      <c r="T243" s="160" t="e">
        <f t="shared" ca="1" si="48"/>
        <v>#N/A</v>
      </c>
      <c r="U243" s="160" t="e">
        <f t="shared" ca="1" si="49"/>
        <v>#N/A</v>
      </c>
      <c r="V243" s="163" t="e">
        <f t="shared" ca="1" si="41"/>
        <v>#N/A</v>
      </c>
      <c r="W243" s="163" t="e">
        <f t="shared" ca="1" si="42"/>
        <v>#N/A</v>
      </c>
      <c r="X243" s="163" t="e">
        <f t="shared" ca="1" si="43"/>
        <v>#N/A</v>
      </c>
      <c r="Y243" s="163" t="e">
        <f t="shared" ca="1" si="44"/>
        <v>#N/A</v>
      </c>
    </row>
    <row r="244" spans="12:25" ht="14.4">
      <c r="L244" s="464"/>
      <c r="M244" s="129" t="e">
        <f t="shared" si="45"/>
        <v>#N/A</v>
      </c>
      <c r="N244" s="161">
        <f t="shared" si="40"/>
        <v>13</v>
      </c>
      <c r="O244" s="160" t="e">
        <f t="shared" ca="1" si="46"/>
        <v>#N/A</v>
      </c>
      <c r="P244" s="160" t="e">
        <f t="shared" ca="1" si="47"/>
        <v>#N/A</v>
      </c>
      <c r="Q244" s="160" t="e">
        <f t="shared" ca="1" si="48"/>
        <v>#N/A</v>
      </c>
      <c r="R244" s="160" t="e">
        <f t="shared" ca="1" si="48"/>
        <v>#N/A</v>
      </c>
      <c r="S244" s="160" t="e">
        <f t="shared" ca="1" si="48"/>
        <v>#N/A</v>
      </c>
      <c r="T244" s="160" t="e">
        <f t="shared" ca="1" si="48"/>
        <v>#N/A</v>
      </c>
      <c r="U244" s="160" t="e">
        <f t="shared" ca="1" si="49"/>
        <v>#N/A</v>
      </c>
      <c r="V244" s="163" t="e">
        <f t="shared" ca="1" si="41"/>
        <v>#N/A</v>
      </c>
      <c r="W244" s="163" t="e">
        <f t="shared" ca="1" si="42"/>
        <v>#N/A</v>
      </c>
      <c r="X244" s="163" t="e">
        <f t="shared" ca="1" si="43"/>
        <v>#N/A</v>
      </c>
      <c r="Y244" s="163" t="e">
        <f t="shared" ca="1" si="44"/>
        <v>#N/A</v>
      </c>
    </row>
    <row r="245" spans="12:25" ht="14.4">
      <c r="L245" s="464"/>
      <c r="M245" s="129" t="e">
        <f t="shared" si="45"/>
        <v>#N/A</v>
      </c>
      <c r="N245" s="161">
        <f t="shared" si="40"/>
        <v>13</v>
      </c>
      <c r="O245" s="160" t="e">
        <f t="shared" ca="1" si="46"/>
        <v>#N/A</v>
      </c>
      <c r="P245" s="160" t="e">
        <f t="shared" ca="1" si="47"/>
        <v>#N/A</v>
      </c>
      <c r="Q245" s="160" t="e">
        <f t="shared" ca="1" si="48"/>
        <v>#N/A</v>
      </c>
      <c r="R245" s="160" t="e">
        <f t="shared" ca="1" si="48"/>
        <v>#N/A</v>
      </c>
      <c r="S245" s="160" t="e">
        <f t="shared" ca="1" si="48"/>
        <v>#N/A</v>
      </c>
      <c r="T245" s="160" t="e">
        <f t="shared" ca="1" si="48"/>
        <v>#N/A</v>
      </c>
      <c r="U245" s="160" t="e">
        <f t="shared" ca="1" si="49"/>
        <v>#N/A</v>
      </c>
      <c r="V245" s="163" t="e">
        <f t="shared" ca="1" si="41"/>
        <v>#N/A</v>
      </c>
      <c r="W245" s="163" t="e">
        <f t="shared" ca="1" si="42"/>
        <v>#N/A</v>
      </c>
      <c r="X245" s="163" t="e">
        <f t="shared" ca="1" si="43"/>
        <v>#N/A</v>
      </c>
      <c r="Y245" s="163" t="e">
        <f t="shared" ca="1" si="44"/>
        <v>#N/A</v>
      </c>
    </row>
    <row r="246" spans="12:25" ht="14.4">
      <c r="L246" s="464"/>
      <c r="M246" s="129" t="e">
        <f t="shared" si="45"/>
        <v>#N/A</v>
      </c>
      <c r="N246" s="161">
        <f t="shared" si="40"/>
        <v>13</v>
      </c>
      <c r="O246" s="160" t="e">
        <f t="shared" ca="1" si="46"/>
        <v>#N/A</v>
      </c>
      <c r="P246" s="160" t="e">
        <f t="shared" ca="1" si="47"/>
        <v>#N/A</v>
      </c>
      <c r="Q246" s="160" t="e">
        <f t="shared" ca="1" si="48"/>
        <v>#N/A</v>
      </c>
      <c r="R246" s="160" t="e">
        <f t="shared" ca="1" si="48"/>
        <v>#N/A</v>
      </c>
      <c r="S246" s="160" t="e">
        <f t="shared" ca="1" si="48"/>
        <v>#N/A</v>
      </c>
      <c r="T246" s="160" t="e">
        <f t="shared" ca="1" si="48"/>
        <v>#N/A</v>
      </c>
      <c r="U246" s="160" t="e">
        <f t="shared" ca="1" si="49"/>
        <v>#N/A</v>
      </c>
      <c r="V246" s="163" t="e">
        <f t="shared" ca="1" si="41"/>
        <v>#N/A</v>
      </c>
      <c r="W246" s="163" t="e">
        <f t="shared" ca="1" si="42"/>
        <v>#N/A</v>
      </c>
      <c r="X246" s="163" t="e">
        <f t="shared" ca="1" si="43"/>
        <v>#N/A</v>
      </c>
      <c r="Y246" s="163" t="e">
        <f t="shared" ca="1" si="44"/>
        <v>#N/A</v>
      </c>
    </row>
    <row r="247" spans="12:25" ht="14.4">
      <c r="L247" s="464"/>
      <c r="M247" s="129" t="e">
        <f t="shared" si="45"/>
        <v>#N/A</v>
      </c>
      <c r="N247" s="161">
        <f t="shared" si="40"/>
        <v>13</v>
      </c>
      <c r="O247" s="160" t="e">
        <f t="shared" ca="1" si="46"/>
        <v>#N/A</v>
      </c>
      <c r="P247" s="160" t="e">
        <f t="shared" ca="1" si="47"/>
        <v>#N/A</v>
      </c>
      <c r="Q247" s="160" t="e">
        <f t="shared" ca="1" si="48"/>
        <v>#N/A</v>
      </c>
      <c r="R247" s="160" t="e">
        <f t="shared" ca="1" si="48"/>
        <v>#N/A</v>
      </c>
      <c r="S247" s="160" t="e">
        <f t="shared" ca="1" si="48"/>
        <v>#N/A</v>
      </c>
      <c r="T247" s="160" t="e">
        <f t="shared" ca="1" si="48"/>
        <v>#N/A</v>
      </c>
      <c r="U247" s="160" t="e">
        <f t="shared" ca="1" si="49"/>
        <v>#N/A</v>
      </c>
      <c r="V247" s="163" t="e">
        <f t="shared" ca="1" si="41"/>
        <v>#N/A</v>
      </c>
      <c r="W247" s="163" t="e">
        <f t="shared" ca="1" si="42"/>
        <v>#N/A</v>
      </c>
      <c r="X247" s="163" t="e">
        <f t="shared" ca="1" si="43"/>
        <v>#N/A</v>
      </c>
      <c r="Y247" s="163" t="e">
        <f t="shared" ca="1" si="44"/>
        <v>#N/A</v>
      </c>
    </row>
    <row r="248" spans="12:25" ht="14.4">
      <c r="L248" s="464"/>
      <c r="M248" s="129" t="e">
        <f t="shared" si="45"/>
        <v>#N/A</v>
      </c>
      <c r="N248" s="161">
        <f t="shared" si="40"/>
        <v>13</v>
      </c>
      <c r="O248" s="160" t="e">
        <f t="shared" ca="1" si="46"/>
        <v>#N/A</v>
      </c>
      <c r="P248" s="160" t="e">
        <f t="shared" ca="1" si="47"/>
        <v>#N/A</v>
      </c>
      <c r="Q248" s="160" t="e">
        <f t="shared" ca="1" si="48"/>
        <v>#N/A</v>
      </c>
      <c r="R248" s="160" t="e">
        <f t="shared" ca="1" si="48"/>
        <v>#N/A</v>
      </c>
      <c r="S248" s="160" t="e">
        <f t="shared" ca="1" si="48"/>
        <v>#N/A</v>
      </c>
      <c r="T248" s="160" t="e">
        <f t="shared" ca="1" si="48"/>
        <v>#N/A</v>
      </c>
      <c r="U248" s="160" t="e">
        <f t="shared" ca="1" si="49"/>
        <v>#N/A</v>
      </c>
      <c r="V248" s="163" t="e">
        <f t="shared" ca="1" si="41"/>
        <v>#N/A</v>
      </c>
      <c r="W248" s="163" t="e">
        <f t="shared" ca="1" si="42"/>
        <v>#N/A</v>
      </c>
      <c r="X248" s="163" t="e">
        <f t="shared" ca="1" si="43"/>
        <v>#N/A</v>
      </c>
      <c r="Y248" s="163" t="e">
        <f t="shared" ca="1" si="44"/>
        <v>#N/A</v>
      </c>
    </row>
    <row r="249" spans="12:25" ht="14.4">
      <c r="L249" s="464"/>
      <c r="M249" s="129" t="e">
        <f t="shared" si="45"/>
        <v>#N/A</v>
      </c>
      <c r="N249" s="161">
        <f t="shared" si="40"/>
        <v>13</v>
      </c>
      <c r="O249" s="160" t="e">
        <f t="shared" ca="1" si="46"/>
        <v>#N/A</v>
      </c>
      <c r="P249" s="160" t="e">
        <f t="shared" ca="1" si="47"/>
        <v>#N/A</v>
      </c>
      <c r="Q249" s="160" t="e">
        <f t="shared" ca="1" si="48"/>
        <v>#N/A</v>
      </c>
      <c r="R249" s="160" t="e">
        <f t="shared" ca="1" si="48"/>
        <v>#N/A</v>
      </c>
      <c r="S249" s="160" t="e">
        <f t="shared" ca="1" si="48"/>
        <v>#N/A</v>
      </c>
      <c r="T249" s="160" t="e">
        <f t="shared" ca="1" si="48"/>
        <v>#N/A</v>
      </c>
      <c r="U249" s="160" t="e">
        <f t="shared" ca="1" si="49"/>
        <v>#N/A</v>
      </c>
      <c r="V249" s="163" t="e">
        <f t="shared" ca="1" si="41"/>
        <v>#N/A</v>
      </c>
      <c r="W249" s="163" t="e">
        <f t="shared" ca="1" si="42"/>
        <v>#N/A</v>
      </c>
      <c r="X249" s="163" t="e">
        <f t="shared" ca="1" si="43"/>
        <v>#N/A</v>
      </c>
      <c r="Y249" s="163" t="e">
        <f t="shared" ca="1" si="44"/>
        <v>#N/A</v>
      </c>
    </row>
    <row r="250" spans="12:25" ht="14.4">
      <c r="L250" s="464"/>
      <c r="M250" s="129" t="e">
        <f t="shared" si="45"/>
        <v>#N/A</v>
      </c>
      <c r="N250" s="161">
        <f t="shared" si="40"/>
        <v>13</v>
      </c>
      <c r="O250" s="160" t="e">
        <f t="shared" ca="1" si="46"/>
        <v>#N/A</v>
      </c>
      <c r="P250" s="160" t="e">
        <f t="shared" ca="1" si="47"/>
        <v>#N/A</v>
      </c>
      <c r="Q250" s="160" t="e">
        <f t="shared" ca="1" si="48"/>
        <v>#N/A</v>
      </c>
      <c r="R250" s="160" t="e">
        <f t="shared" ca="1" si="48"/>
        <v>#N/A</v>
      </c>
      <c r="S250" s="160" t="e">
        <f t="shared" ca="1" si="48"/>
        <v>#N/A</v>
      </c>
      <c r="T250" s="160" t="e">
        <f t="shared" ca="1" si="48"/>
        <v>#N/A</v>
      </c>
      <c r="U250" s="160" t="e">
        <f t="shared" ca="1" si="49"/>
        <v>#N/A</v>
      </c>
      <c r="V250" s="163" t="e">
        <f t="shared" ca="1" si="41"/>
        <v>#N/A</v>
      </c>
      <c r="W250" s="163" t="e">
        <f t="shared" ca="1" si="42"/>
        <v>#N/A</v>
      </c>
      <c r="X250" s="163" t="e">
        <f t="shared" ca="1" si="43"/>
        <v>#N/A</v>
      </c>
      <c r="Y250" s="163" t="e">
        <f t="shared" ca="1" si="44"/>
        <v>#N/A</v>
      </c>
    </row>
    <row r="251" spans="12:25" ht="14.4">
      <c r="L251" s="464"/>
      <c r="M251" s="129" t="e">
        <f t="shared" si="45"/>
        <v>#N/A</v>
      </c>
      <c r="N251" s="161">
        <f t="shared" si="40"/>
        <v>13</v>
      </c>
      <c r="O251" s="160" t="e">
        <f t="shared" ca="1" si="46"/>
        <v>#N/A</v>
      </c>
      <c r="P251" s="160" t="e">
        <f t="shared" ca="1" si="47"/>
        <v>#N/A</v>
      </c>
      <c r="Q251" s="160" t="e">
        <f t="shared" ca="1" si="48"/>
        <v>#N/A</v>
      </c>
      <c r="R251" s="160" t="e">
        <f t="shared" ca="1" si="48"/>
        <v>#N/A</v>
      </c>
      <c r="S251" s="160" t="e">
        <f t="shared" ca="1" si="48"/>
        <v>#N/A</v>
      </c>
      <c r="T251" s="160" t="e">
        <f t="shared" ca="1" si="48"/>
        <v>#N/A</v>
      </c>
      <c r="U251" s="160" t="e">
        <f t="shared" ca="1" si="49"/>
        <v>#N/A</v>
      </c>
      <c r="V251" s="163" t="e">
        <f t="shared" ca="1" si="41"/>
        <v>#N/A</v>
      </c>
      <c r="W251" s="163" t="e">
        <f t="shared" ca="1" si="42"/>
        <v>#N/A</v>
      </c>
      <c r="X251" s="163" t="e">
        <f t="shared" ca="1" si="43"/>
        <v>#N/A</v>
      </c>
      <c r="Y251" s="163" t="e">
        <f t="shared" ca="1" si="44"/>
        <v>#N/A</v>
      </c>
    </row>
    <row r="252" spans="12:25" ht="14.4">
      <c r="L252" s="464"/>
      <c r="M252" s="129" t="e">
        <f t="shared" si="45"/>
        <v>#N/A</v>
      </c>
      <c r="N252" s="161">
        <f t="shared" si="40"/>
        <v>13</v>
      </c>
      <c r="O252" s="160" t="e">
        <f t="shared" ca="1" si="46"/>
        <v>#N/A</v>
      </c>
      <c r="P252" s="160" t="e">
        <f t="shared" ca="1" si="47"/>
        <v>#N/A</v>
      </c>
      <c r="Q252" s="160" t="e">
        <f t="shared" ca="1" si="48"/>
        <v>#N/A</v>
      </c>
      <c r="R252" s="160" t="e">
        <f t="shared" ca="1" si="48"/>
        <v>#N/A</v>
      </c>
      <c r="S252" s="160" t="e">
        <f t="shared" ca="1" si="48"/>
        <v>#N/A</v>
      </c>
      <c r="T252" s="160" t="e">
        <f t="shared" ca="1" si="48"/>
        <v>#N/A</v>
      </c>
      <c r="U252" s="160" t="e">
        <f t="shared" ca="1" si="49"/>
        <v>#N/A</v>
      </c>
      <c r="V252" s="163" t="e">
        <f t="shared" ca="1" si="41"/>
        <v>#N/A</v>
      </c>
      <c r="W252" s="163" t="e">
        <f t="shared" ca="1" si="42"/>
        <v>#N/A</v>
      </c>
      <c r="X252" s="163" t="e">
        <f t="shared" ca="1" si="43"/>
        <v>#N/A</v>
      </c>
      <c r="Y252" s="163" t="e">
        <f t="shared" ca="1" si="44"/>
        <v>#N/A</v>
      </c>
    </row>
    <row r="253" spans="12:25" ht="14.4">
      <c r="L253" s="464"/>
      <c r="M253" s="129" t="e">
        <f t="shared" si="45"/>
        <v>#N/A</v>
      </c>
      <c r="N253" s="161">
        <f t="shared" si="40"/>
        <v>13</v>
      </c>
      <c r="O253" s="160" t="e">
        <f t="shared" ca="1" si="46"/>
        <v>#N/A</v>
      </c>
      <c r="P253" s="160" t="e">
        <f t="shared" ca="1" si="47"/>
        <v>#N/A</v>
      </c>
      <c r="Q253" s="160" t="e">
        <f t="shared" ca="1" si="48"/>
        <v>#N/A</v>
      </c>
      <c r="R253" s="160" t="e">
        <f t="shared" ca="1" si="48"/>
        <v>#N/A</v>
      </c>
      <c r="S253" s="160" t="e">
        <f t="shared" ca="1" si="48"/>
        <v>#N/A</v>
      </c>
      <c r="T253" s="160" t="e">
        <f t="shared" ca="1" si="48"/>
        <v>#N/A</v>
      </c>
      <c r="U253" s="160" t="e">
        <f t="shared" ca="1" si="49"/>
        <v>#N/A</v>
      </c>
      <c r="V253" s="163" t="e">
        <f t="shared" ca="1" si="41"/>
        <v>#N/A</v>
      </c>
      <c r="W253" s="163" t="e">
        <f t="shared" ca="1" si="42"/>
        <v>#N/A</v>
      </c>
      <c r="X253" s="163" t="e">
        <f t="shared" ca="1" si="43"/>
        <v>#N/A</v>
      </c>
      <c r="Y253" s="163" t="e">
        <f t="shared" ca="1" si="44"/>
        <v>#N/A</v>
      </c>
    </row>
    <row r="254" spans="12:25" ht="14.4">
      <c r="L254" s="464"/>
      <c r="M254" s="129" t="e">
        <f t="shared" si="45"/>
        <v>#N/A</v>
      </c>
      <c r="N254" s="161">
        <f t="shared" si="40"/>
        <v>13</v>
      </c>
      <c r="O254" s="160" t="e">
        <f t="shared" ca="1" si="46"/>
        <v>#N/A</v>
      </c>
      <c r="P254" s="160" t="e">
        <f t="shared" ca="1" si="47"/>
        <v>#N/A</v>
      </c>
      <c r="Q254" s="160" t="e">
        <f t="shared" ca="1" si="48"/>
        <v>#N/A</v>
      </c>
      <c r="R254" s="160" t="e">
        <f t="shared" ca="1" si="48"/>
        <v>#N/A</v>
      </c>
      <c r="S254" s="160" t="e">
        <f t="shared" ca="1" si="48"/>
        <v>#N/A</v>
      </c>
      <c r="T254" s="160" t="e">
        <f t="shared" ca="1" si="48"/>
        <v>#N/A</v>
      </c>
      <c r="U254" s="160" t="e">
        <f t="shared" ca="1" si="49"/>
        <v>#N/A</v>
      </c>
      <c r="V254" s="163" t="e">
        <f t="shared" ca="1" si="41"/>
        <v>#N/A</v>
      </c>
      <c r="W254" s="163" t="e">
        <f t="shared" ca="1" si="42"/>
        <v>#N/A</v>
      </c>
      <c r="X254" s="163" t="e">
        <f t="shared" ca="1" si="43"/>
        <v>#N/A</v>
      </c>
      <c r="Y254" s="163" t="e">
        <f t="shared" ca="1" si="44"/>
        <v>#N/A</v>
      </c>
    </row>
    <row r="255" spans="12:25" ht="14.4">
      <c r="L255" s="464"/>
      <c r="M255" s="129" t="e">
        <f t="shared" si="45"/>
        <v>#N/A</v>
      </c>
      <c r="N255" s="161">
        <f t="shared" si="40"/>
        <v>13</v>
      </c>
      <c r="O255" s="160" t="e">
        <f t="shared" ca="1" si="46"/>
        <v>#N/A</v>
      </c>
      <c r="P255" s="160" t="e">
        <f t="shared" ca="1" si="47"/>
        <v>#N/A</v>
      </c>
      <c r="Q255" s="160" t="e">
        <f t="shared" ca="1" si="48"/>
        <v>#N/A</v>
      </c>
      <c r="R255" s="160" t="e">
        <f t="shared" ca="1" si="48"/>
        <v>#N/A</v>
      </c>
      <c r="S255" s="160" t="e">
        <f t="shared" ca="1" si="48"/>
        <v>#N/A</v>
      </c>
      <c r="T255" s="160" t="e">
        <f t="shared" ca="1" si="48"/>
        <v>#N/A</v>
      </c>
      <c r="U255" s="160" t="e">
        <f t="shared" ca="1" si="49"/>
        <v>#N/A</v>
      </c>
      <c r="V255" s="163" t="e">
        <f t="shared" ca="1" si="41"/>
        <v>#N/A</v>
      </c>
      <c r="W255" s="163" t="e">
        <f t="shared" ca="1" si="42"/>
        <v>#N/A</v>
      </c>
      <c r="X255" s="163" t="e">
        <f t="shared" ca="1" si="43"/>
        <v>#N/A</v>
      </c>
      <c r="Y255" s="163" t="e">
        <f t="shared" ca="1" si="44"/>
        <v>#N/A</v>
      </c>
    </row>
    <row r="256" spans="12:25" ht="14.4">
      <c r="L256" s="464"/>
      <c r="M256" s="129" t="e">
        <f t="shared" si="45"/>
        <v>#N/A</v>
      </c>
      <c r="N256" s="161">
        <f t="shared" si="40"/>
        <v>13</v>
      </c>
      <c r="O256" s="160" t="e">
        <f t="shared" ca="1" si="46"/>
        <v>#N/A</v>
      </c>
      <c r="P256" s="160" t="e">
        <f t="shared" ca="1" si="47"/>
        <v>#N/A</v>
      </c>
      <c r="Q256" s="160" t="e">
        <f t="shared" ca="1" si="48"/>
        <v>#N/A</v>
      </c>
      <c r="R256" s="160" t="e">
        <f t="shared" ca="1" si="48"/>
        <v>#N/A</v>
      </c>
      <c r="S256" s="160" t="e">
        <f t="shared" ca="1" si="48"/>
        <v>#N/A</v>
      </c>
      <c r="T256" s="160" t="e">
        <f t="shared" ca="1" si="48"/>
        <v>#N/A</v>
      </c>
      <c r="U256" s="160" t="e">
        <f t="shared" ca="1" si="49"/>
        <v>#N/A</v>
      </c>
      <c r="V256" s="163" t="e">
        <f t="shared" ca="1" si="41"/>
        <v>#N/A</v>
      </c>
      <c r="W256" s="163" t="e">
        <f t="shared" ca="1" si="42"/>
        <v>#N/A</v>
      </c>
      <c r="X256" s="163" t="e">
        <f t="shared" ca="1" si="43"/>
        <v>#N/A</v>
      </c>
      <c r="Y256" s="163" t="e">
        <f t="shared" ca="1" si="44"/>
        <v>#N/A</v>
      </c>
    </row>
    <row r="257" spans="12:25" ht="14.4">
      <c r="L257" s="464"/>
      <c r="M257" s="129" t="e">
        <f t="shared" si="45"/>
        <v>#N/A</v>
      </c>
      <c r="N257" s="161">
        <f t="shared" si="40"/>
        <v>13</v>
      </c>
      <c r="O257" s="160" t="e">
        <f t="shared" ca="1" si="46"/>
        <v>#N/A</v>
      </c>
      <c r="P257" s="160" t="e">
        <f t="shared" ca="1" si="47"/>
        <v>#N/A</v>
      </c>
      <c r="Q257" s="160" t="e">
        <f t="shared" ca="1" si="48"/>
        <v>#N/A</v>
      </c>
      <c r="R257" s="160" t="e">
        <f t="shared" ca="1" si="48"/>
        <v>#N/A</v>
      </c>
      <c r="S257" s="160" t="e">
        <f t="shared" ca="1" si="48"/>
        <v>#N/A</v>
      </c>
      <c r="T257" s="160" t="e">
        <f t="shared" ca="1" si="48"/>
        <v>#N/A</v>
      </c>
      <c r="U257" s="160" t="e">
        <f t="shared" ca="1" si="49"/>
        <v>#N/A</v>
      </c>
      <c r="V257" s="163" t="e">
        <f t="shared" ca="1" si="41"/>
        <v>#N/A</v>
      </c>
      <c r="W257" s="163" t="e">
        <f t="shared" ca="1" si="42"/>
        <v>#N/A</v>
      </c>
      <c r="X257" s="163" t="e">
        <f t="shared" ca="1" si="43"/>
        <v>#N/A</v>
      </c>
      <c r="Y257" s="163" t="e">
        <f t="shared" ca="1" si="44"/>
        <v>#N/A</v>
      </c>
    </row>
    <row r="258" spans="12:25" ht="14.4">
      <c r="L258" s="464"/>
      <c r="M258" s="129" t="e">
        <f t="shared" si="45"/>
        <v>#N/A</v>
      </c>
      <c r="N258" s="161">
        <f t="shared" si="40"/>
        <v>13</v>
      </c>
      <c r="O258" s="160" t="e">
        <f t="shared" ca="1" si="46"/>
        <v>#N/A</v>
      </c>
      <c r="P258" s="160" t="e">
        <f t="shared" ca="1" si="47"/>
        <v>#N/A</v>
      </c>
      <c r="Q258" s="160" t="e">
        <f t="shared" ca="1" si="48"/>
        <v>#N/A</v>
      </c>
      <c r="R258" s="160" t="e">
        <f t="shared" ca="1" si="48"/>
        <v>#N/A</v>
      </c>
      <c r="S258" s="160" t="e">
        <f t="shared" ca="1" si="48"/>
        <v>#N/A</v>
      </c>
      <c r="T258" s="160" t="e">
        <f t="shared" ca="1" si="48"/>
        <v>#N/A</v>
      </c>
      <c r="U258" s="160" t="e">
        <f t="shared" ca="1" si="49"/>
        <v>#N/A</v>
      </c>
      <c r="V258" s="163" t="e">
        <f t="shared" ca="1" si="41"/>
        <v>#N/A</v>
      </c>
      <c r="W258" s="163" t="e">
        <f t="shared" ca="1" si="42"/>
        <v>#N/A</v>
      </c>
      <c r="X258" s="163" t="e">
        <f t="shared" ca="1" si="43"/>
        <v>#N/A</v>
      </c>
      <c r="Y258" s="163" t="e">
        <f t="shared" ca="1" si="44"/>
        <v>#N/A</v>
      </c>
    </row>
    <row r="259" spans="12:25" ht="14.4">
      <c r="L259" s="464"/>
      <c r="M259" s="129" t="e">
        <f t="shared" si="45"/>
        <v>#N/A</v>
      </c>
      <c r="N259" s="161">
        <f t="shared" si="40"/>
        <v>13</v>
      </c>
      <c r="O259" s="160" t="e">
        <f t="shared" ca="1" si="46"/>
        <v>#N/A</v>
      </c>
      <c r="P259" s="160" t="e">
        <f t="shared" ca="1" si="47"/>
        <v>#N/A</v>
      </c>
      <c r="Q259" s="160" t="e">
        <f t="shared" ca="1" si="48"/>
        <v>#N/A</v>
      </c>
      <c r="R259" s="160" t="e">
        <f t="shared" ca="1" si="48"/>
        <v>#N/A</v>
      </c>
      <c r="S259" s="160" t="e">
        <f t="shared" ca="1" si="48"/>
        <v>#N/A</v>
      </c>
      <c r="T259" s="160" t="e">
        <f t="shared" ca="1" si="48"/>
        <v>#N/A</v>
      </c>
      <c r="U259" s="160" t="e">
        <f t="shared" ca="1" si="49"/>
        <v>#N/A</v>
      </c>
      <c r="V259" s="163" t="e">
        <f t="shared" ca="1" si="41"/>
        <v>#N/A</v>
      </c>
      <c r="W259" s="163" t="e">
        <f t="shared" ca="1" si="42"/>
        <v>#N/A</v>
      </c>
      <c r="X259" s="163" t="e">
        <f t="shared" ca="1" si="43"/>
        <v>#N/A</v>
      </c>
      <c r="Y259" s="163" t="e">
        <f t="shared" ca="1" si="44"/>
        <v>#N/A</v>
      </c>
    </row>
    <row r="260" spans="12:25" ht="14.4">
      <c r="L260" s="464"/>
      <c r="M260" s="129" t="e">
        <f t="shared" si="45"/>
        <v>#N/A</v>
      </c>
      <c r="N260" s="161">
        <f t="shared" si="40"/>
        <v>13</v>
      </c>
      <c r="O260" s="160" t="e">
        <f t="shared" ca="1" si="46"/>
        <v>#N/A</v>
      </c>
      <c r="P260" s="160" t="e">
        <f t="shared" ca="1" si="47"/>
        <v>#N/A</v>
      </c>
      <c r="Q260" s="160" t="e">
        <f t="shared" ca="1" si="48"/>
        <v>#N/A</v>
      </c>
      <c r="R260" s="160" t="e">
        <f t="shared" ca="1" si="48"/>
        <v>#N/A</v>
      </c>
      <c r="S260" s="160" t="e">
        <f t="shared" ca="1" si="48"/>
        <v>#N/A</v>
      </c>
      <c r="T260" s="160" t="e">
        <f t="shared" ca="1" si="48"/>
        <v>#N/A</v>
      </c>
      <c r="U260" s="160" t="e">
        <f t="shared" ca="1" si="49"/>
        <v>#N/A</v>
      </c>
      <c r="V260" s="163" t="e">
        <f t="shared" ca="1" si="41"/>
        <v>#N/A</v>
      </c>
      <c r="W260" s="163" t="e">
        <f t="shared" ca="1" si="42"/>
        <v>#N/A</v>
      </c>
      <c r="X260" s="163" t="e">
        <f t="shared" ca="1" si="43"/>
        <v>#N/A</v>
      </c>
      <c r="Y260" s="163" t="e">
        <f t="shared" ca="1" si="44"/>
        <v>#N/A</v>
      </c>
    </row>
    <row r="261" spans="12:25" ht="14.4">
      <c r="L261" s="464"/>
      <c r="M261" s="129" t="e">
        <f t="shared" si="45"/>
        <v>#N/A</v>
      </c>
      <c r="N261" s="161">
        <f t="shared" si="40"/>
        <v>13</v>
      </c>
      <c r="O261" s="160" t="e">
        <f t="shared" ca="1" si="46"/>
        <v>#N/A</v>
      </c>
      <c r="P261" s="160" t="e">
        <f t="shared" ca="1" si="47"/>
        <v>#N/A</v>
      </c>
      <c r="Q261" s="160" t="e">
        <f t="shared" ca="1" si="48"/>
        <v>#N/A</v>
      </c>
      <c r="R261" s="160" t="e">
        <f t="shared" ca="1" si="48"/>
        <v>#N/A</v>
      </c>
      <c r="S261" s="160" t="e">
        <f t="shared" ca="1" si="48"/>
        <v>#N/A</v>
      </c>
      <c r="T261" s="160" t="e">
        <f t="shared" ca="1" si="48"/>
        <v>#N/A</v>
      </c>
      <c r="U261" s="160" t="e">
        <f t="shared" ca="1" si="49"/>
        <v>#N/A</v>
      </c>
      <c r="V261" s="163" t="e">
        <f t="shared" ca="1" si="41"/>
        <v>#N/A</v>
      </c>
      <c r="W261" s="163" t="e">
        <f t="shared" ca="1" si="42"/>
        <v>#N/A</v>
      </c>
      <c r="X261" s="163" t="e">
        <f t="shared" ca="1" si="43"/>
        <v>#N/A</v>
      </c>
      <c r="Y261" s="163" t="e">
        <f t="shared" ca="1" si="44"/>
        <v>#N/A</v>
      </c>
    </row>
    <row r="262" spans="12:25" ht="14.4">
      <c r="L262" s="464"/>
      <c r="M262" s="129" t="e">
        <f t="shared" si="45"/>
        <v>#N/A</v>
      </c>
      <c r="N262" s="161">
        <f t="shared" si="40"/>
        <v>13</v>
      </c>
      <c r="O262" s="160" t="e">
        <f t="shared" ca="1" si="46"/>
        <v>#N/A</v>
      </c>
      <c r="P262" s="160" t="e">
        <f t="shared" ca="1" si="47"/>
        <v>#N/A</v>
      </c>
      <c r="Q262" s="160" t="e">
        <f t="shared" ca="1" si="48"/>
        <v>#N/A</v>
      </c>
      <c r="R262" s="160" t="e">
        <f t="shared" ca="1" si="48"/>
        <v>#N/A</v>
      </c>
      <c r="S262" s="160" t="e">
        <f t="shared" ca="1" si="48"/>
        <v>#N/A</v>
      </c>
      <c r="T262" s="160" t="e">
        <f t="shared" ca="1" si="48"/>
        <v>#N/A</v>
      </c>
      <c r="U262" s="160" t="e">
        <f t="shared" ca="1" si="49"/>
        <v>#N/A</v>
      </c>
      <c r="V262" s="163" t="e">
        <f t="shared" ca="1" si="41"/>
        <v>#N/A</v>
      </c>
      <c r="W262" s="163" t="e">
        <f t="shared" ca="1" si="42"/>
        <v>#N/A</v>
      </c>
      <c r="X262" s="163" t="e">
        <f t="shared" ca="1" si="43"/>
        <v>#N/A</v>
      </c>
      <c r="Y262" s="163" t="e">
        <f t="shared" ca="1" si="44"/>
        <v>#N/A</v>
      </c>
    </row>
    <row r="263" spans="12:25" ht="14.4">
      <c r="L263" s="464"/>
      <c r="M263" s="129" t="e">
        <f t="shared" si="45"/>
        <v>#N/A</v>
      </c>
      <c r="N263" s="161">
        <f t="shared" si="40"/>
        <v>13</v>
      </c>
      <c r="O263" s="160" t="e">
        <f t="shared" ca="1" si="46"/>
        <v>#N/A</v>
      </c>
      <c r="P263" s="160" t="e">
        <f t="shared" ca="1" si="47"/>
        <v>#N/A</v>
      </c>
      <c r="Q263" s="160" t="e">
        <f t="shared" ca="1" si="48"/>
        <v>#N/A</v>
      </c>
      <c r="R263" s="160" t="e">
        <f t="shared" ca="1" si="48"/>
        <v>#N/A</v>
      </c>
      <c r="S263" s="160" t="e">
        <f t="shared" ca="1" si="48"/>
        <v>#N/A</v>
      </c>
      <c r="T263" s="160" t="e">
        <f t="shared" ca="1" si="48"/>
        <v>#N/A</v>
      </c>
      <c r="U263" s="160" t="e">
        <f t="shared" ca="1" si="49"/>
        <v>#N/A</v>
      </c>
      <c r="V263" s="163" t="e">
        <f t="shared" ca="1" si="41"/>
        <v>#N/A</v>
      </c>
      <c r="W263" s="163" t="e">
        <f t="shared" ca="1" si="42"/>
        <v>#N/A</v>
      </c>
      <c r="X263" s="163" t="e">
        <f t="shared" ca="1" si="43"/>
        <v>#N/A</v>
      </c>
      <c r="Y263" s="163" t="e">
        <f t="shared" ca="1" si="44"/>
        <v>#N/A</v>
      </c>
    </row>
    <row r="264" spans="12:25" ht="14.4">
      <c r="L264" s="464"/>
      <c r="M264" s="129" t="e">
        <f t="shared" si="45"/>
        <v>#N/A</v>
      </c>
      <c r="N264" s="161">
        <f t="shared" si="40"/>
        <v>13</v>
      </c>
      <c r="O264" s="160" t="e">
        <f t="shared" ca="1" si="46"/>
        <v>#N/A</v>
      </c>
      <c r="P264" s="160" t="e">
        <f t="shared" ca="1" si="47"/>
        <v>#N/A</v>
      </c>
      <c r="Q264" s="160" t="e">
        <f t="shared" ca="1" si="48"/>
        <v>#N/A</v>
      </c>
      <c r="R264" s="160" t="e">
        <f t="shared" ca="1" si="48"/>
        <v>#N/A</v>
      </c>
      <c r="S264" s="160" t="e">
        <f t="shared" ca="1" si="48"/>
        <v>#N/A</v>
      </c>
      <c r="T264" s="160" t="e">
        <f t="shared" ca="1" si="48"/>
        <v>#N/A</v>
      </c>
      <c r="U264" s="160" t="e">
        <f t="shared" ca="1" si="49"/>
        <v>#N/A</v>
      </c>
      <c r="V264" s="163" t="e">
        <f t="shared" ca="1" si="41"/>
        <v>#N/A</v>
      </c>
      <c r="W264" s="163" t="e">
        <f t="shared" ca="1" si="42"/>
        <v>#N/A</v>
      </c>
      <c r="X264" s="163" t="e">
        <f t="shared" ca="1" si="43"/>
        <v>#N/A</v>
      </c>
      <c r="Y264" s="163" t="e">
        <f t="shared" ca="1" si="44"/>
        <v>#N/A</v>
      </c>
    </row>
    <row r="265" spans="12:25" ht="14.4">
      <c r="L265" s="464"/>
      <c r="M265" s="129" t="e">
        <f t="shared" si="45"/>
        <v>#N/A</v>
      </c>
      <c r="N265" s="161">
        <f t="shared" si="40"/>
        <v>13</v>
      </c>
      <c r="O265" s="160" t="e">
        <f t="shared" ca="1" si="46"/>
        <v>#N/A</v>
      </c>
      <c r="P265" s="160" t="e">
        <f t="shared" ca="1" si="47"/>
        <v>#N/A</v>
      </c>
      <c r="Q265" s="160" t="e">
        <f t="shared" ca="1" si="48"/>
        <v>#N/A</v>
      </c>
      <c r="R265" s="160" t="e">
        <f t="shared" ca="1" si="48"/>
        <v>#N/A</v>
      </c>
      <c r="S265" s="160" t="e">
        <f t="shared" ca="1" si="48"/>
        <v>#N/A</v>
      </c>
      <c r="T265" s="160" t="e">
        <f t="shared" ca="1" si="48"/>
        <v>#N/A</v>
      </c>
      <c r="U265" s="160" t="e">
        <f t="shared" ca="1" si="49"/>
        <v>#N/A</v>
      </c>
      <c r="V265" s="163" t="e">
        <f t="shared" ca="1" si="41"/>
        <v>#N/A</v>
      </c>
      <c r="W265" s="163" t="e">
        <f t="shared" ca="1" si="42"/>
        <v>#N/A</v>
      </c>
      <c r="X265" s="163" t="e">
        <f t="shared" ca="1" si="43"/>
        <v>#N/A</v>
      </c>
      <c r="Y265" s="163" t="e">
        <f t="shared" ca="1" si="44"/>
        <v>#N/A</v>
      </c>
    </row>
    <row r="266" spans="12:25" ht="14.4">
      <c r="L266" s="464"/>
      <c r="M266" s="129" t="e">
        <f t="shared" si="45"/>
        <v>#N/A</v>
      </c>
      <c r="N266" s="161">
        <f t="shared" si="40"/>
        <v>13</v>
      </c>
      <c r="O266" s="160" t="e">
        <f t="shared" ca="1" si="46"/>
        <v>#N/A</v>
      </c>
      <c r="P266" s="160" t="e">
        <f t="shared" ca="1" si="47"/>
        <v>#N/A</v>
      </c>
      <c r="Q266" s="160" t="e">
        <f t="shared" ca="1" si="48"/>
        <v>#N/A</v>
      </c>
      <c r="R266" s="160" t="e">
        <f t="shared" ca="1" si="48"/>
        <v>#N/A</v>
      </c>
      <c r="S266" s="160" t="e">
        <f t="shared" ca="1" si="48"/>
        <v>#N/A</v>
      </c>
      <c r="T266" s="160" t="e">
        <f t="shared" ca="1" si="48"/>
        <v>#N/A</v>
      </c>
      <c r="U266" s="160" t="e">
        <f t="shared" ca="1" si="49"/>
        <v>#N/A</v>
      </c>
      <c r="V266" s="163" t="e">
        <f t="shared" ca="1" si="41"/>
        <v>#N/A</v>
      </c>
      <c r="W266" s="163" t="e">
        <f t="shared" ca="1" si="42"/>
        <v>#N/A</v>
      </c>
      <c r="X266" s="163" t="e">
        <f t="shared" ca="1" si="43"/>
        <v>#N/A</v>
      </c>
      <c r="Y266" s="163" t="e">
        <f t="shared" ca="1" si="44"/>
        <v>#N/A</v>
      </c>
    </row>
    <row r="267" spans="12:25" ht="14.4">
      <c r="L267" s="464"/>
      <c r="M267" s="129" t="e">
        <f t="shared" si="45"/>
        <v>#N/A</v>
      </c>
      <c r="N267" s="161">
        <f t="shared" si="40"/>
        <v>13</v>
      </c>
      <c r="O267" s="160" t="e">
        <f t="shared" ca="1" si="46"/>
        <v>#N/A</v>
      </c>
      <c r="P267" s="160" t="e">
        <f t="shared" ca="1" si="47"/>
        <v>#N/A</v>
      </c>
      <c r="Q267" s="160" t="e">
        <f t="shared" ca="1" si="48"/>
        <v>#N/A</v>
      </c>
      <c r="R267" s="160" t="e">
        <f t="shared" ca="1" si="48"/>
        <v>#N/A</v>
      </c>
      <c r="S267" s="160" t="e">
        <f t="shared" ca="1" si="48"/>
        <v>#N/A</v>
      </c>
      <c r="T267" s="160" t="e">
        <f t="shared" ca="1" si="48"/>
        <v>#N/A</v>
      </c>
      <c r="U267" s="160" t="e">
        <f t="shared" ca="1" si="49"/>
        <v>#N/A</v>
      </c>
      <c r="V267" s="163" t="e">
        <f t="shared" ca="1" si="41"/>
        <v>#N/A</v>
      </c>
      <c r="W267" s="163" t="e">
        <f t="shared" ca="1" si="42"/>
        <v>#N/A</v>
      </c>
      <c r="X267" s="163" t="e">
        <f t="shared" ca="1" si="43"/>
        <v>#N/A</v>
      </c>
      <c r="Y267" s="163" t="e">
        <f t="shared" ca="1" si="44"/>
        <v>#N/A</v>
      </c>
    </row>
    <row r="268" spans="12:25" ht="14.4">
      <c r="L268" s="464"/>
      <c r="M268" s="129" t="e">
        <f t="shared" si="45"/>
        <v>#N/A</v>
      </c>
      <c r="N268" s="161">
        <f t="shared" si="40"/>
        <v>13</v>
      </c>
      <c r="O268" s="160" t="e">
        <f t="shared" ca="1" si="46"/>
        <v>#N/A</v>
      </c>
      <c r="P268" s="160" t="e">
        <f t="shared" ca="1" si="47"/>
        <v>#N/A</v>
      </c>
      <c r="Q268" s="160" t="e">
        <f t="shared" ca="1" si="48"/>
        <v>#N/A</v>
      </c>
      <c r="R268" s="160" t="e">
        <f t="shared" ca="1" si="48"/>
        <v>#N/A</v>
      </c>
      <c r="S268" s="160" t="e">
        <f t="shared" ca="1" si="48"/>
        <v>#N/A</v>
      </c>
      <c r="T268" s="160" t="e">
        <f t="shared" ca="1" si="48"/>
        <v>#N/A</v>
      </c>
      <c r="U268" s="160" t="e">
        <f t="shared" ca="1" si="49"/>
        <v>#N/A</v>
      </c>
      <c r="V268" s="163" t="e">
        <f t="shared" ca="1" si="41"/>
        <v>#N/A</v>
      </c>
      <c r="W268" s="163" t="e">
        <f t="shared" ca="1" si="42"/>
        <v>#N/A</v>
      </c>
      <c r="X268" s="163" t="e">
        <f t="shared" ca="1" si="43"/>
        <v>#N/A</v>
      </c>
      <c r="Y268" s="163" t="e">
        <f t="shared" ca="1" si="44"/>
        <v>#N/A</v>
      </c>
    </row>
    <row r="269" spans="12:25" ht="14.4">
      <c r="L269" s="464"/>
      <c r="M269" s="129" t="e">
        <f t="shared" si="45"/>
        <v>#N/A</v>
      </c>
      <c r="N269" s="161">
        <f t="shared" si="40"/>
        <v>13</v>
      </c>
      <c r="O269" s="160" t="e">
        <f t="shared" ca="1" si="46"/>
        <v>#N/A</v>
      </c>
      <c r="P269" s="160" t="e">
        <f t="shared" ca="1" si="47"/>
        <v>#N/A</v>
      </c>
      <c r="Q269" s="160" t="e">
        <f t="shared" ca="1" si="48"/>
        <v>#N/A</v>
      </c>
      <c r="R269" s="160" t="e">
        <f t="shared" ca="1" si="48"/>
        <v>#N/A</v>
      </c>
      <c r="S269" s="160" t="e">
        <f t="shared" ca="1" si="48"/>
        <v>#N/A</v>
      </c>
      <c r="T269" s="160" t="e">
        <f t="shared" ca="1" si="48"/>
        <v>#N/A</v>
      </c>
      <c r="U269" s="160" t="e">
        <f t="shared" ca="1" si="49"/>
        <v>#N/A</v>
      </c>
      <c r="V269" s="163" t="e">
        <f t="shared" ca="1" si="41"/>
        <v>#N/A</v>
      </c>
      <c r="W269" s="163" t="e">
        <f t="shared" ca="1" si="42"/>
        <v>#N/A</v>
      </c>
      <c r="X269" s="163" t="e">
        <f t="shared" ca="1" si="43"/>
        <v>#N/A</v>
      </c>
      <c r="Y269" s="163" t="e">
        <f t="shared" ca="1" si="44"/>
        <v>#N/A</v>
      </c>
    </row>
    <row r="270" spans="12:25" ht="14.4">
      <c r="L270" s="464"/>
      <c r="M270" s="129" t="e">
        <f t="shared" si="45"/>
        <v>#N/A</v>
      </c>
      <c r="N270" s="161">
        <f t="shared" si="40"/>
        <v>13</v>
      </c>
      <c r="O270" s="160" t="e">
        <f t="shared" ca="1" si="46"/>
        <v>#N/A</v>
      </c>
      <c r="P270" s="160" t="e">
        <f t="shared" ca="1" si="47"/>
        <v>#N/A</v>
      </c>
      <c r="Q270" s="160" t="e">
        <f t="shared" ca="1" si="48"/>
        <v>#N/A</v>
      </c>
      <c r="R270" s="160" t="e">
        <f t="shared" ca="1" si="48"/>
        <v>#N/A</v>
      </c>
      <c r="S270" s="160" t="e">
        <f t="shared" ca="1" si="48"/>
        <v>#N/A</v>
      </c>
      <c r="T270" s="160" t="e">
        <f t="shared" ca="1" si="48"/>
        <v>#N/A</v>
      </c>
      <c r="U270" s="160" t="e">
        <f t="shared" ca="1" si="49"/>
        <v>#N/A</v>
      </c>
      <c r="V270" s="163" t="e">
        <f t="shared" ca="1" si="41"/>
        <v>#N/A</v>
      </c>
      <c r="W270" s="163" t="e">
        <f t="shared" ca="1" si="42"/>
        <v>#N/A</v>
      </c>
      <c r="X270" s="163" t="e">
        <f t="shared" ca="1" si="43"/>
        <v>#N/A</v>
      </c>
      <c r="Y270" s="163" t="e">
        <f t="shared" ca="1" si="44"/>
        <v>#N/A</v>
      </c>
    </row>
    <row r="271" spans="12:25" ht="14.4">
      <c r="L271" s="464"/>
      <c r="M271" s="129" t="e">
        <f t="shared" si="45"/>
        <v>#N/A</v>
      </c>
      <c r="N271" s="161">
        <f t="shared" si="40"/>
        <v>13</v>
      </c>
      <c r="O271" s="160" t="e">
        <f t="shared" ca="1" si="46"/>
        <v>#N/A</v>
      </c>
      <c r="P271" s="160" t="e">
        <f t="shared" ca="1" si="47"/>
        <v>#N/A</v>
      </c>
      <c r="Q271" s="160" t="e">
        <f t="shared" ca="1" si="48"/>
        <v>#N/A</v>
      </c>
      <c r="R271" s="160" t="e">
        <f t="shared" ca="1" si="48"/>
        <v>#N/A</v>
      </c>
      <c r="S271" s="160" t="e">
        <f t="shared" ca="1" si="48"/>
        <v>#N/A</v>
      </c>
      <c r="T271" s="160" t="e">
        <f t="shared" ca="1" si="48"/>
        <v>#N/A</v>
      </c>
      <c r="U271" s="160" t="e">
        <f t="shared" ca="1" si="49"/>
        <v>#N/A</v>
      </c>
      <c r="V271" s="163" t="e">
        <f t="shared" ca="1" si="41"/>
        <v>#N/A</v>
      </c>
      <c r="W271" s="163" t="e">
        <f t="shared" ca="1" si="42"/>
        <v>#N/A</v>
      </c>
      <c r="X271" s="163" t="e">
        <f t="shared" ca="1" si="43"/>
        <v>#N/A</v>
      </c>
      <c r="Y271" s="163" t="e">
        <f t="shared" ca="1" si="44"/>
        <v>#N/A</v>
      </c>
    </row>
    <row r="272" spans="12:25" ht="14.4">
      <c r="L272" s="464"/>
      <c r="M272" s="129" t="e">
        <f t="shared" si="45"/>
        <v>#N/A</v>
      </c>
      <c r="N272" s="161">
        <f t="shared" si="40"/>
        <v>13</v>
      </c>
      <c r="O272" s="160" t="e">
        <f t="shared" ca="1" si="46"/>
        <v>#N/A</v>
      </c>
      <c r="P272" s="160" t="e">
        <f t="shared" ca="1" si="47"/>
        <v>#N/A</v>
      </c>
      <c r="Q272" s="160" t="e">
        <f t="shared" ca="1" si="48"/>
        <v>#N/A</v>
      </c>
      <c r="R272" s="160" t="e">
        <f t="shared" ca="1" si="48"/>
        <v>#N/A</v>
      </c>
      <c r="S272" s="160" t="e">
        <f t="shared" ca="1" si="48"/>
        <v>#N/A</v>
      </c>
      <c r="T272" s="160" t="e">
        <f t="shared" ca="1" si="48"/>
        <v>#N/A</v>
      </c>
      <c r="U272" s="160" t="e">
        <f t="shared" ca="1" si="49"/>
        <v>#N/A</v>
      </c>
      <c r="V272" s="163" t="e">
        <f t="shared" ca="1" si="41"/>
        <v>#N/A</v>
      </c>
      <c r="W272" s="163" t="e">
        <f t="shared" ca="1" si="42"/>
        <v>#N/A</v>
      </c>
      <c r="X272" s="163" t="e">
        <f t="shared" ca="1" si="43"/>
        <v>#N/A</v>
      </c>
      <c r="Y272" s="163" t="e">
        <f t="shared" ca="1" si="44"/>
        <v>#N/A</v>
      </c>
    </row>
    <row r="273" spans="12:25" ht="14.4">
      <c r="L273" s="464"/>
      <c r="M273" s="129" t="e">
        <f t="shared" si="45"/>
        <v>#N/A</v>
      </c>
      <c r="N273" s="161">
        <f t="shared" si="40"/>
        <v>13</v>
      </c>
      <c r="O273" s="160" t="e">
        <f t="shared" ca="1" si="46"/>
        <v>#N/A</v>
      </c>
      <c r="P273" s="160" t="e">
        <f t="shared" ca="1" si="47"/>
        <v>#N/A</v>
      </c>
      <c r="Q273" s="160" t="e">
        <f t="shared" ca="1" si="48"/>
        <v>#N/A</v>
      </c>
      <c r="R273" s="160" t="e">
        <f t="shared" ca="1" si="48"/>
        <v>#N/A</v>
      </c>
      <c r="S273" s="160" t="e">
        <f t="shared" ca="1" si="48"/>
        <v>#N/A</v>
      </c>
      <c r="T273" s="160" t="e">
        <f t="shared" ca="1" si="48"/>
        <v>#N/A</v>
      </c>
      <c r="U273" s="160" t="e">
        <f t="shared" ca="1" si="49"/>
        <v>#N/A</v>
      </c>
      <c r="V273" s="163" t="e">
        <f t="shared" ca="1" si="41"/>
        <v>#N/A</v>
      </c>
      <c r="W273" s="163" t="e">
        <f t="shared" ca="1" si="42"/>
        <v>#N/A</v>
      </c>
      <c r="X273" s="163" t="e">
        <f t="shared" ca="1" si="43"/>
        <v>#N/A</v>
      </c>
      <c r="Y273" s="163" t="e">
        <f t="shared" ca="1" si="44"/>
        <v>#N/A</v>
      </c>
    </row>
    <row r="274" spans="12:25" ht="14.4">
      <c r="L274" s="464"/>
      <c r="M274" s="129" t="e">
        <f t="shared" si="45"/>
        <v>#N/A</v>
      </c>
      <c r="N274" s="161">
        <f t="shared" ref="N274:N337" si="50">N273</f>
        <v>13</v>
      </c>
      <c r="O274" s="160" t="e">
        <f t="shared" ca="1" si="46"/>
        <v>#N/A</v>
      </c>
      <c r="P274" s="160" t="e">
        <f t="shared" ca="1" si="47"/>
        <v>#N/A</v>
      </c>
      <c r="Q274" s="160" t="e">
        <f t="shared" ca="1" si="48"/>
        <v>#N/A</v>
      </c>
      <c r="R274" s="160" t="e">
        <f t="shared" ca="1" si="48"/>
        <v>#N/A</v>
      </c>
      <c r="S274" s="160" t="e">
        <f t="shared" ca="1" si="48"/>
        <v>#N/A</v>
      </c>
      <c r="T274" s="160" t="e">
        <f t="shared" ca="1" si="48"/>
        <v>#N/A</v>
      </c>
      <c r="U274" s="160" t="e">
        <f t="shared" ca="1" si="49"/>
        <v>#N/A</v>
      </c>
      <c r="V274" s="163" t="e">
        <f t="shared" ca="1" si="41"/>
        <v>#N/A</v>
      </c>
      <c r="W274" s="163" t="e">
        <f t="shared" ca="1" si="42"/>
        <v>#N/A</v>
      </c>
      <c r="X274" s="163" t="e">
        <f t="shared" ca="1" si="43"/>
        <v>#N/A</v>
      </c>
      <c r="Y274" s="163" t="e">
        <f t="shared" ca="1" si="44"/>
        <v>#N/A</v>
      </c>
    </row>
    <row r="275" spans="12:25" ht="14.4">
      <c r="L275" s="464"/>
      <c r="M275" s="129" t="e">
        <f t="shared" si="45"/>
        <v>#N/A</v>
      </c>
      <c r="N275" s="161">
        <f t="shared" si="50"/>
        <v>13</v>
      </c>
      <c r="O275" s="160" t="e">
        <f t="shared" ca="1" si="46"/>
        <v>#N/A</v>
      </c>
      <c r="P275" s="160" t="e">
        <f t="shared" ca="1" si="47"/>
        <v>#N/A</v>
      </c>
      <c r="Q275" s="160" t="e">
        <f t="shared" ca="1" si="48"/>
        <v>#N/A</v>
      </c>
      <c r="R275" s="160" t="e">
        <f t="shared" ca="1" si="48"/>
        <v>#N/A</v>
      </c>
      <c r="S275" s="160" t="e">
        <f t="shared" ca="1" si="48"/>
        <v>#N/A</v>
      </c>
      <c r="T275" s="160" t="e">
        <f t="shared" ca="1" si="48"/>
        <v>#N/A</v>
      </c>
      <c r="U275" s="160" t="e">
        <f t="shared" ca="1" si="49"/>
        <v>#N/A</v>
      </c>
      <c r="V275" s="163" t="e">
        <f t="shared" ca="1" si="41"/>
        <v>#N/A</v>
      </c>
      <c r="W275" s="163" t="e">
        <f t="shared" ca="1" si="42"/>
        <v>#N/A</v>
      </c>
      <c r="X275" s="163" t="e">
        <f t="shared" ca="1" si="43"/>
        <v>#N/A</v>
      </c>
      <c r="Y275" s="163" t="e">
        <f t="shared" ca="1" si="44"/>
        <v>#N/A</v>
      </c>
    </row>
    <row r="276" spans="12:25" ht="14.4">
      <c r="L276" s="464"/>
      <c r="M276" s="129" t="e">
        <f t="shared" si="45"/>
        <v>#N/A</v>
      </c>
      <c r="N276" s="161">
        <f t="shared" si="50"/>
        <v>13</v>
      </c>
      <c r="O276" s="160" t="e">
        <f t="shared" ca="1" si="46"/>
        <v>#N/A</v>
      </c>
      <c r="P276" s="160" t="e">
        <f t="shared" ca="1" si="47"/>
        <v>#N/A</v>
      </c>
      <c r="Q276" s="160" t="e">
        <f t="shared" ca="1" si="48"/>
        <v>#N/A</v>
      </c>
      <c r="R276" s="160" t="e">
        <f t="shared" ca="1" si="48"/>
        <v>#N/A</v>
      </c>
      <c r="S276" s="160" t="e">
        <f t="shared" ca="1" si="48"/>
        <v>#N/A</v>
      </c>
      <c r="T276" s="160" t="e">
        <f t="shared" ca="1" si="48"/>
        <v>#N/A</v>
      </c>
      <c r="U276" s="160" t="e">
        <f t="shared" ca="1" si="49"/>
        <v>#N/A</v>
      </c>
      <c r="V276" s="163" t="e">
        <f t="shared" ca="1" si="41"/>
        <v>#N/A</v>
      </c>
      <c r="W276" s="163" t="e">
        <f t="shared" ca="1" si="42"/>
        <v>#N/A</v>
      </c>
      <c r="X276" s="163" t="e">
        <f t="shared" ca="1" si="43"/>
        <v>#N/A</v>
      </c>
      <c r="Y276" s="163" t="e">
        <f t="shared" ca="1" si="44"/>
        <v>#N/A</v>
      </c>
    </row>
    <row r="277" spans="12:25" ht="14.4">
      <c r="L277" s="464"/>
      <c r="M277" s="129" t="e">
        <f t="shared" si="45"/>
        <v>#N/A</v>
      </c>
      <c r="N277" s="161">
        <f t="shared" si="50"/>
        <v>13</v>
      </c>
      <c r="O277" s="160" t="e">
        <f t="shared" ca="1" si="46"/>
        <v>#N/A</v>
      </c>
      <c r="P277" s="160" t="e">
        <f t="shared" ca="1" si="47"/>
        <v>#N/A</v>
      </c>
      <c r="Q277" s="160" t="e">
        <f t="shared" ca="1" si="48"/>
        <v>#N/A</v>
      </c>
      <c r="R277" s="160" t="e">
        <f t="shared" ca="1" si="48"/>
        <v>#N/A</v>
      </c>
      <c r="S277" s="160" t="e">
        <f t="shared" ca="1" si="48"/>
        <v>#N/A</v>
      </c>
      <c r="T277" s="160" t="e">
        <f t="shared" ca="1" si="48"/>
        <v>#N/A</v>
      </c>
      <c r="U277" s="160" t="e">
        <f t="shared" ca="1" si="49"/>
        <v>#N/A</v>
      </c>
      <c r="V277" s="163" t="e">
        <f t="shared" ca="1" si="41"/>
        <v>#N/A</v>
      </c>
      <c r="W277" s="163" t="e">
        <f t="shared" ca="1" si="42"/>
        <v>#N/A</v>
      </c>
      <c r="X277" s="163" t="e">
        <f t="shared" ca="1" si="43"/>
        <v>#N/A</v>
      </c>
      <c r="Y277" s="163" t="e">
        <f t="shared" ca="1" si="44"/>
        <v>#N/A</v>
      </c>
    </row>
    <row r="278" spans="12:25" ht="14.4">
      <c r="L278" s="464"/>
      <c r="M278" s="129" t="e">
        <f t="shared" si="45"/>
        <v>#N/A</v>
      </c>
      <c r="N278" s="161">
        <f t="shared" si="50"/>
        <v>13</v>
      </c>
      <c r="O278" s="160" t="e">
        <f t="shared" ca="1" si="46"/>
        <v>#N/A</v>
      </c>
      <c r="P278" s="160" t="e">
        <f t="shared" ca="1" si="47"/>
        <v>#N/A</v>
      </c>
      <c r="Q278" s="160" t="e">
        <f t="shared" ca="1" si="48"/>
        <v>#N/A</v>
      </c>
      <c r="R278" s="160" t="e">
        <f t="shared" ca="1" si="48"/>
        <v>#N/A</v>
      </c>
      <c r="S278" s="160" t="e">
        <f t="shared" ca="1" si="48"/>
        <v>#N/A</v>
      </c>
      <c r="T278" s="160" t="e">
        <f t="shared" ca="1" si="48"/>
        <v>#N/A</v>
      </c>
      <c r="U278" s="160" t="e">
        <f t="shared" ca="1" si="49"/>
        <v>#N/A</v>
      </c>
      <c r="V278" s="163" t="e">
        <f t="shared" ca="1" si="41"/>
        <v>#N/A</v>
      </c>
      <c r="W278" s="163" t="e">
        <f t="shared" ca="1" si="42"/>
        <v>#N/A</v>
      </c>
      <c r="X278" s="163" t="e">
        <f t="shared" ca="1" si="43"/>
        <v>#N/A</v>
      </c>
      <c r="Y278" s="163" t="e">
        <f t="shared" ca="1" si="44"/>
        <v>#N/A</v>
      </c>
    </row>
    <row r="279" spans="12:25" ht="14.4">
      <c r="L279" s="464"/>
      <c r="M279" s="129" t="e">
        <f t="shared" si="45"/>
        <v>#N/A</v>
      </c>
      <c r="N279" s="161">
        <f t="shared" si="50"/>
        <v>13</v>
      </c>
      <c r="O279" s="160" t="e">
        <f t="shared" ca="1" si="46"/>
        <v>#N/A</v>
      </c>
      <c r="P279" s="160" t="e">
        <f t="shared" ca="1" si="47"/>
        <v>#N/A</v>
      </c>
      <c r="Q279" s="160" t="e">
        <f t="shared" ca="1" si="48"/>
        <v>#N/A</v>
      </c>
      <c r="R279" s="160" t="e">
        <f t="shared" ca="1" si="48"/>
        <v>#N/A</v>
      </c>
      <c r="S279" s="160" t="e">
        <f t="shared" ca="1" si="48"/>
        <v>#N/A</v>
      </c>
      <c r="T279" s="160" t="e">
        <f t="shared" ca="1" si="48"/>
        <v>#N/A</v>
      </c>
      <c r="U279" s="160" t="e">
        <f t="shared" ca="1" si="49"/>
        <v>#N/A</v>
      </c>
      <c r="V279" s="163" t="e">
        <f t="shared" ca="1" si="41"/>
        <v>#N/A</v>
      </c>
      <c r="W279" s="163" t="e">
        <f t="shared" ca="1" si="42"/>
        <v>#N/A</v>
      </c>
      <c r="X279" s="163" t="e">
        <f t="shared" ca="1" si="43"/>
        <v>#N/A</v>
      </c>
      <c r="Y279" s="163" t="e">
        <f t="shared" ca="1" si="44"/>
        <v>#N/A</v>
      </c>
    </row>
    <row r="280" spans="12:25" ht="14.4">
      <c r="L280" s="464"/>
      <c r="M280" s="129" t="e">
        <f t="shared" si="45"/>
        <v>#N/A</v>
      </c>
      <c r="N280" s="161">
        <f t="shared" si="50"/>
        <v>13</v>
      </c>
      <c r="O280" s="160" t="e">
        <f t="shared" ca="1" si="46"/>
        <v>#N/A</v>
      </c>
      <c r="P280" s="160" t="e">
        <f t="shared" ca="1" si="47"/>
        <v>#N/A</v>
      </c>
      <c r="Q280" s="160" t="e">
        <f t="shared" ca="1" si="48"/>
        <v>#N/A</v>
      </c>
      <c r="R280" s="160" t="e">
        <f t="shared" ca="1" si="48"/>
        <v>#N/A</v>
      </c>
      <c r="S280" s="160" t="e">
        <f t="shared" ca="1" si="48"/>
        <v>#N/A</v>
      </c>
      <c r="T280" s="160" t="e">
        <f t="shared" ca="1" si="48"/>
        <v>#N/A</v>
      </c>
      <c r="U280" s="160" t="e">
        <f t="shared" ca="1" si="49"/>
        <v>#N/A</v>
      </c>
      <c r="V280" s="163" t="e">
        <f t="shared" ca="1" si="41"/>
        <v>#N/A</v>
      </c>
      <c r="W280" s="163" t="e">
        <f t="shared" ca="1" si="42"/>
        <v>#N/A</v>
      </c>
      <c r="X280" s="163" t="e">
        <f t="shared" ca="1" si="43"/>
        <v>#N/A</v>
      </c>
      <c r="Y280" s="163" t="e">
        <f t="shared" ca="1" si="44"/>
        <v>#N/A</v>
      </c>
    </row>
    <row r="281" spans="12:25" ht="14.4">
      <c r="L281" s="464"/>
      <c r="M281" s="129" t="e">
        <f t="shared" si="45"/>
        <v>#N/A</v>
      </c>
      <c r="N281" s="161">
        <f t="shared" si="50"/>
        <v>13</v>
      </c>
      <c r="O281" s="160" t="e">
        <f t="shared" ca="1" si="46"/>
        <v>#N/A</v>
      </c>
      <c r="P281" s="160" t="e">
        <f t="shared" ca="1" si="47"/>
        <v>#N/A</v>
      </c>
      <c r="Q281" s="160" t="e">
        <f t="shared" ca="1" si="48"/>
        <v>#N/A</v>
      </c>
      <c r="R281" s="160" t="e">
        <f t="shared" ca="1" si="48"/>
        <v>#N/A</v>
      </c>
      <c r="S281" s="160" t="e">
        <f t="shared" ca="1" si="48"/>
        <v>#N/A</v>
      </c>
      <c r="T281" s="160" t="e">
        <f t="shared" ca="1" si="48"/>
        <v>#N/A</v>
      </c>
      <c r="U281" s="160" t="e">
        <f t="shared" ca="1" si="49"/>
        <v>#N/A</v>
      </c>
      <c r="V281" s="163" t="e">
        <f t="shared" ca="1" si="41"/>
        <v>#N/A</v>
      </c>
      <c r="W281" s="163" t="e">
        <f t="shared" ca="1" si="42"/>
        <v>#N/A</v>
      </c>
      <c r="X281" s="163" t="e">
        <f t="shared" ca="1" si="43"/>
        <v>#N/A</v>
      </c>
      <c r="Y281" s="163" t="e">
        <f t="shared" ca="1" si="44"/>
        <v>#N/A</v>
      </c>
    </row>
    <row r="282" spans="12:25" ht="14.4">
      <c r="L282" s="464"/>
      <c r="M282" s="129" t="e">
        <f t="shared" si="45"/>
        <v>#N/A</v>
      </c>
      <c r="N282" s="161">
        <f t="shared" si="50"/>
        <v>13</v>
      </c>
      <c r="O282" s="160" t="e">
        <f t="shared" ca="1" si="46"/>
        <v>#N/A</v>
      </c>
      <c r="P282" s="160" t="e">
        <f t="shared" ca="1" si="47"/>
        <v>#N/A</v>
      </c>
      <c r="Q282" s="160" t="e">
        <f t="shared" ca="1" si="48"/>
        <v>#N/A</v>
      </c>
      <c r="R282" s="160" t="e">
        <f t="shared" ca="1" si="48"/>
        <v>#N/A</v>
      </c>
      <c r="S282" s="160" t="e">
        <f t="shared" ca="1" si="48"/>
        <v>#N/A</v>
      </c>
      <c r="T282" s="160" t="e">
        <f t="shared" ca="1" si="48"/>
        <v>#N/A</v>
      </c>
      <c r="U282" s="160" t="e">
        <f t="shared" ca="1" si="49"/>
        <v>#N/A</v>
      </c>
      <c r="V282" s="163" t="e">
        <f t="shared" ca="1" si="41"/>
        <v>#N/A</v>
      </c>
      <c r="W282" s="163" t="e">
        <f t="shared" ca="1" si="42"/>
        <v>#N/A</v>
      </c>
      <c r="X282" s="163" t="e">
        <f t="shared" ca="1" si="43"/>
        <v>#N/A</v>
      </c>
      <c r="Y282" s="163" t="e">
        <f t="shared" ca="1" si="44"/>
        <v>#N/A</v>
      </c>
    </row>
    <row r="283" spans="12:25" ht="14.4">
      <c r="L283" s="464"/>
      <c r="M283" s="129" t="e">
        <f t="shared" si="45"/>
        <v>#N/A</v>
      </c>
      <c r="N283" s="161">
        <f t="shared" si="50"/>
        <v>13</v>
      </c>
      <c r="O283" s="160" t="e">
        <f t="shared" ca="1" si="46"/>
        <v>#N/A</v>
      </c>
      <c r="P283" s="160" t="e">
        <f t="shared" ca="1" si="47"/>
        <v>#N/A</v>
      </c>
      <c r="Q283" s="160" t="e">
        <f t="shared" ca="1" si="48"/>
        <v>#N/A</v>
      </c>
      <c r="R283" s="160" t="e">
        <f t="shared" ca="1" si="48"/>
        <v>#N/A</v>
      </c>
      <c r="S283" s="160" t="e">
        <f t="shared" ca="1" si="48"/>
        <v>#N/A</v>
      </c>
      <c r="T283" s="160" t="e">
        <f t="shared" ca="1" si="48"/>
        <v>#N/A</v>
      </c>
      <c r="U283" s="160" t="e">
        <f t="shared" ca="1" si="49"/>
        <v>#N/A</v>
      </c>
      <c r="V283" s="163" t="e">
        <f t="shared" ca="1" si="41"/>
        <v>#N/A</v>
      </c>
      <c r="W283" s="163" t="e">
        <f t="shared" ca="1" si="42"/>
        <v>#N/A</v>
      </c>
      <c r="X283" s="163" t="e">
        <f t="shared" ca="1" si="43"/>
        <v>#N/A</v>
      </c>
      <c r="Y283" s="163" t="e">
        <f t="shared" ca="1" si="44"/>
        <v>#N/A</v>
      </c>
    </row>
    <row r="284" spans="12:25" ht="14.4">
      <c r="L284" s="464"/>
      <c r="M284" s="129" t="e">
        <f t="shared" si="45"/>
        <v>#N/A</v>
      </c>
      <c r="N284" s="161">
        <f t="shared" si="50"/>
        <v>13</v>
      </c>
      <c r="O284" s="160" t="e">
        <f t="shared" ca="1" si="46"/>
        <v>#N/A</v>
      </c>
      <c r="P284" s="160" t="e">
        <f t="shared" ca="1" si="47"/>
        <v>#N/A</v>
      </c>
      <c r="Q284" s="160" t="e">
        <f t="shared" ca="1" si="48"/>
        <v>#N/A</v>
      </c>
      <c r="R284" s="160" t="e">
        <f t="shared" ca="1" si="48"/>
        <v>#N/A</v>
      </c>
      <c r="S284" s="160" t="e">
        <f t="shared" ca="1" si="48"/>
        <v>#N/A</v>
      </c>
      <c r="T284" s="160" t="e">
        <f t="shared" ca="1" si="48"/>
        <v>#N/A</v>
      </c>
      <c r="U284" s="160" t="e">
        <f t="shared" ca="1" si="49"/>
        <v>#N/A</v>
      </c>
      <c r="V284" s="163" t="e">
        <f t="shared" ca="1" si="41"/>
        <v>#N/A</v>
      </c>
      <c r="W284" s="163" t="e">
        <f t="shared" ca="1" si="42"/>
        <v>#N/A</v>
      </c>
      <c r="X284" s="163" t="e">
        <f t="shared" ca="1" si="43"/>
        <v>#N/A</v>
      </c>
      <c r="Y284" s="163" t="e">
        <f t="shared" ca="1" si="44"/>
        <v>#N/A</v>
      </c>
    </row>
    <row r="285" spans="12:25" ht="14.4">
      <c r="L285" s="464"/>
      <c r="M285" s="129" t="e">
        <f t="shared" si="45"/>
        <v>#N/A</v>
      </c>
      <c r="N285" s="161">
        <f t="shared" si="50"/>
        <v>13</v>
      </c>
      <c r="O285" s="160" t="e">
        <f t="shared" ca="1" si="46"/>
        <v>#N/A</v>
      </c>
      <c r="P285" s="160" t="e">
        <f t="shared" ca="1" si="47"/>
        <v>#N/A</v>
      </c>
      <c r="Q285" s="160" t="e">
        <f t="shared" ca="1" si="48"/>
        <v>#N/A</v>
      </c>
      <c r="R285" s="160" t="e">
        <f t="shared" ca="1" si="48"/>
        <v>#N/A</v>
      </c>
      <c r="S285" s="160" t="e">
        <f t="shared" ca="1" si="48"/>
        <v>#N/A</v>
      </c>
      <c r="T285" s="160" t="e">
        <f t="shared" ca="1" si="48"/>
        <v>#N/A</v>
      </c>
      <c r="U285" s="160" t="e">
        <f t="shared" ca="1" si="49"/>
        <v>#N/A</v>
      </c>
      <c r="V285" s="163" t="e">
        <f t="shared" ca="1" si="41"/>
        <v>#N/A</v>
      </c>
      <c r="W285" s="163" t="e">
        <f t="shared" ca="1" si="42"/>
        <v>#N/A</v>
      </c>
      <c r="X285" s="163" t="e">
        <f t="shared" ca="1" si="43"/>
        <v>#N/A</v>
      </c>
      <c r="Y285" s="163" t="e">
        <f t="shared" ca="1" si="44"/>
        <v>#N/A</v>
      </c>
    </row>
    <row r="286" spans="12:25" ht="14.4">
      <c r="L286" s="464"/>
      <c r="M286" s="129" t="e">
        <f t="shared" si="45"/>
        <v>#N/A</v>
      </c>
      <c r="N286" s="161">
        <f t="shared" si="50"/>
        <v>13</v>
      </c>
      <c r="O286" s="160" t="e">
        <f t="shared" ca="1" si="46"/>
        <v>#N/A</v>
      </c>
      <c r="P286" s="160" t="e">
        <f t="shared" ca="1" si="47"/>
        <v>#N/A</v>
      </c>
      <c r="Q286" s="160" t="e">
        <f t="shared" ca="1" si="48"/>
        <v>#N/A</v>
      </c>
      <c r="R286" s="160" t="e">
        <f t="shared" ca="1" si="48"/>
        <v>#N/A</v>
      </c>
      <c r="S286" s="160" t="e">
        <f t="shared" ca="1" si="48"/>
        <v>#N/A</v>
      </c>
      <c r="T286" s="160" t="e">
        <f t="shared" ca="1" si="48"/>
        <v>#N/A</v>
      </c>
      <c r="U286" s="160" t="e">
        <f t="shared" ca="1" si="49"/>
        <v>#N/A</v>
      </c>
      <c r="V286" s="163" t="e">
        <f t="shared" ca="1" si="41"/>
        <v>#N/A</v>
      </c>
      <c r="W286" s="163" t="e">
        <f t="shared" ca="1" si="42"/>
        <v>#N/A</v>
      </c>
      <c r="X286" s="163" t="e">
        <f t="shared" ca="1" si="43"/>
        <v>#N/A</v>
      </c>
      <c r="Y286" s="163" t="e">
        <f t="shared" ca="1" si="44"/>
        <v>#N/A</v>
      </c>
    </row>
    <row r="287" spans="12:25" ht="14.4">
      <c r="L287" s="464"/>
      <c r="M287" s="129" t="e">
        <f t="shared" si="45"/>
        <v>#N/A</v>
      </c>
      <c r="N287" s="161">
        <f t="shared" si="50"/>
        <v>13</v>
      </c>
      <c r="O287" s="160" t="e">
        <f t="shared" ca="1" si="46"/>
        <v>#N/A</v>
      </c>
      <c r="P287" s="160" t="e">
        <f t="shared" ca="1" si="47"/>
        <v>#N/A</v>
      </c>
      <c r="Q287" s="160" t="e">
        <f t="shared" ca="1" si="48"/>
        <v>#N/A</v>
      </c>
      <c r="R287" s="160" t="e">
        <f t="shared" ca="1" si="48"/>
        <v>#N/A</v>
      </c>
      <c r="S287" s="160" t="e">
        <f t="shared" ca="1" si="48"/>
        <v>#N/A</v>
      </c>
      <c r="T287" s="160" t="e">
        <f t="shared" ca="1" si="48"/>
        <v>#N/A</v>
      </c>
      <c r="U287" s="160" t="e">
        <f t="shared" ca="1" si="49"/>
        <v>#N/A</v>
      </c>
      <c r="V287" s="163" t="e">
        <f t="shared" ref="V287:V350" ca="1" si="51">IF(Q287=0,0,IF(S287=180,IF(R287=0,"Slab on Grade",IF(R287=1,"Exposed Floor",IF(R287=3,"Internal Floor",U287))),IF(S287&lt;45,IF(R287=3,"Internal Ceiling",IF(R287=1,"Roof",U287)))))</f>
        <v>#N/A</v>
      </c>
      <c r="W287" s="163" t="e">
        <f t="shared" ref="W287:W350" ca="1" si="52">IF(ISNUMBER(SEARCH($W$29,U287))=TRUE,IF(ISNUMBER(SEARCH($W$27,U287))=TRUE,IF(R287=1,"eFrame",IF(R287=3,"iFrame")),IF(R287=1,"eWindow",IF(R287=3,"iWindow"))),U287)</f>
        <v>#N/A</v>
      </c>
      <c r="X287" s="163" t="e">
        <f t="shared" ref="X287:X350" ca="1" si="53">IF(ISNUMBER(SEARCH($X$29,U287))=TRUE,IF(ISNUMBER(SEARCH($X$27,U287))=TRUE,IF(R287=1,"eFrameDoor",IF(R287=3,"iFrameDoor")),IF(R287=1,"eDoor",IF(R287=3,"iDoor"))),U287)</f>
        <v>#N/A</v>
      </c>
      <c r="Y287" s="163" t="e">
        <f t="shared" ref="Y287:Y350" ca="1" si="54">IF(ISNUMBER(SEARCH($W$29,U287))=TRUE,"Substract",IF(ISNUMBER(SEARCH($X$29,U287))=TRUE, "Sunstract",IF(S287=90,IF(R287=1,"External Wall",IF(R287=3,"Internal Wall",IF(R287=0,"Below Grade Wall",U287))),V287)))</f>
        <v>#N/A</v>
      </c>
    </row>
    <row r="288" spans="12:25" ht="14.4">
      <c r="L288" s="464"/>
      <c r="M288" s="129" t="e">
        <f t="shared" ref="M288:M351" si="55">IF(M287="end","end",IF(M287=$K$1,"end",M287+1))</f>
        <v>#N/A</v>
      </c>
      <c r="N288" s="161">
        <f t="shared" si="50"/>
        <v>13</v>
      </c>
      <c r="O288" s="160" t="e">
        <f t="shared" ca="1" si="46"/>
        <v>#N/A</v>
      </c>
      <c r="P288" s="160" t="e">
        <f t="shared" ca="1" si="47"/>
        <v>#N/A</v>
      </c>
      <c r="Q288" s="160" t="e">
        <f t="shared" ca="1" si="48"/>
        <v>#N/A</v>
      </c>
      <c r="R288" s="160" t="e">
        <f t="shared" ca="1" si="48"/>
        <v>#N/A</v>
      </c>
      <c r="S288" s="160" t="e">
        <f t="shared" ca="1" si="48"/>
        <v>#N/A</v>
      </c>
      <c r="T288" s="160" t="e">
        <f t="shared" ca="1" si="48"/>
        <v>#N/A</v>
      </c>
      <c r="U288" s="160" t="e">
        <f t="shared" ca="1" si="49"/>
        <v>#N/A</v>
      </c>
      <c r="V288" s="163" t="e">
        <f t="shared" ca="1" si="51"/>
        <v>#N/A</v>
      </c>
      <c r="W288" s="163" t="e">
        <f t="shared" ca="1" si="52"/>
        <v>#N/A</v>
      </c>
      <c r="X288" s="163" t="e">
        <f t="shared" ca="1" si="53"/>
        <v>#N/A</v>
      </c>
      <c r="Y288" s="163" t="e">
        <f t="shared" ca="1" si="54"/>
        <v>#N/A</v>
      </c>
    </row>
    <row r="289" spans="12:25" ht="14.4">
      <c r="L289" s="464"/>
      <c r="M289" s="129" t="e">
        <f t="shared" si="55"/>
        <v>#N/A</v>
      </c>
      <c r="N289" s="161">
        <f t="shared" si="50"/>
        <v>13</v>
      </c>
      <c r="O289" s="160" t="e">
        <f t="shared" ca="1" si="46"/>
        <v>#N/A</v>
      </c>
      <c r="P289" s="160" t="e">
        <f t="shared" ca="1" si="47"/>
        <v>#N/A</v>
      </c>
      <c r="Q289" s="160" t="e">
        <f t="shared" ca="1" si="48"/>
        <v>#N/A</v>
      </c>
      <c r="R289" s="160" t="e">
        <f t="shared" ca="1" si="48"/>
        <v>#N/A</v>
      </c>
      <c r="S289" s="160" t="e">
        <f t="shared" ca="1" si="48"/>
        <v>#N/A</v>
      </c>
      <c r="T289" s="160" t="e">
        <f t="shared" ca="1" si="48"/>
        <v>#N/A</v>
      </c>
      <c r="U289" s="160" t="e">
        <f t="shared" ca="1" si="49"/>
        <v>#N/A</v>
      </c>
      <c r="V289" s="163" t="e">
        <f t="shared" ca="1" si="51"/>
        <v>#N/A</v>
      </c>
      <c r="W289" s="163" t="e">
        <f t="shared" ca="1" si="52"/>
        <v>#N/A</v>
      </c>
      <c r="X289" s="163" t="e">
        <f t="shared" ca="1" si="53"/>
        <v>#N/A</v>
      </c>
      <c r="Y289" s="163" t="e">
        <f t="shared" ca="1" si="54"/>
        <v>#N/A</v>
      </c>
    </row>
    <row r="290" spans="12:25" ht="14.4">
      <c r="L290" s="464"/>
      <c r="M290" s="129" t="e">
        <f t="shared" si="55"/>
        <v>#N/A</v>
      </c>
      <c r="N290" s="161">
        <f t="shared" si="50"/>
        <v>13</v>
      </c>
      <c r="O290" s="160" t="e">
        <f t="shared" ca="1" si="46"/>
        <v>#N/A</v>
      </c>
      <c r="P290" s="160" t="e">
        <f t="shared" ca="1" si="47"/>
        <v>#N/A</v>
      </c>
      <c r="Q290" s="160" t="e">
        <f t="shared" ca="1" si="48"/>
        <v>#N/A</v>
      </c>
      <c r="R290" s="160" t="e">
        <f t="shared" ca="1" si="48"/>
        <v>#N/A</v>
      </c>
      <c r="S290" s="160" t="e">
        <f t="shared" ca="1" si="48"/>
        <v>#N/A</v>
      </c>
      <c r="T290" s="160" t="e">
        <f t="shared" ca="1" si="48"/>
        <v>#N/A</v>
      </c>
      <c r="U290" s="160" t="e">
        <f t="shared" ca="1" si="49"/>
        <v>#N/A</v>
      </c>
      <c r="V290" s="163" t="e">
        <f t="shared" ca="1" si="51"/>
        <v>#N/A</v>
      </c>
      <c r="W290" s="163" t="e">
        <f t="shared" ca="1" si="52"/>
        <v>#N/A</v>
      </c>
      <c r="X290" s="163" t="e">
        <f t="shared" ca="1" si="53"/>
        <v>#N/A</v>
      </c>
      <c r="Y290" s="163" t="e">
        <f t="shared" ca="1" si="54"/>
        <v>#N/A</v>
      </c>
    </row>
    <row r="291" spans="12:25" ht="14.4">
      <c r="L291" s="464"/>
      <c r="M291" s="129" t="e">
        <f t="shared" si="55"/>
        <v>#N/A</v>
      </c>
      <c r="N291" s="161">
        <f t="shared" si="50"/>
        <v>13</v>
      </c>
      <c r="O291" s="160" t="e">
        <f t="shared" ca="1" si="46"/>
        <v>#N/A</v>
      </c>
      <c r="P291" s="160" t="e">
        <f t="shared" ca="1" si="47"/>
        <v>#N/A</v>
      </c>
      <c r="Q291" s="160" t="e">
        <f t="shared" ca="1" si="48"/>
        <v>#N/A</v>
      </c>
      <c r="R291" s="160" t="e">
        <f t="shared" ca="1" si="48"/>
        <v>#N/A</v>
      </c>
      <c r="S291" s="160" t="e">
        <f t="shared" ca="1" si="48"/>
        <v>#N/A</v>
      </c>
      <c r="T291" s="160" t="e">
        <f t="shared" ca="1" si="48"/>
        <v>#N/A</v>
      </c>
      <c r="U291" s="160" t="e">
        <f t="shared" ca="1" si="49"/>
        <v>#N/A</v>
      </c>
      <c r="V291" s="163" t="e">
        <f t="shared" ca="1" si="51"/>
        <v>#N/A</v>
      </c>
      <c r="W291" s="163" t="e">
        <f t="shared" ca="1" si="52"/>
        <v>#N/A</v>
      </c>
      <c r="X291" s="163" t="e">
        <f t="shared" ca="1" si="53"/>
        <v>#N/A</v>
      </c>
      <c r="Y291" s="163" t="e">
        <f t="shared" ca="1" si="54"/>
        <v>#N/A</v>
      </c>
    </row>
    <row r="292" spans="12:25" ht="14.4">
      <c r="L292" s="464"/>
      <c r="M292" s="129" t="e">
        <f t="shared" si="55"/>
        <v>#N/A</v>
      </c>
      <c r="N292" s="161">
        <f t="shared" si="50"/>
        <v>13</v>
      </c>
      <c r="O292" s="160" t="e">
        <f t="shared" ca="1" si="46"/>
        <v>#N/A</v>
      </c>
      <c r="P292" s="160" t="e">
        <f t="shared" ca="1" si="47"/>
        <v>#N/A</v>
      </c>
      <c r="Q292" s="160" t="e">
        <f t="shared" ca="1" si="48"/>
        <v>#N/A</v>
      </c>
      <c r="R292" s="160" t="e">
        <f t="shared" ca="1" si="48"/>
        <v>#N/A</v>
      </c>
      <c r="S292" s="160" t="e">
        <f t="shared" ca="1" si="48"/>
        <v>#N/A</v>
      </c>
      <c r="T292" s="160" t="e">
        <f t="shared" ca="1" si="48"/>
        <v>#N/A</v>
      </c>
      <c r="U292" s="160" t="e">
        <f t="shared" ca="1" si="49"/>
        <v>#N/A</v>
      </c>
      <c r="V292" s="163" t="e">
        <f t="shared" ca="1" si="51"/>
        <v>#N/A</v>
      </c>
      <c r="W292" s="163" t="e">
        <f t="shared" ca="1" si="52"/>
        <v>#N/A</v>
      </c>
      <c r="X292" s="163" t="e">
        <f t="shared" ca="1" si="53"/>
        <v>#N/A</v>
      </c>
      <c r="Y292" s="163" t="e">
        <f t="shared" ca="1" si="54"/>
        <v>#N/A</v>
      </c>
    </row>
    <row r="293" spans="12:25" ht="14.4">
      <c r="L293" s="464"/>
      <c r="M293" s="129" t="e">
        <f t="shared" si="55"/>
        <v>#N/A</v>
      </c>
      <c r="N293" s="161">
        <f t="shared" si="50"/>
        <v>13</v>
      </c>
      <c r="O293" s="160" t="e">
        <f t="shared" ca="1" si="46"/>
        <v>#N/A</v>
      </c>
      <c r="P293" s="160" t="e">
        <f t="shared" ca="1" si="47"/>
        <v>#N/A</v>
      </c>
      <c r="Q293" s="160" t="e">
        <f t="shared" ca="1" si="48"/>
        <v>#N/A</v>
      </c>
      <c r="R293" s="160" t="e">
        <f t="shared" ca="1" si="48"/>
        <v>#N/A</v>
      </c>
      <c r="S293" s="160" t="e">
        <f t="shared" ca="1" si="48"/>
        <v>#N/A</v>
      </c>
      <c r="T293" s="160" t="e">
        <f t="shared" ca="1" si="48"/>
        <v>#N/A</v>
      </c>
      <c r="U293" s="160" t="e">
        <f t="shared" ca="1" si="49"/>
        <v>#N/A</v>
      </c>
      <c r="V293" s="163" t="e">
        <f t="shared" ca="1" si="51"/>
        <v>#N/A</v>
      </c>
      <c r="W293" s="163" t="e">
        <f t="shared" ca="1" si="52"/>
        <v>#N/A</v>
      </c>
      <c r="X293" s="163" t="e">
        <f t="shared" ca="1" si="53"/>
        <v>#N/A</v>
      </c>
      <c r="Y293" s="163" t="e">
        <f t="shared" ca="1" si="54"/>
        <v>#N/A</v>
      </c>
    </row>
    <row r="294" spans="12:25" ht="14.4">
      <c r="L294" s="464"/>
      <c r="M294" s="129" t="e">
        <f t="shared" si="55"/>
        <v>#N/A</v>
      </c>
      <c r="N294" s="161">
        <f t="shared" si="50"/>
        <v>13</v>
      </c>
      <c r="O294" s="160" t="e">
        <f t="shared" ca="1" si="46"/>
        <v>#N/A</v>
      </c>
      <c r="P294" s="160" t="e">
        <f t="shared" ca="1" si="47"/>
        <v>#N/A</v>
      </c>
      <c r="Q294" s="160" t="e">
        <f t="shared" ca="1" si="48"/>
        <v>#N/A</v>
      </c>
      <c r="R294" s="160" t="e">
        <f t="shared" ca="1" si="48"/>
        <v>#N/A</v>
      </c>
      <c r="S294" s="160" t="e">
        <f t="shared" ca="1" si="48"/>
        <v>#N/A</v>
      </c>
      <c r="T294" s="160" t="e">
        <f t="shared" ca="1" si="48"/>
        <v>#N/A</v>
      </c>
      <c r="U294" s="160" t="e">
        <f t="shared" ca="1" si="49"/>
        <v>#N/A</v>
      </c>
      <c r="V294" s="163" t="e">
        <f t="shared" ca="1" si="51"/>
        <v>#N/A</v>
      </c>
      <c r="W294" s="163" t="e">
        <f t="shared" ca="1" si="52"/>
        <v>#N/A</v>
      </c>
      <c r="X294" s="163" t="e">
        <f t="shared" ca="1" si="53"/>
        <v>#N/A</v>
      </c>
      <c r="Y294" s="163" t="e">
        <f t="shared" ca="1" si="54"/>
        <v>#N/A</v>
      </c>
    </row>
    <row r="295" spans="12:25" ht="14.4">
      <c r="L295" s="464"/>
      <c r="M295" s="129" t="e">
        <f t="shared" si="55"/>
        <v>#N/A</v>
      </c>
      <c r="N295" s="161">
        <f t="shared" si="50"/>
        <v>13</v>
      </c>
      <c r="O295" s="160" t="e">
        <f t="shared" ca="1" si="46"/>
        <v>#N/A</v>
      </c>
      <c r="P295" s="160" t="e">
        <f t="shared" ca="1" si="47"/>
        <v>#N/A</v>
      </c>
      <c r="Q295" s="160" t="e">
        <f t="shared" ca="1" si="48"/>
        <v>#N/A</v>
      </c>
      <c r="R295" s="160" t="e">
        <f t="shared" ca="1" si="48"/>
        <v>#N/A</v>
      </c>
      <c r="S295" s="160" t="e">
        <f t="shared" ca="1" si="48"/>
        <v>#N/A</v>
      </c>
      <c r="T295" s="160" t="e">
        <f t="shared" ca="1" si="48"/>
        <v>#N/A</v>
      </c>
      <c r="U295" s="160" t="e">
        <f t="shared" ca="1" si="49"/>
        <v>#N/A</v>
      </c>
      <c r="V295" s="163" t="e">
        <f t="shared" ca="1" si="51"/>
        <v>#N/A</v>
      </c>
      <c r="W295" s="163" t="e">
        <f t="shared" ca="1" si="52"/>
        <v>#N/A</v>
      </c>
      <c r="X295" s="163" t="e">
        <f t="shared" ca="1" si="53"/>
        <v>#N/A</v>
      </c>
      <c r="Y295" s="163" t="e">
        <f t="shared" ca="1" si="54"/>
        <v>#N/A</v>
      </c>
    </row>
    <row r="296" spans="12:25" ht="14.4">
      <c r="L296" s="464"/>
      <c r="M296" s="129" t="e">
        <f t="shared" si="55"/>
        <v>#N/A</v>
      </c>
      <c r="N296" s="161">
        <f t="shared" si="50"/>
        <v>13</v>
      </c>
      <c r="O296" s="160" t="e">
        <f t="shared" ca="1" si="46"/>
        <v>#N/A</v>
      </c>
      <c r="P296" s="160" t="e">
        <f t="shared" ca="1" si="47"/>
        <v>#N/A</v>
      </c>
      <c r="Q296" s="160" t="e">
        <f t="shared" ca="1" si="48"/>
        <v>#N/A</v>
      </c>
      <c r="R296" s="160" t="e">
        <f t="shared" ca="1" si="48"/>
        <v>#N/A</v>
      </c>
      <c r="S296" s="160" t="e">
        <f t="shared" ca="1" si="48"/>
        <v>#N/A</v>
      </c>
      <c r="T296" s="160" t="e">
        <f t="shared" ca="1" si="48"/>
        <v>#N/A</v>
      </c>
      <c r="U296" s="160" t="e">
        <f t="shared" ca="1" si="49"/>
        <v>#N/A</v>
      </c>
      <c r="V296" s="163" t="e">
        <f t="shared" ca="1" si="51"/>
        <v>#N/A</v>
      </c>
      <c r="W296" s="163" t="e">
        <f t="shared" ca="1" si="52"/>
        <v>#N/A</v>
      </c>
      <c r="X296" s="163" t="e">
        <f t="shared" ca="1" si="53"/>
        <v>#N/A</v>
      </c>
      <c r="Y296" s="163" t="e">
        <f t="shared" ca="1" si="54"/>
        <v>#N/A</v>
      </c>
    </row>
    <row r="297" spans="12:25" ht="14.4">
      <c r="L297" s="464"/>
      <c r="M297" s="129" t="e">
        <f t="shared" si="55"/>
        <v>#N/A</v>
      </c>
      <c r="N297" s="161">
        <f t="shared" si="50"/>
        <v>13</v>
      </c>
      <c r="O297" s="160" t="e">
        <f t="shared" ref="O297:O360" ca="1" si="56">IF($M297="end",0,OFFSET($A$1,$M297-1,O$29,1,1))</f>
        <v>#N/A</v>
      </c>
      <c r="P297" s="160" t="e">
        <f t="shared" ca="1" si="47"/>
        <v>#N/A</v>
      </c>
      <c r="Q297" s="160" t="e">
        <f t="shared" ca="1" si="48"/>
        <v>#N/A</v>
      </c>
      <c r="R297" s="160" t="e">
        <f t="shared" ca="1" si="48"/>
        <v>#N/A</v>
      </c>
      <c r="S297" s="160" t="e">
        <f t="shared" ca="1" si="48"/>
        <v>#N/A</v>
      </c>
      <c r="T297" s="160" t="e">
        <f t="shared" ca="1" si="48"/>
        <v>#N/A</v>
      </c>
      <c r="U297" s="160" t="e">
        <f t="shared" ca="1" si="49"/>
        <v>#N/A</v>
      </c>
      <c r="V297" s="163" t="e">
        <f t="shared" ca="1" si="51"/>
        <v>#N/A</v>
      </c>
      <c r="W297" s="163" t="e">
        <f t="shared" ca="1" si="52"/>
        <v>#N/A</v>
      </c>
      <c r="X297" s="163" t="e">
        <f t="shared" ca="1" si="53"/>
        <v>#N/A</v>
      </c>
      <c r="Y297" s="163" t="e">
        <f t="shared" ca="1" si="54"/>
        <v>#N/A</v>
      </c>
    </row>
    <row r="298" spans="12:25" ht="14.4">
      <c r="L298" s="464"/>
      <c r="M298" s="129" t="e">
        <f t="shared" si="55"/>
        <v>#N/A</v>
      </c>
      <c r="N298" s="161">
        <f t="shared" si="50"/>
        <v>13</v>
      </c>
      <c r="O298" s="160" t="e">
        <f t="shared" ca="1" si="56"/>
        <v>#N/A</v>
      </c>
      <c r="P298" s="160" t="e">
        <f t="shared" ca="1" si="47"/>
        <v>#N/A</v>
      </c>
      <c r="Q298" s="160" t="e">
        <f t="shared" ca="1" si="48"/>
        <v>#N/A</v>
      </c>
      <c r="R298" s="160" t="e">
        <f t="shared" ca="1" si="48"/>
        <v>#N/A</v>
      </c>
      <c r="S298" s="160" t="e">
        <f t="shared" ca="1" si="48"/>
        <v>#N/A</v>
      </c>
      <c r="T298" s="160" t="e">
        <f t="shared" ca="1" si="48"/>
        <v>#N/A</v>
      </c>
      <c r="U298" s="160" t="e">
        <f t="shared" ca="1" si="49"/>
        <v>#N/A</v>
      </c>
      <c r="V298" s="163" t="e">
        <f t="shared" ca="1" si="51"/>
        <v>#N/A</v>
      </c>
      <c r="W298" s="163" t="e">
        <f t="shared" ca="1" si="52"/>
        <v>#N/A</v>
      </c>
      <c r="X298" s="163" t="e">
        <f t="shared" ca="1" si="53"/>
        <v>#N/A</v>
      </c>
      <c r="Y298" s="163" t="e">
        <f t="shared" ca="1" si="54"/>
        <v>#N/A</v>
      </c>
    </row>
    <row r="299" spans="12:25" ht="14.4">
      <c r="L299" s="464"/>
      <c r="M299" s="129" t="e">
        <f t="shared" si="55"/>
        <v>#N/A</v>
      </c>
      <c r="N299" s="161">
        <f t="shared" si="50"/>
        <v>13</v>
      </c>
      <c r="O299" s="160" t="e">
        <f t="shared" ca="1" si="56"/>
        <v>#N/A</v>
      </c>
      <c r="P299" s="160" t="e">
        <f t="shared" ca="1" si="47"/>
        <v>#N/A</v>
      </c>
      <c r="Q299" s="160" t="e">
        <f t="shared" ca="1" si="48"/>
        <v>#N/A</v>
      </c>
      <c r="R299" s="160" t="e">
        <f t="shared" ca="1" si="48"/>
        <v>#N/A</v>
      </c>
      <c r="S299" s="160" t="e">
        <f t="shared" ca="1" si="48"/>
        <v>#N/A</v>
      </c>
      <c r="T299" s="160" t="e">
        <f t="shared" ca="1" si="48"/>
        <v>#N/A</v>
      </c>
      <c r="U299" s="160" t="e">
        <f t="shared" ca="1" si="49"/>
        <v>#N/A</v>
      </c>
      <c r="V299" s="163" t="e">
        <f t="shared" ca="1" si="51"/>
        <v>#N/A</v>
      </c>
      <c r="W299" s="163" t="e">
        <f t="shared" ca="1" si="52"/>
        <v>#N/A</v>
      </c>
      <c r="X299" s="163" t="e">
        <f t="shared" ca="1" si="53"/>
        <v>#N/A</v>
      </c>
      <c r="Y299" s="163" t="e">
        <f t="shared" ca="1" si="54"/>
        <v>#N/A</v>
      </c>
    </row>
    <row r="300" spans="12:25" ht="14.4">
      <c r="L300" s="464"/>
      <c r="M300" s="129" t="e">
        <f t="shared" si="55"/>
        <v>#N/A</v>
      </c>
      <c r="N300" s="161">
        <f t="shared" si="50"/>
        <v>13</v>
      </c>
      <c r="O300" s="160" t="e">
        <f t="shared" ca="1" si="56"/>
        <v>#N/A</v>
      </c>
      <c r="P300" s="160" t="e">
        <f t="shared" ca="1" si="47"/>
        <v>#N/A</v>
      </c>
      <c r="Q300" s="160" t="e">
        <f t="shared" ca="1" si="48"/>
        <v>#N/A</v>
      </c>
      <c r="R300" s="160" t="e">
        <f t="shared" ca="1" si="48"/>
        <v>#N/A</v>
      </c>
      <c r="S300" s="160" t="e">
        <f t="shared" ca="1" si="48"/>
        <v>#N/A</v>
      </c>
      <c r="T300" s="160" t="e">
        <f t="shared" ca="1" si="48"/>
        <v>#N/A</v>
      </c>
      <c r="U300" s="160" t="e">
        <f t="shared" ca="1" si="49"/>
        <v>#N/A</v>
      </c>
      <c r="V300" s="163" t="e">
        <f t="shared" ca="1" si="51"/>
        <v>#N/A</v>
      </c>
      <c r="W300" s="163" t="e">
        <f t="shared" ca="1" si="52"/>
        <v>#N/A</v>
      </c>
      <c r="X300" s="163" t="e">
        <f t="shared" ca="1" si="53"/>
        <v>#N/A</v>
      </c>
      <c r="Y300" s="163" t="e">
        <f t="shared" ca="1" si="54"/>
        <v>#N/A</v>
      </c>
    </row>
    <row r="301" spans="12:25" ht="14.4">
      <c r="L301" s="464"/>
      <c r="M301" s="129" t="e">
        <f t="shared" si="55"/>
        <v>#N/A</v>
      </c>
      <c r="N301" s="161">
        <f t="shared" si="50"/>
        <v>13</v>
      </c>
      <c r="O301" s="160" t="e">
        <f t="shared" ca="1" si="56"/>
        <v>#N/A</v>
      </c>
      <c r="P301" s="160" t="e">
        <f t="shared" ca="1" si="47"/>
        <v>#N/A</v>
      </c>
      <c r="Q301" s="160" t="e">
        <f t="shared" ca="1" si="48"/>
        <v>#N/A</v>
      </c>
      <c r="R301" s="160" t="e">
        <f t="shared" ca="1" si="48"/>
        <v>#N/A</v>
      </c>
      <c r="S301" s="160" t="e">
        <f t="shared" ca="1" si="48"/>
        <v>#N/A</v>
      </c>
      <c r="T301" s="160" t="e">
        <f t="shared" ca="1" si="48"/>
        <v>#N/A</v>
      </c>
      <c r="U301" s="160" t="e">
        <f t="shared" ca="1" si="49"/>
        <v>#N/A</v>
      </c>
      <c r="V301" s="163" t="e">
        <f t="shared" ca="1" si="51"/>
        <v>#N/A</v>
      </c>
      <c r="W301" s="163" t="e">
        <f t="shared" ca="1" si="52"/>
        <v>#N/A</v>
      </c>
      <c r="X301" s="163" t="e">
        <f t="shared" ca="1" si="53"/>
        <v>#N/A</v>
      </c>
      <c r="Y301" s="163" t="e">
        <f t="shared" ca="1" si="54"/>
        <v>#N/A</v>
      </c>
    </row>
    <row r="302" spans="12:25" ht="14.4">
      <c r="L302" s="464"/>
      <c r="M302" s="129" t="e">
        <f t="shared" si="55"/>
        <v>#N/A</v>
      </c>
      <c r="N302" s="161">
        <f t="shared" si="50"/>
        <v>13</v>
      </c>
      <c r="O302" s="160" t="e">
        <f t="shared" ca="1" si="56"/>
        <v>#N/A</v>
      </c>
      <c r="P302" s="160" t="e">
        <f t="shared" ca="1" si="47"/>
        <v>#N/A</v>
      </c>
      <c r="Q302" s="160" t="e">
        <f t="shared" ca="1" si="48"/>
        <v>#N/A</v>
      </c>
      <c r="R302" s="160" t="e">
        <f t="shared" ca="1" si="48"/>
        <v>#N/A</v>
      </c>
      <c r="S302" s="160" t="e">
        <f t="shared" ca="1" si="48"/>
        <v>#N/A</v>
      </c>
      <c r="T302" s="160" t="e">
        <f t="shared" ca="1" si="48"/>
        <v>#N/A</v>
      </c>
      <c r="U302" s="160" t="e">
        <f t="shared" ca="1" si="49"/>
        <v>#N/A</v>
      </c>
      <c r="V302" s="163" t="e">
        <f t="shared" ca="1" si="51"/>
        <v>#N/A</v>
      </c>
      <c r="W302" s="163" t="e">
        <f t="shared" ca="1" si="52"/>
        <v>#N/A</v>
      </c>
      <c r="X302" s="163" t="e">
        <f t="shared" ca="1" si="53"/>
        <v>#N/A</v>
      </c>
      <c r="Y302" s="163" t="e">
        <f t="shared" ca="1" si="54"/>
        <v>#N/A</v>
      </c>
    </row>
    <row r="303" spans="12:25" ht="14.4">
      <c r="L303" s="464"/>
      <c r="M303" s="129" t="e">
        <f t="shared" si="55"/>
        <v>#N/A</v>
      </c>
      <c r="N303" s="161">
        <f t="shared" si="50"/>
        <v>13</v>
      </c>
      <c r="O303" s="160" t="e">
        <f t="shared" ca="1" si="56"/>
        <v>#N/A</v>
      </c>
      <c r="P303" s="160" t="e">
        <f t="shared" ca="1" si="47"/>
        <v>#N/A</v>
      </c>
      <c r="Q303" s="160" t="e">
        <f t="shared" ca="1" si="48"/>
        <v>#N/A</v>
      </c>
      <c r="R303" s="160" t="e">
        <f t="shared" ca="1" si="48"/>
        <v>#N/A</v>
      </c>
      <c r="S303" s="160" t="e">
        <f t="shared" ca="1" si="48"/>
        <v>#N/A</v>
      </c>
      <c r="T303" s="160" t="e">
        <f t="shared" ca="1" si="48"/>
        <v>#N/A</v>
      </c>
      <c r="U303" s="160" t="e">
        <f t="shared" ca="1" si="49"/>
        <v>#N/A</v>
      </c>
      <c r="V303" s="163" t="e">
        <f t="shared" ca="1" si="51"/>
        <v>#N/A</v>
      </c>
      <c r="W303" s="163" t="e">
        <f t="shared" ca="1" si="52"/>
        <v>#N/A</v>
      </c>
      <c r="X303" s="163" t="e">
        <f t="shared" ca="1" si="53"/>
        <v>#N/A</v>
      </c>
      <c r="Y303" s="163" t="e">
        <f t="shared" ca="1" si="54"/>
        <v>#N/A</v>
      </c>
    </row>
    <row r="304" spans="12:25" ht="14.4">
      <c r="L304" s="464"/>
      <c r="M304" s="129" t="e">
        <f t="shared" si="55"/>
        <v>#N/A</v>
      </c>
      <c r="N304" s="161">
        <f t="shared" si="50"/>
        <v>13</v>
      </c>
      <c r="O304" s="160" t="e">
        <f t="shared" ca="1" si="56"/>
        <v>#N/A</v>
      </c>
      <c r="P304" s="160" t="e">
        <f t="shared" ca="1" si="47"/>
        <v>#N/A</v>
      </c>
      <c r="Q304" s="160" t="e">
        <f t="shared" ca="1" si="48"/>
        <v>#N/A</v>
      </c>
      <c r="R304" s="160" t="e">
        <f t="shared" ca="1" si="48"/>
        <v>#N/A</v>
      </c>
      <c r="S304" s="160" t="e">
        <f t="shared" ca="1" si="48"/>
        <v>#N/A</v>
      </c>
      <c r="T304" s="160" t="e">
        <f t="shared" ca="1" si="48"/>
        <v>#N/A</v>
      </c>
      <c r="U304" s="160" t="e">
        <f t="shared" ca="1" si="49"/>
        <v>#N/A</v>
      </c>
      <c r="V304" s="163" t="e">
        <f t="shared" ca="1" si="51"/>
        <v>#N/A</v>
      </c>
      <c r="W304" s="163" t="e">
        <f t="shared" ca="1" si="52"/>
        <v>#N/A</v>
      </c>
      <c r="X304" s="163" t="e">
        <f t="shared" ca="1" si="53"/>
        <v>#N/A</v>
      </c>
      <c r="Y304" s="163" t="e">
        <f t="shared" ca="1" si="54"/>
        <v>#N/A</v>
      </c>
    </row>
    <row r="305" spans="12:25" ht="14.4">
      <c r="L305" s="464"/>
      <c r="M305" s="129" t="e">
        <f t="shared" si="55"/>
        <v>#N/A</v>
      </c>
      <c r="N305" s="161">
        <f t="shared" si="50"/>
        <v>13</v>
      </c>
      <c r="O305" s="160" t="e">
        <f t="shared" ca="1" si="56"/>
        <v>#N/A</v>
      </c>
      <c r="P305" s="160" t="e">
        <f t="shared" ca="1" si="47"/>
        <v>#N/A</v>
      </c>
      <c r="Q305" s="160" t="e">
        <f t="shared" ca="1" si="48"/>
        <v>#N/A</v>
      </c>
      <c r="R305" s="160" t="e">
        <f t="shared" ca="1" si="48"/>
        <v>#N/A</v>
      </c>
      <c r="S305" s="160" t="e">
        <f t="shared" ca="1" si="48"/>
        <v>#N/A</v>
      </c>
      <c r="T305" s="160" t="e">
        <f t="shared" ref="T305:U368" ca="1" si="57">IF($M305="end",0,OFFSET($A$1,$M305-1,T$29,1,1))</f>
        <v>#N/A</v>
      </c>
      <c r="U305" s="160" t="e">
        <f t="shared" ca="1" si="49"/>
        <v>#N/A</v>
      </c>
      <c r="V305" s="163" t="e">
        <f t="shared" ca="1" si="51"/>
        <v>#N/A</v>
      </c>
      <c r="W305" s="163" t="e">
        <f t="shared" ca="1" si="52"/>
        <v>#N/A</v>
      </c>
      <c r="X305" s="163" t="e">
        <f t="shared" ca="1" si="53"/>
        <v>#N/A</v>
      </c>
      <c r="Y305" s="163" t="e">
        <f t="shared" ca="1" si="54"/>
        <v>#N/A</v>
      </c>
    </row>
    <row r="306" spans="12:25" ht="14.4">
      <c r="L306" s="464"/>
      <c r="M306" s="129" t="e">
        <f t="shared" si="55"/>
        <v>#N/A</v>
      </c>
      <c r="N306" s="161">
        <f t="shared" si="50"/>
        <v>13</v>
      </c>
      <c r="O306" s="160" t="e">
        <f t="shared" ca="1" si="56"/>
        <v>#N/A</v>
      </c>
      <c r="P306" s="160" t="e">
        <f t="shared" ref="P306:P369" ca="1" si="58">IF($M306="end",0,OFFSET($A$1,$M306-1,P$29,1,1))</f>
        <v>#N/A</v>
      </c>
      <c r="Q306" s="160" t="e">
        <f t="shared" ref="Q306:U369" ca="1" si="59">IF($M306="end",0,OFFSET($A$1,$M306-1,Q$29,1,1))</f>
        <v>#N/A</v>
      </c>
      <c r="R306" s="160" t="e">
        <f t="shared" ca="1" si="59"/>
        <v>#N/A</v>
      </c>
      <c r="S306" s="160" t="e">
        <f t="shared" ca="1" si="59"/>
        <v>#N/A</v>
      </c>
      <c r="T306" s="160" t="e">
        <f t="shared" ca="1" si="57"/>
        <v>#N/A</v>
      </c>
      <c r="U306" s="160" t="e">
        <f t="shared" ca="1" si="57"/>
        <v>#N/A</v>
      </c>
      <c r="V306" s="163" t="e">
        <f t="shared" ca="1" si="51"/>
        <v>#N/A</v>
      </c>
      <c r="W306" s="163" t="e">
        <f t="shared" ca="1" si="52"/>
        <v>#N/A</v>
      </c>
      <c r="X306" s="163" t="e">
        <f t="shared" ca="1" si="53"/>
        <v>#N/A</v>
      </c>
      <c r="Y306" s="163" t="e">
        <f t="shared" ca="1" si="54"/>
        <v>#N/A</v>
      </c>
    </row>
    <row r="307" spans="12:25" ht="14.4">
      <c r="L307" s="464"/>
      <c r="M307" s="129" t="e">
        <f t="shared" si="55"/>
        <v>#N/A</v>
      </c>
      <c r="N307" s="161">
        <f t="shared" si="50"/>
        <v>13</v>
      </c>
      <c r="O307" s="160" t="e">
        <f t="shared" ca="1" si="56"/>
        <v>#N/A</v>
      </c>
      <c r="P307" s="160" t="e">
        <f t="shared" ca="1" si="58"/>
        <v>#N/A</v>
      </c>
      <c r="Q307" s="160" t="e">
        <f t="shared" ca="1" si="59"/>
        <v>#N/A</v>
      </c>
      <c r="R307" s="160" t="e">
        <f t="shared" ca="1" si="59"/>
        <v>#N/A</v>
      </c>
      <c r="S307" s="160" t="e">
        <f t="shared" ca="1" si="59"/>
        <v>#N/A</v>
      </c>
      <c r="T307" s="160" t="e">
        <f t="shared" ca="1" si="57"/>
        <v>#N/A</v>
      </c>
      <c r="U307" s="160" t="e">
        <f t="shared" ca="1" si="57"/>
        <v>#N/A</v>
      </c>
      <c r="V307" s="163" t="e">
        <f t="shared" ca="1" si="51"/>
        <v>#N/A</v>
      </c>
      <c r="W307" s="163" t="e">
        <f t="shared" ca="1" si="52"/>
        <v>#N/A</v>
      </c>
      <c r="X307" s="163" t="e">
        <f t="shared" ca="1" si="53"/>
        <v>#N/A</v>
      </c>
      <c r="Y307" s="163" t="e">
        <f t="shared" ca="1" si="54"/>
        <v>#N/A</v>
      </c>
    </row>
    <row r="308" spans="12:25" ht="14.4">
      <c r="L308" s="464"/>
      <c r="M308" s="129" t="e">
        <f t="shared" si="55"/>
        <v>#N/A</v>
      </c>
      <c r="N308" s="161">
        <f t="shared" si="50"/>
        <v>13</v>
      </c>
      <c r="O308" s="160" t="e">
        <f t="shared" ca="1" si="56"/>
        <v>#N/A</v>
      </c>
      <c r="P308" s="160" t="e">
        <f t="shared" ca="1" si="58"/>
        <v>#N/A</v>
      </c>
      <c r="Q308" s="160" t="e">
        <f t="shared" ca="1" si="59"/>
        <v>#N/A</v>
      </c>
      <c r="R308" s="160" t="e">
        <f t="shared" ca="1" si="59"/>
        <v>#N/A</v>
      </c>
      <c r="S308" s="160" t="e">
        <f t="shared" ca="1" si="59"/>
        <v>#N/A</v>
      </c>
      <c r="T308" s="160" t="e">
        <f t="shared" ca="1" si="57"/>
        <v>#N/A</v>
      </c>
      <c r="U308" s="160" t="e">
        <f t="shared" ca="1" si="57"/>
        <v>#N/A</v>
      </c>
      <c r="V308" s="163" t="e">
        <f t="shared" ca="1" si="51"/>
        <v>#N/A</v>
      </c>
      <c r="W308" s="163" t="e">
        <f t="shared" ca="1" si="52"/>
        <v>#N/A</v>
      </c>
      <c r="X308" s="163" t="e">
        <f t="shared" ca="1" si="53"/>
        <v>#N/A</v>
      </c>
      <c r="Y308" s="163" t="e">
        <f t="shared" ca="1" si="54"/>
        <v>#N/A</v>
      </c>
    </row>
    <row r="309" spans="12:25" ht="14.4">
      <c r="L309" s="464"/>
      <c r="M309" s="129" t="e">
        <f t="shared" si="55"/>
        <v>#N/A</v>
      </c>
      <c r="N309" s="161">
        <f t="shared" si="50"/>
        <v>13</v>
      </c>
      <c r="O309" s="160" t="e">
        <f t="shared" ca="1" si="56"/>
        <v>#N/A</v>
      </c>
      <c r="P309" s="160" t="e">
        <f t="shared" ca="1" si="58"/>
        <v>#N/A</v>
      </c>
      <c r="Q309" s="160" t="e">
        <f t="shared" ca="1" si="59"/>
        <v>#N/A</v>
      </c>
      <c r="R309" s="160" t="e">
        <f t="shared" ca="1" si="59"/>
        <v>#N/A</v>
      </c>
      <c r="S309" s="160" t="e">
        <f t="shared" ca="1" si="59"/>
        <v>#N/A</v>
      </c>
      <c r="T309" s="160" t="e">
        <f t="shared" ca="1" si="57"/>
        <v>#N/A</v>
      </c>
      <c r="U309" s="160" t="e">
        <f t="shared" ca="1" si="57"/>
        <v>#N/A</v>
      </c>
      <c r="V309" s="163" t="e">
        <f t="shared" ca="1" si="51"/>
        <v>#N/A</v>
      </c>
      <c r="W309" s="163" t="e">
        <f t="shared" ca="1" si="52"/>
        <v>#N/A</v>
      </c>
      <c r="X309" s="163" t="e">
        <f t="shared" ca="1" si="53"/>
        <v>#N/A</v>
      </c>
      <c r="Y309" s="163" t="e">
        <f t="shared" ca="1" si="54"/>
        <v>#N/A</v>
      </c>
    </row>
    <row r="310" spans="12:25" ht="14.4">
      <c r="L310" s="464"/>
      <c r="M310" s="129" t="e">
        <f t="shared" si="55"/>
        <v>#N/A</v>
      </c>
      <c r="N310" s="161">
        <f t="shared" si="50"/>
        <v>13</v>
      </c>
      <c r="O310" s="160" t="e">
        <f t="shared" ca="1" si="56"/>
        <v>#N/A</v>
      </c>
      <c r="P310" s="160" t="e">
        <f t="shared" ca="1" si="58"/>
        <v>#N/A</v>
      </c>
      <c r="Q310" s="160" t="e">
        <f t="shared" ca="1" si="59"/>
        <v>#N/A</v>
      </c>
      <c r="R310" s="160" t="e">
        <f t="shared" ca="1" si="59"/>
        <v>#N/A</v>
      </c>
      <c r="S310" s="160" t="e">
        <f t="shared" ca="1" si="59"/>
        <v>#N/A</v>
      </c>
      <c r="T310" s="160" t="e">
        <f t="shared" ca="1" si="57"/>
        <v>#N/A</v>
      </c>
      <c r="U310" s="160" t="e">
        <f t="shared" ca="1" si="57"/>
        <v>#N/A</v>
      </c>
      <c r="V310" s="163" t="e">
        <f t="shared" ca="1" si="51"/>
        <v>#N/A</v>
      </c>
      <c r="W310" s="163" t="e">
        <f t="shared" ca="1" si="52"/>
        <v>#N/A</v>
      </c>
      <c r="X310" s="163" t="e">
        <f t="shared" ca="1" si="53"/>
        <v>#N/A</v>
      </c>
      <c r="Y310" s="163" t="e">
        <f t="shared" ca="1" si="54"/>
        <v>#N/A</v>
      </c>
    </row>
    <row r="311" spans="12:25" ht="14.4">
      <c r="L311" s="464"/>
      <c r="M311" s="129" t="e">
        <f t="shared" si="55"/>
        <v>#N/A</v>
      </c>
      <c r="N311" s="161">
        <f t="shared" si="50"/>
        <v>13</v>
      </c>
      <c r="O311" s="160" t="e">
        <f t="shared" ca="1" si="56"/>
        <v>#N/A</v>
      </c>
      <c r="P311" s="160" t="e">
        <f t="shared" ca="1" si="58"/>
        <v>#N/A</v>
      </c>
      <c r="Q311" s="160" t="e">
        <f t="shared" ca="1" si="59"/>
        <v>#N/A</v>
      </c>
      <c r="R311" s="160" t="e">
        <f t="shared" ca="1" si="59"/>
        <v>#N/A</v>
      </c>
      <c r="S311" s="160" t="e">
        <f t="shared" ca="1" si="59"/>
        <v>#N/A</v>
      </c>
      <c r="T311" s="160" t="e">
        <f t="shared" ca="1" si="57"/>
        <v>#N/A</v>
      </c>
      <c r="U311" s="160" t="e">
        <f t="shared" ca="1" si="57"/>
        <v>#N/A</v>
      </c>
      <c r="V311" s="163" t="e">
        <f t="shared" ca="1" si="51"/>
        <v>#N/A</v>
      </c>
      <c r="W311" s="163" t="e">
        <f t="shared" ca="1" si="52"/>
        <v>#N/A</v>
      </c>
      <c r="X311" s="163" t="e">
        <f t="shared" ca="1" si="53"/>
        <v>#N/A</v>
      </c>
      <c r="Y311" s="163" t="e">
        <f t="shared" ca="1" si="54"/>
        <v>#N/A</v>
      </c>
    </row>
    <row r="312" spans="12:25" ht="14.4">
      <c r="L312" s="464"/>
      <c r="M312" s="129" t="e">
        <f t="shared" si="55"/>
        <v>#N/A</v>
      </c>
      <c r="N312" s="161">
        <f t="shared" si="50"/>
        <v>13</v>
      </c>
      <c r="O312" s="160" t="e">
        <f t="shared" ca="1" si="56"/>
        <v>#N/A</v>
      </c>
      <c r="P312" s="160" t="e">
        <f t="shared" ca="1" si="58"/>
        <v>#N/A</v>
      </c>
      <c r="Q312" s="160" t="e">
        <f t="shared" ca="1" si="59"/>
        <v>#N/A</v>
      </c>
      <c r="R312" s="160" t="e">
        <f t="shared" ca="1" si="59"/>
        <v>#N/A</v>
      </c>
      <c r="S312" s="160" t="e">
        <f t="shared" ca="1" si="59"/>
        <v>#N/A</v>
      </c>
      <c r="T312" s="160" t="e">
        <f t="shared" ca="1" si="57"/>
        <v>#N/A</v>
      </c>
      <c r="U312" s="160" t="e">
        <f t="shared" ca="1" si="57"/>
        <v>#N/A</v>
      </c>
      <c r="V312" s="163" t="e">
        <f t="shared" ca="1" si="51"/>
        <v>#N/A</v>
      </c>
      <c r="W312" s="163" t="e">
        <f t="shared" ca="1" si="52"/>
        <v>#N/A</v>
      </c>
      <c r="X312" s="163" t="e">
        <f t="shared" ca="1" si="53"/>
        <v>#N/A</v>
      </c>
      <c r="Y312" s="163" t="e">
        <f t="shared" ca="1" si="54"/>
        <v>#N/A</v>
      </c>
    </row>
    <row r="313" spans="12:25" ht="14.4">
      <c r="L313" s="464"/>
      <c r="M313" s="129" t="e">
        <f t="shared" si="55"/>
        <v>#N/A</v>
      </c>
      <c r="N313" s="161">
        <f t="shared" si="50"/>
        <v>13</v>
      </c>
      <c r="O313" s="160" t="e">
        <f t="shared" ca="1" si="56"/>
        <v>#N/A</v>
      </c>
      <c r="P313" s="160" t="e">
        <f t="shared" ca="1" si="58"/>
        <v>#N/A</v>
      </c>
      <c r="Q313" s="160" t="e">
        <f t="shared" ca="1" si="59"/>
        <v>#N/A</v>
      </c>
      <c r="R313" s="160" t="e">
        <f t="shared" ca="1" si="59"/>
        <v>#N/A</v>
      </c>
      <c r="S313" s="160" t="e">
        <f t="shared" ca="1" si="59"/>
        <v>#N/A</v>
      </c>
      <c r="T313" s="160" t="e">
        <f t="shared" ca="1" si="57"/>
        <v>#N/A</v>
      </c>
      <c r="U313" s="160" t="e">
        <f t="shared" ca="1" si="57"/>
        <v>#N/A</v>
      </c>
      <c r="V313" s="163" t="e">
        <f t="shared" ca="1" si="51"/>
        <v>#N/A</v>
      </c>
      <c r="W313" s="163" t="e">
        <f t="shared" ca="1" si="52"/>
        <v>#N/A</v>
      </c>
      <c r="X313" s="163" t="e">
        <f t="shared" ca="1" si="53"/>
        <v>#N/A</v>
      </c>
      <c r="Y313" s="163" t="e">
        <f t="shared" ca="1" si="54"/>
        <v>#N/A</v>
      </c>
    </row>
    <row r="314" spans="12:25" ht="14.4">
      <c r="L314" s="464"/>
      <c r="M314" s="129" t="e">
        <f t="shared" si="55"/>
        <v>#N/A</v>
      </c>
      <c r="N314" s="161">
        <f t="shared" si="50"/>
        <v>13</v>
      </c>
      <c r="O314" s="160" t="e">
        <f t="shared" ca="1" si="56"/>
        <v>#N/A</v>
      </c>
      <c r="P314" s="160" t="e">
        <f t="shared" ca="1" si="58"/>
        <v>#N/A</v>
      </c>
      <c r="Q314" s="160" t="e">
        <f t="shared" ca="1" si="59"/>
        <v>#N/A</v>
      </c>
      <c r="R314" s="160" t="e">
        <f t="shared" ca="1" si="59"/>
        <v>#N/A</v>
      </c>
      <c r="S314" s="160" t="e">
        <f t="shared" ca="1" si="59"/>
        <v>#N/A</v>
      </c>
      <c r="T314" s="160" t="e">
        <f t="shared" ca="1" si="57"/>
        <v>#N/A</v>
      </c>
      <c r="U314" s="160" t="e">
        <f t="shared" ca="1" si="57"/>
        <v>#N/A</v>
      </c>
      <c r="V314" s="163" t="e">
        <f t="shared" ca="1" si="51"/>
        <v>#N/A</v>
      </c>
      <c r="W314" s="163" t="e">
        <f t="shared" ca="1" si="52"/>
        <v>#N/A</v>
      </c>
      <c r="X314" s="163" t="e">
        <f t="shared" ca="1" si="53"/>
        <v>#N/A</v>
      </c>
      <c r="Y314" s="163" t="e">
        <f t="shared" ca="1" si="54"/>
        <v>#N/A</v>
      </c>
    </row>
    <row r="315" spans="12:25" ht="14.4">
      <c r="L315" s="464"/>
      <c r="M315" s="129" t="e">
        <f t="shared" si="55"/>
        <v>#N/A</v>
      </c>
      <c r="N315" s="161">
        <f t="shared" si="50"/>
        <v>13</v>
      </c>
      <c r="O315" s="160" t="e">
        <f t="shared" ca="1" si="56"/>
        <v>#N/A</v>
      </c>
      <c r="P315" s="160" t="e">
        <f t="shared" ca="1" si="58"/>
        <v>#N/A</v>
      </c>
      <c r="Q315" s="160" t="e">
        <f t="shared" ca="1" si="59"/>
        <v>#N/A</v>
      </c>
      <c r="R315" s="160" t="e">
        <f t="shared" ca="1" si="59"/>
        <v>#N/A</v>
      </c>
      <c r="S315" s="160" t="e">
        <f t="shared" ca="1" si="59"/>
        <v>#N/A</v>
      </c>
      <c r="T315" s="160" t="e">
        <f t="shared" ca="1" si="57"/>
        <v>#N/A</v>
      </c>
      <c r="U315" s="160" t="e">
        <f t="shared" ca="1" si="57"/>
        <v>#N/A</v>
      </c>
      <c r="V315" s="163" t="e">
        <f t="shared" ca="1" si="51"/>
        <v>#N/A</v>
      </c>
      <c r="W315" s="163" t="e">
        <f t="shared" ca="1" si="52"/>
        <v>#N/A</v>
      </c>
      <c r="X315" s="163" t="e">
        <f t="shared" ca="1" si="53"/>
        <v>#N/A</v>
      </c>
      <c r="Y315" s="163" t="e">
        <f t="shared" ca="1" si="54"/>
        <v>#N/A</v>
      </c>
    </row>
    <row r="316" spans="12:25" ht="14.4">
      <c r="L316" s="464"/>
      <c r="M316" s="129" t="e">
        <f t="shared" si="55"/>
        <v>#N/A</v>
      </c>
      <c r="N316" s="161">
        <f t="shared" si="50"/>
        <v>13</v>
      </c>
      <c r="O316" s="160" t="e">
        <f t="shared" ca="1" si="56"/>
        <v>#N/A</v>
      </c>
      <c r="P316" s="160" t="e">
        <f t="shared" ca="1" si="58"/>
        <v>#N/A</v>
      </c>
      <c r="Q316" s="160" t="e">
        <f t="shared" ca="1" si="59"/>
        <v>#N/A</v>
      </c>
      <c r="R316" s="160" t="e">
        <f t="shared" ca="1" si="59"/>
        <v>#N/A</v>
      </c>
      <c r="S316" s="160" t="e">
        <f t="shared" ca="1" si="59"/>
        <v>#N/A</v>
      </c>
      <c r="T316" s="160" t="e">
        <f t="shared" ca="1" si="57"/>
        <v>#N/A</v>
      </c>
      <c r="U316" s="160" t="e">
        <f t="shared" ca="1" si="57"/>
        <v>#N/A</v>
      </c>
      <c r="V316" s="163" t="e">
        <f t="shared" ca="1" si="51"/>
        <v>#N/A</v>
      </c>
      <c r="W316" s="163" t="e">
        <f t="shared" ca="1" si="52"/>
        <v>#N/A</v>
      </c>
      <c r="X316" s="163" t="e">
        <f t="shared" ca="1" si="53"/>
        <v>#N/A</v>
      </c>
      <c r="Y316" s="163" t="e">
        <f t="shared" ca="1" si="54"/>
        <v>#N/A</v>
      </c>
    </row>
    <row r="317" spans="12:25" ht="14.4">
      <c r="L317" s="464"/>
      <c r="M317" s="129" t="e">
        <f t="shared" si="55"/>
        <v>#N/A</v>
      </c>
      <c r="N317" s="161">
        <f t="shared" si="50"/>
        <v>13</v>
      </c>
      <c r="O317" s="160" t="e">
        <f t="shared" ca="1" si="56"/>
        <v>#N/A</v>
      </c>
      <c r="P317" s="160" t="e">
        <f t="shared" ca="1" si="58"/>
        <v>#N/A</v>
      </c>
      <c r="Q317" s="160" t="e">
        <f t="shared" ca="1" si="59"/>
        <v>#N/A</v>
      </c>
      <c r="R317" s="160" t="e">
        <f t="shared" ca="1" si="59"/>
        <v>#N/A</v>
      </c>
      <c r="S317" s="160" t="e">
        <f t="shared" ca="1" si="59"/>
        <v>#N/A</v>
      </c>
      <c r="T317" s="160" t="e">
        <f t="shared" ca="1" si="57"/>
        <v>#N/A</v>
      </c>
      <c r="U317" s="160" t="e">
        <f t="shared" ca="1" si="57"/>
        <v>#N/A</v>
      </c>
      <c r="V317" s="163" t="e">
        <f t="shared" ca="1" si="51"/>
        <v>#N/A</v>
      </c>
      <c r="W317" s="163" t="e">
        <f t="shared" ca="1" si="52"/>
        <v>#N/A</v>
      </c>
      <c r="X317" s="163" t="e">
        <f t="shared" ca="1" si="53"/>
        <v>#N/A</v>
      </c>
      <c r="Y317" s="163" t="e">
        <f t="shared" ca="1" si="54"/>
        <v>#N/A</v>
      </c>
    </row>
    <row r="318" spans="12:25" ht="14.4">
      <c r="L318" s="464"/>
      <c r="M318" s="129" t="e">
        <f t="shared" si="55"/>
        <v>#N/A</v>
      </c>
      <c r="N318" s="161">
        <f t="shared" si="50"/>
        <v>13</v>
      </c>
      <c r="O318" s="160" t="e">
        <f t="shared" ca="1" si="56"/>
        <v>#N/A</v>
      </c>
      <c r="P318" s="160" t="e">
        <f t="shared" ca="1" si="58"/>
        <v>#N/A</v>
      </c>
      <c r="Q318" s="160" t="e">
        <f t="shared" ca="1" si="59"/>
        <v>#N/A</v>
      </c>
      <c r="R318" s="160" t="e">
        <f t="shared" ca="1" si="59"/>
        <v>#N/A</v>
      </c>
      <c r="S318" s="160" t="e">
        <f t="shared" ca="1" si="59"/>
        <v>#N/A</v>
      </c>
      <c r="T318" s="160" t="e">
        <f t="shared" ca="1" si="57"/>
        <v>#N/A</v>
      </c>
      <c r="U318" s="160" t="e">
        <f t="shared" ca="1" si="57"/>
        <v>#N/A</v>
      </c>
      <c r="V318" s="163" t="e">
        <f t="shared" ca="1" si="51"/>
        <v>#N/A</v>
      </c>
      <c r="W318" s="163" t="e">
        <f t="shared" ca="1" si="52"/>
        <v>#N/A</v>
      </c>
      <c r="X318" s="163" t="e">
        <f t="shared" ca="1" si="53"/>
        <v>#N/A</v>
      </c>
      <c r="Y318" s="163" t="e">
        <f t="shared" ca="1" si="54"/>
        <v>#N/A</v>
      </c>
    </row>
    <row r="319" spans="12:25" ht="14.4">
      <c r="L319" s="464"/>
      <c r="M319" s="129" t="e">
        <f t="shared" si="55"/>
        <v>#N/A</v>
      </c>
      <c r="N319" s="161">
        <f t="shared" si="50"/>
        <v>13</v>
      </c>
      <c r="O319" s="160" t="e">
        <f t="shared" ca="1" si="56"/>
        <v>#N/A</v>
      </c>
      <c r="P319" s="160" t="e">
        <f t="shared" ca="1" si="58"/>
        <v>#N/A</v>
      </c>
      <c r="Q319" s="160" t="e">
        <f t="shared" ca="1" si="59"/>
        <v>#N/A</v>
      </c>
      <c r="R319" s="160" t="e">
        <f t="shared" ca="1" si="59"/>
        <v>#N/A</v>
      </c>
      <c r="S319" s="160" t="e">
        <f t="shared" ca="1" si="59"/>
        <v>#N/A</v>
      </c>
      <c r="T319" s="160" t="e">
        <f t="shared" ca="1" si="57"/>
        <v>#N/A</v>
      </c>
      <c r="U319" s="160" t="e">
        <f t="shared" ca="1" si="57"/>
        <v>#N/A</v>
      </c>
      <c r="V319" s="163" t="e">
        <f t="shared" ca="1" si="51"/>
        <v>#N/A</v>
      </c>
      <c r="W319" s="163" t="e">
        <f t="shared" ca="1" si="52"/>
        <v>#N/A</v>
      </c>
      <c r="X319" s="163" t="e">
        <f t="shared" ca="1" si="53"/>
        <v>#N/A</v>
      </c>
      <c r="Y319" s="163" t="e">
        <f t="shared" ca="1" si="54"/>
        <v>#N/A</v>
      </c>
    </row>
    <row r="320" spans="12:25" ht="14.4">
      <c r="L320" s="464"/>
      <c r="M320" s="129" t="e">
        <f t="shared" si="55"/>
        <v>#N/A</v>
      </c>
      <c r="N320" s="161">
        <f t="shared" si="50"/>
        <v>13</v>
      </c>
      <c r="O320" s="160" t="e">
        <f t="shared" ca="1" si="56"/>
        <v>#N/A</v>
      </c>
      <c r="P320" s="160" t="e">
        <f t="shared" ca="1" si="58"/>
        <v>#N/A</v>
      </c>
      <c r="Q320" s="160" t="e">
        <f t="shared" ca="1" si="59"/>
        <v>#N/A</v>
      </c>
      <c r="R320" s="160" t="e">
        <f t="shared" ca="1" si="59"/>
        <v>#N/A</v>
      </c>
      <c r="S320" s="160" t="e">
        <f t="shared" ca="1" si="59"/>
        <v>#N/A</v>
      </c>
      <c r="T320" s="160" t="e">
        <f t="shared" ca="1" si="57"/>
        <v>#N/A</v>
      </c>
      <c r="U320" s="160" t="e">
        <f t="shared" ca="1" si="57"/>
        <v>#N/A</v>
      </c>
      <c r="V320" s="163" t="e">
        <f t="shared" ca="1" si="51"/>
        <v>#N/A</v>
      </c>
      <c r="W320" s="163" t="e">
        <f t="shared" ca="1" si="52"/>
        <v>#N/A</v>
      </c>
      <c r="X320" s="163" t="e">
        <f t="shared" ca="1" si="53"/>
        <v>#N/A</v>
      </c>
      <c r="Y320" s="163" t="e">
        <f t="shared" ca="1" si="54"/>
        <v>#N/A</v>
      </c>
    </row>
    <row r="321" spans="12:25" ht="14.4">
      <c r="L321" s="464"/>
      <c r="M321" s="129" t="e">
        <f t="shared" si="55"/>
        <v>#N/A</v>
      </c>
      <c r="N321" s="161">
        <f t="shared" si="50"/>
        <v>13</v>
      </c>
      <c r="O321" s="160" t="e">
        <f t="shared" ca="1" si="56"/>
        <v>#N/A</v>
      </c>
      <c r="P321" s="160" t="e">
        <f t="shared" ca="1" si="58"/>
        <v>#N/A</v>
      </c>
      <c r="Q321" s="160" t="e">
        <f t="shared" ca="1" si="59"/>
        <v>#N/A</v>
      </c>
      <c r="R321" s="160" t="e">
        <f t="shared" ca="1" si="59"/>
        <v>#N/A</v>
      </c>
      <c r="S321" s="160" t="e">
        <f t="shared" ca="1" si="59"/>
        <v>#N/A</v>
      </c>
      <c r="T321" s="160" t="e">
        <f t="shared" ca="1" si="57"/>
        <v>#N/A</v>
      </c>
      <c r="U321" s="160" t="e">
        <f t="shared" ca="1" si="57"/>
        <v>#N/A</v>
      </c>
      <c r="V321" s="163" t="e">
        <f t="shared" ca="1" si="51"/>
        <v>#N/A</v>
      </c>
      <c r="W321" s="163" t="e">
        <f t="shared" ca="1" si="52"/>
        <v>#N/A</v>
      </c>
      <c r="X321" s="163" t="e">
        <f t="shared" ca="1" si="53"/>
        <v>#N/A</v>
      </c>
      <c r="Y321" s="163" t="e">
        <f t="shared" ca="1" si="54"/>
        <v>#N/A</v>
      </c>
    </row>
    <row r="322" spans="12:25" ht="14.4">
      <c r="L322" s="464"/>
      <c r="M322" s="129" t="e">
        <f t="shared" si="55"/>
        <v>#N/A</v>
      </c>
      <c r="N322" s="161">
        <f t="shared" si="50"/>
        <v>13</v>
      </c>
      <c r="O322" s="160" t="e">
        <f t="shared" ca="1" si="56"/>
        <v>#N/A</v>
      </c>
      <c r="P322" s="160" t="e">
        <f t="shared" ca="1" si="58"/>
        <v>#N/A</v>
      </c>
      <c r="Q322" s="160" t="e">
        <f t="shared" ca="1" si="59"/>
        <v>#N/A</v>
      </c>
      <c r="R322" s="160" t="e">
        <f t="shared" ca="1" si="59"/>
        <v>#N/A</v>
      </c>
      <c r="S322" s="160" t="e">
        <f t="shared" ca="1" si="59"/>
        <v>#N/A</v>
      </c>
      <c r="T322" s="160" t="e">
        <f t="shared" ca="1" si="57"/>
        <v>#N/A</v>
      </c>
      <c r="U322" s="160" t="e">
        <f t="shared" ca="1" si="57"/>
        <v>#N/A</v>
      </c>
      <c r="V322" s="163" t="e">
        <f t="shared" ca="1" si="51"/>
        <v>#N/A</v>
      </c>
      <c r="W322" s="163" t="e">
        <f t="shared" ca="1" si="52"/>
        <v>#N/A</v>
      </c>
      <c r="X322" s="163" t="e">
        <f t="shared" ca="1" si="53"/>
        <v>#N/A</v>
      </c>
      <c r="Y322" s="163" t="e">
        <f t="shared" ca="1" si="54"/>
        <v>#N/A</v>
      </c>
    </row>
    <row r="323" spans="12:25" ht="14.4">
      <c r="L323" s="464"/>
      <c r="M323" s="129" t="e">
        <f t="shared" si="55"/>
        <v>#N/A</v>
      </c>
      <c r="N323" s="161">
        <f t="shared" si="50"/>
        <v>13</v>
      </c>
      <c r="O323" s="160" t="e">
        <f t="shared" ca="1" si="56"/>
        <v>#N/A</v>
      </c>
      <c r="P323" s="160" t="e">
        <f t="shared" ca="1" si="58"/>
        <v>#N/A</v>
      </c>
      <c r="Q323" s="160" t="e">
        <f t="shared" ca="1" si="59"/>
        <v>#N/A</v>
      </c>
      <c r="R323" s="160" t="e">
        <f t="shared" ca="1" si="59"/>
        <v>#N/A</v>
      </c>
      <c r="S323" s="160" t="e">
        <f t="shared" ca="1" si="59"/>
        <v>#N/A</v>
      </c>
      <c r="T323" s="160" t="e">
        <f t="shared" ca="1" si="57"/>
        <v>#N/A</v>
      </c>
      <c r="U323" s="160" t="e">
        <f t="shared" ca="1" si="57"/>
        <v>#N/A</v>
      </c>
      <c r="V323" s="163" t="e">
        <f t="shared" ca="1" si="51"/>
        <v>#N/A</v>
      </c>
      <c r="W323" s="163" t="e">
        <f t="shared" ca="1" si="52"/>
        <v>#N/A</v>
      </c>
      <c r="X323" s="163" t="e">
        <f t="shared" ca="1" si="53"/>
        <v>#N/A</v>
      </c>
      <c r="Y323" s="163" t="e">
        <f t="shared" ca="1" si="54"/>
        <v>#N/A</v>
      </c>
    </row>
    <row r="324" spans="12:25" ht="14.4">
      <c r="L324" s="464"/>
      <c r="M324" s="129" t="e">
        <f t="shared" si="55"/>
        <v>#N/A</v>
      </c>
      <c r="N324" s="161">
        <f t="shared" si="50"/>
        <v>13</v>
      </c>
      <c r="O324" s="160" t="e">
        <f t="shared" ca="1" si="56"/>
        <v>#N/A</v>
      </c>
      <c r="P324" s="160" t="e">
        <f t="shared" ca="1" si="58"/>
        <v>#N/A</v>
      </c>
      <c r="Q324" s="160" t="e">
        <f t="shared" ca="1" si="59"/>
        <v>#N/A</v>
      </c>
      <c r="R324" s="160" t="e">
        <f t="shared" ca="1" si="59"/>
        <v>#N/A</v>
      </c>
      <c r="S324" s="160" t="e">
        <f t="shared" ca="1" si="59"/>
        <v>#N/A</v>
      </c>
      <c r="T324" s="160" t="e">
        <f t="shared" ca="1" si="57"/>
        <v>#N/A</v>
      </c>
      <c r="U324" s="160" t="e">
        <f t="shared" ca="1" si="57"/>
        <v>#N/A</v>
      </c>
      <c r="V324" s="163" t="e">
        <f t="shared" ca="1" si="51"/>
        <v>#N/A</v>
      </c>
      <c r="W324" s="163" t="e">
        <f t="shared" ca="1" si="52"/>
        <v>#N/A</v>
      </c>
      <c r="X324" s="163" t="e">
        <f t="shared" ca="1" si="53"/>
        <v>#N/A</v>
      </c>
      <c r="Y324" s="163" t="e">
        <f t="shared" ca="1" si="54"/>
        <v>#N/A</v>
      </c>
    </row>
    <row r="325" spans="12:25" ht="14.4">
      <c r="L325" s="464"/>
      <c r="M325" s="129" t="e">
        <f t="shared" si="55"/>
        <v>#N/A</v>
      </c>
      <c r="N325" s="161">
        <f t="shared" si="50"/>
        <v>13</v>
      </c>
      <c r="O325" s="160" t="e">
        <f t="shared" ca="1" si="56"/>
        <v>#N/A</v>
      </c>
      <c r="P325" s="160" t="e">
        <f t="shared" ca="1" si="58"/>
        <v>#N/A</v>
      </c>
      <c r="Q325" s="160" t="e">
        <f t="shared" ca="1" si="59"/>
        <v>#N/A</v>
      </c>
      <c r="R325" s="160" t="e">
        <f t="shared" ca="1" si="59"/>
        <v>#N/A</v>
      </c>
      <c r="S325" s="160" t="e">
        <f t="shared" ca="1" si="59"/>
        <v>#N/A</v>
      </c>
      <c r="T325" s="160" t="e">
        <f t="shared" ca="1" si="57"/>
        <v>#N/A</v>
      </c>
      <c r="U325" s="160" t="e">
        <f t="shared" ca="1" si="57"/>
        <v>#N/A</v>
      </c>
      <c r="V325" s="163" t="e">
        <f t="shared" ca="1" si="51"/>
        <v>#N/A</v>
      </c>
      <c r="W325" s="163" t="e">
        <f t="shared" ca="1" si="52"/>
        <v>#N/A</v>
      </c>
      <c r="X325" s="163" t="e">
        <f t="shared" ca="1" si="53"/>
        <v>#N/A</v>
      </c>
      <c r="Y325" s="163" t="e">
        <f t="shared" ca="1" si="54"/>
        <v>#N/A</v>
      </c>
    </row>
    <row r="326" spans="12:25" ht="14.4">
      <c r="L326" s="464"/>
      <c r="M326" s="129" t="e">
        <f t="shared" si="55"/>
        <v>#N/A</v>
      </c>
      <c r="N326" s="161">
        <f t="shared" si="50"/>
        <v>13</v>
      </c>
      <c r="O326" s="160" t="e">
        <f t="shared" ca="1" si="56"/>
        <v>#N/A</v>
      </c>
      <c r="P326" s="160" t="e">
        <f t="shared" ca="1" si="58"/>
        <v>#N/A</v>
      </c>
      <c r="Q326" s="160" t="e">
        <f t="shared" ca="1" si="59"/>
        <v>#N/A</v>
      </c>
      <c r="R326" s="160" t="e">
        <f t="shared" ca="1" si="59"/>
        <v>#N/A</v>
      </c>
      <c r="S326" s="160" t="e">
        <f t="shared" ca="1" si="59"/>
        <v>#N/A</v>
      </c>
      <c r="T326" s="160" t="e">
        <f t="shared" ca="1" si="57"/>
        <v>#N/A</v>
      </c>
      <c r="U326" s="160" t="e">
        <f t="shared" ca="1" si="57"/>
        <v>#N/A</v>
      </c>
      <c r="V326" s="163" t="e">
        <f t="shared" ca="1" si="51"/>
        <v>#N/A</v>
      </c>
      <c r="W326" s="163" t="e">
        <f t="shared" ca="1" si="52"/>
        <v>#N/A</v>
      </c>
      <c r="X326" s="163" t="e">
        <f t="shared" ca="1" si="53"/>
        <v>#N/A</v>
      </c>
      <c r="Y326" s="163" t="e">
        <f t="shared" ca="1" si="54"/>
        <v>#N/A</v>
      </c>
    </row>
    <row r="327" spans="12:25" ht="14.4">
      <c r="L327" s="464"/>
      <c r="M327" s="129" t="e">
        <f t="shared" si="55"/>
        <v>#N/A</v>
      </c>
      <c r="N327" s="161">
        <f t="shared" si="50"/>
        <v>13</v>
      </c>
      <c r="O327" s="160" t="e">
        <f t="shared" ca="1" si="56"/>
        <v>#N/A</v>
      </c>
      <c r="P327" s="160" t="e">
        <f t="shared" ca="1" si="58"/>
        <v>#N/A</v>
      </c>
      <c r="Q327" s="160" t="e">
        <f t="shared" ca="1" si="59"/>
        <v>#N/A</v>
      </c>
      <c r="R327" s="160" t="e">
        <f t="shared" ca="1" si="59"/>
        <v>#N/A</v>
      </c>
      <c r="S327" s="160" t="e">
        <f t="shared" ca="1" si="59"/>
        <v>#N/A</v>
      </c>
      <c r="T327" s="160" t="e">
        <f t="shared" ca="1" si="57"/>
        <v>#N/A</v>
      </c>
      <c r="U327" s="160" t="e">
        <f t="shared" ca="1" si="57"/>
        <v>#N/A</v>
      </c>
      <c r="V327" s="163" t="e">
        <f t="shared" ca="1" si="51"/>
        <v>#N/A</v>
      </c>
      <c r="W327" s="163" t="e">
        <f t="shared" ca="1" si="52"/>
        <v>#N/A</v>
      </c>
      <c r="X327" s="163" t="e">
        <f t="shared" ca="1" si="53"/>
        <v>#N/A</v>
      </c>
      <c r="Y327" s="163" t="e">
        <f t="shared" ca="1" si="54"/>
        <v>#N/A</v>
      </c>
    </row>
    <row r="328" spans="12:25" ht="14.4">
      <c r="L328" s="464"/>
      <c r="M328" s="129" t="e">
        <f t="shared" si="55"/>
        <v>#N/A</v>
      </c>
      <c r="N328" s="161">
        <f t="shared" si="50"/>
        <v>13</v>
      </c>
      <c r="O328" s="160" t="e">
        <f t="shared" ca="1" si="56"/>
        <v>#N/A</v>
      </c>
      <c r="P328" s="160" t="e">
        <f t="shared" ca="1" si="58"/>
        <v>#N/A</v>
      </c>
      <c r="Q328" s="160" t="e">
        <f t="shared" ca="1" si="59"/>
        <v>#N/A</v>
      </c>
      <c r="R328" s="160" t="e">
        <f t="shared" ca="1" si="59"/>
        <v>#N/A</v>
      </c>
      <c r="S328" s="160" t="e">
        <f t="shared" ca="1" si="59"/>
        <v>#N/A</v>
      </c>
      <c r="T328" s="160" t="e">
        <f t="shared" ca="1" si="57"/>
        <v>#N/A</v>
      </c>
      <c r="U328" s="160" t="e">
        <f t="shared" ca="1" si="57"/>
        <v>#N/A</v>
      </c>
      <c r="V328" s="163" t="e">
        <f t="shared" ca="1" si="51"/>
        <v>#N/A</v>
      </c>
      <c r="W328" s="163" t="e">
        <f t="shared" ca="1" si="52"/>
        <v>#N/A</v>
      </c>
      <c r="X328" s="163" t="e">
        <f t="shared" ca="1" si="53"/>
        <v>#N/A</v>
      </c>
      <c r="Y328" s="163" t="e">
        <f t="shared" ca="1" si="54"/>
        <v>#N/A</v>
      </c>
    </row>
    <row r="329" spans="12:25" ht="14.4">
      <c r="L329" s="464"/>
      <c r="M329" s="129" t="e">
        <f t="shared" si="55"/>
        <v>#N/A</v>
      </c>
      <c r="N329" s="161">
        <f t="shared" si="50"/>
        <v>13</v>
      </c>
      <c r="O329" s="160" t="e">
        <f t="shared" ca="1" si="56"/>
        <v>#N/A</v>
      </c>
      <c r="P329" s="160" t="e">
        <f t="shared" ca="1" si="58"/>
        <v>#N/A</v>
      </c>
      <c r="Q329" s="160" t="e">
        <f t="shared" ca="1" si="59"/>
        <v>#N/A</v>
      </c>
      <c r="R329" s="160" t="e">
        <f t="shared" ca="1" si="59"/>
        <v>#N/A</v>
      </c>
      <c r="S329" s="160" t="e">
        <f t="shared" ca="1" si="59"/>
        <v>#N/A</v>
      </c>
      <c r="T329" s="160" t="e">
        <f t="shared" ca="1" si="57"/>
        <v>#N/A</v>
      </c>
      <c r="U329" s="160" t="e">
        <f t="shared" ca="1" si="57"/>
        <v>#N/A</v>
      </c>
      <c r="V329" s="163" t="e">
        <f t="shared" ca="1" si="51"/>
        <v>#N/A</v>
      </c>
      <c r="W329" s="163" t="e">
        <f t="shared" ca="1" si="52"/>
        <v>#N/A</v>
      </c>
      <c r="X329" s="163" t="e">
        <f t="shared" ca="1" si="53"/>
        <v>#N/A</v>
      </c>
      <c r="Y329" s="163" t="e">
        <f t="shared" ca="1" si="54"/>
        <v>#N/A</v>
      </c>
    </row>
    <row r="330" spans="12:25" ht="14.4">
      <c r="L330" s="464"/>
      <c r="M330" s="129" t="e">
        <f t="shared" si="55"/>
        <v>#N/A</v>
      </c>
      <c r="N330" s="161">
        <f t="shared" si="50"/>
        <v>13</v>
      </c>
      <c r="O330" s="160" t="e">
        <f t="shared" ca="1" si="56"/>
        <v>#N/A</v>
      </c>
      <c r="P330" s="160" t="e">
        <f t="shared" ca="1" si="58"/>
        <v>#N/A</v>
      </c>
      <c r="Q330" s="160" t="e">
        <f t="shared" ca="1" si="59"/>
        <v>#N/A</v>
      </c>
      <c r="R330" s="160" t="e">
        <f t="shared" ca="1" si="59"/>
        <v>#N/A</v>
      </c>
      <c r="S330" s="160" t="e">
        <f t="shared" ca="1" si="59"/>
        <v>#N/A</v>
      </c>
      <c r="T330" s="160" t="e">
        <f t="shared" ca="1" si="57"/>
        <v>#N/A</v>
      </c>
      <c r="U330" s="160" t="e">
        <f t="shared" ca="1" si="57"/>
        <v>#N/A</v>
      </c>
      <c r="V330" s="163" t="e">
        <f t="shared" ca="1" si="51"/>
        <v>#N/A</v>
      </c>
      <c r="W330" s="163" t="e">
        <f t="shared" ca="1" si="52"/>
        <v>#N/A</v>
      </c>
      <c r="X330" s="163" t="e">
        <f t="shared" ca="1" si="53"/>
        <v>#N/A</v>
      </c>
      <c r="Y330" s="163" t="e">
        <f t="shared" ca="1" si="54"/>
        <v>#N/A</v>
      </c>
    </row>
    <row r="331" spans="12:25" ht="14.4">
      <c r="L331" s="464"/>
      <c r="M331" s="129" t="e">
        <f t="shared" si="55"/>
        <v>#N/A</v>
      </c>
      <c r="N331" s="161">
        <f t="shared" si="50"/>
        <v>13</v>
      </c>
      <c r="O331" s="160" t="e">
        <f t="shared" ca="1" si="56"/>
        <v>#N/A</v>
      </c>
      <c r="P331" s="160" t="e">
        <f t="shared" ca="1" si="58"/>
        <v>#N/A</v>
      </c>
      <c r="Q331" s="160" t="e">
        <f t="shared" ca="1" si="59"/>
        <v>#N/A</v>
      </c>
      <c r="R331" s="160" t="e">
        <f t="shared" ca="1" si="59"/>
        <v>#N/A</v>
      </c>
      <c r="S331" s="160" t="e">
        <f t="shared" ca="1" si="59"/>
        <v>#N/A</v>
      </c>
      <c r="T331" s="160" t="e">
        <f t="shared" ca="1" si="57"/>
        <v>#N/A</v>
      </c>
      <c r="U331" s="160" t="e">
        <f t="shared" ca="1" si="57"/>
        <v>#N/A</v>
      </c>
      <c r="V331" s="163" t="e">
        <f t="shared" ca="1" si="51"/>
        <v>#N/A</v>
      </c>
      <c r="W331" s="163" t="e">
        <f t="shared" ca="1" si="52"/>
        <v>#N/A</v>
      </c>
      <c r="X331" s="163" t="e">
        <f t="shared" ca="1" si="53"/>
        <v>#N/A</v>
      </c>
      <c r="Y331" s="163" t="e">
        <f t="shared" ca="1" si="54"/>
        <v>#N/A</v>
      </c>
    </row>
    <row r="332" spans="12:25" ht="14.4">
      <c r="L332" s="464"/>
      <c r="M332" s="129" t="e">
        <f t="shared" si="55"/>
        <v>#N/A</v>
      </c>
      <c r="N332" s="161">
        <f t="shared" si="50"/>
        <v>13</v>
      </c>
      <c r="O332" s="160" t="e">
        <f t="shared" ca="1" si="56"/>
        <v>#N/A</v>
      </c>
      <c r="P332" s="160" t="e">
        <f t="shared" ca="1" si="58"/>
        <v>#N/A</v>
      </c>
      <c r="Q332" s="160" t="e">
        <f t="shared" ca="1" si="59"/>
        <v>#N/A</v>
      </c>
      <c r="R332" s="160" t="e">
        <f t="shared" ca="1" si="59"/>
        <v>#N/A</v>
      </c>
      <c r="S332" s="160" t="e">
        <f t="shared" ca="1" si="59"/>
        <v>#N/A</v>
      </c>
      <c r="T332" s="160" t="e">
        <f t="shared" ca="1" si="57"/>
        <v>#N/A</v>
      </c>
      <c r="U332" s="160" t="e">
        <f t="shared" ca="1" si="57"/>
        <v>#N/A</v>
      </c>
      <c r="V332" s="163" t="e">
        <f t="shared" ca="1" si="51"/>
        <v>#N/A</v>
      </c>
      <c r="W332" s="163" t="e">
        <f t="shared" ca="1" si="52"/>
        <v>#N/A</v>
      </c>
      <c r="X332" s="163" t="e">
        <f t="shared" ca="1" si="53"/>
        <v>#N/A</v>
      </c>
      <c r="Y332" s="163" t="e">
        <f t="shared" ca="1" si="54"/>
        <v>#N/A</v>
      </c>
    </row>
    <row r="333" spans="12:25" ht="14.4">
      <c r="L333" s="464"/>
      <c r="M333" s="129" t="e">
        <f t="shared" si="55"/>
        <v>#N/A</v>
      </c>
      <c r="N333" s="161">
        <f t="shared" si="50"/>
        <v>13</v>
      </c>
      <c r="O333" s="160" t="e">
        <f t="shared" ca="1" si="56"/>
        <v>#N/A</v>
      </c>
      <c r="P333" s="160" t="e">
        <f t="shared" ca="1" si="58"/>
        <v>#N/A</v>
      </c>
      <c r="Q333" s="160" t="e">
        <f t="shared" ca="1" si="59"/>
        <v>#N/A</v>
      </c>
      <c r="R333" s="160" t="e">
        <f t="shared" ca="1" si="59"/>
        <v>#N/A</v>
      </c>
      <c r="S333" s="160" t="e">
        <f t="shared" ca="1" si="59"/>
        <v>#N/A</v>
      </c>
      <c r="T333" s="160" t="e">
        <f t="shared" ca="1" si="57"/>
        <v>#N/A</v>
      </c>
      <c r="U333" s="160" t="e">
        <f t="shared" ca="1" si="57"/>
        <v>#N/A</v>
      </c>
      <c r="V333" s="163" t="e">
        <f t="shared" ca="1" si="51"/>
        <v>#N/A</v>
      </c>
      <c r="W333" s="163" t="e">
        <f t="shared" ca="1" si="52"/>
        <v>#N/A</v>
      </c>
      <c r="X333" s="163" t="e">
        <f t="shared" ca="1" si="53"/>
        <v>#N/A</v>
      </c>
      <c r="Y333" s="163" t="e">
        <f t="shared" ca="1" si="54"/>
        <v>#N/A</v>
      </c>
    </row>
    <row r="334" spans="12:25" ht="14.4">
      <c r="L334" s="464"/>
      <c r="M334" s="129" t="e">
        <f t="shared" si="55"/>
        <v>#N/A</v>
      </c>
      <c r="N334" s="161">
        <f t="shared" si="50"/>
        <v>13</v>
      </c>
      <c r="O334" s="160" t="e">
        <f t="shared" ca="1" si="56"/>
        <v>#N/A</v>
      </c>
      <c r="P334" s="160" t="e">
        <f t="shared" ca="1" si="58"/>
        <v>#N/A</v>
      </c>
      <c r="Q334" s="160" t="e">
        <f t="shared" ca="1" si="59"/>
        <v>#N/A</v>
      </c>
      <c r="R334" s="160" t="e">
        <f t="shared" ca="1" si="59"/>
        <v>#N/A</v>
      </c>
      <c r="S334" s="160" t="e">
        <f t="shared" ca="1" si="59"/>
        <v>#N/A</v>
      </c>
      <c r="T334" s="160" t="e">
        <f t="shared" ca="1" si="57"/>
        <v>#N/A</v>
      </c>
      <c r="U334" s="160" t="e">
        <f t="shared" ca="1" si="57"/>
        <v>#N/A</v>
      </c>
      <c r="V334" s="163" t="e">
        <f t="shared" ca="1" si="51"/>
        <v>#N/A</v>
      </c>
      <c r="W334" s="163" t="e">
        <f t="shared" ca="1" si="52"/>
        <v>#N/A</v>
      </c>
      <c r="X334" s="163" t="e">
        <f t="shared" ca="1" si="53"/>
        <v>#N/A</v>
      </c>
      <c r="Y334" s="163" t="e">
        <f t="shared" ca="1" si="54"/>
        <v>#N/A</v>
      </c>
    </row>
    <row r="335" spans="12:25" ht="14.4">
      <c r="L335" s="464"/>
      <c r="M335" s="129" t="e">
        <f t="shared" si="55"/>
        <v>#N/A</v>
      </c>
      <c r="N335" s="161">
        <f t="shared" si="50"/>
        <v>13</v>
      </c>
      <c r="O335" s="160" t="e">
        <f t="shared" ca="1" si="56"/>
        <v>#N/A</v>
      </c>
      <c r="P335" s="160" t="e">
        <f t="shared" ca="1" si="58"/>
        <v>#N/A</v>
      </c>
      <c r="Q335" s="160" t="e">
        <f t="shared" ca="1" si="59"/>
        <v>#N/A</v>
      </c>
      <c r="R335" s="160" t="e">
        <f t="shared" ca="1" si="59"/>
        <v>#N/A</v>
      </c>
      <c r="S335" s="160" t="e">
        <f t="shared" ca="1" si="59"/>
        <v>#N/A</v>
      </c>
      <c r="T335" s="160" t="e">
        <f t="shared" ca="1" si="57"/>
        <v>#N/A</v>
      </c>
      <c r="U335" s="160" t="e">
        <f t="shared" ca="1" si="57"/>
        <v>#N/A</v>
      </c>
      <c r="V335" s="163" t="e">
        <f t="shared" ca="1" si="51"/>
        <v>#N/A</v>
      </c>
      <c r="W335" s="163" t="e">
        <f t="shared" ca="1" si="52"/>
        <v>#N/A</v>
      </c>
      <c r="X335" s="163" t="e">
        <f t="shared" ca="1" si="53"/>
        <v>#N/A</v>
      </c>
      <c r="Y335" s="163" t="e">
        <f t="shared" ca="1" si="54"/>
        <v>#N/A</v>
      </c>
    </row>
    <row r="336" spans="12:25" ht="14.4">
      <c r="L336" s="464"/>
      <c r="M336" s="129" t="e">
        <f t="shared" si="55"/>
        <v>#N/A</v>
      </c>
      <c r="N336" s="161">
        <f t="shared" si="50"/>
        <v>13</v>
      </c>
      <c r="O336" s="160" t="e">
        <f t="shared" ca="1" si="56"/>
        <v>#N/A</v>
      </c>
      <c r="P336" s="160" t="e">
        <f t="shared" ca="1" si="58"/>
        <v>#N/A</v>
      </c>
      <c r="Q336" s="160" t="e">
        <f t="shared" ca="1" si="59"/>
        <v>#N/A</v>
      </c>
      <c r="R336" s="160" t="e">
        <f t="shared" ca="1" si="59"/>
        <v>#N/A</v>
      </c>
      <c r="S336" s="160" t="e">
        <f t="shared" ca="1" si="59"/>
        <v>#N/A</v>
      </c>
      <c r="T336" s="160" t="e">
        <f t="shared" ca="1" si="57"/>
        <v>#N/A</v>
      </c>
      <c r="U336" s="160" t="e">
        <f t="shared" ca="1" si="57"/>
        <v>#N/A</v>
      </c>
      <c r="V336" s="163" t="e">
        <f t="shared" ca="1" si="51"/>
        <v>#N/A</v>
      </c>
      <c r="W336" s="163" t="e">
        <f t="shared" ca="1" si="52"/>
        <v>#N/A</v>
      </c>
      <c r="X336" s="163" t="e">
        <f t="shared" ca="1" si="53"/>
        <v>#N/A</v>
      </c>
      <c r="Y336" s="163" t="e">
        <f t="shared" ca="1" si="54"/>
        <v>#N/A</v>
      </c>
    </row>
    <row r="337" spans="12:25" ht="14.4">
      <c r="L337" s="464"/>
      <c r="M337" s="129" t="e">
        <f t="shared" si="55"/>
        <v>#N/A</v>
      </c>
      <c r="N337" s="161">
        <f t="shared" si="50"/>
        <v>13</v>
      </c>
      <c r="O337" s="160" t="e">
        <f t="shared" ca="1" si="56"/>
        <v>#N/A</v>
      </c>
      <c r="P337" s="160" t="e">
        <f t="shared" ca="1" si="58"/>
        <v>#N/A</v>
      </c>
      <c r="Q337" s="160" t="e">
        <f t="shared" ca="1" si="59"/>
        <v>#N/A</v>
      </c>
      <c r="R337" s="160" t="e">
        <f t="shared" ca="1" si="59"/>
        <v>#N/A</v>
      </c>
      <c r="S337" s="160" t="e">
        <f t="shared" ca="1" si="59"/>
        <v>#N/A</v>
      </c>
      <c r="T337" s="160" t="e">
        <f t="shared" ca="1" si="57"/>
        <v>#N/A</v>
      </c>
      <c r="U337" s="160" t="e">
        <f t="shared" ca="1" si="57"/>
        <v>#N/A</v>
      </c>
      <c r="V337" s="163" t="e">
        <f t="shared" ca="1" si="51"/>
        <v>#N/A</v>
      </c>
      <c r="W337" s="163" t="e">
        <f t="shared" ca="1" si="52"/>
        <v>#N/A</v>
      </c>
      <c r="X337" s="163" t="e">
        <f t="shared" ca="1" si="53"/>
        <v>#N/A</v>
      </c>
      <c r="Y337" s="163" t="e">
        <f t="shared" ca="1" si="54"/>
        <v>#N/A</v>
      </c>
    </row>
    <row r="338" spans="12:25" ht="14.4">
      <c r="L338" s="464"/>
      <c r="M338" s="129" t="e">
        <f t="shared" si="55"/>
        <v>#N/A</v>
      </c>
      <c r="N338" s="161">
        <f t="shared" ref="N338:N401" si="60">N337</f>
        <v>13</v>
      </c>
      <c r="O338" s="160" t="e">
        <f t="shared" ca="1" si="56"/>
        <v>#N/A</v>
      </c>
      <c r="P338" s="160" t="e">
        <f t="shared" ca="1" si="58"/>
        <v>#N/A</v>
      </c>
      <c r="Q338" s="160" t="e">
        <f t="shared" ca="1" si="59"/>
        <v>#N/A</v>
      </c>
      <c r="R338" s="160" t="e">
        <f t="shared" ca="1" si="59"/>
        <v>#N/A</v>
      </c>
      <c r="S338" s="160" t="e">
        <f t="shared" ca="1" si="59"/>
        <v>#N/A</v>
      </c>
      <c r="T338" s="160" t="e">
        <f t="shared" ca="1" si="57"/>
        <v>#N/A</v>
      </c>
      <c r="U338" s="160" t="e">
        <f t="shared" ca="1" si="57"/>
        <v>#N/A</v>
      </c>
      <c r="V338" s="163" t="e">
        <f t="shared" ca="1" si="51"/>
        <v>#N/A</v>
      </c>
      <c r="W338" s="163" t="e">
        <f t="shared" ca="1" si="52"/>
        <v>#N/A</v>
      </c>
      <c r="X338" s="163" t="e">
        <f t="shared" ca="1" si="53"/>
        <v>#N/A</v>
      </c>
      <c r="Y338" s="163" t="e">
        <f t="shared" ca="1" si="54"/>
        <v>#N/A</v>
      </c>
    </row>
    <row r="339" spans="12:25" ht="14.4">
      <c r="L339" s="464"/>
      <c r="M339" s="129" t="e">
        <f t="shared" si="55"/>
        <v>#N/A</v>
      </c>
      <c r="N339" s="161">
        <f t="shared" si="60"/>
        <v>13</v>
      </c>
      <c r="O339" s="160" t="e">
        <f t="shared" ca="1" si="56"/>
        <v>#N/A</v>
      </c>
      <c r="P339" s="160" t="e">
        <f t="shared" ca="1" si="58"/>
        <v>#N/A</v>
      </c>
      <c r="Q339" s="160" t="e">
        <f t="shared" ca="1" si="59"/>
        <v>#N/A</v>
      </c>
      <c r="R339" s="160" t="e">
        <f t="shared" ca="1" si="59"/>
        <v>#N/A</v>
      </c>
      <c r="S339" s="160" t="e">
        <f t="shared" ca="1" si="59"/>
        <v>#N/A</v>
      </c>
      <c r="T339" s="160" t="e">
        <f t="shared" ca="1" si="57"/>
        <v>#N/A</v>
      </c>
      <c r="U339" s="160" t="e">
        <f t="shared" ca="1" si="57"/>
        <v>#N/A</v>
      </c>
      <c r="V339" s="163" t="e">
        <f t="shared" ca="1" si="51"/>
        <v>#N/A</v>
      </c>
      <c r="W339" s="163" t="e">
        <f t="shared" ca="1" si="52"/>
        <v>#N/A</v>
      </c>
      <c r="X339" s="163" t="e">
        <f t="shared" ca="1" si="53"/>
        <v>#N/A</v>
      </c>
      <c r="Y339" s="163" t="e">
        <f t="shared" ca="1" si="54"/>
        <v>#N/A</v>
      </c>
    </row>
    <row r="340" spans="12:25" ht="14.4">
      <c r="L340" s="464"/>
      <c r="M340" s="129" t="e">
        <f t="shared" si="55"/>
        <v>#N/A</v>
      </c>
      <c r="N340" s="161">
        <f t="shared" si="60"/>
        <v>13</v>
      </c>
      <c r="O340" s="160" t="e">
        <f t="shared" ca="1" si="56"/>
        <v>#N/A</v>
      </c>
      <c r="P340" s="160" t="e">
        <f t="shared" ca="1" si="58"/>
        <v>#N/A</v>
      </c>
      <c r="Q340" s="160" t="e">
        <f t="shared" ca="1" si="59"/>
        <v>#N/A</v>
      </c>
      <c r="R340" s="160" t="e">
        <f t="shared" ca="1" si="59"/>
        <v>#N/A</v>
      </c>
      <c r="S340" s="160" t="e">
        <f t="shared" ca="1" si="59"/>
        <v>#N/A</v>
      </c>
      <c r="T340" s="160" t="e">
        <f t="shared" ca="1" si="57"/>
        <v>#N/A</v>
      </c>
      <c r="U340" s="160" t="e">
        <f t="shared" ca="1" si="57"/>
        <v>#N/A</v>
      </c>
      <c r="V340" s="163" t="e">
        <f t="shared" ca="1" si="51"/>
        <v>#N/A</v>
      </c>
      <c r="W340" s="163" t="e">
        <f t="shared" ca="1" si="52"/>
        <v>#N/A</v>
      </c>
      <c r="X340" s="163" t="e">
        <f t="shared" ca="1" si="53"/>
        <v>#N/A</v>
      </c>
      <c r="Y340" s="163" t="e">
        <f t="shared" ca="1" si="54"/>
        <v>#N/A</v>
      </c>
    </row>
    <row r="341" spans="12:25" ht="14.4">
      <c r="L341" s="464"/>
      <c r="M341" s="129" t="e">
        <f t="shared" si="55"/>
        <v>#N/A</v>
      </c>
      <c r="N341" s="161">
        <f t="shared" si="60"/>
        <v>13</v>
      </c>
      <c r="O341" s="160" t="e">
        <f t="shared" ca="1" si="56"/>
        <v>#N/A</v>
      </c>
      <c r="P341" s="160" t="e">
        <f t="shared" ca="1" si="58"/>
        <v>#N/A</v>
      </c>
      <c r="Q341" s="160" t="e">
        <f t="shared" ca="1" si="59"/>
        <v>#N/A</v>
      </c>
      <c r="R341" s="160" t="e">
        <f t="shared" ca="1" si="59"/>
        <v>#N/A</v>
      </c>
      <c r="S341" s="160" t="e">
        <f t="shared" ca="1" si="59"/>
        <v>#N/A</v>
      </c>
      <c r="T341" s="160" t="e">
        <f t="shared" ca="1" si="57"/>
        <v>#N/A</v>
      </c>
      <c r="U341" s="160" t="e">
        <f t="shared" ca="1" si="57"/>
        <v>#N/A</v>
      </c>
      <c r="V341" s="163" t="e">
        <f t="shared" ca="1" si="51"/>
        <v>#N/A</v>
      </c>
      <c r="W341" s="163" t="e">
        <f t="shared" ca="1" si="52"/>
        <v>#N/A</v>
      </c>
      <c r="X341" s="163" t="e">
        <f t="shared" ca="1" si="53"/>
        <v>#N/A</v>
      </c>
      <c r="Y341" s="163" t="e">
        <f t="shared" ca="1" si="54"/>
        <v>#N/A</v>
      </c>
    </row>
    <row r="342" spans="12:25" ht="14.4">
      <c r="L342" s="464"/>
      <c r="M342" s="129" t="e">
        <f t="shared" si="55"/>
        <v>#N/A</v>
      </c>
      <c r="N342" s="161">
        <f t="shared" si="60"/>
        <v>13</v>
      </c>
      <c r="O342" s="160" t="e">
        <f t="shared" ca="1" si="56"/>
        <v>#N/A</v>
      </c>
      <c r="P342" s="160" t="e">
        <f t="shared" ca="1" si="58"/>
        <v>#N/A</v>
      </c>
      <c r="Q342" s="160" t="e">
        <f t="shared" ca="1" si="59"/>
        <v>#N/A</v>
      </c>
      <c r="R342" s="160" t="e">
        <f t="shared" ca="1" si="59"/>
        <v>#N/A</v>
      </c>
      <c r="S342" s="160" t="e">
        <f t="shared" ca="1" si="59"/>
        <v>#N/A</v>
      </c>
      <c r="T342" s="160" t="e">
        <f t="shared" ca="1" si="57"/>
        <v>#N/A</v>
      </c>
      <c r="U342" s="160" t="e">
        <f t="shared" ca="1" si="57"/>
        <v>#N/A</v>
      </c>
      <c r="V342" s="163" t="e">
        <f t="shared" ca="1" si="51"/>
        <v>#N/A</v>
      </c>
      <c r="W342" s="163" t="e">
        <f t="shared" ca="1" si="52"/>
        <v>#N/A</v>
      </c>
      <c r="X342" s="163" t="e">
        <f t="shared" ca="1" si="53"/>
        <v>#N/A</v>
      </c>
      <c r="Y342" s="163" t="e">
        <f t="shared" ca="1" si="54"/>
        <v>#N/A</v>
      </c>
    </row>
    <row r="343" spans="12:25" ht="14.4">
      <c r="L343" s="464"/>
      <c r="M343" s="129" t="e">
        <f t="shared" si="55"/>
        <v>#N/A</v>
      </c>
      <c r="N343" s="161">
        <f t="shared" si="60"/>
        <v>13</v>
      </c>
      <c r="O343" s="160" t="e">
        <f t="shared" ca="1" si="56"/>
        <v>#N/A</v>
      </c>
      <c r="P343" s="160" t="e">
        <f t="shared" ca="1" si="58"/>
        <v>#N/A</v>
      </c>
      <c r="Q343" s="160" t="e">
        <f t="shared" ca="1" si="59"/>
        <v>#N/A</v>
      </c>
      <c r="R343" s="160" t="e">
        <f t="shared" ca="1" si="59"/>
        <v>#N/A</v>
      </c>
      <c r="S343" s="160" t="e">
        <f t="shared" ca="1" si="59"/>
        <v>#N/A</v>
      </c>
      <c r="T343" s="160" t="e">
        <f t="shared" ca="1" si="57"/>
        <v>#N/A</v>
      </c>
      <c r="U343" s="160" t="e">
        <f t="shared" ca="1" si="57"/>
        <v>#N/A</v>
      </c>
      <c r="V343" s="163" t="e">
        <f t="shared" ca="1" si="51"/>
        <v>#N/A</v>
      </c>
      <c r="W343" s="163" t="e">
        <f t="shared" ca="1" si="52"/>
        <v>#N/A</v>
      </c>
      <c r="X343" s="163" t="e">
        <f t="shared" ca="1" si="53"/>
        <v>#N/A</v>
      </c>
      <c r="Y343" s="163" t="e">
        <f t="shared" ca="1" si="54"/>
        <v>#N/A</v>
      </c>
    </row>
    <row r="344" spans="12:25" ht="14.4">
      <c r="L344" s="464"/>
      <c r="M344" s="129" t="e">
        <f t="shared" si="55"/>
        <v>#N/A</v>
      </c>
      <c r="N344" s="161">
        <f t="shared" si="60"/>
        <v>13</v>
      </c>
      <c r="O344" s="160" t="e">
        <f t="shared" ca="1" si="56"/>
        <v>#N/A</v>
      </c>
      <c r="P344" s="160" t="e">
        <f t="shared" ca="1" si="58"/>
        <v>#N/A</v>
      </c>
      <c r="Q344" s="160" t="e">
        <f t="shared" ca="1" si="59"/>
        <v>#N/A</v>
      </c>
      <c r="R344" s="160" t="e">
        <f t="shared" ca="1" si="59"/>
        <v>#N/A</v>
      </c>
      <c r="S344" s="160" t="e">
        <f t="shared" ca="1" si="59"/>
        <v>#N/A</v>
      </c>
      <c r="T344" s="160" t="e">
        <f t="shared" ca="1" si="57"/>
        <v>#N/A</v>
      </c>
      <c r="U344" s="160" t="e">
        <f t="shared" ca="1" si="57"/>
        <v>#N/A</v>
      </c>
      <c r="V344" s="163" t="e">
        <f t="shared" ca="1" si="51"/>
        <v>#N/A</v>
      </c>
      <c r="W344" s="163" t="e">
        <f t="shared" ca="1" si="52"/>
        <v>#N/A</v>
      </c>
      <c r="X344" s="163" t="e">
        <f t="shared" ca="1" si="53"/>
        <v>#N/A</v>
      </c>
      <c r="Y344" s="163" t="e">
        <f t="shared" ca="1" si="54"/>
        <v>#N/A</v>
      </c>
    </row>
    <row r="345" spans="12:25" ht="14.4">
      <c r="L345" s="464"/>
      <c r="M345" s="129" t="e">
        <f t="shared" si="55"/>
        <v>#N/A</v>
      </c>
      <c r="N345" s="161">
        <f t="shared" si="60"/>
        <v>13</v>
      </c>
      <c r="O345" s="160" t="e">
        <f t="shared" ca="1" si="56"/>
        <v>#N/A</v>
      </c>
      <c r="P345" s="160" t="e">
        <f t="shared" ca="1" si="58"/>
        <v>#N/A</v>
      </c>
      <c r="Q345" s="160" t="e">
        <f t="shared" ca="1" si="59"/>
        <v>#N/A</v>
      </c>
      <c r="R345" s="160" t="e">
        <f t="shared" ca="1" si="59"/>
        <v>#N/A</v>
      </c>
      <c r="S345" s="160" t="e">
        <f t="shared" ca="1" si="59"/>
        <v>#N/A</v>
      </c>
      <c r="T345" s="160" t="e">
        <f t="shared" ca="1" si="57"/>
        <v>#N/A</v>
      </c>
      <c r="U345" s="160" t="e">
        <f t="shared" ca="1" si="57"/>
        <v>#N/A</v>
      </c>
      <c r="V345" s="163" t="e">
        <f t="shared" ca="1" si="51"/>
        <v>#N/A</v>
      </c>
      <c r="W345" s="163" t="e">
        <f t="shared" ca="1" si="52"/>
        <v>#N/A</v>
      </c>
      <c r="X345" s="163" t="e">
        <f t="shared" ca="1" si="53"/>
        <v>#N/A</v>
      </c>
      <c r="Y345" s="163" t="e">
        <f t="shared" ca="1" si="54"/>
        <v>#N/A</v>
      </c>
    </row>
    <row r="346" spans="12:25" ht="14.4">
      <c r="L346" s="464"/>
      <c r="M346" s="129" t="e">
        <f t="shared" si="55"/>
        <v>#N/A</v>
      </c>
      <c r="N346" s="161">
        <f t="shared" si="60"/>
        <v>13</v>
      </c>
      <c r="O346" s="160" t="e">
        <f t="shared" ca="1" si="56"/>
        <v>#N/A</v>
      </c>
      <c r="P346" s="160" t="e">
        <f t="shared" ca="1" si="58"/>
        <v>#N/A</v>
      </c>
      <c r="Q346" s="160" t="e">
        <f t="shared" ca="1" si="59"/>
        <v>#N/A</v>
      </c>
      <c r="R346" s="160" t="e">
        <f t="shared" ca="1" si="59"/>
        <v>#N/A</v>
      </c>
      <c r="S346" s="160" t="e">
        <f t="shared" ca="1" si="59"/>
        <v>#N/A</v>
      </c>
      <c r="T346" s="160" t="e">
        <f t="shared" ca="1" si="57"/>
        <v>#N/A</v>
      </c>
      <c r="U346" s="160" t="e">
        <f t="shared" ca="1" si="57"/>
        <v>#N/A</v>
      </c>
      <c r="V346" s="163" t="e">
        <f t="shared" ca="1" si="51"/>
        <v>#N/A</v>
      </c>
      <c r="W346" s="163" t="e">
        <f t="shared" ca="1" si="52"/>
        <v>#N/A</v>
      </c>
      <c r="X346" s="163" t="e">
        <f t="shared" ca="1" si="53"/>
        <v>#N/A</v>
      </c>
      <c r="Y346" s="163" t="e">
        <f t="shared" ca="1" si="54"/>
        <v>#N/A</v>
      </c>
    </row>
    <row r="347" spans="12:25" ht="14.4">
      <c r="L347" s="464"/>
      <c r="M347" s="129" t="e">
        <f t="shared" si="55"/>
        <v>#N/A</v>
      </c>
      <c r="N347" s="161">
        <f t="shared" si="60"/>
        <v>13</v>
      </c>
      <c r="O347" s="160" t="e">
        <f t="shared" ca="1" si="56"/>
        <v>#N/A</v>
      </c>
      <c r="P347" s="160" t="e">
        <f t="shared" ca="1" si="58"/>
        <v>#N/A</v>
      </c>
      <c r="Q347" s="160" t="e">
        <f t="shared" ca="1" si="59"/>
        <v>#N/A</v>
      </c>
      <c r="R347" s="160" t="e">
        <f t="shared" ca="1" si="59"/>
        <v>#N/A</v>
      </c>
      <c r="S347" s="160" t="e">
        <f t="shared" ca="1" si="59"/>
        <v>#N/A</v>
      </c>
      <c r="T347" s="160" t="e">
        <f t="shared" ca="1" si="57"/>
        <v>#N/A</v>
      </c>
      <c r="U347" s="160" t="e">
        <f t="shared" ca="1" si="57"/>
        <v>#N/A</v>
      </c>
      <c r="V347" s="163" t="e">
        <f t="shared" ca="1" si="51"/>
        <v>#N/A</v>
      </c>
      <c r="W347" s="163" t="e">
        <f t="shared" ca="1" si="52"/>
        <v>#N/A</v>
      </c>
      <c r="X347" s="163" t="e">
        <f t="shared" ca="1" si="53"/>
        <v>#N/A</v>
      </c>
      <c r="Y347" s="163" t="e">
        <f t="shared" ca="1" si="54"/>
        <v>#N/A</v>
      </c>
    </row>
    <row r="348" spans="12:25" ht="14.4">
      <c r="L348" s="464"/>
      <c r="M348" s="129" t="e">
        <f t="shared" si="55"/>
        <v>#N/A</v>
      </c>
      <c r="N348" s="161">
        <f t="shared" si="60"/>
        <v>13</v>
      </c>
      <c r="O348" s="160" t="e">
        <f t="shared" ca="1" si="56"/>
        <v>#N/A</v>
      </c>
      <c r="P348" s="160" t="e">
        <f t="shared" ca="1" si="58"/>
        <v>#N/A</v>
      </c>
      <c r="Q348" s="160" t="e">
        <f t="shared" ca="1" si="59"/>
        <v>#N/A</v>
      </c>
      <c r="R348" s="160" t="e">
        <f t="shared" ca="1" si="59"/>
        <v>#N/A</v>
      </c>
      <c r="S348" s="160" t="e">
        <f t="shared" ca="1" si="59"/>
        <v>#N/A</v>
      </c>
      <c r="T348" s="160" t="e">
        <f t="shared" ca="1" si="57"/>
        <v>#N/A</v>
      </c>
      <c r="U348" s="160" t="e">
        <f t="shared" ca="1" si="57"/>
        <v>#N/A</v>
      </c>
      <c r="V348" s="163" t="e">
        <f t="shared" ca="1" si="51"/>
        <v>#N/A</v>
      </c>
      <c r="W348" s="163" t="e">
        <f t="shared" ca="1" si="52"/>
        <v>#N/A</v>
      </c>
      <c r="X348" s="163" t="e">
        <f t="shared" ca="1" si="53"/>
        <v>#N/A</v>
      </c>
      <c r="Y348" s="163" t="e">
        <f t="shared" ca="1" si="54"/>
        <v>#N/A</v>
      </c>
    </row>
    <row r="349" spans="12:25" ht="14.4">
      <c r="L349" s="464"/>
      <c r="M349" s="129" t="e">
        <f t="shared" si="55"/>
        <v>#N/A</v>
      </c>
      <c r="N349" s="161">
        <f t="shared" si="60"/>
        <v>13</v>
      </c>
      <c r="O349" s="160" t="e">
        <f t="shared" ca="1" si="56"/>
        <v>#N/A</v>
      </c>
      <c r="P349" s="160" t="e">
        <f t="shared" ca="1" si="58"/>
        <v>#N/A</v>
      </c>
      <c r="Q349" s="160" t="e">
        <f t="shared" ca="1" si="59"/>
        <v>#N/A</v>
      </c>
      <c r="R349" s="160" t="e">
        <f t="shared" ca="1" si="59"/>
        <v>#N/A</v>
      </c>
      <c r="S349" s="160" t="e">
        <f t="shared" ca="1" si="59"/>
        <v>#N/A</v>
      </c>
      <c r="T349" s="160" t="e">
        <f t="shared" ca="1" si="57"/>
        <v>#N/A</v>
      </c>
      <c r="U349" s="160" t="e">
        <f t="shared" ca="1" si="57"/>
        <v>#N/A</v>
      </c>
      <c r="V349" s="163" t="e">
        <f t="shared" ca="1" si="51"/>
        <v>#N/A</v>
      </c>
      <c r="W349" s="163" t="e">
        <f t="shared" ca="1" si="52"/>
        <v>#N/A</v>
      </c>
      <c r="X349" s="163" t="e">
        <f t="shared" ca="1" si="53"/>
        <v>#N/A</v>
      </c>
      <c r="Y349" s="163" t="e">
        <f t="shared" ca="1" si="54"/>
        <v>#N/A</v>
      </c>
    </row>
    <row r="350" spans="12:25" ht="14.4">
      <c r="L350" s="464"/>
      <c r="M350" s="129" t="e">
        <f t="shared" si="55"/>
        <v>#N/A</v>
      </c>
      <c r="N350" s="161">
        <f t="shared" si="60"/>
        <v>13</v>
      </c>
      <c r="O350" s="160" t="e">
        <f t="shared" ca="1" si="56"/>
        <v>#N/A</v>
      </c>
      <c r="P350" s="160" t="e">
        <f t="shared" ca="1" si="58"/>
        <v>#N/A</v>
      </c>
      <c r="Q350" s="160" t="e">
        <f t="shared" ca="1" si="59"/>
        <v>#N/A</v>
      </c>
      <c r="R350" s="160" t="e">
        <f t="shared" ca="1" si="59"/>
        <v>#N/A</v>
      </c>
      <c r="S350" s="160" t="e">
        <f t="shared" ca="1" si="59"/>
        <v>#N/A</v>
      </c>
      <c r="T350" s="160" t="e">
        <f t="shared" ca="1" si="57"/>
        <v>#N/A</v>
      </c>
      <c r="U350" s="160" t="e">
        <f t="shared" ca="1" si="57"/>
        <v>#N/A</v>
      </c>
      <c r="V350" s="163" t="e">
        <f t="shared" ca="1" si="51"/>
        <v>#N/A</v>
      </c>
      <c r="W350" s="163" t="e">
        <f t="shared" ca="1" si="52"/>
        <v>#N/A</v>
      </c>
      <c r="X350" s="163" t="e">
        <f t="shared" ca="1" si="53"/>
        <v>#N/A</v>
      </c>
      <c r="Y350" s="163" t="e">
        <f t="shared" ca="1" si="54"/>
        <v>#N/A</v>
      </c>
    </row>
    <row r="351" spans="12:25" ht="14.4">
      <c r="L351" s="464"/>
      <c r="M351" s="129" t="e">
        <f t="shared" si="55"/>
        <v>#N/A</v>
      </c>
      <c r="N351" s="161">
        <f t="shared" si="60"/>
        <v>13</v>
      </c>
      <c r="O351" s="160" t="e">
        <f t="shared" ca="1" si="56"/>
        <v>#N/A</v>
      </c>
      <c r="P351" s="160" t="e">
        <f t="shared" ca="1" si="58"/>
        <v>#N/A</v>
      </c>
      <c r="Q351" s="160" t="e">
        <f t="shared" ca="1" si="59"/>
        <v>#N/A</v>
      </c>
      <c r="R351" s="160" t="e">
        <f t="shared" ca="1" si="59"/>
        <v>#N/A</v>
      </c>
      <c r="S351" s="160" t="e">
        <f t="shared" ca="1" si="59"/>
        <v>#N/A</v>
      </c>
      <c r="T351" s="160" t="e">
        <f t="shared" ca="1" si="57"/>
        <v>#N/A</v>
      </c>
      <c r="U351" s="160" t="e">
        <f t="shared" ca="1" si="57"/>
        <v>#N/A</v>
      </c>
      <c r="V351" s="163" t="e">
        <f t="shared" ref="V351:V414" ca="1" si="61">IF(Q351=0,0,IF(S351=180,IF(R351=0,"Slab on Grade",IF(R351=1,"Exposed Floor",IF(R351=3,"Internal Floor",U351))),IF(S351&lt;45,IF(R351=3,"Internal Ceiling",IF(R351=1,"Roof",U351)))))</f>
        <v>#N/A</v>
      </c>
      <c r="W351" s="163" t="e">
        <f t="shared" ref="W351:W414" ca="1" si="62">IF(ISNUMBER(SEARCH($W$29,U351))=TRUE,IF(ISNUMBER(SEARCH($W$27,U351))=TRUE,IF(R351=1,"eFrame",IF(R351=3,"iFrame")),IF(R351=1,"eWindow",IF(R351=3,"iWindow"))),U351)</f>
        <v>#N/A</v>
      </c>
      <c r="X351" s="163" t="e">
        <f t="shared" ref="X351:X414" ca="1" si="63">IF(ISNUMBER(SEARCH($X$29,U351))=TRUE,IF(ISNUMBER(SEARCH($X$27,U351))=TRUE,IF(R351=1,"eFrameDoor",IF(R351=3,"iFrameDoor")),IF(R351=1,"eDoor",IF(R351=3,"iDoor"))),U351)</f>
        <v>#N/A</v>
      </c>
      <c r="Y351" s="163" t="e">
        <f t="shared" ref="Y351:Y414" ca="1" si="64">IF(ISNUMBER(SEARCH($W$29,U351))=TRUE,"Substract",IF(ISNUMBER(SEARCH($X$29,U351))=TRUE, "Sunstract",IF(S351=90,IF(R351=1,"External Wall",IF(R351=3,"Internal Wall",IF(R351=0,"Below Grade Wall",U351))),V351)))</f>
        <v>#N/A</v>
      </c>
    </row>
    <row r="352" spans="12:25" ht="14.4">
      <c r="L352" s="464"/>
      <c r="M352" s="129" t="e">
        <f t="shared" ref="M352:M415" si="65">IF(M351="end","end",IF(M351=$K$1,"end",M351+1))</f>
        <v>#N/A</v>
      </c>
      <c r="N352" s="161">
        <f t="shared" si="60"/>
        <v>13</v>
      </c>
      <c r="O352" s="160" t="e">
        <f t="shared" ca="1" si="56"/>
        <v>#N/A</v>
      </c>
      <c r="P352" s="160" t="e">
        <f t="shared" ca="1" si="58"/>
        <v>#N/A</v>
      </c>
      <c r="Q352" s="160" t="e">
        <f t="shared" ca="1" si="59"/>
        <v>#N/A</v>
      </c>
      <c r="R352" s="160" t="e">
        <f t="shared" ca="1" si="59"/>
        <v>#N/A</v>
      </c>
      <c r="S352" s="160" t="e">
        <f t="shared" ca="1" si="59"/>
        <v>#N/A</v>
      </c>
      <c r="T352" s="160" t="e">
        <f t="shared" ca="1" si="57"/>
        <v>#N/A</v>
      </c>
      <c r="U352" s="160" t="e">
        <f t="shared" ca="1" si="57"/>
        <v>#N/A</v>
      </c>
      <c r="V352" s="163" t="e">
        <f t="shared" ca="1" si="61"/>
        <v>#N/A</v>
      </c>
      <c r="W352" s="163" t="e">
        <f t="shared" ca="1" si="62"/>
        <v>#N/A</v>
      </c>
      <c r="X352" s="163" t="e">
        <f t="shared" ca="1" si="63"/>
        <v>#N/A</v>
      </c>
      <c r="Y352" s="163" t="e">
        <f t="shared" ca="1" si="64"/>
        <v>#N/A</v>
      </c>
    </row>
    <row r="353" spans="12:25" ht="14.4">
      <c r="L353" s="464"/>
      <c r="M353" s="129" t="e">
        <f t="shared" si="65"/>
        <v>#N/A</v>
      </c>
      <c r="N353" s="161">
        <f t="shared" si="60"/>
        <v>13</v>
      </c>
      <c r="O353" s="160" t="e">
        <f t="shared" ca="1" si="56"/>
        <v>#N/A</v>
      </c>
      <c r="P353" s="160" t="e">
        <f t="shared" ca="1" si="58"/>
        <v>#N/A</v>
      </c>
      <c r="Q353" s="160" t="e">
        <f t="shared" ca="1" si="59"/>
        <v>#N/A</v>
      </c>
      <c r="R353" s="160" t="e">
        <f t="shared" ca="1" si="59"/>
        <v>#N/A</v>
      </c>
      <c r="S353" s="160" t="e">
        <f t="shared" ca="1" si="59"/>
        <v>#N/A</v>
      </c>
      <c r="T353" s="160" t="e">
        <f t="shared" ca="1" si="57"/>
        <v>#N/A</v>
      </c>
      <c r="U353" s="160" t="e">
        <f t="shared" ca="1" si="57"/>
        <v>#N/A</v>
      </c>
      <c r="V353" s="163" t="e">
        <f t="shared" ca="1" si="61"/>
        <v>#N/A</v>
      </c>
      <c r="W353" s="163" t="e">
        <f t="shared" ca="1" si="62"/>
        <v>#N/A</v>
      </c>
      <c r="X353" s="163" t="e">
        <f t="shared" ca="1" si="63"/>
        <v>#N/A</v>
      </c>
      <c r="Y353" s="163" t="e">
        <f t="shared" ca="1" si="64"/>
        <v>#N/A</v>
      </c>
    </row>
    <row r="354" spans="12:25" ht="14.4">
      <c r="L354" s="464"/>
      <c r="M354" s="129" t="e">
        <f t="shared" si="65"/>
        <v>#N/A</v>
      </c>
      <c r="N354" s="161">
        <f t="shared" si="60"/>
        <v>13</v>
      </c>
      <c r="O354" s="160" t="e">
        <f t="shared" ca="1" si="56"/>
        <v>#N/A</v>
      </c>
      <c r="P354" s="160" t="e">
        <f t="shared" ca="1" si="58"/>
        <v>#N/A</v>
      </c>
      <c r="Q354" s="160" t="e">
        <f t="shared" ca="1" si="59"/>
        <v>#N/A</v>
      </c>
      <c r="R354" s="160" t="e">
        <f t="shared" ca="1" si="59"/>
        <v>#N/A</v>
      </c>
      <c r="S354" s="160" t="e">
        <f t="shared" ca="1" si="59"/>
        <v>#N/A</v>
      </c>
      <c r="T354" s="160" t="e">
        <f t="shared" ca="1" si="57"/>
        <v>#N/A</v>
      </c>
      <c r="U354" s="160" t="e">
        <f t="shared" ca="1" si="57"/>
        <v>#N/A</v>
      </c>
      <c r="V354" s="163" t="e">
        <f t="shared" ca="1" si="61"/>
        <v>#N/A</v>
      </c>
      <c r="W354" s="163" t="e">
        <f t="shared" ca="1" si="62"/>
        <v>#N/A</v>
      </c>
      <c r="X354" s="163" t="e">
        <f t="shared" ca="1" si="63"/>
        <v>#N/A</v>
      </c>
      <c r="Y354" s="163" t="e">
        <f t="shared" ca="1" si="64"/>
        <v>#N/A</v>
      </c>
    </row>
    <row r="355" spans="12:25" ht="14.4">
      <c r="L355" s="464"/>
      <c r="M355" s="129" t="e">
        <f t="shared" si="65"/>
        <v>#N/A</v>
      </c>
      <c r="N355" s="161">
        <f t="shared" si="60"/>
        <v>13</v>
      </c>
      <c r="O355" s="160" t="e">
        <f t="shared" ca="1" si="56"/>
        <v>#N/A</v>
      </c>
      <c r="P355" s="160" t="e">
        <f t="shared" ca="1" si="58"/>
        <v>#N/A</v>
      </c>
      <c r="Q355" s="160" t="e">
        <f t="shared" ca="1" si="59"/>
        <v>#N/A</v>
      </c>
      <c r="R355" s="160" t="e">
        <f t="shared" ca="1" si="59"/>
        <v>#N/A</v>
      </c>
      <c r="S355" s="160" t="e">
        <f t="shared" ca="1" si="59"/>
        <v>#N/A</v>
      </c>
      <c r="T355" s="160" t="e">
        <f t="shared" ca="1" si="57"/>
        <v>#N/A</v>
      </c>
      <c r="U355" s="160" t="e">
        <f t="shared" ca="1" si="57"/>
        <v>#N/A</v>
      </c>
      <c r="V355" s="163" t="e">
        <f t="shared" ca="1" si="61"/>
        <v>#N/A</v>
      </c>
      <c r="W355" s="163" t="e">
        <f t="shared" ca="1" si="62"/>
        <v>#N/A</v>
      </c>
      <c r="X355" s="163" t="e">
        <f t="shared" ca="1" si="63"/>
        <v>#N/A</v>
      </c>
      <c r="Y355" s="163" t="e">
        <f t="shared" ca="1" si="64"/>
        <v>#N/A</v>
      </c>
    </row>
    <row r="356" spans="12:25" ht="14.4">
      <c r="L356" s="464"/>
      <c r="M356" s="129" t="e">
        <f t="shared" si="65"/>
        <v>#N/A</v>
      </c>
      <c r="N356" s="161">
        <f t="shared" si="60"/>
        <v>13</v>
      </c>
      <c r="O356" s="160" t="e">
        <f t="shared" ca="1" si="56"/>
        <v>#N/A</v>
      </c>
      <c r="P356" s="160" t="e">
        <f t="shared" ca="1" si="58"/>
        <v>#N/A</v>
      </c>
      <c r="Q356" s="160" t="e">
        <f t="shared" ca="1" si="59"/>
        <v>#N/A</v>
      </c>
      <c r="R356" s="160" t="e">
        <f t="shared" ca="1" si="59"/>
        <v>#N/A</v>
      </c>
      <c r="S356" s="160" t="e">
        <f t="shared" ca="1" si="59"/>
        <v>#N/A</v>
      </c>
      <c r="T356" s="160" t="e">
        <f t="shared" ca="1" si="57"/>
        <v>#N/A</v>
      </c>
      <c r="U356" s="160" t="e">
        <f t="shared" ca="1" si="57"/>
        <v>#N/A</v>
      </c>
      <c r="V356" s="163" t="e">
        <f t="shared" ca="1" si="61"/>
        <v>#N/A</v>
      </c>
      <c r="W356" s="163" t="e">
        <f t="shared" ca="1" si="62"/>
        <v>#N/A</v>
      </c>
      <c r="X356" s="163" t="e">
        <f t="shared" ca="1" si="63"/>
        <v>#N/A</v>
      </c>
      <c r="Y356" s="163" t="e">
        <f t="shared" ca="1" si="64"/>
        <v>#N/A</v>
      </c>
    </row>
    <row r="357" spans="12:25" ht="14.4">
      <c r="L357" s="464"/>
      <c r="M357" s="129" t="e">
        <f t="shared" si="65"/>
        <v>#N/A</v>
      </c>
      <c r="N357" s="161">
        <f t="shared" si="60"/>
        <v>13</v>
      </c>
      <c r="O357" s="160" t="e">
        <f t="shared" ca="1" si="56"/>
        <v>#N/A</v>
      </c>
      <c r="P357" s="160" t="e">
        <f t="shared" ca="1" si="58"/>
        <v>#N/A</v>
      </c>
      <c r="Q357" s="160" t="e">
        <f t="shared" ca="1" si="59"/>
        <v>#N/A</v>
      </c>
      <c r="R357" s="160" t="e">
        <f t="shared" ca="1" si="59"/>
        <v>#N/A</v>
      </c>
      <c r="S357" s="160" t="e">
        <f t="shared" ca="1" si="59"/>
        <v>#N/A</v>
      </c>
      <c r="T357" s="160" t="e">
        <f t="shared" ca="1" si="57"/>
        <v>#N/A</v>
      </c>
      <c r="U357" s="160" t="e">
        <f t="shared" ca="1" si="57"/>
        <v>#N/A</v>
      </c>
      <c r="V357" s="163" t="e">
        <f t="shared" ca="1" si="61"/>
        <v>#N/A</v>
      </c>
      <c r="W357" s="163" t="e">
        <f t="shared" ca="1" si="62"/>
        <v>#N/A</v>
      </c>
      <c r="X357" s="163" t="e">
        <f t="shared" ca="1" si="63"/>
        <v>#N/A</v>
      </c>
      <c r="Y357" s="163" t="e">
        <f t="shared" ca="1" si="64"/>
        <v>#N/A</v>
      </c>
    </row>
    <row r="358" spans="12:25" ht="14.4">
      <c r="L358" s="464"/>
      <c r="M358" s="129" t="e">
        <f t="shared" si="65"/>
        <v>#N/A</v>
      </c>
      <c r="N358" s="161">
        <f t="shared" si="60"/>
        <v>13</v>
      </c>
      <c r="O358" s="160" t="e">
        <f t="shared" ca="1" si="56"/>
        <v>#N/A</v>
      </c>
      <c r="P358" s="160" t="e">
        <f t="shared" ca="1" si="58"/>
        <v>#N/A</v>
      </c>
      <c r="Q358" s="160" t="e">
        <f t="shared" ca="1" si="59"/>
        <v>#N/A</v>
      </c>
      <c r="R358" s="160" t="e">
        <f t="shared" ca="1" si="59"/>
        <v>#N/A</v>
      </c>
      <c r="S358" s="160" t="e">
        <f t="shared" ca="1" si="59"/>
        <v>#N/A</v>
      </c>
      <c r="T358" s="160" t="e">
        <f t="shared" ca="1" si="57"/>
        <v>#N/A</v>
      </c>
      <c r="U358" s="160" t="e">
        <f t="shared" ca="1" si="57"/>
        <v>#N/A</v>
      </c>
      <c r="V358" s="163" t="e">
        <f t="shared" ca="1" si="61"/>
        <v>#N/A</v>
      </c>
      <c r="W358" s="163" t="e">
        <f t="shared" ca="1" si="62"/>
        <v>#N/A</v>
      </c>
      <c r="X358" s="163" t="e">
        <f t="shared" ca="1" si="63"/>
        <v>#N/A</v>
      </c>
      <c r="Y358" s="163" t="e">
        <f t="shared" ca="1" si="64"/>
        <v>#N/A</v>
      </c>
    </row>
    <row r="359" spans="12:25" ht="14.4">
      <c r="L359" s="464"/>
      <c r="M359" s="129" t="e">
        <f t="shared" si="65"/>
        <v>#N/A</v>
      </c>
      <c r="N359" s="161">
        <f t="shared" si="60"/>
        <v>13</v>
      </c>
      <c r="O359" s="160" t="e">
        <f t="shared" ca="1" si="56"/>
        <v>#N/A</v>
      </c>
      <c r="P359" s="160" t="e">
        <f t="shared" ca="1" si="58"/>
        <v>#N/A</v>
      </c>
      <c r="Q359" s="160" t="e">
        <f t="shared" ca="1" si="59"/>
        <v>#N/A</v>
      </c>
      <c r="R359" s="160" t="e">
        <f t="shared" ca="1" si="59"/>
        <v>#N/A</v>
      </c>
      <c r="S359" s="160" t="e">
        <f t="shared" ca="1" si="59"/>
        <v>#N/A</v>
      </c>
      <c r="T359" s="160" t="e">
        <f t="shared" ca="1" si="57"/>
        <v>#N/A</v>
      </c>
      <c r="U359" s="160" t="e">
        <f t="shared" ca="1" si="57"/>
        <v>#N/A</v>
      </c>
      <c r="V359" s="163" t="e">
        <f t="shared" ca="1" si="61"/>
        <v>#N/A</v>
      </c>
      <c r="W359" s="163" t="e">
        <f t="shared" ca="1" si="62"/>
        <v>#N/A</v>
      </c>
      <c r="X359" s="163" t="e">
        <f t="shared" ca="1" si="63"/>
        <v>#N/A</v>
      </c>
      <c r="Y359" s="163" t="e">
        <f t="shared" ca="1" si="64"/>
        <v>#N/A</v>
      </c>
    </row>
    <row r="360" spans="12:25" ht="14.4">
      <c r="L360" s="464"/>
      <c r="M360" s="129" t="e">
        <f t="shared" si="65"/>
        <v>#N/A</v>
      </c>
      <c r="N360" s="161">
        <f t="shared" si="60"/>
        <v>13</v>
      </c>
      <c r="O360" s="160" t="e">
        <f t="shared" ca="1" si="56"/>
        <v>#N/A</v>
      </c>
      <c r="P360" s="160" t="e">
        <f t="shared" ca="1" si="58"/>
        <v>#N/A</v>
      </c>
      <c r="Q360" s="160" t="e">
        <f t="shared" ca="1" si="59"/>
        <v>#N/A</v>
      </c>
      <c r="R360" s="160" t="e">
        <f t="shared" ca="1" si="59"/>
        <v>#N/A</v>
      </c>
      <c r="S360" s="160" t="e">
        <f t="shared" ca="1" si="59"/>
        <v>#N/A</v>
      </c>
      <c r="T360" s="160" t="e">
        <f t="shared" ca="1" si="57"/>
        <v>#N/A</v>
      </c>
      <c r="U360" s="160" t="e">
        <f t="shared" ca="1" si="57"/>
        <v>#N/A</v>
      </c>
      <c r="V360" s="163" t="e">
        <f t="shared" ca="1" si="61"/>
        <v>#N/A</v>
      </c>
      <c r="W360" s="163" t="e">
        <f t="shared" ca="1" si="62"/>
        <v>#N/A</v>
      </c>
      <c r="X360" s="163" t="e">
        <f t="shared" ca="1" si="63"/>
        <v>#N/A</v>
      </c>
      <c r="Y360" s="163" t="e">
        <f t="shared" ca="1" si="64"/>
        <v>#N/A</v>
      </c>
    </row>
    <row r="361" spans="12:25" ht="14.4">
      <c r="L361" s="464"/>
      <c r="M361" s="129" t="e">
        <f t="shared" si="65"/>
        <v>#N/A</v>
      </c>
      <c r="N361" s="161">
        <f t="shared" si="60"/>
        <v>13</v>
      </c>
      <c r="O361" s="160" t="e">
        <f t="shared" ref="O361:O424" ca="1" si="66">IF($M361="end",0,OFFSET($A$1,$M361-1,O$29,1,1))</f>
        <v>#N/A</v>
      </c>
      <c r="P361" s="160" t="e">
        <f t="shared" ca="1" si="58"/>
        <v>#N/A</v>
      </c>
      <c r="Q361" s="160" t="e">
        <f t="shared" ca="1" si="59"/>
        <v>#N/A</v>
      </c>
      <c r="R361" s="160" t="e">
        <f t="shared" ca="1" si="59"/>
        <v>#N/A</v>
      </c>
      <c r="S361" s="160" t="e">
        <f t="shared" ca="1" si="59"/>
        <v>#N/A</v>
      </c>
      <c r="T361" s="160" t="e">
        <f t="shared" ca="1" si="57"/>
        <v>#N/A</v>
      </c>
      <c r="U361" s="160" t="e">
        <f t="shared" ca="1" si="57"/>
        <v>#N/A</v>
      </c>
      <c r="V361" s="163" t="e">
        <f t="shared" ca="1" si="61"/>
        <v>#N/A</v>
      </c>
      <c r="W361" s="163" t="e">
        <f t="shared" ca="1" si="62"/>
        <v>#N/A</v>
      </c>
      <c r="X361" s="163" t="e">
        <f t="shared" ca="1" si="63"/>
        <v>#N/A</v>
      </c>
      <c r="Y361" s="163" t="e">
        <f t="shared" ca="1" si="64"/>
        <v>#N/A</v>
      </c>
    </row>
    <row r="362" spans="12:25" ht="14.4">
      <c r="L362" s="464"/>
      <c r="M362" s="129" t="e">
        <f t="shared" si="65"/>
        <v>#N/A</v>
      </c>
      <c r="N362" s="161">
        <f t="shared" si="60"/>
        <v>13</v>
      </c>
      <c r="O362" s="160" t="e">
        <f t="shared" ca="1" si="66"/>
        <v>#N/A</v>
      </c>
      <c r="P362" s="160" t="e">
        <f t="shared" ca="1" si="58"/>
        <v>#N/A</v>
      </c>
      <c r="Q362" s="160" t="e">
        <f t="shared" ca="1" si="59"/>
        <v>#N/A</v>
      </c>
      <c r="R362" s="160" t="e">
        <f t="shared" ca="1" si="59"/>
        <v>#N/A</v>
      </c>
      <c r="S362" s="160" t="e">
        <f t="shared" ca="1" si="59"/>
        <v>#N/A</v>
      </c>
      <c r="T362" s="160" t="e">
        <f t="shared" ca="1" si="57"/>
        <v>#N/A</v>
      </c>
      <c r="U362" s="160" t="e">
        <f t="shared" ca="1" si="57"/>
        <v>#N/A</v>
      </c>
      <c r="V362" s="163" t="e">
        <f t="shared" ca="1" si="61"/>
        <v>#N/A</v>
      </c>
      <c r="W362" s="163" t="e">
        <f t="shared" ca="1" si="62"/>
        <v>#N/A</v>
      </c>
      <c r="X362" s="163" t="e">
        <f t="shared" ca="1" si="63"/>
        <v>#N/A</v>
      </c>
      <c r="Y362" s="163" t="e">
        <f t="shared" ca="1" si="64"/>
        <v>#N/A</v>
      </c>
    </row>
    <row r="363" spans="12:25" ht="14.4">
      <c r="L363" s="464"/>
      <c r="M363" s="129" t="e">
        <f t="shared" si="65"/>
        <v>#N/A</v>
      </c>
      <c r="N363" s="161">
        <f t="shared" si="60"/>
        <v>13</v>
      </c>
      <c r="O363" s="160" t="e">
        <f t="shared" ca="1" si="66"/>
        <v>#N/A</v>
      </c>
      <c r="P363" s="160" t="e">
        <f t="shared" ca="1" si="58"/>
        <v>#N/A</v>
      </c>
      <c r="Q363" s="160" t="e">
        <f t="shared" ca="1" si="59"/>
        <v>#N/A</v>
      </c>
      <c r="R363" s="160" t="e">
        <f t="shared" ca="1" si="59"/>
        <v>#N/A</v>
      </c>
      <c r="S363" s="160" t="e">
        <f t="shared" ca="1" si="59"/>
        <v>#N/A</v>
      </c>
      <c r="T363" s="160" t="e">
        <f t="shared" ca="1" si="57"/>
        <v>#N/A</v>
      </c>
      <c r="U363" s="160" t="e">
        <f t="shared" ca="1" si="57"/>
        <v>#N/A</v>
      </c>
      <c r="V363" s="163" t="e">
        <f t="shared" ca="1" si="61"/>
        <v>#N/A</v>
      </c>
      <c r="W363" s="163" t="e">
        <f t="shared" ca="1" si="62"/>
        <v>#N/A</v>
      </c>
      <c r="X363" s="163" t="e">
        <f t="shared" ca="1" si="63"/>
        <v>#N/A</v>
      </c>
      <c r="Y363" s="163" t="e">
        <f t="shared" ca="1" si="64"/>
        <v>#N/A</v>
      </c>
    </row>
    <row r="364" spans="12:25" ht="14.4">
      <c r="L364" s="464"/>
      <c r="M364" s="129" t="e">
        <f t="shared" si="65"/>
        <v>#N/A</v>
      </c>
      <c r="N364" s="161">
        <f t="shared" si="60"/>
        <v>13</v>
      </c>
      <c r="O364" s="160" t="e">
        <f t="shared" ca="1" si="66"/>
        <v>#N/A</v>
      </c>
      <c r="P364" s="160" t="e">
        <f t="shared" ca="1" si="58"/>
        <v>#N/A</v>
      </c>
      <c r="Q364" s="160" t="e">
        <f t="shared" ca="1" si="59"/>
        <v>#N/A</v>
      </c>
      <c r="R364" s="160" t="e">
        <f t="shared" ca="1" si="59"/>
        <v>#N/A</v>
      </c>
      <c r="S364" s="160" t="e">
        <f t="shared" ca="1" si="59"/>
        <v>#N/A</v>
      </c>
      <c r="T364" s="160" t="e">
        <f t="shared" ca="1" si="57"/>
        <v>#N/A</v>
      </c>
      <c r="U364" s="160" t="e">
        <f t="shared" ca="1" si="57"/>
        <v>#N/A</v>
      </c>
      <c r="V364" s="163" t="e">
        <f t="shared" ca="1" si="61"/>
        <v>#N/A</v>
      </c>
      <c r="W364" s="163" t="e">
        <f t="shared" ca="1" si="62"/>
        <v>#N/A</v>
      </c>
      <c r="X364" s="163" t="e">
        <f t="shared" ca="1" si="63"/>
        <v>#N/A</v>
      </c>
      <c r="Y364" s="163" t="e">
        <f t="shared" ca="1" si="64"/>
        <v>#N/A</v>
      </c>
    </row>
    <row r="365" spans="12:25" ht="14.4">
      <c r="L365" s="464"/>
      <c r="M365" s="129" t="e">
        <f t="shared" si="65"/>
        <v>#N/A</v>
      </c>
      <c r="N365" s="161">
        <f t="shared" si="60"/>
        <v>13</v>
      </c>
      <c r="O365" s="160" t="e">
        <f t="shared" ca="1" si="66"/>
        <v>#N/A</v>
      </c>
      <c r="P365" s="160" t="e">
        <f t="shared" ca="1" si="58"/>
        <v>#N/A</v>
      </c>
      <c r="Q365" s="160" t="e">
        <f t="shared" ca="1" si="59"/>
        <v>#N/A</v>
      </c>
      <c r="R365" s="160" t="e">
        <f t="shared" ca="1" si="59"/>
        <v>#N/A</v>
      </c>
      <c r="S365" s="160" t="e">
        <f t="shared" ca="1" si="59"/>
        <v>#N/A</v>
      </c>
      <c r="T365" s="160" t="e">
        <f t="shared" ca="1" si="57"/>
        <v>#N/A</v>
      </c>
      <c r="U365" s="160" t="e">
        <f t="shared" ca="1" si="57"/>
        <v>#N/A</v>
      </c>
      <c r="V365" s="163" t="e">
        <f t="shared" ca="1" si="61"/>
        <v>#N/A</v>
      </c>
      <c r="W365" s="163" t="e">
        <f t="shared" ca="1" si="62"/>
        <v>#N/A</v>
      </c>
      <c r="X365" s="163" t="e">
        <f t="shared" ca="1" si="63"/>
        <v>#N/A</v>
      </c>
      <c r="Y365" s="163" t="e">
        <f t="shared" ca="1" si="64"/>
        <v>#N/A</v>
      </c>
    </row>
    <row r="366" spans="12:25" ht="14.4">
      <c r="L366" s="464"/>
      <c r="M366" s="129" t="e">
        <f t="shared" si="65"/>
        <v>#N/A</v>
      </c>
      <c r="N366" s="161">
        <f t="shared" si="60"/>
        <v>13</v>
      </c>
      <c r="O366" s="160" t="e">
        <f t="shared" ca="1" si="66"/>
        <v>#N/A</v>
      </c>
      <c r="P366" s="160" t="e">
        <f t="shared" ca="1" si="58"/>
        <v>#N/A</v>
      </c>
      <c r="Q366" s="160" t="e">
        <f t="shared" ca="1" si="59"/>
        <v>#N/A</v>
      </c>
      <c r="R366" s="160" t="e">
        <f t="shared" ca="1" si="59"/>
        <v>#N/A</v>
      </c>
      <c r="S366" s="160" t="e">
        <f t="shared" ca="1" si="59"/>
        <v>#N/A</v>
      </c>
      <c r="T366" s="160" t="e">
        <f t="shared" ca="1" si="57"/>
        <v>#N/A</v>
      </c>
      <c r="U366" s="160" t="e">
        <f t="shared" ca="1" si="57"/>
        <v>#N/A</v>
      </c>
      <c r="V366" s="163" t="e">
        <f t="shared" ca="1" si="61"/>
        <v>#N/A</v>
      </c>
      <c r="W366" s="163" t="e">
        <f t="shared" ca="1" si="62"/>
        <v>#N/A</v>
      </c>
      <c r="X366" s="163" t="e">
        <f t="shared" ca="1" si="63"/>
        <v>#N/A</v>
      </c>
      <c r="Y366" s="163" t="e">
        <f t="shared" ca="1" si="64"/>
        <v>#N/A</v>
      </c>
    </row>
    <row r="367" spans="12:25" ht="14.4">
      <c r="L367" s="464"/>
      <c r="M367" s="129" t="e">
        <f t="shared" si="65"/>
        <v>#N/A</v>
      </c>
      <c r="N367" s="161">
        <f t="shared" si="60"/>
        <v>13</v>
      </c>
      <c r="O367" s="160" t="e">
        <f t="shared" ca="1" si="66"/>
        <v>#N/A</v>
      </c>
      <c r="P367" s="160" t="e">
        <f t="shared" ca="1" si="58"/>
        <v>#N/A</v>
      </c>
      <c r="Q367" s="160" t="e">
        <f t="shared" ca="1" si="59"/>
        <v>#N/A</v>
      </c>
      <c r="R367" s="160" t="e">
        <f t="shared" ca="1" si="59"/>
        <v>#N/A</v>
      </c>
      <c r="S367" s="160" t="e">
        <f t="shared" ca="1" si="59"/>
        <v>#N/A</v>
      </c>
      <c r="T367" s="160" t="e">
        <f t="shared" ca="1" si="57"/>
        <v>#N/A</v>
      </c>
      <c r="U367" s="160" t="e">
        <f t="shared" ca="1" si="57"/>
        <v>#N/A</v>
      </c>
      <c r="V367" s="163" t="e">
        <f t="shared" ca="1" si="61"/>
        <v>#N/A</v>
      </c>
      <c r="W367" s="163" t="e">
        <f t="shared" ca="1" si="62"/>
        <v>#N/A</v>
      </c>
      <c r="X367" s="163" t="e">
        <f t="shared" ca="1" si="63"/>
        <v>#N/A</v>
      </c>
      <c r="Y367" s="163" t="e">
        <f t="shared" ca="1" si="64"/>
        <v>#N/A</v>
      </c>
    </row>
    <row r="368" spans="12:25" ht="14.4">
      <c r="L368" s="464"/>
      <c r="M368" s="129" t="e">
        <f t="shared" si="65"/>
        <v>#N/A</v>
      </c>
      <c r="N368" s="161">
        <f t="shared" si="60"/>
        <v>13</v>
      </c>
      <c r="O368" s="160" t="e">
        <f t="shared" ca="1" si="66"/>
        <v>#N/A</v>
      </c>
      <c r="P368" s="160" t="e">
        <f t="shared" ca="1" si="58"/>
        <v>#N/A</v>
      </c>
      <c r="Q368" s="160" t="e">
        <f t="shared" ca="1" si="59"/>
        <v>#N/A</v>
      </c>
      <c r="R368" s="160" t="e">
        <f t="shared" ca="1" si="59"/>
        <v>#N/A</v>
      </c>
      <c r="S368" s="160" t="e">
        <f t="shared" ca="1" si="59"/>
        <v>#N/A</v>
      </c>
      <c r="T368" s="160" t="e">
        <f t="shared" ca="1" si="57"/>
        <v>#N/A</v>
      </c>
      <c r="U368" s="160" t="e">
        <f t="shared" ca="1" si="57"/>
        <v>#N/A</v>
      </c>
      <c r="V368" s="163" t="e">
        <f t="shared" ca="1" si="61"/>
        <v>#N/A</v>
      </c>
      <c r="W368" s="163" t="e">
        <f t="shared" ca="1" si="62"/>
        <v>#N/A</v>
      </c>
      <c r="X368" s="163" t="e">
        <f t="shared" ca="1" si="63"/>
        <v>#N/A</v>
      </c>
      <c r="Y368" s="163" t="e">
        <f t="shared" ca="1" si="64"/>
        <v>#N/A</v>
      </c>
    </row>
    <row r="369" spans="12:25" ht="14.4">
      <c r="L369" s="464"/>
      <c r="M369" s="129" t="e">
        <f t="shared" si="65"/>
        <v>#N/A</v>
      </c>
      <c r="N369" s="161">
        <f t="shared" si="60"/>
        <v>13</v>
      </c>
      <c r="O369" s="160" t="e">
        <f t="shared" ca="1" si="66"/>
        <v>#N/A</v>
      </c>
      <c r="P369" s="160" t="e">
        <f t="shared" ca="1" si="58"/>
        <v>#N/A</v>
      </c>
      <c r="Q369" s="160" t="e">
        <f t="shared" ca="1" si="59"/>
        <v>#N/A</v>
      </c>
      <c r="R369" s="160" t="e">
        <f t="shared" ca="1" si="59"/>
        <v>#N/A</v>
      </c>
      <c r="S369" s="160" t="e">
        <f t="shared" ca="1" si="59"/>
        <v>#N/A</v>
      </c>
      <c r="T369" s="160" t="e">
        <f t="shared" ca="1" si="59"/>
        <v>#N/A</v>
      </c>
      <c r="U369" s="160" t="e">
        <f t="shared" ca="1" si="59"/>
        <v>#N/A</v>
      </c>
      <c r="V369" s="163" t="e">
        <f t="shared" ca="1" si="61"/>
        <v>#N/A</v>
      </c>
      <c r="W369" s="163" t="e">
        <f t="shared" ca="1" si="62"/>
        <v>#N/A</v>
      </c>
      <c r="X369" s="163" t="e">
        <f t="shared" ca="1" si="63"/>
        <v>#N/A</v>
      </c>
      <c r="Y369" s="163" t="e">
        <f t="shared" ca="1" si="64"/>
        <v>#N/A</v>
      </c>
    </row>
    <row r="370" spans="12:25" ht="14.4">
      <c r="L370" s="464"/>
      <c r="M370" s="129" t="e">
        <f t="shared" si="65"/>
        <v>#N/A</v>
      </c>
      <c r="N370" s="161">
        <f t="shared" si="60"/>
        <v>13</v>
      </c>
      <c r="O370" s="160" t="e">
        <f t="shared" ca="1" si="66"/>
        <v>#N/A</v>
      </c>
      <c r="P370" s="160" t="e">
        <f t="shared" ref="P370:P433" ca="1" si="67">IF($M370="end",0,OFFSET($A$1,$M370-1,P$29,1,1))</f>
        <v>#N/A</v>
      </c>
      <c r="Q370" s="160" t="e">
        <f t="shared" ref="Q370:T433" ca="1" si="68">IF($M370="end",0,OFFSET($A$1,$M370-1,Q$29,1,1))</f>
        <v>#N/A</v>
      </c>
      <c r="R370" s="160" t="e">
        <f t="shared" ca="1" si="68"/>
        <v>#N/A</v>
      </c>
      <c r="S370" s="160" t="e">
        <f t="shared" ca="1" si="68"/>
        <v>#N/A</v>
      </c>
      <c r="T370" s="160" t="e">
        <f t="shared" ca="1" si="68"/>
        <v>#N/A</v>
      </c>
      <c r="U370" s="160" t="e">
        <f t="shared" ref="U370:U433" ca="1" si="69">IF($M370="end",0,OFFSET($A$1,$M370-1,U$29,1,1))</f>
        <v>#N/A</v>
      </c>
      <c r="V370" s="163" t="e">
        <f t="shared" ca="1" si="61"/>
        <v>#N/A</v>
      </c>
      <c r="W370" s="163" t="e">
        <f t="shared" ca="1" si="62"/>
        <v>#N/A</v>
      </c>
      <c r="X370" s="163" t="e">
        <f t="shared" ca="1" si="63"/>
        <v>#N/A</v>
      </c>
      <c r="Y370" s="163" t="e">
        <f t="shared" ca="1" si="64"/>
        <v>#N/A</v>
      </c>
    </row>
    <row r="371" spans="12:25" ht="14.4">
      <c r="L371" s="464"/>
      <c r="M371" s="129" t="e">
        <f t="shared" si="65"/>
        <v>#N/A</v>
      </c>
      <c r="N371" s="161">
        <f t="shared" si="60"/>
        <v>13</v>
      </c>
      <c r="O371" s="160" t="e">
        <f t="shared" ca="1" si="66"/>
        <v>#N/A</v>
      </c>
      <c r="P371" s="160" t="e">
        <f t="shared" ca="1" si="67"/>
        <v>#N/A</v>
      </c>
      <c r="Q371" s="160" t="e">
        <f t="shared" ca="1" si="68"/>
        <v>#N/A</v>
      </c>
      <c r="R371" s="160" t="e">
        <f t="shared" ca="1" si="68"/>
        <v>#N/A</v>
      </c>
      <c r="S371" s="160" t="e">
        <f t="shared" ca="1" si="68"/>
        <v>#N/A</v>
      </c>
      <c r="T371" s="160" t="e">
        <f t="shared" ca="1" si="68"/>
        <v>#N/A</v>
      </c>
      <c r="U371" s="160" t="e">
        <f t="shared" ca="1" si="69"/>
        <v>#N/A</v>
      </c>
      <c r="V371" s="163" t="e">
        <f t="shared" ca="1" si="61"/>
        <v>#N/A</v>
      </c>
      <c r="W371" s="163" t="e">
        <f t="shared" ca="1" si="62"/>
        <v>#N/A</v>
      </c>
      <c r="X371" s="163" t="e">
        <f t="shared" ca="1" si="63"/>
        <v>#N/A</v>
      </c>
      <c r="Y371" s="163" t="e">
        <f t="shared" ca="1" si="64"/>
        <v>#N/A</v>
      </c>
    </row>
    <row r="372" spans="12:25" ht="14.4">
      <c r="L372" s="464"/>
      <c r="M372" s="129" t="e">
        <f t="shared" si="65"/>
        <v>#N/A</v>
      </c>
      <c r="N372" s="161">
        <f t="shared" si="60"/>
        <v>13</v>
      </c>
      <c r="O372" s="160" t="e">
        <f t="shared" ca="1" si="66"/>
        <v>#N/A</v>
      </c>
      <c r="P372" s="160" t="e">
        <f t="shared" ca="1" si="67"/>
        <v>#N/A</v>
      </c>
      <c r="Q372" s="160" t="e">
        <f t="shared" ca="1" si="68"/>
        <v>#N/A</v>
      </c>
      <c r="R372" s="160" t="e">
        <f t="shared" ca="1" si="68"/>
        <v>#N/A</v>
      </c>
      <c r="S372" s="160" t="e">
        <f t="shared" ca="1" si="68"/>
        <v>#N/A</v>
      </c>
      <c r="T372" s="160" t="e">
        <f t="shared" ca="1" si="68"/>
        <v>#N/A</v>
      </c>
      <c r="U372" s="160" t="e">
        <f t="shared" ca="1" si="69"/>
        <v>#N/A</v>
      </c>
      <c r="V372" s="163" t="e">
        <f t="shared" ca="1" si="61"/>
        <v>#N/A</v>
      </c>
      <c r="W372" s="163" t="e">
        <f t="shared" ca="1" si="62"/>
        <v>#N/A</v>
      </c>
      <c r="X372" s="163" t="e">
        <f t="shared" ca="1" si="63"/>
        <v>#N/A</v>
      </c>
      <c r="Y372" s="163" t="e">
        <f t="shared" ca="1" si="64"/>
        <v>#N/A</v>
      </c>
    </row>
    <row r="373" spans="12:25" ht="14.4">
      <c r="L373" s="464"/>
      <c r="M373" s="129" t="e">
        <f t="shared" si="65"/>
        <v>#N/A</v>
      </c>
      <c r="N373" s="161">
        <f t="shared" si="60"/>
        <v>13</v>
      </c>
      <c r="O373" s="160" t="e">
        <f t="shared" ca="1" si="66"/>
        <v>#N/A</v>
      </c>
      <c r="P373" s="160" t="e">
        <f t="shared" ca="1" si="67"/>
        <v>#N/A</v>
      </c>
      <c r="Q373" s="160" t="e">
        <f t="shared" ca="1" si="68"/>
        <v>#N/A</v>
      </c>
      <c r="R373" s="160" t="e">
        <f t="shared" ca="1" si="68"/>
        <v>#N/A</v>
      </c>
      <c r="S373" s="160" t="e">
        <f t="shared" ca="1" si="68"/>
        <v>#N/A</v>
      </c>
      <c r="T373" s="160" t="e">
        <f t="shared" ca="1" si="68"/>
        <v>#N/A</v>
      </c>
      <c r="U373" s="160" t="e">
        <f t="shared" ca="1" si="69"/>
        <v>#N/A</v>
      </c>
      <c r="V373" s="163" t="e">
        <f t="shared" ca="1" si="61"/>
        <v>#N/A</v>
      </c>
      <c r="W373" s="163" t="e">
        <f t="shared" ca="1" si="62"/>
        <v>#N/A</v>
      </c>
      <c r="X373" s="163" t="e">
        <f t="shared" ca="1" si="63"/>
        <v>#N/A</v>
      </c>
      <c r="Y373" s="163" t="e">
        <f t="shared" ca="1" si="64"/>
        <v>#N/A</v>
      </c>
    </row>
    <row r="374" spans="12:25" ht="14.4">
      <c r="L374" s="464"/>
      <c r="M374" s="129" t="e">
        <f t="shared" si="65"/>
        <v>#N/A</v>
      </c>
      <c r="N374" s="161">
        <f t="shared" si="60"/>
        <v>13</v>
      </c>
      <c r="O374" s="160" t="e">
        <f t="shared" ca="1" si="66"/>
        <v>#N/A</v>
      </c>
      <c r="P374" s="160" t="e">
        <f t="shared" ca="1" si="67"/>
        <v>#N/A</v>
      </c>
      <c r="Q374" s="160" t="e">
        <f t="shared" ca="1" si="68"/>
        <v>#N/A</v>
      </c>
      <c r="R374" s="160" t="e">
        <f t="shared" ca="1" si="68"/>
        <v>#N/A</v>
      </c>
      <c r="S374" s="160" t="e">
        <f t="shared" ca="1" si="68"/>
        <v>#N/A</v>
      </c>
      <c r="T374" s="160" t="e">
        <f t="shared" ca="1" si="68"/>
        <v>#N/A</v>
      </c>
      <c r="U374" s="160" t="e">
        <f t="shared" ca="1" si="69"/>
        <v>#N/A</v>
      </c>
      <c r="V374" s="163" t="e">
        <f t="shared" ca="1" si="61"/>
        <v>#N/A</v>
      </c>
      <c r="W374" s="163" t="e">
        <f t="shared" ca="1" si="62"/>
        <v>#N/A</v>
      </c>
      <c r="X374" s="163" t="e">
        <f t="shared" ca="1" si="63"/>
        <v>#N/A</v>
      </c>
      <c r="Y374" s="163" t="e">
        <f t="shared" ca="1" si="64"/>
        <v>#N/A</v>
      </c>
    </row>
    <row r="375" spans="12:25" ht="14.4">
      <c r="L375" s="464"/>
      <c r="M375" s="129" t="e">
        <f t="shared" si="65"/>
        <v>#N/A</v>
      </c>
      <c r="N375" s="161">
        <f t="shared" si="60"/>
        <v>13</v>
      </c>
      <c r="O375" s="160" t="e">
        <f t="shared" ca="1" si="66"/>
        <v>#N/A</v>
      </c>
      <c r="P375" s="160" t="e">
        <f t="shared" ca="1" si="67"/>
        <v>#N/A</v>
      </c>
      <c r="Q375" s="160" t="e">
        <f t="shared" ca="1" si="68"/>
        <v>#N/A</v>
      </c>
      <c r="R375" s="160" t="e">
        <f t="shared" ca="1" si="68"/>
        <v>#N/A</v>
      </c>
      <c r="S375" s="160" t="e">
        <f t="shared" ca="1" si="68"/>
        <v>#N/A</v>
      </c>
      <c r="T375" s="160" t="e">
        <f t="shared" ca="1" si="68"/>
        <v>#N/A</v>
      </c>
      <c r="U375" s="160" t="e">
        <f t="shared" ca="1" si="69"/>
        <v>#N/A</v>
      </c>
      <c r="V375" s="163" t="e">
        <f t="shared" ca="1" si="61"/>
        <v>#N/A</v>
      </c>
      <c r="W375" s="163" t="e">
        <f t="shared" ca="1" si="62"/>
        <v>#N/A</v>
      </c>
      <c r="X375" s="163" t="e">
        <f t="shared" ca="1" si="63"/>
        <v>#N/A</v>
      </c>
      <c r="Y375" s="163" t="e">
        <f t="shared" ca="1" si="64"/>
        <v>#N/A</v>
      </c>
    </row>
    <row r="376" spans="12:25" ht="14.4">
      <c r="L376" s="464"/>
      <c r="M376" s="129" t="e">
        <f t="shared" si="65"/>
        <v>#N/A</v>
      </c>
      <c r="N376" s="161">
        <f t="shared" si="60"/>
        <v>13</v>
      </c>
      <c r="O376" s="160" t="e">
        <f t="shared" ca="1" si="66"/>
        <v>#N/A</v>
      </c>
      <c r="P376" s="160" t="e">
        <f t="shared" ca="1" si="67"/>
        <v>#N/A</v>
      </c>
      <c r="Q376" s="160" t="e">
        <f t="shared" ca="1" si="68"/>
        <v>#N/A</v>
      </c>
      <c r="R376" s="160" t="e">
        <f t="shared" ca="1" si="68"/>
        <v>#N/A</v>
      </c>
      <c r="S376" s="160" t="e">
        <f t="shared" ca="1" si="68"/>
        <v>#N/A</v>
      </c>
      <c r="T376" s="160" t="e">
        <f t="shared" ca="1" si="68"/>
        <v>#N/A</v>
      </c>
      <c r="U376" s="160" t="e">
        <f t="shared" ca="1" si="69"/>
        <v>#N/A</v>
      </c>
      <c r="V376" s="163" t="e">
        <f t="shared" ca="1" si="61"/>
        <v>#N/A</v>
      </c>
      <c r="W376" s="163" t="e">
        <f t="shared" ca="1" si="62"/>
        <v>#N/A</v>
      </c>
      <c r="X376" s="163" t="e">
        <f t="shared" ca="1" si="63"/>
        <v>#N/A</v>
      </c>
      <c r="Y376" s="163" t="e">
        <f t="shared" ca="1" si="64"/>
        <v>#N/A</v>
      </c>
    </row>
    <row r="377" spans="12:25" ht="14.4">
      <c r="L377" s="464"/>
      <c r="M377" s="129" t="e">
        <f t="shared" si="65"/>
        <v>#N/A</v>
      </c>
      <c r="N377" s="161">
        <f t="shared" si="60"/>
        <v>13</v>
      </c>
      <c r="O377" s="160" t="e">
        <f t="shared" ca="1" si="66"/>
        <v>#N/A</v>
      </c>
      <c r="P377" s="160" t="e">
        <f t="shared" ca="1" si="67"/>
        <v>#N/A</v>
      </c>
      <c r="Q377" s="160" t="e">
        <f t="shared" ca="1" si="68"/>
        <v>#N/A</v>
      </c>
      <c r="R377" s="160" t="e">
        <f t="shared" ca="1" si="68"/>
        <v>#N/A</v>
      </c>
      <c r="S377" s="160" t="e">
        <f t="shared" ca="1" si="68"/>
        <v>#N/A</v>
      </c>
      <c r="T377" s="160" t="e">
        <f t="shared" ca="1" si="68"/>
        <v>#N/A</v>
      </c>
      <c r="U377" s="160" t="e">
        <f t="shared" ca="1" si="69"/>
        <v>#N/A</v>
      </c>
      <c r="V377" s="163" t="e">
        <f t="shared" ca="1" si="61"/>
        <v>#N/A</v>
      </c>
      <c r="W377" s="163" t="e">
        <f t="shared" ca="1" si="62"/>
        <v>#N/A</v>
      </c>
      <c r="X377" s="163" t="e">
        <f t="shared" ca="1" si="63"/>
        <v>#N/A</v>
      </c>
      <c r="Y377" s="163" t="e">
        <f t="shared" ca="1" si="64"/>
        <v>#N/A</v>
      </c>
    </row>
    <row r="378" spans="12:25" ht="14.4">
      <c r="L378" s="464"/>
      <c r="M378" s="129" t="e">
        <f t="shared" si="65"/>
        <v>#N/A</v>
      </c>
      <c r="N378" s="161">
        <f t="shared" si="60"/>
        <v>13</v>
      </c>
      <c r="O378" s="160" t="e">
        <f t="shared" ca="1" si="66"/>
        <v>#N/A</v>
      </c>
      <c r="P378" s="160" t="e">
        <f t="shared" ca="1" si="67"/>
        <v>#N/A</v>
      </c>
      <c r="Q378" s="160" t="e">
        <f t="shared" ca="1" si="68"/>
        <v>#N/A</v>
      </c>
      <c r="R378" s="160" t="e">
        <f t="shared" ca="1" si="68"/>
        <v>#N/A</v>
      </c>
      <c r="S378" s="160" t="e">
        <f t="shared" ca="1" si="68"/>
        <v>#N/A</v>
      </c>
      <c r="T378" s="160" t="e">
        <f t="shared" ca="1" si="68"/>
        <v>#N/A</v>
      </c>
      <c r="U378" s="160" t="e">
        <f t="shared" ca="1" si="69"/>
        <v>#N/A</v>
      </c>
      <c r="V378" s="163" t="e">
        <f t="shared" ca="1" si="61"/>
        <v>#N/A</v>
      </c>
      <c r="W378" s="163" t="e">
        <f t="shared" ca="1" si="62"/>
        <v>#N/A</v>
      </c>
      <c r="X378" s="163" t="e">
        <f t="shared" ca="1" si="63"/>
        <v>#N/A</v>
      </c>
      <c r="Y378" s="163" t="e">
        <f t="shared" ca="1" si="64"/>
        <v>#N/A</v>
      </c>
    </row>
    <row r="379" spans="12:25" ht="14.4">
      <c r="L379" s="464"/>
      <c r="M379" s="129" t="e">
        <f t="shared" si="65"/>
        <v>#N/A</v>
      </c>
      <c r="N379" s="161">
        <f t="shared" si="60"/>
        <v>13</v>
      </c>
      <c r="O379" s="160" t="e">
        <f t="shared" ca="1" si="66"/>
        <v>#N/A</v>
      </c>
      <c r="P379" s="160" t="e">
        <f t="shared" ca="1" si="67"/>
        <v>#N/A</v>
      </c>
      <c r="Q379" s="160" t="e">
        <f t="shared" ca="1" si="68"/>
        <v>#N/A</v>
      </c>
      <c r="R379" s="160" t="e">
        <f t="shared" ca="1" si="68"/>
        <v>#N/A</v>
      </c>
      <c r="S379" s="160" t="e">
        <f t="shared" ca="1" si="68"/>
        <v>#N/A</v>
      </c>
      <c r="T379" s="160" t="e">
        <f t="shared" ca="1" si="68"/>
        <v>#N/A</v>
      </c>
      <c r="U379" s="160" t="e">
        <f t="shared" ca="1" si="69"/>
        <v>#N/A</v>
      </c>
      <c r="V379" s="163" t="e">
        <f t="shared" ca="1" si="61"/>
        <v>#N/A</v>
      </c>
      <c r="W379" s="163" t="e">
        <f t="shared" ca="1" si="62"/>
        <v>#N/A</v>
      </c>
      <c r="X379" s="163" t="e">
        <f t="shared" ca="1" si="63"/>
        <v>#N/A</v>
      </c>
      <c r="Y379" s="163" t="e">
        <f t="shared" ca="1" si="64"/>
        <v>#N/A</v>
      </c>
    </row>
    <row r="380" spans="12:25" ht="14.4">
      <c r="L380" s="464"/>
      <c r="M380" s="129" t="e">
        <f t="shared" si="65"/>
        <v>#N/A</v>
      </c>
      <c r="N380" s="161">
        <f t="shared" si="60"/>
        <v>13</v>
      </c>
      <c r="O380" s="160" t="e">
        <f t="shared" ca="1" si="66"/>
        <v>#N/A</v>
      </c>
      <c r="P380" s="160" t="e">
        <f t="shared" ca="1" si="67"/>
        <v>#N/A</v>
      </c>
      <c r="Q380" s="160" t="e">
        <f t="shared" ca="1" si="68"/>
        <v>#N/A</v>
      </c>
      <c r="R380" s="160" t="e">
        <f t="shared" ca="1" si="68"/>
        <v>#N/A</v>
      </c>
      <c r="S380" s="160" t="e">
        <f t="shared" ca="1" si="68"/>
        <v>#N/A</v>
      </c>
      <c r="T380" s="160" t="e">
        <f t="shared" ca="1" si="68"/>
        <v>#N/A</v>
      </c>
      <c r="U380" s="160" t="e">
        <f t="shared" ca="1" si="69"/>
        <v>#N/A</v>
      </c>
      <c r="V380" s="163" t="e">
        <f t="shared" ca="1" si="61"/>
        <v>#N/A</v>
      </c>
      <c r="W380" s="163" t="e">
        <f t="shared" ca="1" si="62"/>
        <v>#N/A</v>
      </c>
      <c r="X380" s="163" t="e">
        <f t="shared" ca="1" si="63"/>
        <v>#N/A</v>
      </c>
      <c r="Y380" s="163" t="e">
        <f t="shared" ca="1" si="64"/>
        <v>#N/A</v>
      </c>
    </row>
    <row r="381" spans="12:25" ht="14.4">
      <c r="L381" s="464"/>
      <c r="M381" s="129" t="e">
        <f t="shared" si="65"/>
        <v>#N/A</v>
      </c>
      <c r="N381" s="161">
        <f t="shared" si="60"/>
        <v>13</v>
      </c>
      <c r="O381" s="160" t="e">
        <f t="shared" ca="1" si="66"/>
        <v>#N/A</v>
      </c>
      <c r="P381" s="160" t="e">
        <f t="shared" ca="1" si="67"/>
        <v>#N/A</v>
      </c>
      <c r="Q381" s="160" t="e">
        <f t="shared" ca="1" si="68"/>
        <v>#N/A</v>
      </c>
      <c r="R381" s="160" t="e">
        <f t="shared" ca="1" si="68"/>
        <v>#N/A</v>
      </c>
      <c r="S381" s="160" t="e">
        <f t="shared" ca="1" si="68"/>
        <v>#N/A</v>
      </c>
      <c r="T381" s="160" t="e">
        <f t="shared" ca="1" si="68"/>
        <v>#N/A</v>
      </c>
      <c r="U381" s="160" t="e">
        <f t="shared" ca="1" si="69"/>
        <v>#N/A</v>
      </c>
      <c r="V381" s="163" t="e">
        <f t="shared" ca="1" si="61"/>
        <v>#N/A</v>
      </c>
      <c r="W381" s="163" t="e">
        <f t="shared" ca="1" si="62"/>
        <v>#N/A</v>
      </c>
      <c r="X381" s="163" t="e">
        <f t="shared" ca="1" si="63"/>
        <v>#N/A</v>
      </c>
      <c r="Y381" s="163" t="e">
        <f t="shared" ca="1" si="64"/>
        <v>#N/A</v>
      </c>
    </row>
    <row r="382" spans="12:25" ht="14.4">
      <c r="L382" s="464"/>
      <c r="M382" s="129" t="e">
        <f t="shared" si="65"/>
        <v>#N/A</v>
      </c>
      <c r="N382" s="161">
        <f t="shared" si="60"/>
        <v>13</v>
      </c>
      <c r="O382" s="160" t="e">
        <f t="shared" ca="1" si="66"/>
        <v>#N/A</v>
      </c>
      <c r="P382" s="160" t="e">
        <f t="shared" ca="1" si="67"/>
        <v>#N/A</v>
      </c>
      <c r="Q382" s="160" t="e">
        <f t="shared" ca="1" si="68"/>
        <v>#N/A</v>
      </c>
      <c r="R382" s="160" t="e">
        <f t="shared" ca="1" si="68"/>
        <v>#N/A</v>
      </c>
      <c r="S382" s="160" t="e">
        <f t="shared" ca="1" si="68"/>
        <v>#N/A</v>
      </c>
      <c r="T382" s="160" t="e">
        <f t="shared" ca="1" si="68"/>
        <v>#N/A</v>
      </c>
      <c r="U382" s="160" t="e">
        <f t="shared" ca="1" si="69"/>
        <v>#N/A</v>
      </c>
      <c r="V382" s="163" t="e">
        <f t="shared" ca="1" si="61"/>
        <v>#N/A</v>
      </c>
      <c r="W382" s="163" t="e">
        <f t="shared" ca="1" si="62"/>
        <v>#N/A</v>
      </c>
      <c r="X382" s="163" t="e">
        <f t="shared" ca="1" si="63"/>
        <v>#N/A</v>
      </c>
      <c r="Y382" s="163" t="e">
        <f t="shared" ca="1" si="64"/>
        <v>#N/A</v>
      </c>
    </row>
    <row r="383" spans="12:25" ht="14.4">
      <c r="L383" s="464"/>
      <c r="M383" s="129" t="e">
        <f t="shared" si="65"/>
        <v>#N/A</v>
      </c>
      <c r="N383" s="161">
        <f t="shared" si="60"/>
        <v>13</v>
      </c>
      <c r="O383" s="160" t="e">
        <f t="shared" ca="1" si="66"/>
        <v>#N/A</v>
      </c>
      <c r="P383" s="160" t="e">
        <f t="shared" ca="1" si="67"/>
        <v>#N/A</v>
      </c>
      <c r="Q383" s="160" t="e">
        <f t="shared" ca="1" si="68"/>
        <v>#N/A</v>
      </c>
      <c r="R383" s="160" t="e">
        <f t="shared" ca="1" si="68"/>
        <v>#N/A</v>
      </c>
      <c r="S383" s="160" t="e">
        <f t="shared" ca="1" si="68"/>
        <v>#N/A</v>
      </c>
      <c r="T383" s="160" t="e">
        <f t="shared" ca="1" si="68"/>
        <v>#N/A</v>
      </c>
      <c r="U383" s="160" t="e">
        <f t="shared" ca="1" si="69"/>
        <v>#N/A</v>
      </c>
      <c r="V383" s="163" t="e">
        <f t="shared" ca="1" si="61"/>
        <v>#N/A</v>
      </c>
      <c r="W383" s="163" t="e">
        <f t="shared" ca="1" si="62"/>
        <v>#N/A</v>
      </c>
      <c r="X383" s="163" t="e">
        <f t="shared" ca="1" si="63"/>
        <v>#N/A</v>
      </c>
      <c r="Y383" s="163" t="e">
        <f t="shared" ca="1" si="64"/>
        <v>#N/A</v>
      </c>
    </row>
    <row r="384" spans="12:25" ht="14.4">
      <c r="L384" s="464"/>
      <c r="M384" s="129" t="e">
        <f t="shared" si="65"/>
        <v>#N/A</v>
      </c>
      <c r="N384" s="161">
        <f t="shared" si="60"/>
        <v>13</v>
      </c>
      <c r="O384" s="160" t="e">
        <f t="shared" ca="1" si="66"/>
        <v>#N/A</v>
      </c>
      <c r="P384" s="160" t="e">
        <f t="shared" ca="1" si="67"/>
        <v>#N/A</v>
      </c>
      <c r="Q384" s="160" t="e">
        <f t="shared" ca="1" si="68"/>
        <v>#N/A</v>
      </c>
      <c r="R384" s="160" t="e">
        <f t="shared" ca="1" si="68"/>
        <v>#N/A</v>
      </c>
      <c r="S384" s="160" t="e">
        <f t="shared" ca="1" si="68"/>
        <v>#N/A</v>
      </c>
      <c r="T384" s="160" t="e">
        <f t="shared" ca="1" si="68"/>
        <v>#N/A</v>
      </c>
      <c r="U384" s="160" t="e">
        <f t="shared" ca="1" si="69"/>
        <v>#N/A</v>
      </c>
      <c r="V384" s="163" t="e">
        <f t="shared" ca="1" si="61"/>
        <v>#N/A</v>
      </c>
      <c r="W384" s="163" t="e">
        <f t="shared" ca="1" si="62"/>
        <v>#N/A</v>
      </c>
      <c r="X384" s="163" t="e">
        <f t="shared" ca="1" si="63"/>
        <v>#N/A</v>
      </c>
      <c r="Y384" s="163" t="e">
        <f t="shared" ca="1" si="64"/>
        <v>#N/A</v>
      </c>
    </row>
    <row r="385" spans="12:25" ht="14.4">
      <c r="L385" s="464"/>
      <c r="M385" s="129" t="e">
        <f t="shared" si="65"/>
        <v>#N/A</v>
      </c>
      <c r="N385" s="161">
        <f t="shared" si="60"/>
        <v>13</v>
      </c>
      <c r="O385" s="160" t="e">
        <f t="shared" ca="1" si="66"/>
        <v>#N/A</v>
      </c>
      <c r="P385" s="160" t="e">
        <f t="shared" ca="1" si="67"/>
        <v>#N/A</v>
      </c>
      <c r="Q385" s="160" t="e">
        <f t="shared" ca="1" si="68"/>
        <v>#N/A</v>
      </c>
      <c r="R385" s="160" t="e">
        <f t="shared" ca="1" si="68"/>
        <v>#N/A</v>
      </c>
      <c r="S385" s="160" t="e">
        <f t="shared" ca="1" si="68"/>
        <v>#N/A</v>
      </c>
      <c r="T385" s="160" t="e">
        <f t="shared" ca="1" si="68"/>
        <v>#N/A</v>
      </c>
      <c r="U385" s="160" t="e">
        <f t="shared" ca="1" si="69"/>
        <v>#N/A</v>
      </c>
      <c r="V385" s="163" t="e">
        <f t="shared" ca="1" si="61"/>
        <v>#N/A</v>
      </c>
      <c r="W385" s="163" t="e">
        <f t="shared" ca="1" si="62"/>
        <v>#N/A</v>
      </c>
      <c r="X385" s="163" t="e">
        <f t="shared" ca="1" si="63"/>
        <v>#N/A</v>
      </c>
      <c r="Y385" s="163" t="e">
        <f t="shared" ca="1" si="64"/>
        <v>#N/A</v>
      </c>
    </row>
    <row r="386" spans="12:25" ht="14.4">
      <c r="L386" s="464"/>
      <c r="M386" s="129" t="e">
        <f t="shared" si="65"/>
        <v>#N/A</v>
      </c>
      <c r="N386" s="161">
        <f t="shared" si="60"/>
        <v>13</v>
      </c>
      <c r="O386" s="160" t="e">
        <f t="shared" ca="1" si="66"/>
        <v>#N/A</v>
      </c>
      <c r="P386" s="160" t="e">
        <f t="shared" ca="1" si="67"/>
        <v>#N/A</v>
      </c>
      <c r="Q386" s="160" t="e">
        <f t="shared" ca="1" si="68"/>
        <v>#N/A</v>
      </c>
      <c r="R386" s="160" t="e">
        <f t="shared" ca="1" si="68"/>
        <v>#N/A</v>
      </c>
      <c r="S386" s="160" t="e">
        <f t="shared" ca="1" si="68"/>
        <v>#N/A</v>
      </c>
      <c r="T386" s="160" t="e">
        <f t="shared" ca="1" si="68"/>
        <v>#N/A</v>
      </c>
      <c r="U386" s="160" t="e">
        <f t="shared" ca="1" si="69"/>
        <v>#N/A</v>
      </c>
      <c r="V386" s="163" t="e">
        <f t="shared" ca="1" si="61"/>
        <v>#N/A</v>
      </c>
      <c r="W386" s="163" t="e">
        <f t="shared" ca="1" si="62"/>
        <v>#N/A</v>
      </c>
      <c r="X386" s="163" t="e">
        <f t="shared" ca="1" si="63"/>
        <v>#N/A</v>
      </c>
      <c r="Y386" s="163" t="e">
        <f t="shared" ca="1" si="64"/>
        <v>#N/A</v>
      </c>
    </row>
    <row r="387" spans="12:25" ht="14.4">
      <c r="L387" s="464"/>
      <c r="M387" s="129" t="e">
        <f t="shared" si="65"/>
        <v>#N/A</v>
      </c>
      <c r="N387" s="161">
        <f t="shared" si="60"/>
        <v>13</v>
      </c>
      <c r="O387" s="160" t="e">
        <f t="shared" ca="1" si="66"/>
        <v>#N/A</v>
      </c>
      <c r="P387" s="160" t="e">
        <f t="shared" ca="1" si="67"/>
        <v>#N/A</v>
      </c>
      <c r="Q387" s="160" t="e">
        <f t="shared" ca="1" si="68"/>
        <v>#N/A</v>
      </c>
      <c r="R387" s="160" t="e">
        <f t="shared" ca="1" si="68"/>
        <v>#N/A</v>
      </c>
      <c r="S387" s="160" t="e">
        <f t="shared" ca="1" si="68"/>
        <v>#N/A</v>
      </c>
      <c r="T387" s="160" t="e">
        <f t="shared" ca="1" si="68"/>
        <v>#N/A</v>
      </c>
      <c r="U387" s="160" t="e">
        <f t="shared" ca="1" si="69"/>
        <v>#N/A</v>
      </c>
      <c r="V387" s="163" t="e">
        <f t="shared" ca="1" si="61"/>
        <v>#N/A</v>
      </c>
      <c r="W387" s="163" t="e">
        <f t="shared" ca="1" si="62"/>
        <v>#N/A</v>
      </c>
      <c r="X387" s="163" t="e">
        <f t="shared" ca="1" si="63"/>
        <v>#N/A</v>
      </c>
      <c r="Y387" s="163" t="e">
        <f t="shared" ca="1" si="64"/>
        <v>#N/A</v>
      </c>
    </row>
    <row r="388" spans="12:25" ht="14.4">
      <c r="L388" s="464"/>
      <c r="M388" s="129" t="e">
        <f t="shared" si="65"/>
        <v>#N/A</v>
      </c>
      <c r="N388" s="161">
        <f t="shared" si="60"/>
        <v>13</v>
      </c>
      <c r="O388" s="160" t="e">
        <f t="shared" ca="1" si="66"/>
        <v>#N/A</v>
      </c>
      <c r="P388" s="160" t="e">
        <f t="shared" ca="1" si="67"/>
        <v>#N/A</v>
      </c>
      <c r="Q388" s="160" t="e">
        <f t="shared" ca="1" si="68"/>
        <v>#N/A</v>
      </c>
      <c r="R388" s="160" t="e">
        <f t="shared" ca="1" si="68"/>
        <v>#N/A</v>
      </c>
      <c r="S388" s="160" t="e">
        <f t="shared" ca="1" si="68"/>
        <v>#N/A</v>
      </c>
      <c r="T388" s="160" t="e">
        <f t="shared" ca="1" si="68"/>
        <v>#N/A</v>
      </c>
      <c r="U388" s="160" t="e">
        <f t="shared" ca="1" si="69"/>
        <v>#N/A</v>
      </c>
      <c r="V388" s="163" t="e">
        <f t="shared" ca="1" si="61"/>
        <v>#N/A</v>
      </c>
      <c r="W388" s="163" t="e">
        <f t="shared" ca="1" si="62"/>
        <v>#N/A</v>
      </c>
      <c r="X388" s="163" t="e">
        <f t="shared" ca="1" si="63"/>
        <v>#N/A</v>
      </c>
      <c r="Y388" s="163" t="e">
        <f t="shared" ca="1" si="64"/>
        <v>#N/A</v>
      </c>
    </row>
    <row r="389" spans="12:25" ht="14.4">
      <c r="L389" s="464"/>
      <c r="M389" s="129" t="e">
        <f t="shared" si="65"/>
        <v>#N/A</v>
      </c>
      <c r="N389" s="161">
        <f t="shared" si="60"/>
        <v>13</v>
      </c>
      <c r="O389" s="160" t="e">
        <f t="shared" ca="1" si="66"/>
        <v>#N/A</v>
      </c>
      <c r="P389" s="160" t="e">
        <f t="shared" ca="1" si="67"/>
        <v>#N/A</v>
      </c>
      <c r="Q389" s="160" t="e">
        <f t="shared" ca="1" si="68"/>
        <v>#N/A</v>
      </c>
      <c r="R389" s="160" t="e">
        <f t="shared" ca="1" si="68"/>
        <v>#N/A</v>
      </c>
      <c r="S389" s="160" t="e">
        <f t="shared" ca="1" si="68"/>
        <v>#N/A</v>
      </c>
      <c r="T389" s="160" t="e">
        <f t="shared" ca="1" si="68"/>
        <v>#N/A</v>
      </c>
      <c r="U389" s="160" t="e">
        <f t="shared" ca="1" si="69"/>
        <v>#N/A</v>
      </c>
      <c r="V389" s="163" t="e">
        <f t="shared" ca="1" si="61"/>
        <v>#N/A</v>
      </c>
      <c r="W389" s="163" t="e">
        <f t="shared" ca="1" si="62"/>
        <v>#N/A</v>
      </c>
      <c r="X389" s="163" t="e">
        <f t="shared" ca="1" si="63"/>
        <v>#N/A</v>
      </c>
      <c r="Y389" s="163" t="e">
        <f t="shared" ca="1" si="64"/>
        <v>#N/A</v>
      </c>
    </row>
    <row r="390" spans="12:25" ht="14.4">
      <c r="L390" s="464"/>
      <c r="M390" s="129" t="e">
        <f t="shared" si="65"/>
        <v>#N/A</v>
      </c>
      <c r="N390" s="161">
        <f t="shared" si="60"/>
        <v>13</v>
      </c>
      <c r="O390" s="160" t="e">
        <f t="shared" ca="1" si="66"/>
        <v>#N/A</v>
      </c>
      <c r="P390" s="160" t="e">
        <f t="shared" ca="1" si="67"/>
        <v>#N/A</v>
      </c>
      <c r="Q390" s="160" t="e">
        <f t="shared" ca="1" si="68"/>
        <v>#N/A</v>
      </c>
      <c r="R390" s="160" t="e">
        <f t="shared" ca="1" si="68"/>
        <v>#N/A</v>
      </c>
      <c r="S390" s="160" t="e">
        <f t="shared" ca="1" si="68"/>
        <v>#N/A</v>
      </c>
      <c r="T390" s="160" t="e">
        <f t="shared" ca="1" si="68"/>
        <v>#N/A</v>
      </c>
      <c r="U390" s="160" t="e">
        <f t="shared" ca="1" si="69"/>
        <v>#N/A</v>
      </c>
      <c r="V390" s="163" t="e">
        <f t="shared" ca="1" si="61"/>
        <v>#N/A</v>
      </c>
      <c r="W390" s="163" t="e">
        <f t="shared" ca="1" si="62"/>
        <v>#N/A</v>
      </c>
      <c r="X390" s="163" t="e">
        <f t="shared" ca="1" si="63"/>
        <v>#N/A</v>
      </c>
      <c r="Y390" s="163" t="e">
        <f t="shared" ca="1" si="64"/>
        <v>#N/A</v>
      </c>
    </row>
    <row r="391" spans="12:25" ht="14.4">
      <c r="L391" s="464"/>
      <c r="M391" s="129" t="e">
        <f t="shared" si="65"/>
        <v>#N/A</v>
      </c>
      <c r="N391" s="161">
        <f t="shared" si="60"/>
        <v>13</v>
      </c>
      <c r="O391" s="160" t="e">
        <f t="shared" ca="1" si="66"/>
        <v>#N/A</v>
      </c>
      <c r="P391" s="160" t="e">
        <f t="shared" ca="1" si="67"/>
        <v>#N/A</v>
      </c>
      <c r="Q391" s="160" t="e">
        <f t="shared" ca="1" si="68"/>
        <v>#N/A</v>
      </c>
      <c r="R391" s="160" t="e">
        <f t="shared" ca="1" si="68"/>
        <v>#N/A</v>
      </c>
      <c r="S391" s="160" t="e">
        <f t="shared" ca="1" si="68"/>
        <v>#N/A</v>
      </c>
      <c r="T391" s="160" t="e">
        <f t="shared" ca="1" si="68"/>
        <v>#N/A</v>
      </c>
      <c r="U391" s="160" t="e">
        <f t="shared" ca="1" si="69"/>
        <v>#N/A</v>
      </c>
      <c r="V391" s="163" t="e">
        <f t="shared" ca="1" si="61"/>
        <v>#N/A</v>
      </c>
      <c r="W391" s="163" t="e">
        <f t="shared" ca="1" si="62"/>
        <v>#N/A</v>
      </c>
      <c r="X391" s="163" t="e">
        <f t="shared" ca="1" si="63"/>
        <v>#N/A</v>
      </c>
      <c r="Y391" s="163" t="e">
        <f t="shared" ca="1" si="64"/>
        <v>#N/A</v>
      </c>
    </row>
    <row r="392" spans="12:25" ht="14.4">
      <c r="L392" s="464"/>
      <c r="M392" s="129" t="e">
        <f t="shared" si="65"/>
        <v>#N/A</v>
      </c>
      <c r="N392" s="161">
        <f t="shared" si="60"/>
        <v>13</v>
      </c>
      <c r="O392" s="160" t="e">
        <f t="shared" ca="1" si="66"/>
        <v>#N/A</v>
      </c>
      <c r="P392" s="160" t="e">
        <f t="shared" ca="1" si="67"/>
        <v>#N/A</v>
      </c>
      <c r="Q392" s="160" t="e">
        <f t="shared" ca="1" si="68"/>
        <v>#N/A</v>
      </c>
      <c r="R392" s="160" t="e">
        <f t="shared" ca="1" si="68"/>
        <v>#N/A</v>
      </c>
      <c r="S392" s="160" t="e">
        <f t="shared" ca="1" si="68"/>
        <v>#N/A</v>
      </c>
      <c r="T392" s="160" t="e">
        <f t="shared" ca="1" si="68"/>
        <v>#N/A</v>
      </c>
      <c r="U392" s="160" t="e">
        <f t="shared" ca="1" si="69"/>
        <v>#N/A</v>
      </c>
      <c r="V392" s="163" t="e">
        <f t="shared" ca="1" si="61"/>
        <v>#N/A</v>
      </c>
      <c r="W392" s="163" t="e">
        <f t="shared" ca="1" si="62"/>
        <v>#N/A</v>
      </c>
      <c r="X392" s="163" t="e">
        <f t="shared" ca="1" si="63"/>
        <v>#N/A</v>
      </c>
      <c r="Y392" s="163" t="e">
        <f t="shared" ca="1" si="64"/>
        <v>#N/A</v>
      </c>
    </row>
    <row r="393" spans="12:25" ht="14.4">
      <c r="L393" s="464"/>
      <c r="M393" s="129" t="e">
        <f t="shared" si="65"/>
        <v>#N/A</v>
      </c>
      <c r="N393" s="161">
        <f t="shared" si="60"/>
        <v>13</v>
      </c>
      <c r="O393" s="160" t="e">
        <f t="shared" ca="1" si="66"/>
        <v>#N/A</v>
      </c>
      <c r="P393" s="160" t="e">
        <f t="shared" ca="1" si="67"/>
        <v>#N/A</v>
      </c>
      <c r="Q393" s="160" t="e">
        <f t="shared" ca="1" si="68"/>
        <v>#N/A</v>
      </c>
      <c r="R393" s="160" t="e">
        <f t="shared" ca="1" si="68"/>
        <v>#N/A</v>
      </c>
      <c r="S393" s="160" t="e">
        <f t="shared" ca="1" si="68"/>
        <v>#N/A</v>
      </c>
      <c r="T393" s="160" t="e">
        <f t="shared" ca="1" si="68"/>
        <v>#N/A</v>
      </c>
      <c r="U393" s="160" t="e">
        <f t="shared" ca="1" si="69"/>
        <v>#N/A</v>
      </c>
      <c r="V393" s="163" t="e">
        <f t="shared" ca="1" si="61"/>
        <v>#N/A</v>
      </c>
      <c r="W393" s="163" t="e">
        <f t="shared" ca="1" si="62"/>
        <v>#N/A</v>
      </c>
      <c r="X393" s="163" t="e">
        <f t="shared" ca="1" si="63"/>
        <v>#N/A</v>
      </c>
      <c r="Y393" s="163" t="e">
        <f t="shared" ca="1" si="64"/>
        <v>#N/A</v>
      </c>
    </row>
    <row r="394" spans="12:25" ht="14.4">
      <c r="L394" s="464"/>
      <c r="M394" s="129" t="e">
        <f t="shared" si="65"/>
        <v>#N/A</v>
      </c>
      <c r="N394" s="161">
        <f t="shared" si="60"/>
        <v>13</v>
      </c>
      <c r="O394" s="160" t="e">
        <f t="shared" ca="1" si="66"/>
        <v>#N/A</v>
      </c>
      <c r="P394" s="160" t="e">
        <f t="shared" ca="1" si="67"/>
        <v>#N/A</v>
      </c>
      <c r="Q394" s="160" t="e">
        <f t="shared" ca="1" si="68"/>
        <v>#N/A</v>
      </c>
      <c r="R394" s="160" t="e">
        <f t="shared" ca="1" si="68"/>
        <v>#N/A</v>
      </c>
      <c r="S394" s="160" t="e">
        <f t="shared" ca="1" si="68"/>
        <v>#N/A</v>
      </c>
      <c r="T394" s="160" t="e">
        <f t="shared" ca="1" si="68"/>
        <v>#N/A</v>
      </c>
      <c r="U394" s="160" t="e">
        <f t="shared" ca="1" si="69"/>
        <v>#N/A</v>
      </c>
      <c r="V394" s="163" t="e">
        <f t="shared" ca="1" si="61"/>
        <v>#N/A</v>
      </c>
      <c r="W394" s="163" t="e">
        <f t="shared" ca="1" si="62"/>
        <v>#N/A</v>
      </c>
      <c r="X394" s="163" t="e">
        <f t="shared" ca="1" si="63"/>
        <v>#N/A</v>
      </c>
      <c r="Y394" s="163" t="e">
        <f t="shared" ca="1" si="64"/>
        <v>#N/A</v>
      </c>
    </row>
    <row r="395" spans="12:25" ht="14.4">
      <c r="L395" s="464"/>
      <c r="M395" s="129" t="e">
        <f t="shared" si="65"/>
        <v>#N/A</v>
      </c>
      <c r="N395" s="161">
        <f t="shared" si="60"/>
        <v>13</v>
      </c>
      <c r="O395" s="160" t="e">
        <f t="shared" ca="1" si="66"/>
        <v>#N/A</v>
      </c>
      <c r="P395" s="160" t="e">
        <f t="shared" ca="1" si="67"/>
        <v>#N/A</v>
      </c>
      <c r="Q395" s="160" t="e">
        <f t="shared" ca="1" si="68"/>
        <v>#N/A</v>
      </c>
      <c r="R395" s="160" t="e">
        <f t="shared" ca="1" si="68"/>
        <v>#N/A</v>
      </c>
      <c r="S395" s="160" t="e">
        <f t="shared" ca="1" si="68"/>
        <v>#N/A</v>
      </c>
      <c r="T395" s="160" t="e">
        <f t="shared" ca="1" si="68"/>
        <v>#N/A</v>
      </c>
      <c r="U395" s="160" t="e">
        <f t="shared" ca="1" si="69"/>
        <v>#N/A</v>
      </c>
      <c r="V395" s="163" t="e">
        <f t="shared" ca="1" si="61"/>
        <v>#N/A</v>
      </c>
      <c r="W395" s="163" t="e">
        <f t="shared" ca="1" si="62"/>
        <v>#N/A</v>
      </c>
      <c r="X395" s="163" t="e">
        <f t="shared" ca="1" si="63"/>
        <v>#N/A</v>
      </c>
      <c r="Y395" s="163" t="e">
        <f t="shared" ca="1" si="64"/>
        <v>#N/A</v>
      </c>
    </row>
    <row r="396" spans="12:25" ht="14.4">
      <c r="L396" s="464"/>
      <c r="M396" s="129" t="e">
        <f t="shared" si="65"/>
        <v>#N/A</v>
      </c>
      <c r="N396" s="161">
        <f t="shared" si="60"/>
        <v>13</v>
      </c>
      <c r="O396" s="160" t="e">
        <f t="shared" ca="1" si="66"/>
        <v>#N/A</v>
      </c>
      <c r="P396" s="160" t="e">
        <f t="shared" ca="1" si="67"/>
        <v>#N/A</v>
      </c>
      <c r="Q396" s="160" t="e">
        <f t="shared" ca="1" si="68"/>
        <v>#N/A</v>
      </c>
      <c r="R396" s="160" t="e">
        <f t="shared" ca="1" si="68"/>
        <v>#N/A</v>
      </c>
      <c r="S396" s="160" t="e">
        <f t="shared" ca="1" si="68"/>
        <v>#N/A</v>
      </c>
      <c r="T396" s="160" t="e">
        <f t="shared" ca="1" si="68"/>
        <v>#N/A</v>
      </c>
      <c r="U396" s="160" t="e">
        <f t="shared" ca="1" si="69"/>
        <v>#N/A</v>
      </c>
      <c r="V396" s="163" t="e">
        <f t="shared" ca="1" si="61"/>
        <v>#N/A</v>
      </c>
      <c r="W396" s="163" t="e">
        <f t="shared" ca="1" si="62"/>
        <v>#N/A</v>
      </c>
      <c r="X396" s="163" t="e">
        <f t="shared" ca="1" si="63"/>
        <v>#N/A</v>
      </c>
      <c r="Y396" s="163" t="e">
        <f t="shared" ca="1" si="64"/>
        <v>#N/A</v>
      </c>
    </row>
    <row r="397" spans="12:25" ht="14.4">
      <c r="L397" s="464"/>
      <c r="M397" s="129" t="e">
        <f t="shared" si="65"/>
        <v>#N/A</v>
      </c>
      <c r="N397" s="161">
        <f t="shared" si="60"/>
        <v>13</v>
      </c>
      <c r="O397" s="160" t="e">
        <f t="shared" ca="1" si="66"/>
        <v>#N/A</v>
      </c>
      <c r="P397" s="160" t="e">
        <f t="shared" ca="1" si="67"/>
        <v>#N/A</v>
      </c>
      <c r="Q397" s="160" t="e">
        <f t="shared" ca="1" si="68"/>
        <v>#N/A</v>
      </c>
      <c r="R397" s="160" t="e">
        <f t="shared" ca="1" si="68"/>
        <v>#N/A</v>
      </c>
      <c r="S397" s="160" t="e">
        <f t="shared" ca="1" si="68"/>
        <v>#N/A</v>
      </c>
      <c r="T397" s="160" t="e">
        <f t="shared" ca="1" si="68"/>
        <v>#N/A</v>
      </c>
      <c r="U397" s="160" t="e">
        <f t="shared" ca="1" si="69"/>
        <v>#N/A</v>
      </c>
      <c r="V397" s="163" t="e">
        <f t="shared" ca="1" si="61"/>
        <v>#N/A</v>
      </c>
      <c r="W397" s="163" t="e">
        <f t="shared" ca="1" si="62"/>
        <v>#N/A</v>
      </c>
      <c r="X397" s="163" t="e">
        <f t="shared" ca="1" si="63"/>
        <v>#N/A</v>
      </c>
      <c r="Y397" s="163" t="e">
        <f t="shared" ca="1" si="64"/>
        <v>#N/A</v>
      </c>
    </row>
    <row r="398" spans="12:25" ht="14.4">
      <c r="L398" s="464"/>
      <c r="M398" s="129" t="e">
        <f t="shared" si="65"/>
        <v>#N/A</v>
      </c>
      <c r="N398" s="161">
        <f t="shared" si="60"/>
        <v>13</v>
      </c>
      <c r="O398" s="160" t="e">
        <f t="shared" ca="1" si="66"/>
        <v>#N/A</v>
      </c>
      <c r="P398" s="160" t="e">
        <f t="shared" ca="1" si="67"/>
        <v>#N/A</v>
      </c>
      <c r="Q398" s="160" t="e">
        <f t="shared" ca="1" si="68"/>
        <v>#N/A</v>
      </c>
      <c r="R398" s="160" t="e">
        <f t="shared" ca="1" si="68"/>
        <v>#N/A</v>
      </c>
      <c r="S398" s="160" t="e">
        <f t="shared" ca="1" si="68"/>
        <v>#N/A</v>
      </c>
      <c r="T398" s="160" t="e">
        <f t="shared" ca="1" si="68"/>
        <v>#N/A</v>
      </c>
      <c r="U398" s="160" t="e">
        <f t="shared" ca="1" si="69"/>
        <v>#N/A</v>
      </c>
      <c r="V398" s="163" t="e">
        <f t="shared" ca="1" si="61"/>
        <v>#N/A</v>
      </c>
      <c r="W398" s="163" t="e">
        <f t="shared" ca="1" si="62"/>
        <v>#N/A</v>
      </c>
      <c r="X398" s="163" t="e">
        <f t="shared" ca="1" si="63"/>
        <v>#N/A</v>
      </c>
      <c r="Y398" s="163" t="e">
        <f t="shared" ca="1" si="64"/>
        <v>#N/A</v>
      </c>
    </row>
    <row r="399" spans="12:25" ht="14.4">
      <c r="L399" s="464"/>
      <c r="M399" s="129" t="e">
        <f t="shared" si="65"/>
        <v>#N/A</v>
      </c>
      <c r="N399" s="161">
        <f t="shared" si="60"/>
        <v>13</v>
      </c>
      <c r="O399" s="160" t="e">
        <f t="shared" ca="1" si="66"/>
        <v>#N/A</v>
      </c>
      <c r="P399" s="160" t="e">
        <f t="shared" ca="1" si="67"/>
        <v>#N/A</v>
      </c>
      <c r="Q399" s="160" t="e">
        <f t="shared" ca="1" si="68"/>
        <v>#N/A</v>
      </c>
      <c r="R399" s="160" t="e">
        <f t="shared" ca="1" si="68"/>
        <v>#N/A</v>
      </c>
      <c r="S399" s="160" t="e">
        <f t="shared" ca="1" si="68"/>
        <v>#N/A</v>
      </c>
      <c r="T399" s="160" t="e">
        <f t="shared" ca="1" si="68"/>
        <v>#N/A</v>
      </c>
      <c r="U399" s="160" t="e">
        <f t="shared" ca="1" si="69"/>
        <v>#N/A</v>
      </c>
      <c r="V399" s="163" t="e">
        <f t="shared" ca="1" si="61"/>
        <v>#N/A</v>
      </c>
      <c r="W399" s="163" t="e">
        <f t="shared" ca="1" si="62"/>
        <v>#N/A</v>
      </c>
      <c r="X399" s="163" t="e">
        <f t="shared" ca="1" si="63"/>
        <v>#N/A</v>
      </c>
      <c r="Y399" s="163" t="e">
        <f t="shared" ca="1" si="64"/>
        <v>#N/A</v>
      </c>
    </row>
    <row r="400" spans="12:25" ht="14.4">
      <c r="L400" s="464"/>
      <c r="M400" s="129" t="e">
        <f t="shared" si="65"/>
        <v>#N/A</v>
      </c>
      <c r="N400" s="161">
        <f t="shared" si="60"/>
        <v>13</v>
      </c>
      <c r="O400" s="160" t="e">
        <f t="shared" ca="1" si="66"/>
        <v>#N/A</v>
      </c>
      <c r="P400" s="160" t="e">
        <f t="shared" ca="1" si="67"/>
        <v>#N/A</v>
      </c>
      <c r="Q400" s="160" t="e">
        <f t="shared" ca="1" si="68"/>
        <v>#N/A</v>
      </c>
      <c r="R400" s="160" t="e">
        <f t="shared" ca="1" si="68"/>
        <v>#N/A</v>
      </c>
      <c r="S400" s="160" t="e">
        <f t="shared" ca="1" si="68"/>
        <v>#N/A</v>
      </c>
      <c r="T400" s="160" t="e">
        <f t="shared" ca="1" si="68"/>
        <v>#N/A</v>
      </c>
      <c r="U400" s="160" t="e">
        <f t="shared" ca="1" si="69"/>
        <v>#N/A</v>
      </c>
      <c r="V400" s="163" t="e">
        <f t="shared" ca="1" si="61"/>
        <v>#N/A</v>
      </c>
      <c r="W400" s="163" t="e">
        <f t="shared" ca="1" si="62"/>
        <v>#N/A</v>
      </c>
      <c r="X400" s="163" t="e">
        <f t="shared" ca="1" si="63"/>
        <v>#N/A</v>
      </c>
      <c r="Y400" s="163" t="e">
        <f t="shared" ca="1" si="64"/>
        <v>#N/A</v>
      </c>
    </row>
    <row r="401" spans="12:25" ht="14.4">
      <c r="L401" s="464"/>
      <c r="M401" s="129" t="e">
        <f t="shared" si="65"/>
        <v>#N/A</v>
      </c>
      <c r="N401" s="161">
        <f t="shared" si="60"/>
        <v>13</v>
      </c>
      <c r="O401" s="160" t="e">
        <f t="shared" ca="1" si="66"/>
        <v>#N/A</v>
      </c>
      <c r="P401" s="160" t="e">
        <f t="shared" ca="1" si="67"/>
        <v>#N/A</v>
      </c>
      <c r="Q401" s="160" t="e">
        <f t="shared" ca="1" si="68"/>
        <v>#N/A</v>
      </c>
      <c r="R401" s="160" t="e">
        <f t="shared" ca="1" si="68"/>
        <v>#N/A</v>
      </c>
      <c r="S401" s="160" t="e">
        <f t="shared" ca="1" si="68"/>
        <v>#N/A</v>
      </c>
      <c r="T401" s="160" t="e">
        <f t="shared" ca="1" si="68"/>
        <v>#N/A</v>
      </c>
      <c r="U401" s="160" t="e">
        <f t="shared" ca="1" si="69"/>
        <v>#N/A</v>
      </c>
      <c r="V401" s="163" t="e">
        <f t="shared" ca="1" si="61"/>
        <v>#N/A</v>
      </c>
      <c r="W401" s="163" t="e">
        <f t="shared" ca="1" si="62"/>
        <v>#N/A</v>
      </c>
      <c r="X401" s="163" t="e">
        <f t="shared" ca="1" si="63"/>
        <v>#N/A</v>
      </c>
      <c r="Y401" s="163" t="e">
        <f t="shared" ca="1" si="64"/>
        <v>#N/A</v>
      </c>
    </row>
    <row r="402" spans="12:25" ht="14.4">
      <c r="L402" s="464"/>
      <c r="M402" s="129" t="e">
        <f t="shared" si="65"/>
        <v>#N/A</v>
      </c>
      <c r="N402" s="161">
        <f t="shared" ref="N402:N465" si="70">N401</f>
        <v>13</v>
      </c>
      <c r="O402" s="160" t="e">
        <f t="shared" ca="1" si="66"/>
        <v>#N/A</v>
      </c>
      <c r="P402" s="160" t="e">
        <f t="shared" ca="1" si="67"/>
        <v>#N/A</v>
      </c>
      <c r="Q402" s="160" t="e">
        <f t="shared" ca="1" si="68"/>
        <v>#N/A</v>
      </c>
      <c r="R402" s="160" t="e">
        <f t="shared" ca="1" si="68"/>
        <v>#N/A</v>
      </c>
      <c r="S402" s="160" t="e">
        <f t="shared" ca="1" si="68"/>
        <v>#N/A</v>
      </c>
      <c r="T402" s="160" t="e">
        <f t="shared" ca="1" si="68"/>
        <v>#N/A</v>
      </c>
      <c r="U402" s="160" t="e">
        <f t="shared" ca="1" si="69"/>
        <v>#N/A</v>
      </c>
      <c r="V402" s="163" t="e">
        <f t="shared" ca="1" si="61"/>
        <v>#N/A</v>
      </c>
      <c r="W402" s="163" t="e">
        <f t="shared" ca="1" si="62"/>
        <v>#N/A</v>
      </c>
      <c r="X402" s="163" t="e">
        <f t="shared" ca="1" si="63"/>
        <v>#N/A</v>
      </c>
      <c r="Y402" s="163" t="e">
        <f t="shared" ca="1" si="64"/>
        <v>#N/A</v>
      </c>
    </row>
    <row r="403" spans="12:25" ht="14.4">
      <c r="L403" s="464"/>
      <c r="M403" s="129" t="e">
        <f t="shared" si="65"/>
        <v>#N/A</v>
      </c>
      <c r="N403" s="161">
        <f t="shared" si="70"/>
        <v>13</v>
      </c>
      <c r="O403" s="160" t="e">
        <f t="shared" ca="1" si="66"/>
        <v>#N/A</v>
      </c>
      <c r="P403" s="160" t="e">
        <f t="shared" ca="1" si="67"/>
        <v>#N/A</v>
      </c>
      <c r="Q403" s="160" t="e">
        <f t="shared" ca="1" si="68"/>
        <v>#N/A</v>
      </c>
      <c r="R403" s="160" t="e">
        <f t="shared" ca="1" si="68"/>
        <v>#N/A</v>
      </c>
      <c r="S403" s="160" t="e">
        <f t="shared" ca="1" si="68"/>
        <v>#N/A</v>
      </c>
      <c r="T403" s="160" t="e">
        <f t="shared" ca="1" si="68"/>
        <v>#N/A</v>
      </c>
      <c r="U403" s="160" t="e">
        <f t="shared" ca="1" si="69"/>
        <v>#N/A</v>
      </c>
      <c r="V403" s="163" t="e">
        <f t="shared" ca="1" si="61"/>
        <v>#N/A</v>
      </c>
      <c r="W403" s="163" t="e">
        <f t="shared" ca="1" si="62"/>
        <v>#N/A</v>
      </c>
      <c r="X403" s="163" t="e">
        <f t="shared" ca="1" si="63"/>
        <v>#N/A</v>
      </c>
      <c r="Y403" s="163" t="e">
        <f t="shared" ca="1" si="64"/>
        <v>#N/A</v>
      </c>
    </row>
    <row r="404" spans="12:25" ht="14.4">
      <c r="L404" s="464"/>
      <c r="M404" s="129" t="e">
        <f t="shared" si="65"/>
        <v>#N/A</v>
      </c>
      <c r="N404" s="161">
        <f t="shared" si="70"/>
        <v>13</v>
      </c>
      <c r="O404" s="160" t="e">
        <f t="shared" ca="1" si="66"/>
        <v>#N/A</v>
      </c>
      <c r="P404" s="160" t="e">
        <f t="shared" ca="1" si="67"/>
        <v>#N/A</v>
      </c>
      <c r="Q404" s="160" t="e">
        <f t="shared" ca="1" si="68"/>
        <v>#N/A</v>
      </c>
      <c r="R404" s="160" t="e">
        <f t="shared" ca="1" si="68"/>
        <v>#N/A</v>
      </c>
      <c r="S404" s="160" t="e">
        <f t="shared" ca="1" si="68"/>
        <v>#N/A</v>
      </c>
      <c r="T404" s="160" t="e">
        <f t="shared" ca="1" si="68"/>
        <v>#N/A</v>
      </c>
      <c r="U404" s="160" t="e">
        <f t="shared" ca="1" si="69"/>
        <v>#N/A</v>
      </c>
      <c r="V404" s="163" t="e">
        <f t="shared" ca="1" si="61"/>
        <v>#N/A</v>
      </c>
      <c r="W404" s="163" t="e">
        <f t="shared" ca="1" si="62"/>
        <v>#N/A</v>
      </c>
      <c r="X404" s="163" t="e">
        <f t="shared" ca="1" si="63"/>
        <v>#N/A</v>
      </c>
      <c r="Y404" s="163" t="e">
        <f t="shared" ca="1" si="64"/>
        <v>#N/A</v>
      </c>
    </row>
    <row r="405" spans="12:25" ht="14.4">
      <c r="L405" s="464"/>
      <c r="M405" s="129" t="e">
        <f t="shared" si="65"/>
        <v>#N/A</v>
      </c>
      <c r="N405" s="161">
        <f t="shared" si="70"/>
        <v>13</v>
      </c>
      <c r="O405" s="160" t="e">
        <f t="shared" ca="1" si="66"/>
        <v>#N/A</v>
      </c>
      <c r="P405" s="160" t="e">
        <f t="shared" ca="1" si="67"/>
        <v>#N/A</v>
      </c>
      <c r="Q405" s="160" t="e">
        <f t="shared" ca="1" si="68"/>
        <v>#N/A</v>
      </c>
      <c r="R405" s="160" t="e">
        <f t="shared" ca="1" si="68"/>
        <v>#N/A</v>
      </c>
      <c r="S405" s="160" t="e">
        <f t="shared" ca="1" si="68"/>
        <v>#N/A</v>
      </c>
      <c r="T405" s="160" t="e">
        <f t="shared" ca="1" si="68"/>
        <v>#N/A</v>
      </c>
      <c r="U405" s="160" t="e">
        <f t="shared" ca="1" si="69"/>
        <v>#N/A</v>
      </c>
      <c r="V405" s="163" t="e">
        <f t="shared" ca="1" si="61"/>
        <v>#N/A</v>
      </c>
      <c r="W405" s="163" t="e">
        <f t="shared" ca="1" si="62"/>
        <v>#N/A</v>
      </c>
      <c r="X405" s="163" t="e">
        <f t="shared" ca="1" si="63"/>
        <v>#N/A</v>
      </c>
      <c r="Y405" s="163" t="e">
        <f t="shared" ca="1" si="64"/>
        <v>#N/A</v>
      </c>
    </row>
    <row r="406" spans="12:25" ht="14.4">
      <c r="L406" s="464"/>
      <c r="M406" s="129" t="e">
        <f t="shared" si="65"/>
        <v>#N/A</v>
      </c>
      <c r="N406" s="161">
        <f t="shared" si="70"/>
        <v>13</v>
      </c>
      <c r="O406" s="160" t="e">
        <f t="shared" ca="1" si="66"/>
        <v>#N/A</v>
      </c>
      <c r="P406" s="160" t="e">
        <f t="shared" ca="1" si="67"/>
        <v>#N/A</v>
      </c>
      <c r="Q406" s="160" t="e">
        <f t="shared" ca="1" si="68"/>
        <v>#N/A</v>
      </c>
      <c r="R406" s="160" t="e">
        <f t="shared" ca="1" si="68"/>
        <v>#N/A</v>
      </c>
      <c r="S406" s="160" t="e">
        <f t="shared" ca="1" si="68"/>
        <v>#N/A</v>
      </c>
      <c r="T406" s="160" t="e">
        <f t="shared" ca="1" si="68"/>
        <v>#N/A</v>
      </c>
      <c r="U406" s="160" t="e">
        <f t="shared" ca="1" si="69"/>
        <v>#N/A</v>
      </c>
      <c r="V406" s="163" t="e">
        <f t="shared" ca="1" si="61"/>
        <v>#N/A</v>
      </c>
      <c r="W406" s="163" t="e">
        <f t="shared" ca="1" si="62"/>
        <v>#N/A</v>
      </c>
      <c r="X406" s="163" t="e">
        <f t="shared" ca="1" si="63"/>
        <v>#N/A</v>
      </c>
      <c r="Y406" s="163" t="e">
        <f t="shared" ca="1" si="64"/>
        <v>#N/A</v>
      </c>
    </row>
    <row r="407" spans="12:25" ht="14.4">
      <c r="L407" s="464"/>
      <c r="M407" s="129" t="e">
        <f t="shared" si="65"/>
        <v>#N/A</v>
      </c>
      <c r="N407" s="161">
        <f t="shared" si="70"/>
        <v>13</v>
      </c>
      <c r="O407" s="160" t="e">
        <f t="shared" ca="1" si="66"/>
        <v>#N/A</v>
      </c>
      <c r="P407" s="160" t="e">
        <f t="shared" ca="1" si="67"/>
        <v>#N/A</v>
      </c>
      <c r="Q407" s="160" t="e">
        <f t="shared" ca="1" si="68"/>
        <v>#N/A</v>
      </c>
      <c r="R407" s="160" t="e">
        <f t="shared" ca="1" si="68"/>
        <v>#N/A</v>
      </c>
      <c r="S407" s="160" t="e">
        <f t="shared" ca="1" si="68"/>
        <v>#N/A</v>
      </c>
      <c r="T407" s="160" t="e">
        <f t="shared" ca="1" si="68"/>
        <v>#N/A</v>
      </c>
      <c r="U407" s="160" t="e">
        <f t="shared" ca="1" si="69"/>
        <v>#N/A</v>
      </c>
      <c r="V407" s="163" t="e">
        <f t="shared" ca="1" si="61"/>
        <v>#N/A</v>
      </c>
      <c r="W407" s="163" t="e">
        <f t="shared" ca="1" si="62"/>
        <v>#N/A</v>
      </c>
      <c r="X407" s="163" t="e">
        <f t="shared" ca="1" si="63"/>
        <v>#N/A</v>
      </c>
      <c r="Y407" s="163" t="e">
        <f t="shared" ca="1" si="64"/>
        <v>#N/A</v>
      </c>
    </row>
    <row r="408" spans="12:25" ht="14.4">
      <c r="L408" s="464"/>
      <c r="M408" s="129" t="e">
        <f t="shared" si="65"/>
        <v>#N/A</v>
      </c>
      <c r="N408" s="161">
        <f t="shared" si="70"/>
        <v>13</v>
      </c>
      <c r="O408" s="160" t="e">
        <f t="shared" ca="1" si="66"/>
        <v>#N/A</v>
      </c>
      <c r="P408" s="160" t="e">
        <f t="shared" ca="1" si="67"/>
        <v>#N/A</v>
      </c>
      <c r="Q408" s="160" t="e">
        <f t="shared" ca="1" si="68"/>
        <v>#N/A</v>
      </c>
      <c r="R408" s="160" t="e">
        <f t="shared" ca="1" si="68"/>
        <v>#N/A</v>
      </c>
      <c r="S408" s="160" t="e">
        <f t="shared" ca="1" si="68"/>
        <v>#N/A</v>
      </c>
      <c r="T408" s="160" t="e">
        <f t="shared" ca="1" si="68"/>
        <v>#N/A</v>
      </c>
      <c r="U408" s="160" t="e">
        <f t="shared" ca="1" si="69"/>
        <v>#N/A</v>
      </c>
      <c r="V408" s="163" t="e">
        <f t="shared" ca="1" si="61"/>
        <v>#N/A</v>
      </c>
      <c r="W408" s="163" t="e">
        <f t="shared" ca="1" si="62"/>
        <v>#N/A</v>
      </c>
      <c r="X408" s="163" t="e">
        <f t="shared" ca="1" si="63"/>
        <v>#N/A</v>
      </c>
      <c r="Y408" s="163" t="e">
        <f t="shared" ca="1" si="64"/>
        <v>#N/A</v>
      </c>
    </row>
    <row r="409" spans="12:25" ht="14.4">
      <c r="L409" s="464"/>
      <c r="M409" s="129" t="e">
        <f t="shared" si="65"/>
        <v>#N/A</v>
      </c>
      <c r="N409" s="161">
        <f t="shared" si="70"/>
        <v>13</v>
      </c>
      <c r="O409" s="160" t="e">
        <f t="shared" ca="1" si="66"/>
        <v>#N/A</v>
      </c>
      <c r="P409" s="160" t="e">
        <f t="shared" ca="1" si="67"/>
        <v>#N/A</v>
      </c>
      <c r="Q409" s="160" t="e">
        <f t="shared" ca="1" si="68"/>
        <v>#N/A</v>
      </c>
      <c r="R409" s="160" t="e">
        <f t="shared" ca="1" si="68"/>
        <v>#N/A</v>
      </c>
      <c r="S409" s="160" t="e">
        <f t="shared" ca="1" si="68"/>
        <v>#N/A</v>
      </c>
      <c r="T409" s="160" t="e">
        <f t="shared" ca="1" si="68"/>
        <v>#N/A</v>
      </c>
      <c r="U409" s="160" t="e">
        <f t="shared" ca="1" si="69"/>
        <v>#N/A</v>
      </c>
      <c r="V409" s="163" t="e">
        <f t="shared" ca="1" si="61"/>
        <v>#N/A</v>
      </c>
      <c r="W409" s="163" t="e">
        <f t="shared" ca="1" si="62"/>
        <v>#N/A</v>
      </c>
      <c r="X409" s="163" t="e">
        <f t="shared" ca="1" si="63"/>
        <v>#N/A</v>
      </c>
      <c r="Y409" s="163" t="e">
        <f t="shared" ca="1" si="64"/>
        <v>#N/A</v>
      </c>
    </row>
    <row r="410" spans="12:25" ht="14.4">
      <c r="L410" s="464"/>
      <c r="M410" s="129" t="e">
        <f t="shared" si="65"/>
        <v>#N/A</v>
      </c>
      <c r="N410" s="161">
        <f t="shared" si="70"/>
        <v>13</v>
      </c>
      <c r="O410" s="160" t="e">
        <f t="shared" ca="1" si="66"/>
        <v>#N/A</v>
      </c>
      <c r="P410" s="160" t="e">
        <f t="shared" ca="1" si="67"/>
        <v>#N/A</v>
      </c>
      <c r="Q410" s="160" t="e">
        <f t="shared" ca="1" si="68"/>
        <v>#N/A</v>
      </c>
      <c r="R410" s="160" t="e">
        <f t="shared" ca="1" si="68"/>
        <v>#N/A</v>
      </c>
      <c r="S410" s="160" t="e">
        <f t="shared" ca="1" si="68"/>
        <v>#N/A</v>
      </c>
      <c r="T410" s="160" t="e">
        <f t="shared" ca="1" si="68"/>
        <v>#N/A</v>
      </c>
      <c r="U410" s="160" t="e">
        <f t="shared" ca="1" si="69"/>
        <v>#N/A</v>
      </c>
      <c r="V410" s="163" t="e">
        <f t="shared" ca="1" si="61"/>
        <v>#N/A</v>
      </c>
      <c r="W410" s="163" t="e">
        <f t="shared" ca="1" si="62"/>
        <v>#N/A</v>
      </c>
      <c r="X410" s="163" t="e">
        <f t="shared" ca="1" si="63"/>
        <v>#N/A</v>
      </c>
      <c r="Y410" s="163" t="e">
        <f t="shared" ca="1" si="64"/>
        <v>#N/A</v>
      </c>
    </row>
    <row r="411" spans="12:25" ht="14.4">
      <c r="L411" s="464"/>
      <c r="M411" s="129" t="e">
        <f t="shared" si="65"/>
        <v>#N/A</v>
      </c>
      <c r="N411" s="161">
        <f t="shared" si="70"/>
        <v>13</v>
      </c>
      <c r="O411" s="160" t="e">
        <f t="shared" ca="1" si="66"/>
        <v>#N/A</v>
      </c>
      <c r="P411" s="160" t="e">
        <f t="shared" ca="1" si="67"/>
        <v>#N/A</v>
      </c>
      <c r="Q411" s="160" t="e">
        <f t="shared" ca="1" si="68"/>
        <v>#N/A</v>
      </c>
      <c r="R411" s="160" t="e">
        <f t="shared" ca="1" si="68"/>
        <v>#N/A</v>
      </c>
      <c r="S411" s="160" t="e">
        <f t="shared" ca="1" si="68"/>
        <v>#N/A</v>
      </c>
      <c r="T411" s="160" t="e">
        <f t="shared" ca="1" si="68"/>
        <v>#N/A</v>
      </c>
      <c r="U411" s="160" t="e">
        <f t="shared" ca="1" si="69"/>
        <v>#N/A</v>
      </c>
      <c r="V411" s="163" t="e">
        <f t="shared" ca="1" si="61"/>
        <v>#N/A</v>
      </c>
      <c r="W411" s="163" t="e">
        <f t="shared" ca="1" si="62"/>
        <v>#N/A</v>
      </c>
      <c r="X411" s="163" t="e">
        <f t="shared" ca="1" si="63"/>
        <v>#N/A</v>
      </c>
      <c r="Y411" s="163" t="e">
        <f t="shared" ca="1" si="64"/>
        <v>#N/A</v>
      </c>
    </row>
    <row r="412" spans="12:25" ht="14.4">
      <c r="L412" s="464"/>
      <c r="M412" s="129" t="e">
        <f t="shared" si="65"/>
        <v>#N/A</v>
      </c>
      <c r="N412" s="161">
        <f t="shared" si="70"/>
        <v>13</v>
      </c>
      <c r="O412" s="160" t="e">
        <f t="shared" ca="1" si="66"/>
        <v>#N/A</v>
      </c>
      <c r="P412" s="160" t="e">
        <f t="shared" ca="1" si="67"/>
        <v>#N/A</v>
      </c>
      <c r="Q412" s="160" t="e">
        <f t="shared" ca="1" si="68"/>
        <v>#N/A</v>
      </c>
      <c r="R412" s="160" t="e">
        <f t="shared" ca="1" si="68"/>
        <v>#N/A</v>
      </c>
      <c r="S412" s="160" t="e">
        <f t="shared" ca="1" si="68"/>
        <v>#N/A</v>
      </c>
      <c r="T412" s="160" t="e">
        <f t="shared" ca="1" si="68"/>
        <v>#N/A</v>
      </c>
      <c r="U412" s="160" t="e">
        <f t="shared" ca="1" si="69"/>
        <v>#N/A</v>
      </c>
      <c r="V412" s="163" t="e">
        <f t="shared" ca="1" si="61"/>
        <v>#N/A</v>
      </c>
      <c r="W412" s="163" t="e">
        <f t="shared" ca="1" si="62"/>
        <v>#N/A</v>
      </c>
      <c r="X412" s="163" t="e">
        <f t="shared" ca="1" si="63"/>
        <v>#N/A</v>
      </c>
      <c r="Y412" s="163" t="e">
        <f t="shared" ca="1" si="64"/>
        <v>#N/A</v>
      </c>
    </row>
    <row r="413" spans="12:25" ht="14.4">
      <c r="L413" s="464"/>
      <c r="M413" s="129" t="e">
        <f t="shared" si="65"/>
        <v>#N/A</v>
      </c>
      <c r="N413" s="161">
        <f t="shared" si="70"/>
        <v>13</v>
      </c>
      <c r="O413" s="160" t="e">
        <f t="shared" ca="1" si="66"/>
        <v>#N/A</v>
      </c>
      <c r="P413" s="160" t="e">
        <f t="shared" ca="1" si="67"/>
        <v>#N/A</v>
      </c>
      <c r="Q413" s="160" t="e">
        <f t="shared" ca="1" si="68"/>
        <v>#N/A</v>
      </c>
      <c r="R413" s="160" t="e">
        <f t="shared" ca="1" si="68"/>
        <v>#N/A</v>
      </c>
      <c r="S413" s="160" t="e">
        <f t="shared" ca="1" si="68"/>
        <v>#N/A</v>
      </c>
      <c r="T413" s="160" t="e">
        <f t="shared" ca="1" si="68"/>
        <v>#N/A</v>
      </c>
      <c r="U413" s="160" t="e">
        <f t="shared" ca="1" si="69"/>
        <v>#N/A</v>
      </c>
      <c r="V413" s="163" t="e">
        <f t="shared" ca="1" si="61"/>
        <v>#N/A</v>
      </c>
      <c r="W413" s="163" t="e">
        <f t="shared" ca="1" si="62"/>
        <v>#N/A</v>
      </c>
      <c r="X413" s="163" t="e">
        <f t="shared" ca="1" si="63"/>
        <v>#N/A</v>
      </c>
      <c r="Y413" s="163" t="e">
        <f t="shared" ca="1" si="64"/>
        <v>#N/A</v>
      </c>
    </row>
    <row r="414" spans="12:25" ht="14.4">
      <c r="L414" s="464"/>
      <c r="M414" s="129" t="e">
        <f t="shared" si="65"/>
        <v>#N/A</v>
      </c>
      <c r="N414" s="161">
        <f t="shared" si="70"/>
        <v>13</v>
      </c>
      <c r="O414" s="160" t="e">
        <f t="shared" ca="1" si="66"/>
        <v>#N/A</v>
      </c>
      <c r="P414" s="160" t="e">
        <f t="shared" ca="1" si="67"/>
        <v>#N/A</v>
      </c>
      <c r="Q414" s="160" t="e">
        <f t="shared" ca="1" si="68"/>
        <v>#N/A</v>
      </c>
      <c r="R414" s="160" t="e">
        <f t="shared" ca="1" si="68"/>
        <v>#N/A</v>
      </c>
      <c r="S414" s="160" t="e">
        <f t="shared" ca="1" si="68"/>
        <v>#N/A</v>
      </c>
      <c r="T414" s="160" t="e">
        <f t="shared" ca="1" si="68"/>
        <v>#N/A</v>
      </c>
      <c r="U414" s="160" t="e">
        <f t="shared" ca="1" si="69"/>
        <v>#N/A</v>
      </c>
      <c r="V414" s="163" t="e">
        <f t="shared" ca="1" si="61"/>
        <v>#N/A</v>
      </c>
      <c r="W414" s="163" t="e">
        <f t="shared" ca="1" si="62"/>
        <v>#N/A</v>
      </c>
      <c r="X414" s="163" t="e">
        <f t="shared" ca="1" si="63"/>
        <v>#N/A</v>
      </c>
      <c r="Y414" s="163" t="e">
        <f t="shared" ca="1" si="64"/>
        <v>#N/A</v>
      </c>
    </row>
    <row r="415" spans="12:25" ht="14.4">
      <c r="L415" s="464"/>
      <c r="M415" s="129" t="e">
        <f t="shared" si="65"/>
        <v>#N/A</v>
      </c>
      <c r="N415" s="161">
        <f t="shared" si="70"/>
        <v>13</v>
      </c>
      <c r="O415" s="160" t="e">
        <f t="shared" ca="1" si="66"/>
        <v>#N/A</v>
      </c>
      <c r="P415" s="160" t="e">
        <f t="shared" ca="1" si="67"/>
        <v>#N/A</v>
      </c>
      <c r="Q415" s="160" t="e">
        <f t="shared" ca="1" si="68"/>
        <v>#N/A</v>
      </c>
      <c r="R415" s="160" t="e">
        <f t="shared" ca="1" si="68"/>
        <v>#N/A</v>
      </c>
      <c r="S415" s="160" t="e">
        <f t="shared" ca="1" si="68"/>
        <v>#N/A</v>
      </c>
      <c r="T415" s="160" t="e">
        <f t="shared" ca="1" si="68"/>
        <v>#N/A</v>
      </c>
      <c r="U415" s="160" t="e">
        <f t="shared" ca="1" si="69"/>
        <v>#N/A</v>
      </c>
      <c r="V415" s="163" t="e">
        <f t="shared" ref="V415:V478" ca="1" si="71">IF(Q415=0,0,IF(S415=180,IF(R415=0,"Slab on Grade",IF(R415=1,"Exposed Floor",IF(R415=3,"Internal Floor",U415))),IF(S415&lt;45,IF(R415=3,"Internal Ceiling",IF(R415=1,"Roof",U415)))))</f>
        <v>#N/A</v>
      </c>
      <c r="W415" s="163" t="e">
        <f t="shared" ref="W415:W478" ca="1" si="72">IF(ISNUMBER(SEARCH($W$29,U415))=TRUE,IF(ISNUMBER(SEARCH($W$27,U415))=TRUE,IF(R415=1,"eFrame",IF(R415=3,"iFrame")),IF(R415=1,"eWindow",IF(R415=3,"iWindow"))),U415)</f>
        <v>#N/A</v>
      </c>
      <c r="X415" s="163" t="e">
        <f t="shared" ref="X415:X478" ca="1" si="73">IF(ISNUMBER(SEARCH($X$29,U415))=TRUE,IF(ISNUMBER(SEARCH($X$27,U415))=TRUE,IF(R415=1,"eFrameDoor",IF(R415=3,"iFrameDoor")),IF(R415=1,"eDoor",IF(R415=3,"iDoor"))),U415)</f>
        <v>#N/A</v>
      </c>
      <c r="Y415" s="163" t="e">
        <f t="shared" ref="Y415:Y478" ca="1" si="74">IF(ISNUMBER(SEARCH($W$29,U415))=TRUE,"Substract",IF(ISNUMBER(SEARCH($X$29,U415))=TRUE, "Sunstract",IF(S415=90,IF(R415=1,"External Wall",IF(R415=3,"Internal Wall",IF(R415=0,"Below Grade Wall",U415))),V415)))</f>
        <v>#N/A</v>
      </c>
    </row>
    <row r="416" spans="12:25" ht="14.4">
      <c r="L416" s="464"/>
      <c r="M416" s="129" t="e">
        <f t="shared" ref="M416:M479" si="75">IF(M415="end","end",IF(M415=$K$1,"end",M415+1))</f>
        <v>#N/A</v>
      </c>
      <c r="N416" s="161">
        <f t="shared" si="70"/>
        <v>13</v>
      </c>
      <c r="O416" s="160" t="e">
        <f t="shared" ca="1" si="66"/>
        <v>#N/A</v>
      </c>
      <c r="P416" s="160" t="e">
        <f t="shared" ca="1" si="67"/>
        <v>#N/A</v>
      </c>
      <c r="Q416" s="160" t="e">
        <f t="shared" ca="1" si="68"/>
        <v>#N/A</v>
      </c>
      <c r="R416" s="160" t="e">
        <f t="shared" ca="1" si="68"/>
        <v>#N/A</v>
      </c>
      <c r="S416" s="160" t="e">
        <f t="shared" ca="1" si="68"/>
        <v>#N/A</v>
      </c>
      <c r="T416" s="160" t="e">
        <f t="shared" ca="1" si="68"/>
        <v>#N/A</v>
      </c>
      <c r="U416" s="160" t="e">
        <f t="shared" ca="1" si="69"/>
        <v>#N/A</v>
      </c>
      <c r="V416" s="163" t="e">
        <f t="shared" ca="1" si="71"/>
        <v>#N/A</v>
      </c>
      <c r="W416" s="163" t="e">
        <f t="shared" ca="1" si="72"/>
        <v>#N/A</v>
      </c>
      <c r="X416" s="163" t="e">
        <f t="shared" ca="1" si="73"/>
        <v>#N/A</v>
      </c>
      <c r="Y416" s="163" t="e">
        <f t="shared" ca="1" si="74"/>
        <v>#N/A</v>
      </c>
    </row>
    <row r="417" spans="12:25" ht="14.4">
      <c r="L417" s="464"/>
      <c r="M417" s="129" t="e">
        <f t="shared" si="75"/>
        <v>#N/A</v>
      </c>
      <c r="N417" s="161">
        <f t="shared" si="70"/>
        <v>13</v>
      </c>
      <c r="O417" s="160" t="e">
        <f t="shared" ca="1" si="66"/>
        <v>#N/A</v>
      </c>
      <c r="P417" s="160" t="e">
        <f t="shared" ca="1" si="67"/>
        <v>#N/A</v>
      </c>
      <c r="Q417" s="160" t="e">
        <f t="shared" ca="1" si="68"/>
        <v>#N/A</v>
      </c>
      <c r="R417" s="160" t="e">
        <f t="shared" ca="1" si="68"/>
        <v>#N/A</v>
      </c>
      <c r="S417" s="160" t="e">
        <f t="shared" ca="1" si="68"/>
        <v>#N/A</v>
      </c>
      <c r="T417" s="160" t="e">
        <f t="shared" ca="1" si="68"/>
        <v>#N/A</v>
      </c>
      <c r="U417" s="160" t="e">
        <f t="shared" ca="1" si="69"/>
        <v>#N/A</v>
      </c>
      <c r="V417" s="163" t="e">
        <f t="shared" ca="1" si="71"/>
        <v>#N/A</v>
      </c>
      <c r="W417" s="163" t="e">
        <f t="shared" ca="1" si="72"/>
        <v>#N/A</v>
      </c>
      <c r="X417" s="163" t="e">
        <f t="shared" ca="1" si="73"/>
        <v>#N/A</v>
      </c>
      <c r="Y417" s="163" t="e">
        <f t="shared" ca="1" si="74"/>
        <v>#N/A</v>
      </c>
    </row>
    <row r="418" spans="12:25" ht="14.4">
      <c r="L418" s="464"/>
      <c r="M418" s="129" t="e">
        <f t="shared" si="75"/>
        <v>#N/A</v>
      </c>
      <c r="N418" s="161">
        <f t="shared" si="70"/>
        <v>13</v>
      </c>
      <c r="O418" s="160" t="e">
        <f t="shared" ca="1" si="66"/>
        <v>#N/A</v>
      </c>
      <c r="P418" s="160" t="e">
        <f t="shared" ca="1" si="67"/>
        <v>#N/A</v>
      </c>
      <c r="Q418" s="160" t="e">
        <f t="shared" ca="1" si="68"/>
        <v>#N/A</v>
      </c>
      <c r="R418" s="160" t="e">
        <f t="shared" ca="1" si="68"/>
        <v>#N/A</v>
      </c>
      <c r="S418" s="160" t="e">
        <f t="shared" ca="1" si="68"/>
        <v>#N/A</v>
      </c>
      <c r="T418" s="160" t="e">
        <f t="shared" ca="1" si="68"/>
        <v>#N/A</v>
      </c>
      <c r="U418" s="160" t="e">
        <f t="shared" ca="1" si="69"/>
        <v>#N/A</v>
      </c>
      <c r="V418" s="163" t="e">
        <f t="shared" ca="1" si="71"/>
        <v>#N/A</v>
      </c>
      <c r="W418" s="163" t="e">
        <f t="shared" ca="1" si="72"/>
        <v>#N/A</v>
      </c>
      <c r="X418" s="163" t="e">
        <f t="shared" ca="1" si="73"/>
        <v>#N/A</v>
      </c>
      <c r="Y418" s="163" t="e">
        <f t="shared" ca="1" si="74"/>
        <v>#N/A</v>
      </c>
    </row>
    <row r="419" spans="12:25" ht="14.4">
      <c r="L419" s="464"/>
      <c r="M419" s="129" t="e">
        <f t="shared" si="75"/>
        <v>#N/A</v>
      </c>
      <c r="N419" s="161">
        <f t="shared" si="70"/>
        <v>13</v>
      </c>
      <c r="O419" s="160" t="e">
        <f t="shared" ca="1" si="66"/>
        <v>#N/A</v>
      </c>
      <c r="P419" s="160" t="e">
        <f t="shared" ca="1" si="67"/>
        <v>#N/A</v>
      </c>
      <c r="Q419" s="160" t="e">
        <f t="shared" ca="1" si="68"/>
        <v>#N/A</v>
      </c>
      <c r="R419" s="160" t="e">
        <f t="shared" ca="1" si="68"/>
        <v>#N/A</v>
      </c>
      <c r="S419" s="160" t="e">
        <f t="shared" ca="1" si="68"/>
        <v>#N/A</v>
      </c>
      <c r="T419" s="160" t="e">
        <f t="shared" ca="1" si="68"/>
        <v>#N/A</v>
      </c>
      <c r="U419" s="160" t="e">
        <f t="shared" ca="1" si="69"/>
        <v>#N/A</v>
      </c>
      <c r="V419" s="163" t="e">
        <f t="shared" ca="1" si="71"/>
        <v>#N/A</v>
      </c>
      <c r="W419" s="163" t="e">
        <f t="shared" ca="1" si="72"/>
        <v>#N/A</v>
      </c>
      <c r="X419" s="163" t="e">
        <f t="shared" ca="1" si="73"/>
        <v>#N/A</v>
      </c>
      <c r="Y419" s="163" t="e">
        <f t="shared" ca="1" si="74"/>
        <v>#N/A</v>
      </c>
    </row>
    <row r="420" spans="12:25" ht="14.4">
      <c r="L420" s="464"/>
      <c r="M420" s="129" t="e">
        <f t="shared" si="75"/>
        <v>#N/A</v>
      </c>
      <c r="N420" s="161">
        <f t="shared" si="70"/>
        <v>13</v>
      </c>
      <c r="O420" s="160" t="e">
        <f t="shared" ca="1" si="66"/>
        <v>#N/A</v>
      </c>
      <c r="P420" s="160" t="e">
        <f t="shared" ca="1" si="67"/>
        <v>#N/A</v>
      </c>
      <c r="Q420" s="160" t="e">
        <f t="shared" ca="1" si="68"/>
        <v>#N/A</v>
      </c>
      <c r="R420" s="160" t="e">
        <f t="shared" ca="1" si="68"/>
        <v>#N/A</v>
      </c>
      <c r="S420" s="160" t="e">
        <f t="shared" ca="1" si="68"/>
        <v>#N/A</v>
      </c>
      <c r="T420" s="160" t="e">
        <f t="shared" ca="1" si="68"/>
        <v>#N/A</v>
      </c>
      <c r="U420" s="160" t="e">
        <f t="shared" ca="1" si="69"/>
        <v>#N/A</v>
      </c>
      <c r="V420" s="163" t="e">
        <f t="shared" ca="1" si="71"/>
        <v>#N/A</v>
      </c>
      <c r="W420" s="163" t="e">
        <f t="shared" ca="1" si="72"/>
        <v>#N/A</v>
      </c>
      <c r="X420" s="163" t="e">
        <f t="shared" ca="1" si="73"/>
        <v>#N/A</v>
      </c>
      <c r="Y420" s="163" t="e">
        <f t="shared" ca="1" si="74"/>
        <v>#N/A</v>
      </c>
    </row>
    <row r="421" spans="12:25" ht="14.4">
      <c r="L421" s="464"/>
      <c r="M421" s="129" t="e">
        <f t="shared" si="75"/>
        <v>#N/A</v>
      </c>
      <c r="N421" s="161">
        <f t="shared" si="70"/>
        <v>13</v>
      </c>
      <c r="O421" s="160" t="e">
        <f t="shared" ca="1" si="66"/>
        <v>#N/A</v>
      </c>
      <c r="P421" s="160" t="e">
        <f t="shared" ca="1" si="67"/>
        <v>#N/A</v>
      </c>
      <c r="Q421" s="160" t="e">
        <f t="shared" ca="1" si="68"/>
        <v>#N/A</v>
      </c>
      <c r="R421" s="160" t="e">
        <f t="shared" ca="1" si="68"/>
        <v>#N/A</v>
      </c>
      <c r="S421" s="160" t="e">
        <f t="shared" ca="1" si="68"/>
        <v>#N/A</v>
      </c>
      <c r="T421" s="160" t="e">
        <f t="shared" ca="1" si="68"/>
        <v>#N/A</v>
      </c>
      <c r="U421" s="160" t="e">
        <f t="shared" ca="1" si="69"/>
        <v>#N/A</v>
      </c>
      <c r="V421" s="163" t="e">
        <f t="shared" ca="1" si="71"/>
        <v>#N/A</v>
      </c>
      <c r="W421" s="163" t="e">
        <f t="shared" ca="1" si="72"/>
        <v>#N/A</v>
      </c>
      <c r="X421" s="163" t="e">
        <f t="shared" ca="1" si="73"/>
        <v>#N/A</v>
      </c>
      <c r="Y421" s="163" t="e">
        <f t="shared" ca="1" si="74"/>
        <v>#N/A</v>
      </c>
    </row>
    <row r="422" spans="12:25" ht="14.4">
      <c r="L422" s="464"/>
      <c r="M422" s="129" t="e">
        <f t="shared" si="75"/>
        <v>#N/A</v>
      </c>
      <c r="N422" s="161">
        <f t="shared" si="70"/>
        <v>13</v>
      </c>
      <c r="O422" s="160" t="e">
        <f t="shared" ca="1" si="66"/>
        <v>#N/A</v>
      </c>
      <c r="P422" s="160" t="e">
        <f t="shared" ca="1" si="67"/>
        <v>#N/A</v>
      </c>
      <c r="Q422" s="160" t="e">
        <f t="shared" ca="1" si="68"/>
        <v>#N/A</v>
      </c>
      <c r="R422" s="160" t="e">
        <f t="shared" ca="1" si="68"/>
        <v>#N/A</v>
      </c>
      <c r="S422" s="160" t="e">
        <f t="shared" ca="1" si="68"/>
        <v>#N/A</v>
      </c>
      <c r="T422" s="160" t="e">
        <f t="shared" ca="1" si="68"/>
        <v>#N/A</v>
      </c>
      <c r="U422" s="160" t="e">
        <f t="shared" ca="1" si="69"/>
        <v>#N/A</v>
      </c>
      <c r="V422" s="163" t="e">
        <f t="shared" ca="1" si="71"/>
        <v>#N/A</v>
      </c>
      <c r="W422" s="163" t="e">
        <f t="shared" ca="1" si="72"/>
        <v>#N/A</v>
      </c>
      <c r="X422" s="163" t="e">
        <f t="shared" ca="1" si="73"/>
        <v>#N/A</v>
      </c>
      <c r="Y422" s="163" t="e">
        <f t="shared" ca="1" si="74"/>
        <v>#N/A</v>
      </c>
    </row>
    <row r="423" spans="12:25" ht="14.4">
      <c r="L423" s="464"/>
      <c r="M423" s="129" t="e">
        <f t="shared" si="75"/>
        <v>#N/A</v>
      </c>
      <c r="N423" s="161">
        <f t="shared" si="70"/>
        <v>13</v>
      </c>
      <c r="O423" s="160" t="e">
        <f t="shared" ca="1" si="66"/>
        <v>#N/A</v>
      </c>
      <c r="P423" s="160" t="e">
        <f t="shared" ca="1" si="67"/>
        <v>#N/A</v>
      </c>
      <c r="Q423" s="160" t="e">
        <f t="shared" ca="1" si="68"/>
        <v>#N/A</v>
      </c>
      <c r="R423" s="160" t="e">
        <f t="shared" ca="1" si="68"/>
        <v>#N/A</v>
      </c>
      <c r="S423" s="160" t="e">
        <f t="shared" ca="1" si="68"/>
        <v>#N/A</v>
      </c>
      <c r="T423" s="160" t="e">
        <f t="shared" ca="1" si="68"/>
        <v>#N/A</v>
      </c>
      <c r="U423" s="160" t="e">
        <f t="shared" ca="1" si="69"/>
        <v>#N/A</v>
      </c>
      <c r="V423" s="163" t="e">
        <f t="shared" ca="1" si="71"/>
        <v>#N/A</v>
      </c>
      <c r="W423" s="163" t="e">
        <f t="shared" ca="1" si="72"/>
        <v>#N/A</v>
      </c>
      <c r="X423" s="163" t="e">
        <f t="shared" ca="1" si="73"/>
        <v>#N/A</v>
      </c>
      <c r="Y423" s="163" t="e">
        <f t="shared" ca="1" si="74"/>
        <v>#N/A</v>
      </c>
    </row>
    <row r="424" spans="12:25" ht="14.4">
      <c r="L424" s="464"/>
      <c r="M424" s="129" t="e">
        <f t="shared" si="75"/>
        <v>#N/A</v>
      </c>
      <c r="N424" s="161">
        <f t="shared" si="70"/>
        <v>13</v>
      </c>
      <c r="O424" s="160" t="e">
        <f t="shared" ca="1" si="66"/>
        <v>#N/A</v>
      </c>
      <c r="P424" s="160" t="e">
        <f t="shared" ca="1" si="67"/>
        <v>#N/A</v>
      </c>
      <c r="Q424" s="160" t="e">
        <f t="shared" ca="1" si="68"/>
        <v>#N/A</v>
      </c>
      <c r="R424" s="160" t="e">
        <f t="shared" ca="1" si="68"/>
        <v>#N/A</v>
      </c>
      <c r="S424" s="160" t="e">
        <f t="shared" ca="1" si="68"/>
        <v>#N/A</v>
      </c>
      <c r="T424" s="160" t="e">
        <f t="shared" ca="1" si="68"/>
        <v>#N/A</v>
      </c>
      <c r="U424" s="160" t="e">
        <f t="shared" ca="1" si="69"/>
        <v>#N/A</v>
      </c>
      <c r="V424" s="163" t="e">
        <f t="shared" ca="1" si="71"/>
        <v>#N/A</v>
      </c>
      <c r="W424" s="163" t="e">
        <f t="shared" ca="1" si="72"/>
        <v>#N/A</v>
      </c>
      <c r="X424" s="163" t="e">
        <f t="shared" ca="1" si="73"/>
        <v>#N/A</v>
      </c>
      <c r="Y424" s="163" t="e">
        <f t="shared" ca="1" si="74"/>
        <v>#N/A</v>
      </c>
    </row>
    <row r="425" spans="12:25" ht="14.4">
      <c r="L425" s="464"/>
      <c r="M425" s="129" t="e">
        <f t="shared" si="75"/>
        <v>#N/A</v>
      </c>
      <c r="N425" s="161">
        <f t="shared" si="70"/>
        <v>13</v>
      </c>
      <c r="O425" s="160" t="e">
        <f t="shared" ref="O425:O488" ca="1" si="76">IF($M425="end",0,OFFSET($A$1,$M425-1,O$29,1,1))</f>
        <v>#N/A</v>
      </c>
      <c r="P425" s="160" t="e">
        <f t="shared" ca="1" si="67"/>
        <v>#N/A</v>
      </c>
      <c r="Q425" s="160" t="e">
        <f t="shared" ca="1" si="68"/>
        <v>#N/A</v>
      </c>
      <c r="R425" s="160" t="e">
        <f t="shared" ca="1" si="68"/>
        <v>#N/A</v>
      </c>
      <c r="S425" s="160" t="e">
        <f t="shared" ca="1" si="68"/>
        <v>#N/A</v>
      </c>
      <c r="T425" s="160" t="e">
        <f t="shared" ca="1" si="68"/>
        <v>#N/A</v>
      </c>
      <c r="U425" s="160" t="e">
        <f t="shared" ca="1" si="69"/>
        <v>#N/A</v>
      </c>
      <c r="V425" s="163" t="e">
        <f t="shared" ca="1" si="71"/>
        <v>#N/A</v>
      </c>
      <c r="W425" s="163" t="e">
        <f t="shared" ca="1" si="72"/>
        <v>#N/A</v>
      </c>
      <c r="X425" s="163" t="e">
        <f t="shared" ca="1" si="73"/>
        <v>#N/A</v>
      </c>
      <c r="Y425" s="163" t="e">
        <f t="shared" ca="1" si="74"/>
        <v>#N/A</v>
      </c>
    </row>
    <row r="426" spans="12:25" ht="14.4">
      <c r="L426" s="464"/>
      <c r="M426" s="129" t="e">
        <f t="shared" si="75"/>
        <v>#N/A</v>
      </c>
      <c r="N426" s="161">
        <f t="shared" si="70"/>
        <v>13</v>
      </c>
      <c r="O426" s="160" t="e">
        <f t="shared" ca="1" si="76"/>
        <v>#N/A</v>
      </c>
      <c r="P426" s="160" t="e">
        <f t="shared" ca="1" si="67"/>
        <v>#N/A</v>
      </c>
      <c r="Q426" s="160" t="e">
        <f t="shared" ca="1" si="68"/>
        <v>#N/A</v>
      </c>
      <c r="R426" s="160" t="e">
        <f t="shared" ca="1" si="68"/>
        <v>#N/A</v>
      </c>
      <c r="S426" s="160" t="e">
        <f t="shared" ca="1" si="68"/>
        <v>#N/A</v>
      </c>
      <c r="T426" s="160" t="e">
        <f t="shared" ca="1" si="68"/>
        <v>#N/A</v>
      </c>
      <c r="U426" s="160" t="e">
        <f t="shared" ca="1" si="69"/>
        <v>#N/A</v>
      </c>
      <c r="V426" s="163" t="e">
        <f t="shared" ca="1" si="71"/>
        <v>#N/A</v>
      </c>
      <c r="W426" s="163" t="e">
        <f t="shared" ca="1" si="72"/>
        <v>#N/A</v>
      </c>
      <c r="X426" s="163" t="e">
        <f t="shared" ca="1" si="73"/>
        <v>#N/A</v>
      </c>
      <c r="Y426" s="163" t="e">
        <f t="shared" ca="1" si="74"/>
        <v>#N/A</v>
      </c>
    </row>
    <row r="427" spans="12:25" ht="14.4">
      <c r="L427" s="464"/>
      <c r="M427" s="129" t="e">
        <f t="shared" si="75"/>
        <v>#N/A</v>
      </c>
      <c r="N427" s="161">
        <f t="shared" si="70"/>
        <v>13</v>
      </c>
      <c r="O427" s="160" t="e">
        <f t="shared" ca="1" si="76"/>
        <v>#N/A</v>
      </c>
      <c r="P427" s="160" t="e">
        <f t="shared" ca="1" si="67"/>
        <v>#N/A</v>
      </c>
      <c r="Q427" s="160" t="e">
        <f t="shared" ca="1" si="68"/>
        <v>#N/A</v>
      </c>
      <c r="R427" s="160" t="e">
        <f t="shared" ca="1" si="68"/>
        <v>#N/A</v>
      </c>
      <c r="S427" s="160" t="e">
        <f t="shared" ca="1" si="68"/>
        <v>#N/A</v>
      </c>
      <c r="T427" s="160" t="e">
        <f t="shared" ca="1" si="68"/>
        <v>#N/A</v>
      </c>
      <c r="U427" s="160" t="e">
        <f t="shared" ca="1" si="69"/>
        <v>#N/A</v>
      </c>
      <c r="V427" s="163" t="e">
        <f t="shared" ca="1" si="71"/>
        <v>#N/A</v>
      </c>
      <c r="W427" s="163" t="e">
        <f t="shared" ca="1" si="72"/>
        <v>#N/A</v>
      </c>
      <c r="X427" s="163" t="e">
        <f t="shared" ca="1" si="73"/>
        <v>#N/A</v>
      </c>
      <c r="Y427" s="163" t="e">
        <f t="shared" ca="1" si="74"/>
        <v>#N/A</v>
      </c>
    </row>
    <row r="428" spans="12:25" ht="14.4">
      <c r="L428" s="464"/>
      <c r="M428" s="129" t="e">
        <f t="shared" si="75"/>
        <v>#N/A</v>
      </c>
      <c r="N428" s="161">
        <f t="shared" si="70"/>
        <v>13</v>
      </c>
      <c r="O428" s="160" t="e">
        <f t="shared" ca="1" si="76"/>
        <v>#N/A</v>
      </c>
      <c r="P428" s="160" t="e">
        <f t="shared" ca="1" si="67"/>
        <v>#N/A</v>
      </c>
      <c r="Q428" s="160" t="e">
        <f t="shared" ca="1" si="68"/>
        <v>#N/A</v>
      </c>
      <c r="R428" s="160" t="e">
        <f t="shared" ca="1" si="68"/>
        <v>#N/A</v>
      </c>
      <c r="S428" s="160" t="e">
        <f t="shared" ca="1" si="68"/>
        <v>#N/A</v>
      </c>
      <c r="T428" s="160" t="e">
        <f t="shared" ca="1" si="68"/>
        <v>#N/A</v>
      </c>
      <c r="U428" s="160" t="e">
        <f t="shared" ca="1" si="69"/>
        <v>#N/A</v>
      </c>
      <c r="V428" s="163" t="e">
        <f t="shared" ca="1" si="71"/>
        <v>#N/A</v>
      </c>
      <c r="W428" s="163" t="e">
        <f t="shared" ca="1" si="72"/>
        <v>#N/A</v>
      </c>
      <c r="X428" s="163" t="e">
        <f t="shared" ca="1" si="73"/>
        <v>#N/A</v>
      </c>
      <c r="Y428" s="163" t="e">
        <f t="shared" ca="1" si="74"/>
        <v>#N/A</v>
      </c>
    </row>
    <row r="429" spans="12:25" ht="14.4">
      <c r="L429" s="464"/>
      <c r="M429" s="129" t="e">
        <f t="shared" si="75"/>
        <v>#N/A</v>
      </c>
      <c r="N429" s="161">
        <f t="shared" si="70"/>
        <v>13</v>
      </c>
      <c r="O429" s="160" t="e">
        <f t="shared" ca="1" si="76"/>
        <v>#N/A</v>
      </c>
      <c r="P429" s="160" t="e">
        <f t="shared" ca="1" si="67"/>
        <v>#N/A</v>
      </c>
      <c r="Q429" s="160" t="e">
        <f t="shared" ca="1" si="68"/>
        <v>#N/A</v>
      </c>
      <c r="R429" s="160" t="e">
        <f t="shared" ca="1" si="68"/>
        <v>#N/A</v>
      </c>
      <c r="S429" s="160" t="e">
        <f t="shared" ca="1" si="68"/>
        <v>#N/A</v>
      </c>
      <c r="T429" s="160" t="e">
        <f t="shared" ca="1" si="68"/>
        <v>#N/A</v>
      </c>
      <c r="U429" s="160" t="e">
        <f t="shared" ca="1" si="69"/>
        <v>#N/A</v>
      </c>
      <c r="V429" s="163" t="e">
        <f t="shared" ca="1" si="71"/>
        <v>#N/A</v>
      </c>
      <c r="W429" s="163" t="e">
        <f t="shared" ca="1" si="72"/>
        <v>#N/A</v>
      </c>
      <c r="X429" s="163" t="e">
        <f t="shared" ca="1" si="73"/>
        <v>#N/A</v>
      </c>
      <c r="Y429" s="163" t="e">
        <f t="shared" ca="1" si="74"/>
        <v>#N/A</v>
      </c>
    </row>
    <row r="430" spans="12:25" ht="14.4">
      <c r="L430" s="464"/>
      <c r="M430" s="129" t="e">
        <f t="shared" si="75"/>
        <v>#N/A</v>
      </c>
      <c r="N430" s="161">
        <f t="shared" si="70"/>
        <v>13</v>
      </c>
      <c r="O430" s="160" t="e">
        <f t="shared" ca="1" si="76"/>
        <v>#N/A</v>
      </c>
      <c r="P430" s="160" t="e">
        <f t="shared" ca="1" si="67"/>
        <v>#N/A</v>
      </c>
      <c r="Q430" s="160" t="e">
        <f t="shared" ca="1" si="68"/>
        <v>#N/A</v>
      </c>
      <c r="R430" s="160" t="e">
        <f t="shared" ca="1" si="68"/>
        <v>#N/A</v>
      </c>
      <c r="S430" s="160" t="e">
        <f t="shared" ca="1" si="68"/>
        <v>#N/A</v>
      </c>
      <c r="T430" s="160" t="e">
        <f t="shared" ca="1" si="68"/>
        <v>#N/A</v>
      </c>
      <c r="U430" s="160" t="e">
        <f t="shared" ca="1" si="69"/>
        <v>#N/A</v>
      </c>
      <c r="V430" s="163" t="e">
        <f t="shared" ca="1" si="71"/>
        <v>#N/A</v>
      </c>
      <c r="W430" s="163" t="e">
        <f t="shared" ca="1" si="72"/>
        <v>#N/A</v>
      </c>
      <c r="X430" s="163" t="e">
        <f t="shared" ca="1" si="73"/>
        <v>#N/A</v>
      </c>
      <c r="Y430" s="163" t="e">
        <f t="shared" ca="1" si="74"/>
        <v>#N/A</v>
      </c>
    </row>
    <row r="431" spans="12:25" ht="14.4">
      <c r="L431" s="464"/>
      <c r="M431" s="129" t="e">
        <f t="shared" si="75"/>
        <v>#N/A</v>
      </c>
      <c r="N431" s="161">
        <f t="shared" si="70"/>
        <v>13</v>
      </c>
      <c r="O431" s="160" t="e">
        <f t="shared" ca="1" si="76"/>
        <v>#N/A</v>
      </c>
      <c r="P431" s="160" t="e">
        <f t="shared" ca="1" si="67"/>
        <v>#N/A</v>
      </c>
      <c r="Q431" s="160" t="e">
        <f t="shared" ca="1" si="68"/>
        <v>#N/A</v>
      </c>
      <c r="R431" s="160" t="e">
        <f t="shared" ca="1" si="68"/>
        <v>#N/A</v>
      </c>
      <c r="S431" s="160" t="e">
        <f t="shared" ca="1" si="68"/>
        <v>#N/A</v>
      </c>
      <c r="T431" s="160" t="e">
        <f t="shared" ca="1" si="68"/>
        <v>#N/A</v>
      </c>
      <c r="U431" s="160" t="e">
        <f t="shared" ca="1" si="69"/>
        <v>#N/A</v>
      </c>
      <c r="V431" s="163" t="e">
        <f t="shared" ca="1" si="71"/>
        <v>#N/A</v>
      </c>
      <c r="W431" s="163" t="e">
        <f t="shared" ca="1" si="72"/>
        <v>#N/A</v>
      </c>
      <c r="X431" s="163" t="e">
        <f t="shared" ca="1" si="73"/>
        <v>#N/A</v>
      </c>
      <c r="Y431" s="163" t="e">
        <f t="shared" ca="1" si="74"/>
        <v>#N/A</v>
      </c>
    </row>
    <row r="432" spans="12:25" ht="14.4">
      <c r="L432" s="464"/>
      <c r="M432" s="129" t="e">
        <f t="shared" si="75"/>
        <v>#N/A</v>
      </c>
      <c r="N432" s="161">
        <f t="shared" si="70"/>
        <v>13</v>
      </c>
      <c r="O432" s="160" t="e">
        <f t="shared" ca="1" si="76"/>
        <v>#N/A</v>
      </c>
      <c r="P432" s="160" t="e">
        <f t="shared" ca="1" si="67"/>
        <v>#N/A</v>
      </c>
      <c r="Q432" s="160" t="e">
        <f t="shared" ca="1" si="68"/>
        <v>#N/A</v>
      </c>
      <c r="R432" s="160" t="e">
        <f t="shared" ca="1" si="68"/>
        <v>#N/A</v>
      </c>
      <c r="S432" s="160" t="e">
        <f t="shared" ca="1" si="68"/>
        <v>#N/A</v>
      </c>
      <c r="T432" s="160" t="e">
        <f t="shared" ca="1" si="68"/>
        <v>#N/A</v>
      </c>
      <c r="U432" s="160" t="e">
        <f t="shared" ca="1" si="69"/>
        <v>#N/A</v>
      </c>
      <c r="V432" s="163" t="e">
        <f t="shared" ca="1" si="71"/>
        <v>#N/A</v>
      </c>
      <c r="W432" s="163" t="e">
        <f t="shared" ca="1" si="72"/>
        <v>#N/A</v>
      </c>
      <c r="X432" s="163" t="e">
        <f t="shared" ca="1" si="73"/>
        <v>#N/A</v>
      </c>
      <c r="Y432" s="163" t="e">
        <f t="shared" ca="1" si="74"/>
        <v>#N/A</v>
      </c>
    </row>
    <row r="433" spans="12:25" ht="14.4">
      <c r="L433" s="464"/>
      <c r="M433" s="129" t="e">
        <f t="shared" si="75"/>
        <v>#N/A</v>
      </c>
      <c r="N433" s="161">
        <f t="shared" si="70"/>
        <v>13</v>
      </c>
      <c r="O433" s="160" t="e">
        <f t="shared" ca="1" si="76"/>
        <v>#N/A</v>
      </c>
      <c r="P433" s="160" t="e">
        <f t="shared" ca="1" si="67"/>
        <v>#N/A</v>
      </c>
      <c r="Q433" s="160" t="e">
        <f t="shared" ca="1" si="68"/>
        <v>#N/A</v>
      </c>
      <c r="R433" s="160" t="e">
        <f t="shared" ca="1" si="68"/>
        <v>#N/A</v>
      </c>
      <c r="S433" s="160" t="e">
        <f t="shared" ca="1" si="68"/>
        <v>#N/A</v>
      </c>
      <c r="T433" s="160" t="e">
        <f t="shared" ref="T433:U496" ca="1" si="77">IF($M433="end",0,OFFSET($A$1,$M433-1,T$29,1,1))</f>
        <v>#N/A</v>
      </c>
      <c r="U433" s="160" t="e">
        <f t="shared" ca="1" si="69"/>
        <v>#N/A</v>
      </c>
      <c r="V433" s="163" t="e">
        <f t="shared" ca="1" si="71"/>
        <v>#N/A</v>
      </c>
      <c r="W433" s="163" t="e">
        <f t="shared" ca="1" si="72"/>
        <v>#N/A</v>
      </c>
      <c r="X433" s="163" t="e">
        <f t="shared" ca="1" si="73"/>
        <v>#N/A</v>
      </c>
      <c r="Y433" s="163" t="e">
        <f t="shared" ca="1" si="74"/>
        <v>#N/A</v>
      </c>
    </row>
    <row r="434" spans="12:25" ht="14.4">
      <c r="L434" s="464"/>
      <c r="M434" s="129" t="e">
        <f t="shared" si="75"/>
        <v>#N/A</v>
      </c>
      <c r="N434" s="161">
        <f t="shared" si="70"/>
        <v>13</v>
      </c>
      <c r="O434" s="160" t="e">
        <f t="shared" ca="1" si="76"/>
        <v>#N/A</v>
      </c>
      <c r="P434" s="160" t="e">
        <f t="shared" ref="P434:P497" ca="1" si="78">IF($M434="end",0,OFFSET($A$1,$M434-1,P$29,1,1))</f>
        <v>#N/A</v>
      </c>
      <c r="Q434" s="160" t="e">
        <f t="shared" ref="Q434:U497" ca="1" si="79">IF($M434="end",0,OFFSET($A$1,$M434-1,Q$29,1,1))</f>
        <v>#N/A</v>
      </c>
      <c r="R434" s="160" t="e">
        <f t="shared" ca="1" si="79"/>
        <v>#N/A</v>
      </c>
      <c r="S434" s="160" t="e">
        <f t="shared" ca="1" si="79"/>
        <v>#N/A</v>
      </c>
      <c r="T434" s="160" t="e">
        <f t="shared" ca="1" si="77"/>
        <v>#N/A</v>
      </c>
      <c r="U434" s="160" t="e">
        <f t="shared" ca="1" si="77"/>
        <v>#N/A</v>
      </c>
      <c r="V434" s="163" t="e">
        <f t="shared" ca="1" si="71"/>
        <v>#N/A</v>
      </c>
      <c r="W434" s="163" t="e">
        <f t="shared" ca="1" si="72"/>
        <v>#N/A</v>
      </c>
      <c r="X434" s="163" t="e">
        <f t="shared" ca="1" si="73"/>
        <v>#N/A</v>
      </c>
      <c r="Y434" s="163" t="e">
        <f t="shared" ca="1" si="74"/>
        <v>#N/A</v>
      </c>
    </row>
    <row r="435" spans="12:25" ht="14.4">
      <c r="L435" s="464"/>
      <c r="M435" s="129" t="e">
        <f t="shared" si="75"/>
        <v>#N/A</v>
      </c>
      <c r="N435" s="161">
        <f t="shared" si="70"/>
        <v>13</v>
      </c>
      <c r="O435" s="160" t="e">
        <f t="shared" ca="1" si="76"/>
        <v>#N/A</v>
      </c>
      <c r="P435" s="160" t="e">
        <f t="shared" ca="1" si="78"/>
        <v>#N/A</v>
      </c>
      <c r="Q435" s="160" t="e">
        <f t="shared" ca="1" si="79"/>
        <v>#N/A</v>
      </c>
      <c r="R435" s="160" t="e">
        <f t="shared" ca="1" si="79"/>
        <v>#N/A</v>
      </c>
      <c r="S435" s="160" t="e">
        <f t="shared" ca="1" si="79"/>
        <v>#N/A</v>
      </c>
      <c r="T435" s="160" t="e">
        <f t="shared" ca="1" si="77"/>
        <v>#N/A</v>
      </c>
      <c r="U435" s="160" t="e">
        <f t="shared" ca="1" si="77"/>
        <v>#N/A</v>
      </c>
      <c r="V435" s="163" t="e">
        <f t="shared" ca="1" si="71"/>
        <v>#N/A</v>
      </c>
      <c r="W435" s="163" t="e">
        <f t="shared" ca="1" si="72"/>
        <v>#N/A</v>
      </c>
      <c r="X435" s="163" t="e">
        <f t="shared" ca="1" si="73"/>
        <v>#N/A</v>
      </c>
      <c r="Y435" s="163" t="e">
        <f t="shared" ca="1" si="74"/>
        <v>#N/A</v>
      </c>
    </row>
    <row r="436" spans="12:25" ht="14.4">
      <c r="L436" s="464"/>
      <c r="M436" s="129" t="e">
        <f t="shared" si="75"/>
        <v>#N/A</v>
      </c>
      <c r="N436" s="161">
        <f t="shared" si="70"/>
        <v>13</v>
      </c>
      <c r="O436" s="160" t="e">
        <f t="shared" ca="1" si="76"/>
        <v>#N/A</v>
      </c>
      <c r="P436" s="160" t="e">
        <f t="shared" ca="1" si="78"/>
        <v>#N/A</v>
      </c>
      <c r="Q436" s="160" t="e">
        <f t="shared" ca="1" si="79"/>
        <v>#N/A</v>
      </c>
      <c r="R436" s="160" t="e">
        <f t="shared" ca="1" si="79"/>
        <v>#N/A</v>
      </c>
      <c r="S436" s="160" t="e">
        <f t="shared" ca="1" si="79"/>
        <v>#N/A</v>
      </c>
      <c r="T436" s="160" t="e">
        <f t="shared" ca="1" si="77"/>
        <v>#N/A</v>
      </c>
      <c r="U436" s="160" t="e">
        <f t="shared" ca="1" si="77"/>
        <v>#N/A</v>
      </c>
      <c r="V436" s="163" t="e">
        <f t="shared" ca="1" si="71"/>
        <v>#N/A</v>
      </c>
      <c r="W436" s="163" t="e">
        <f t="shared" ca="1" si="72"/>
        <v>#N/A</v>
      </c>
      <c r="X436" s="163" t="e">
        <f t="shared" ca="1" si="73"/>
        <v>#N/A</v>
      </c>
      <c r="Y436" s="163" t="e">
        <f t="shared" ca="1" si="74"/>
        <v>#N/A</v>
      </c>
    </row>
    <row r="437" spans="12:25" ht="14.4">
      <c r="L437" s="464"/>
      <c r="M437" s="129" t="e">
        <f t="shared" si="75"/>
        <v>#N/A</v>
      </c>
      <c r="N437" s="161">
        <f t="shared" si="70"/>
        <v>13</v>
      </c>
      <c r="O437" s="160" t="e">
        <f t="shared" ca="1" si="76"/>
        <v>#N/A</v>
      </c>
      <c r="P437" s="160" t="e">
        <f t="shared" ca="1" si="78"/>
        <v>#N/A</v>
      </c>
      <c r="Q437" s="160" t="e">
        <f t="shared" ca="1" si="79"/>
        <v>#N/A</v>
      </c>
      <c r="R437" s="160" t="e">
        <f t="shared" ca="1" si="79"/>
        <v>#N/A</v>
      </c>
      <c r="S437" s="160" t="e">
        <f t="shared" ca="1" si="79"/>
        <v>#N/A</v>
      </c>
      <c r="T437" s="160" t="e">
        <f t="shared" ca="1" si="77"/>
        <v>#N/A</v>
      </c>
      <c r="U437" s="160" t="e">
        <f t="shared" ca="1" si="77"/>
        <v>#N/A</v>
      </c>
      <c r="V437" s="163" t="e">
        <f t="shared" ca="1" si="71"/>
        <v>#N/A</v>
      </c>
      <c r="W437" s="163" t="e">
        <f t="shared" ca="1" si="72"/>
        <v>#N/A</v>
      </c>
      <c r="X437" s="163" t="e">
        <f t="shared" ca="1" si="73"/>
        <v>#N/A</v>
      </c>
      <c r="Y437" s="163" t="e">
        <f t="shared" ca="1" si="74"/>
        <v>#N/A</v>
      </c>
    </row>
    <row r="438" spans="12:25" ht="14.4">
      <c r="L438" s="464"/>
      <c r="M438" s="129" t="e">
        <f t="shared" si="75"/>
        <v>#N/A</v>
      </c>
      <c r="N438" s="161">
        <f t="shared" si="70"/>
        <v>13</v>
      </c>
      <c r="O438" s="160" t="e">
        <f t="shared" ca="1" si="76"/>
        <v>#N/A</v>
      </c>
      <c r="P438" s="160" t="e">
        <f t="shared" ca="1" si="78"/>
        <v>#N/A</v>
      </c>
      <c r="Q438" s="160" t="e">
        <f t="shared" ca="1" si="79"/>
        <v>#N/A</v>
      </c>
      <c r="R438" s="160" t="e">
        <f t="shared" ca="1" si="79"/>
        <v>#N/A</v>
      </c>
      <c r="S438" s="160" t="e">
        <f t="shared" ca="1" si="79"/>
        <v>#N/A</v>
      </c>
      <c r="T438" s="160" t="e">
        <f t="shared" ca="1" si="77"/>
        <v>#N/A</v>
      </c>
      <c r="U438" s="160" t="e">
        <f t="shared" ca="1" si="77"/>
        <v>#N/A</v>
      </c>
      <c r="V438" s="163" t="e">
        <f t="shared" ca="1" si="71"/>
        <v>#N/A</v>
      </c>
      <c r="W438" s="163" t="e">
        <f t="shared" ca="1" si="72"/>
        <v>#N/A</v>
      </c>
      <c r="X438" s="163" t="e">
        <f t="shared" ca="1" si="73"/>
        <v>#N/A</v>
      </c>
      <c r="Y438" s="163" t="e">
        <f t="shared" ca="1" si="74"/>
        <v>#N/A</v>
      </c>
    </row>
    <row r="439" spans="12:25" ht="14.4">
      <c r="L439" s="464"/>
      <c r="M439" s="129" t="e">
        <f t="shared" si="75"/>
        <v>#N/A</v>
      </c>
      <c r="N439" s="161">
        <f t="shared" si="70"/>
        <v>13</v>
      </c>
      <c r="O439" s="160" t="e">
        <f t="shared" ca="1" si="76"/>
        <v>#N/A</v>
      </c>
      <c r="P439" s="160" t="e">
        <f t="shared" ca="1" si="78"/>
        <v>#N/A</v>
      </c>
      <c r="Q439" s="160" t="e">
        <f t="shared" ca="1" si="79"/>
        <v>#N/A</v>
      </c>
      <c r="R439" s="160" t="e">
        <f t="shared" ca="1" si="79"/>
        <v>#N/A</v>
      </c>
      <c r="S439" s="160" t="e">
        <f t="shared" ca="1" si="79"/>
        <v>#N/A</v>
      </c>
      <c r="T439" s="160" t="e">
        <f t="shared" ca="1" si="77"/>
        <v>#N/A</v>
      </c>
      <c r="U439" s="160" t="e">
        <f t="shared" ca="1" si="77"/>
        <v>#N/A</v>
      </c>
      <c r="V439" s="163" t="e">
        <f t="shared" ca="1" si="71"/>
        <v>#N/A</v>
      </c>
      <c r="W439" s="163" t="e">
        <f t="shared" ca="1" si="72"/>
        <v>#N/A</v>
      </c>
      <c r="X439" s="163" t="e">
        <f t="shared" ca="1" si="73"/>
        <v>#N/A</v>
      </c>
      <c r="Y439" s="163" t="e">
        <f t="shared" ca="1" si="74"/>
        <v>#N/A</v>
      </c>
    </row>
    <row r="440" spans="12:25" ht="14.4">
      <c r="L440" s="464"/>
      <c r="M440" s="129" t="e">
        <f t="shared" si="75"/>
        <v>#N/A</v>
      </c>
      <c r="N440" s="161">
        <f t="shared" si="70"/>
        <v>13</v>
      </c>
      <c r="O440" s="160" t="e">
        <f t="shared" ca="1" si="76"/>
        <v>#N/A</v>
      </c>
      <c r="P440" s="160" t="e">
        <f t="shared" ca="1" si="78"/>
        <v>#N/A</v>
      </c>
      <c r="Q440" s="160" t="e">
        <f t="shared" ca="1" si="79"/>
        <v>#N/A</v>
      </c>
      <c r="R440" s="160" t="e">
        <f t="shared" ca="1" si="79"/>
        <v>#N/A</v>
      </c>
      <c r="S440" s="160" t="e">
        <f t="shared" ca="1" si="79"/>
        <v>#N/A</v>
      </c>
      <c r="T440" s="160" t="e">
        <f t="shared" ca="1" si="77"/>
        <v>#N/A</v>
      </c>
      <c r="U440" s="160" t="e">
        <f t="shared" ca="1" si="77"/>
        <v>#N/A</v>
      </c>
      <c r="V440" s="163" t="e">
        <f t="shared" ca="1" si="71"/>
        <v>#N/A</v>
      </c>
      <c r="W440" s="163" t="e">
        <f t="shared" ca="1" si="72"/>
        <v>#N/A</v>
      </c>
      <c r="X440" s="163" t="e">
        <f t="shared" ca="1" si="73"/>
        <v>#N/A</v>
      </c>
      <c r="Y440" s="163" t="e">
        <f t="shared" ca="1" si="74"/>
        <v>#N/A</v>
      </c>
    </row>
    <row r="441" spans="12:25" ht="14.4">
      <c r="L441" s="464"/>
      <c r="M441" s="129" t="e">
        <f t="shared" si="75"/>
        <v>#N/A</v>
      </c>
      <c r="N441" s="161">
        <f t="shared" si="70"/>
        <v>13</v>
      </c>
      <c r="O441" s="160" t="e">
        <f t="shared" ca="1" si="76"/>
        <v>#N/A</v>
      </c>
      <c r="P441" s="160" t="e">
        <f t="shared" ca="1" si="78"/>
        <v>#N/A</v>
      </c>
      <c r="Q441" s="160" t="e">
        <f t="shared" ca="1" si="79"/>
        <v>#N/A</v>
      </c>
      <c r="R441" s="160" t="e">
        <f t="shared" ca="1" si="79"/>
        <v>#N/A</v>
      </c>
      <c r="S441" s="160" t="e">
        <f t="shared" ca="1" si="79"/>
        <v>#N/A</v>
      </c>
      <c r="T441" s="160" t="e">
        <f t="shared" ca="1" si="77"/>
        <v>#N/A</v>
      </c>
      <c r="U441" s="160" t="e">
        <f t="shared" ca="1" si="77"/>
        <v>#N/A</v>
      </c>
      <c r="V441" s="163" t="e">
        <f t="shared" ca="1" si="71"/>
        <v>#N/A</v>
      </c>
      <c r="W441" s="163" t="e">
        <f t="shared" ca="1" si="72"/>
        <v>#N/A</v>
      </c>
      <c r="X441" s="163" t="e">
        <f t="shared" ca="1" si="73"/>
        <v>#N/A</v>
      </c>
      <c r="Y441" s="163" t="e">
        <f t="shared" ca="1" si="74"/>
        <v>#N/A</v>
      </c>
    </row>
    <row r="442" spans="12:25" ht="14.4">
      <c r="L442" s="464"/>
      <c r="M442" s="129" t="e">
        <f t="shared" si="75"/>
        <v>#N/A</v>
      </c>
      <c r="N442" s="161">
        <f t="shared" si="70"/>
        <v>13</v>
      </c>
      <c r="O442" s="160" t="e">
        <f t="shared" ca="1" si="76"/>
        <v>#N/A</v>
      </c>
      <c r="P442" s="160" t="e">
        <f t="shared" ca="1" si="78"/>
        <v>#N/A</v>
      </c>
      <c r="Q442" s="160" t="e">
        <f t="shared" ca="1" si="79"/>
        <v>#N/A</v>
      </c>
      <c r="R442" s="160" t="e">
        <f t="shared" ca="1" si="79"/>
        <v>#N/A</v>
      </c>
      <c r="S442" s="160" t="e">
        <f t="shared" ca="1" si="79"/>
        <v>#N/A</v>
      </c>
      <c r="T442" s="160" t="e">
        <f t="shared" ca="1" si="77"/>
        <v>#N/A</v>
      </c>
      <c r="U442" s="160" t="e">
        <f t="shared" ca="1" si="77"/>
        <v>#N/A</v>
      </c>
      <c r="V442" s="163" t="e">
        <f t="shared" ca="1" si="71"/>
        <v>#N/A</v>
      </c>
      <c r="W442" s="163" t="e">
        <f t="shared" ca="1" si="72"/>
        <v>#N/A</v>
      </c>
      <c r="X442" s="163" t="e">
        <f t="shared" ca="1" si="73"/>
        <v>#N/A</v>
      </c>
      <c r="Y442" s="163" t="e">
        <f t="shared" ca="1" si="74"/>
        <v>#N/A</v>
      </c>
    </row>
    <row r="443" spans="12:25" ht="14.4">
      <c r="L443" s="464"/>
      <c r="M443" s="129" t="e">
        <f t="shared" si="75"/>
        <v>#N/A</v>
      </c>
      <c r="N443" s="161">
        <f t="shared" si="70"/>
        <v>13</v>
      </c>
      <c r="O443" s="160" t="e">
        <f t="shared" ca="1" si="76"/>
        <v>#N/A</v>
      </c>
      <c r="P443" s="160" t="e">
        <f t="shared" ca="1" si="78"/>
        <v>#N/A</v>
      </c>
      <c r="Q443" s="160" t="e">
        <f t="shared" ca="1" si="79"/>
        <v>#N/A</v>
      </c>
      <c r="R443" s="160" t="e">
        <f t="shared" ca="1" si="79"/>
        <v>#N/A</v>
      </c>
      <c r="S443" s="160" t="e">
        <f t="shared" ca="1" si="79"/>
        <v>#N/A</v>
      </c>
      <c r="T443" s="160" t="e">
        <f t="shared" ca="1" si="77"/>
        <v>#N/A</v>
      </c>
      <c r="U443" s="160" t="e">
        <f t="shared" ca="1" si="77"/>
        <v>#N/A</v>
      </c>
      <c r="V443" s="163" t="e">
        <f t="shared" ca="1" si="71"/>
        <v>#N/A</v>
      </c>
      <c r="W443" s="163" t="e">
        <f t="shared" ca="1" si="72"/>
        <v>#N/A</v>
      </c>
      <c r="X443" s="163" t="e">
        <f t="shared" ca="1" si="73"/>
        <v>#N/A</v>
      </c>
      <c r="Y443" s="163" t="e">
        <f t="shared" ca="1" si="74"/>
        <v>#N/A</v>
      </c>
    </row>
    <row r="444" spans="12:25" ht="14.4">
      <c r="L444" s="464"/>
      <c r="M444" s="129" t="e">
        <f t="shared" si="75"/>
        <v>#N/A</v>
      </c>
      <c r="N444" s="161">
        <f t="shared" si="70"/>
        <v>13</v>
      </c>
      <c r="O444" s="160" t="e">
        <f t="shared" ca="1" si="76"/>
        <v>#N/A</v>
      </c>
      <c r="P444" s="160" t="e">
        <f t="shared" ca="1" si="78"/>
        <v>#N/A</v>
      </c>
      <c r="Q444" s="160" t="e">
        <f t="shared" ca="1" si="79"/>
        <v>#N/A</v>
      </c>
      <c r="R444" s="160" t="e">
        <f t="shared" ca="1" si="79"/>
        <v>#N/A</v>
      </c>
      <c r="S444" s="160" t="e">
        <f t="shared" ca="1" si="79"/>
        <v>#N/A</v>
      </c>
      <c r="T444" s="160" t="e">
        <f t="shared" ca="1" si="77"/>
        <v>#N/A</v>
      </c>
      <c r="U444" s="160" t="e">
        <f t="shared" ca="1" si="77"/>
        <v>#N/A</v>
      </c>
      <c r="V444" s="163" t="e">
        <f t="shared" ca="1" si="71"/>
        <v>#N/A</v>
      </c>
      <c r="W444" s="163" t="e">
        <f t="shared" ca="1" si="72"/>
        <v>#N/A</v>
      </c>
      <c r="X444" s="163" t="e">
        <f t="shared" ca="1" si="73"/>
        <v>#N/A</v>
      </c>
      <c r="Y444" s="163" t="e">
        <f t="shared" ca="1" si="74"/>
        <v>#N/A</v>
      </c>
    </row>
    <row r="445" spans="12:25" ht="14.4">
      <c r="L445" s="464"/>
      <c r="M445" s="129" t="e">
        <f t="shared" si="75"/>
        <v>#N/A</v>
      </c>
      <c r="N445" s="161">
        <f t="shared" si="70"/>
        <v>13</v>
      </c>
      <c r="O445" s="160" t="e">
        <f t="shared" ca="1" si="76"/>
        <v>#N/A</v>
      </c>
      <c r="P445" s="160" t="e">
        <f t="shared" ca="1" si="78"/>
        <v>#N/A</v>
      </c>
      <c r="Q445" s="160" t="e">
        <f t="shared" ca="1" si="79"/>
        <v>#N/A</v>
      </c>
      <c r="R445" s="160" t="e">
        <f t="shared" ca="1" si="79"/>
        <v>#N/A</v>
      </c>
      <c r="S445" s="160" t="e">
        <f t="shared" ca="1" si="79"/>
        <v>#N/A</v>
      </c>
      <c r="T445" s="160" t="e">
        <f t="shared" ca="1" si="77"/>
        <v>#N/A</v>
      </c>
      <c r="U445" s="160" t="e">
        <f t="shared" ca="1" si="77"/>
        <v>#N/A</v>
      </c>
      <c r="V445" s="163" t="e">
        <f t="shared" ca="1" si="71"/>
        <v>#N/A</v>
      </c>
      <c r="W445" s="163" t="e">
        <f t="shared" ca="1" si="72"/>
        <v>#N/A</v>
      </c>
      <c r="X445" s="163" t="e">
        <f t="shared" ca="1" si="73"/>
        <v>#N/A</v>
      </c>
      <c r="Y445" s="163" t="e">
        <f t="shared" ca="1" si="74"/>
        <v>#N/A</v>
      </c>
    </row>
    <row r="446" spans="12:25" ht="14.4">
      <c r="L446" s="464"/>
      <c r="M446" s="129" t="e">
        <f t="shared" si="75"/>
        <v>#N/A</v>
      </c>
      <c r="N446" s="161">
        <f t="shared" si="70"/>
        <v>13</v>
      </c>
      <c r="O446" s="160" t="e">
        <f t="shared" ca="1" si="76"/>
        <v>#N/A</v>
      </c>
      <c r="P446" s="160" t="e">
        <f t="shared" ca="1" si="78"/>
        <v>#N/A</v>
      </c>
      <c r="Q446" s="160" t="e">
        <f t="shared" ca="1" si="79"/>
        <v>#N/A</v>
      </c>
      <c r="R446" s="160" t="e">
        <f t="shared" ca="1" si="79"/>
        <v>#N/A</v>
      </c>
      <c r="S446" s="160" t="e">
        <f t="shared" ca="1" si="79"/>
        <v>#N/A</v>
      </c>
      <c r="T446" s="160" t="e">
        <f t="shared" ca="1" si="77"/>
        <v>#N/A</v>
      </c>
      <c r="U446" s="160" t="e">
        <f t="shared" ca="1" si="77"/>
        <v>#N/A</v>
      </c>
      <c r="V446" s="163" t="e">
        <f t="shared" ca="1" si="71"/>
        <v>#N/A</v>
      </c>
      <c r="W446" s="163" t="e">
        <f t="shared" ca="1" si="72"/>
        <v>#N/A</v>
      </c>
      <c r="X446" s="163" t="e">
        <f t="shared" ca="1" si="73"/>
        <v>#N/A</v>
      </c>
      <c r="Y446" s="163" t="e">
        <f t="shared" ca="1" si="74"/>
        <v>#N/A</v>
      </c>
    </row>
    <row r="447" spans="12:25" ht="14.4">
      <c r="L447" s="464"/>
      <c r="M447" s="129" t="e">
        <f t="shared" si="75"/>
        <v>#N/A</v>
      </c>
      <c r="N447" s="161">
        <f t="shared" si="70"/>
        <v>13</v>
      </c>
      <c r="O447" s="160" t="e">
        <f t="shared" ca="1" si="76"/>
        <v>#N/A</v>
      </c>
      <c r="P447" s="160" t="e">
        <f t="shared" ca="1" si="78"/>
        <v>#N/A</v>
      </c>
      <c r="Q447" s="160" t="e">
        <f t="shared" ca="1" si="79"/>
        <v>#N/A</v>
      </c>
      <c r="R447" s="160" t="e">
        <f t="shared" ca="1" si="79"/>
        <v>#N/A</v>
      </c>
      <c r="S447" s="160" t="e">
        <f t="shared" ca="1" si="79"/>
        <v>#N/A</v>
      </c>
      <c r="T447" s="160" t="e">
        <f t="shared" ca="1" si="77"/>
        <v>#N/A</v>
      </c>
      <c r="U447" s="160" t="e">
        <f t="shared" ca="1" si="77"/>
        <v>#N/A</v>
      </c>
      <c r="V447" s="163" t="e">
        <f t="shared" ca="1" si="71"/>
        <v>#N/A</v>
      </c>
      <c r="W447" s="163" t="e">
        <f t="shared" ca="1" si="72"/>
        <v>#N/A</v>
      </c>
      <c r="X447" s="163" t="e">
        <f t="shared" ca="1" si="73"/>
        <v>#N/A</v>
      </c>
      <c r="Y447" s="163" t="e">
        <f t="shared" ca="1" si="74"/>
        <v>#N/A</v>
      </c>
    </row>
    <row r="448" spans="12:25" ht="14.4">
      <c r="L448" s="464"/>
      <c r="M448" s="129" t="e">
        <f t="shared" si="75"/>
        <v>#N/A</v>
      </c>
      <c r="N448" s="161">
        <f t="shared" si="70"/>
        <v>13</v>
      </c>
      <c r="O448" s="160" t="e">
        <f t="shared" ca="1" si="76"/>
        <v>#N/A</v>
      </c>
      <c r="P448" s="160" t="e">
        <f t="shared" ca="1" si="78"/>
        <v>#N/A</v>
      </c>
      <c r="Q448" s="160" t="e">
        <f t="shared" ca="1" si="79"/>
        <v>#N/A</v>
      </c>
      <c r="R448" s="160" t="e">
        <f t="shared" ca="1" si="79"/>
        <v>#N/A</v>
      </c>
      <c r="S448" s="160" t="e">
        <f t="shared" ca="1" si="79"/>
        <v>#N/A</v>
      </c>
      <c r="T448" s="160" t="e">
        <f t="shared" ca="1" si="77"/>
        <v>#N/A</v>
      </c>
      <c r="U448" s="160" t="e">
        <f t="shared" ca="1" si="77"/>
        <v>#N/A</v>
      </c>
      <c r="V448" s="163" t="e">
        <f t="shared" ca="1" si="71"/>
        <v>#N/A</v>
      </c>
      <c r="W448" s="163" t="e">
        <f t="shared" ca="1" si="72"/>
        <v>#N/A</v>
      </c>
      <c r="X448" s="163" t="e">
        <f t="shared" ca="1" si="73"/>
        <v>#N/A</v>
      </c>
      <c r="Y448" s="163" t="e">
        <f t="shared" ca="1" si="74"/>
        <v>#N/A</v>
      </c>
    </row>
    <row r="449" spans="12:25" ht="14.4">
      <c r="L449" s="464"/>
      <c r="M449" s="129" t="e">
        <f t="shared" si="75"/>
        <v>#N/A</v>
      </c>
      <c r="N449" s="161">
        <f t="shared" si="70"/>
        <v>13</v>
      </c>
      <c r="O449" s="160" t="e">
        <f t="shared" ca="1" si="76"/>
        <v>#N/A</v>
      </c>
      <c r="P449" s="160" t="e">
        <f t="shared" ca="1" si="78"/>
        <v>#N/A</v>
      </c>
      <c r="Q449" s="160" t="e">
        <f t="shared" ca="1" si="79"/>
        <v>#N/A</v>
      </c>
      <c r="R449" s="160" t="e">
        <f t="shared" ca="1" si="79"/>
        <v>#N/A</v>
      </c>
      <c r="S449" s="160" t="e">
        <f t="shared" ca="1" si="79"/>
        <v>#N/A</v>
      </c>
      <c r="T449" s="160" t="e">
        <f t="shared" ca="1" si="77"/>
        <v>#N/A</v>
      </c>
      <c r="U449" s="160" t="e">
        <f t="shared" ca="1" si="77"/>
        <v>#N/A</v>
      </c>
      <c r="V449" s="163" t="e">
        <f t="shared" ca="1" si="71"/>
        <v>#N/A</v>
      </c>
      <c r="W449" s="163" t="e">
        <f t="shared" ca="1" si="72"/>
        <v>#N/A</v>
      </c>
      <c r="X449" s="163" t="e">
        <f t="shared" ca="1" si="73"/>
        <v>#N/A</v>
      </c>
      <c r="Y449" s="163" t="e">
        <f t="shared" ca="1" si="74"/>
        <v>#N/A</v>
      </c>
    </row>
    <row r="450" spans="12:25" ht="14.4">
      <c r="L450" s="464"/>
      <c r="M450" s="129" t="e">
        <f t="shared" si="75"/>
        <v>#N/A</v>
      </c>
      <c r="N450" s="161">
        <f t="shared" si="70"/>
        <v>13</v>
      </c>
      <c r="O450" s="160" t="e">
        <f t="shared" ca="1" si="76"/>
        <v>#N/A</v>
      </c>
      <c r="P450" s="160" t="e">
        <f t="shared" ca="1" si="78"/>
        <v>#N/A</v>
      </c>
      <c r="Q450" s="160" t="e">
        <f t="shared" ca="1" si="79"/>
        <v>#N/A</v>
      </c>
      <c r="R450" s="160" t="e">
        <f t="shared" ca="1" si="79"/>
        <v>#N/A</v>
      </c>
      <c r="S450" s="160" t="e">
        <f t="shared" ca="1" si="79"/>
        <v>#N/A</v>
      </c>
      <c r="T450" s="160" t="e">
        <f t="shared" ca="1" si="77"/>
        <v>#N/A</v>
      </c>
      <c r="U450" s="160" t="e">
        <f t="shared" ca="1" si="77"/>
        <v>#N/A</v>
      </c>
      <c r="V450" s="163" t="e">
        <f t="shared" ca="1" si="71"/>
        <v>#N/A</v>
      </c>
      <c r="W450" s="163" t="e">
        <f t="shared" ca="1" si="72"/>
        <v>#N/A</v>
      </c>
      <c r="X450" s="163" t="e">
        <f t="shared" ca="1" si="73"/>
        <v>#N/A</v>
      </c>
      <c r="Y450" s="163" t="e">
        <f t="shared" ca="1" si="74"/>
        <v>#N/A</v>
      </c>
    </row>
    <row r="451" spans="12:25" ht="14.4">
      <c r="L451" s="464"/>
      <c r="M451" s="129" t="e">
        <f t="shared" si="75"/>
        <v>#N/A</v>
      </c>
      <c r="N451" s="161">
        <f t="shared" si="70"/>
        <v>13</v>
      </c>
      <c r="O451" s="160" t="e">
        <f t="shared" ca="1" si="76"/>
        <v>#N/A</v>
      </c>
      <c r="P451" s="160" t="e">
        <f t="shared" ca="1" si="78"/>
        <v>#N/A</v>
      </c>
      <c r="Q451" s="160" t="e">
        <f t="shared" ca="1" si="79"/>
        <v>#N/A</v>
      </c>
      <c r="R451" s="160" t="e">
        <f t="shared" ca="1" si="79"/>
        <v>#N/A</v>
      </c>
      <c r="S451" s="160" t="e">
        <f t="shared" ca="1" si="79"/>
        <v>#N/A</v>
      </c>
      <c r="T451" s="160" t="e">
        <f t="shared" ca="1" si="77"/>
        <v>#N/A</v>
      </c>
      <c r="U451" s="160" t="e">
        <f t="shared" ca="1" si="77"/>
        <v>#N/A</v>
      </c>
      <c r="V451" s="163" t="e">
        <f t="shared" ca="1" si="71"/>
        <v>#N/A</v>
      </c>
      <c r="W451" s="163" t="e">
        <f t="shared" ca="1" si="72"/>
        <v>#N/A</v>
      </c>
      <c r="X451" s="163" t="e">
        <f t="shared" ca="1" si="73"/>
        <v>#N/A</v>
      </c>
      <c r="Y451" s="163" t="e">
        <f t="shared" ca="1" si="74"/>
        <v>#N/A</v>
      </c>
    </row>
    <row r="452" spans="12:25" ht="14.4">
      <c r="L452" s="464"/>
      <c r="M452" s="129" t="e">
        <f t="shared" si="75"/>
        <v>#N/A</v>
      </c>
      <c r="N452" s="161">
        <f t="shared" si="70"/>
        <v>13</v>
      </c>
      <c r="O452" s="160" t="e">
        <f t="shared" ca="1" si="76"/>
        <v>#N/A</v>
      </c>
      <c r="P452" s="160" t="e">
        <f t="shared" ca="1" si="78"/>
        <v>#N/A</v>
      </c>
      <c r="Q452" s="160" t="e">
        <f t="shared" ca="1" si="79"/>
        <v>#N/A</v>
      </c>
      <c r="R452" s="160" t="e">
        <f t="shared" ca="1" si="79"/>
        <v>#N/A</v>
      </c>
      <c r="S452" s="160" t="e">
        <f t="shared" ca="1" si="79"/>
        <v>#N/A</v>
      </c>
      <c r="T452" s="160" t="e">
        <f t="shared" ca="1" si="77"/>
        <v>#N/A</v>
      </c>
      <c r="U452" s="160" t="e">
        <f t="shared" ca="1" si="77"/>
        <v>#N/A</v>
      </c>
      <c r="V452" s="163" t="e">
        <f t="shared" ca="1" si="71"/>
        <v>#N/A</v>
      </c>
      <c r="W452" s="163" t="e">
        <f t="shared" ca="1" si="72"/>
        <v>#N/A</v>
      </c>
      <c r="X452" s="163" t="e">
        <f t="shared" ca="1" si="73"/>
        <v>#N/A</v>
      </c>
      <c r="Y452" s="163" t="e">
        <f t="shared" ca="1" si="74"/>
        <v>#N/A</v>
      </c>
    </row>
    <row r="453" spans="12:25" ht="14.4">
      <c r="L453" s="464"/>
      <c r="M453" s="129" t="e">
        <f t="shared" si="75"/>
        <v>#N/A</v>
      </c>
      <c r="N453" s="161">
        <f t="shared" si="70"/>
        <v>13</v>
      </c>
      <c r="O453" s="160" t="e">
        <f t="shared" ca="1" si="76"/>
        <v>#N/A</v>
      </c>
      <c r="P453" s="160" t="e">
        <f t="shared" ca="1" si="78"/>
        <v>#N/A</v>
      </c>
      <c r="Q453" s="160" t="e">
        <f t="shared" ca="1" si="79"/>
        <v>#N/A</v>
      </c>
      <c r="R453" s="160" t="e">
        <f t="shared" ca="1" si="79"/>
        <v>#N/A</v>
      </c>
      <c r="S453" s="160" t="e">
        <f t="shared" ca="1" si="79"/>
        <v>#N/A</v>
      </c>
      <c r="T453" s="160" t="e">
        <f t="shared" ca="1" si="77"/>
        <v>#N/A</v>
      </c>
      <c r="U453" s="160" t="e">
        <f t="shared" ca="1" si="77"/>
        <v>#N/A</v>
      </c>
      <c r="V453" s="163" t="e">
        <f t="shared" ca="1" si="71"/>
        <v>#N/A</v>
      </c>
      <c r="W453" s="163" t="e">
        <f t="shared" ca="1" si="72"/>
        <v>#N/A</v>
      </c>
      <c r="X453" s="163" t="e">
        <f t="shared" ca="1" si="73"/>
        <v>#N/A</v>
      </c>
      <c r="Y453" s="163" t="e">
        <f t="shared" ca="1" si="74"/>
        <v>#N/A</v>
      </c>
    </row>
    <row r="454" spans="12:25" ht="14.4">
      <c r="L454" s="464"/>
      <c r="M454" s="129" t="e">
        <f t="shared" si="75"/>
        <v>#N/A</v>
      </c>
      <c r="N454" s="161">
        <f t="shared" si="70"/>
        <v>13</v>
      </c>
      <c r="O454" s="160" t="e">
        <f t="shared" ca="1" si="76"/>
        <v>#N/A</v>
      </c>
      <c r="P454" s="160" t="e">
        <f t="shared" ca="1" si="78"/>
        <v>#N/A</v>
      </c>
      <c r="Q454" s="160" t="e">
        <f t="shared" ca="1" si="79"/>
        <v>#N/A</v>
      </c>
      <c r="R454" s="160" t="e">
        <f t="shared" ca="1" si="79"/>
        <v>#N/A</v>
      </c>
      <c r="S454" s="160" t="e">
        <f t="shared" ca="1" si="79"/>
        <v>#N/A</v>
      </c>
      <c r="T454" s="160" t="e">
        <f t="shared" ca="1" si="77"/>
        <v>#N/A</v>
      </c>
      <c r="U454" s="160" t="e">
        <f t="shared" ca="1" si="77"/>
        <v>#N/A</v>
      </c>
      <c r="V454" s="163" t="e">
        <f t="shared" ca="1" si="71"/>
        <v>#N/A</v>
      </c>
      <c r="W454" s="163" t="e">
        <f t="shared" ca="1" si="72"/>
        <v>#N/A</v>
      </c>
      <c r="X454" s="163" t="e">
        <f t="shared" ca="1" si="73"/>
        <v>#N/A</v>
      </c>
      <c r="Y454" s="163" t="e">
        <f t="shared" ca="1" si="74"/>
        <v>#N/A</v>
      </c>
    </row>
    <row r="455" spans="12:25" ht="14.4">
      <c r="L455" s="464"/>
      <c r="M455" s="129" t="e">
        <f t="shared" si="75"/>
        <v>#N/A</v>
      </c>
      <c r="N455" s="161">
        <f t="shared" si="70"/>
        <v>13</v>
      </c>
      <c r="O455" s="160" t="e">
        <f t="shared" ca="1" si="76"/>
        <v>#N/A</v>
      </c>
      <c r="P455" s="160" t="e">
        <f t="shared" ca="1" si="78"/>
        <v>#N/A</v>
      </c>
      <c r="Q455" s="160" t="e">
        <f t="shared" ca="1" si="79"/>
        <v>#N/A</v>
      </c>
      <c r="R455" s="160" t="e">
        <f t="shared" ca="1" si="79"/>
        <v>#N/A</v>
      </c>
      <c r="S455" s="160" t="e">
        <f t="shared" ca="1" si="79"/>
        <v>#N/A</v>
      </c>
      <c r="T455" s="160" t="e">
        <f t="shared" ca="1" si="77"/>
        <v>#N/A</v>
      </c>
      <c r="U455" s="160" t="e">
        <f t="shared" ca="1" si="77"/>
        <v>#N/A</v>
      </c>
      <c r="V455" s="163" t="e">
        <f t="shared" ca="1" si="71"/>
        <v>#N/A</v>
      </c>
      <c r="W455" s="163" t="e">
        <f t="shared" ca="1" si="72"/>
        <v>#N/A</v>
      </c>
      <c r="X455" s="163" t="e">
        <f t="shared" ca="1" si="73"/>
        <v>#N/A</v>
      </c>
      <c r="Y455" s="163" t="e">
        <f t="shared" ca="1" si="74"/>
        <v>#N/A</v>
      </c>
    </row>
    <row r="456" spans="12:25" ht="14.4">
      <c r="L456" s="464"/>
      <c r="M456" s="129" t="e">
        <f t="shared" si="75"/>
        <v>#N/A</v>
      </c>
      <c r="N456" s="161">
        <f t="shared" si="70"/>
        <v>13</v>
      </c>
      <c r="O456" s="160" t="e">
        <f t="shared" ca="1" si="76"/>
        <v>#N/A</v>
      </c>
      <c r="P456" s="160" t="e">
        <f t="shared" ca="1" si="78"/>
        <v>#N/A</v>
      </c>
      <c r="Q456" s="160" t="e">
        <f t="shared" ca="1" si="79"/>
        <v>#N/A</v>
      </c>
      <c r="R456" s="160" t="e">
        <f t="shared" ca="1" si="79"/>
        <v>#N/A</v>
      </c>
      <c r="S456" s="160" t="e">
        <f t="shared" ca="1" si="79"/>
        <v>#N/A</v>
      </c>
      <c r="T456" s="160" t="e">
        <f t="shared" ca="1" si="77"/>
        <v>#N/A</v>
      </c>
      <c r="U456" s="160" t="e">
        <f t="shared" ca="1" si="77"/>
        <v>#N/A</v>
      </c>
      <c r="V456" s="163" t="e">
        <f t="shared" ca="1" si="71"/>
        <v>#N/A</v>
      </c>
      <c r="W456" s="163" t="e">
        <f t="shared" ca="1" si="72"/>
        <v>#N/A</v>
      </c>
      <c r="X456" s="163" t="e">
        <f t="shared" ca="1" si="73"/>
        <v>#N/A</v>
      </c>
      <c r="Y456" s="163" t="e">
        <f t="shared" ca="1" si="74"/>
        <v>#N/A</v>
      </c>
    </row>
    <row r="457" spans="12:25" ht="14.4">
      <c r="L457" s="464"/>
      <c r="M457" s="129" t="e">
        <f t="shared" si="75"/>
        <v>#N/A</v>
      </c>
      <c r="N457" s="161">
        <f t="shared" si="70"/>
        <v>13</v>
      </c>
      <c r="O457" s="160" t="e">
        <f t="shared" ca="1" si="76"/>
        <v>#N/A</v>
      </c>
      <c r="P457" s="160" t="e">
        <f t="shared" ca="1" si="78"/>
        <v>#N/A</v>
      </c>
      <c r="Q457" s="160" t="e">
        <f t="shared" ca="1" si="79"/>
        <v>#N/A</v>
      </c>
      <c r="R457" s="160" t="e">
        <f t="shared" ca="1" si="79"/>
        <v>#N/A</v>
      </c>
      <c r="S457" s="160" t="e">
        <f t="shared" ca="1" si="79"/>
        <v>#N/A</v>
      </c>
      <c r="T457" s="160" t="e">
        <f t="shared" ca="1" si="77"/>
        <v>#N/A</v>
      </c>
      <c r="U457" s="160" t="e">
        <f t="shared" ca="1" si="77"/>
        <v>#N/A</v>
      </c>
      <c r="V457" s="163" t="e">
        <f t="shared" ca="1" si="71"/>
        <v>#N/A</v>
      </c>
      <c r="W457" s="163" t="e">
        <f t="shared" ca="1" si="72"/>
        <v>#N/A</v>
      </c>
      <c r="X457" s="163" t="e">
        <f t="shared" ca="1" si="73"/>
        <v>#N/A</v>
      </c>
      <c r="Y457" s="163" t="e">
        <f t="shared" ca="1" si="74"/>
        <v>#N/A</v>
      </c>
    </row>
    <row r="458" spans="12:25" ht="14.4">
      <c r="L458" s="464"/>
      <c r="M458" s="129" t="e">
        <f t="shared" si="75"/>
        <v>#N/A</v>
      </c>
      <c r="N458" s="161">
        <f t="shared" si="70"/>
        <v>13</v>
      </c>
      <c r="O458" s="160" t="e">
        <f t="shared" ca="1" si="76"/>
        <v>#N/A</v>
      </c>
      <c r="P458" s="160" t="e">
        <f t="shared" ca="1" si="78"/>
        <v>#N/A</v>
      </c>
      <c r="Q458" s="160" t="e">
        <f t="shared" ca="1" si="79"/>
        <v>#N/A</v>
      </c>
      <c r="R458" s="160" t="e">
        <f t="shared" ca="1" si="79"/>
        <v>#N/A</v>
      </c>
      <c r="S458" s="160" t="e">
        <f t="shared" ca="1" si="79"/>
        <v>#N/A</v>
      </c>
      <c r="T458" s="160" t="e">
        <f t="shared" ca="1" si="77"/>
        <v>#N/A</v>
      </c>
      <c r="U458" s="160" t="e">
        <f t="shared" ca="1" si="77"/>
        <v>#N/A</v>
      </c>
      <c r="V458" s="163" t="e">
        <f t="shared" ca="1" si="71"/>
        <v>#N/A</v>
      </c>
      <c r="W458" s="163" t="e">
        <f t="shared" ca="1" si="72"/>
        <v>#N/A</v>
      </c>
      <c r="X458" s="163" t="e">
        <f t="shared" ca="1" si="73"/>
        <v>#N/A</v>
      </c>
      <c r="Y458" s="163" t="e">
        <f t="shared" ca="1" si="74"/>
        <v>#N/A</v>
      </c>
    </row>
    <row r="459" spans="12:25" ht="14.4">
      <c r="L459" s="464"/>
      <c r="M459" s="129" t="e">
        <f t="shared" si="75"/>
        <v>#N/A</v>
      </c>
      <c r="N459" s="161">
        <f t="shared" si="70"/>
        <v>13</v>
      </c>
      <c r="O459" s="160" t="e">
        <f t="shared" ca="1" si="76"/>
        <v>#N/A</v>
      </c>
      <c r="P459" s="160" t="e">
        <f t="shared" ca="1" si="78"/>
        <v>#N/A</v>
      </c>
      <c r="Q459" s="160" t="e">
        <f t="shared" ca="1" si="79"/>
        <v>#N/A</v>
      </c>
      <c r="R459" s="160" t="e">
        <f t="shared" ca="1" si="79"/>
        <v>#N/A</v>
      </c>
      <c r="S459" s="160" t="e">
        <f t="shared" ca="1" si="79"/>
        <v>#N/A</v>
      </c>
      <c r="T459" s="160" t="e">
        <f t="shared" ca="1" si="77"/>
        <v>#N/A</v>
      </c>
      <c r="U459" s="160" t="e">
        <f t="shared" ca="1" si="77"/>
        <v>#N/A</v>
      </c>
      <c r="V459" s="163" t="e">
        <f t="shared" ca="1" si="71"/>
        <v>#N/A</v>
      </c>
      <c r="W459" s="163" t="e">
        <f t="shared" ca="1" si="72"/>
        <v>#N/A</v>
      </c>
      <c r="X459" s="163" t="e">
        <f t="shared" ca="1" si="73"/>
        <v>#N/A</v>
      </c>
      <c r="Y459" s="163" t="e">
        <f t="shared" ca="1" si="74"/>
        <v>#N/A</v>
      </c>
    </row>
    <row r="460" spans="12:25" ht="14.4">
      <c r="L460" s="464"/>
      <c r="M460" s="129" t="e">
        <f t="shared" si="75"/>
        <v>#N/A</v>
      </c>
      <c r="N460" s="161">
        <f t="shared" si="70"/>
        <v>13</v>
      </c>
      <c r="O460" s="160" t="e">
        <f t="shared" ca="1" si="76"/>
        <v>#N/A</v>
      </c>
      <c r="P460" s="160" t="e">
        <f t="shared" ca="1" si="78"/>
        <v>#N/A</v>
      </c>
      <c r="Q460" s="160" t="e">
        <f t="shared" ca="1" si="79"/>
        <v>#N/A</v>
      </c>
      <c r="R460" s="160" t="e">
        <f t="shared" ca="1" si="79"/>
        <v>#N/A</v>
      </c>
      <c r="S460" s="160" t="e">
        <f t="shared" ca="1" si="79"/>
        <v>#N/A</v>
      </c>
      <c r="T460" s="160" t="e">
        <f t="shared" ca="1" si="77"/>
        <v>#N/A</v>
      </c>
      <c r="U460" s="160" t="e">
        <f t="shared" ca="1" si="77"/>
        <v>#N/A</v>
      </c>
      <c r="V460" s="163" t="e">
        <f t="shared" ca="1" si="71"/>
        <v>#N/A</v>
      </c>
      <c r="W460" s="163" t="e">
        <f t="shared" ca="1" si="72"/>
        <v>#N/A</v>
      </c>
      <c r="X460" s="163" t="e">
        <f t="shared" ca="1" si="73"/>
        <v>#N/A</v>
      </c>
      <c r="Y460" s="163" t="e">
        <f t="shared" ca="1" si="74"/>
        <v>#N/A</v>
      </c>
    </row>
    <row r="461" spans="12:25" ht="14.4">
      <c r="L461" s="464"/>
      <c r="M461" s="129" t="e">
        <f t="shared" si="75"/>
        <v>#N/A</v>
      </c>
      <c r="N461" s="161">
        <f t="shared" si="70"/>
        <v>13</v>
      </c>
      <c r="O461" s="160" t="e">
        <f t="shared" ca="1" si="76"/>
        <v>#N/A</v>
      </c>
      <c r="P461" s="160" t="e">
        <f t="shared" ca="1" si="78"/>
        <v>#N/A</v>
      </c>
      <c r="Q461" s="160" t="e">
        <f t="shared" ca="1" si="79"/>
        <v>#N/A</v>
      </c>
      <c r="R461" s="160" t="e">
        <f t="shared" ca="1" si="79"/>
        <v>#N/A</v>
      </c>
      <c r="S461" s="160" t="e">
        <f t="shared" ca="1" si="79"/>
        <v>#N/A</v>
      </c>
      <c r="T461" s="160" t="e">
        <f t="shared" ca="1" si="77"/>
        <v>#N/A</v>
      </c>
      <c r="U461" s="160" t="e">
        <f t="shared" ca="1" si="77"/>
        <v>#N/A</v>
      </c>
      <c r="V461" s="163" t="e">
        <f t="shared" ca="1" si="71"/>
        <v>#N/A</v>
      </c>
      <c r="W461" s="163" t="e">
        <f t="shared" ca="1" si="72"/>
        <v>#N/A</v>
      </c>
      <c r="X461" s="163" t="e">
        <f t="shared" ca="1" si="73"/>
        <v>#N/A</v>
      </c>
      <c r="Y461" s="163" t="e">
        <f t="shared" ca="1" si="74"/>
        <v>#N/A</v>
      </c>
    </row>
    <row r="462" spans="12:25" ht="14.4">
      <c r="L462" s="464"/>
      <c r="M462" s="129" t="e">
        <f t="shared" si="75"/>
        <v>#N/A</v>
      </c>
      <c r="N462" s="161">
        <f t="shared" si="70"/>
        <v>13</v>
      </c>
      <c r="O462" s="160" t="e">
        <f t="shared" ca="1" si="76"/>
        <v>#N/A</v>
      </c>
      <c r="P462" s="160" t="e">
        <f t="shared" ca="1" si="78"/>
        <v>#N/A</v>
      </c>
      <c r="Q462" s="160" t="e">
        <f t="shared" ca="1" si="79"/>
        <v>#N/A</v>
      </c>
      <c r="R462" s="160" t="e">
        <f t="shared" ca="1" si="79"/>
        <v>#N/A</v>
      </c>
      <c r="S462" s="160" t="e">
        <f t="shared" ca="1" si="79"/>
        <v>#N/A</v>
      </c>
      <c r="T462" s="160" t="e">
        <f t="shared" ca="1" si="77"/>
        <v>#N/A</v>
      </c>
      <c r="U462" s="160" t="e">
        <f t="shared" ca="1" si="77"/>
        <v>#N/A</v>
      </c>
      <c r="V462" s="163" t="e">
        <f t="shared" ca="1" si="71"/>
        <v>#N/A</v>
      </c>
      <c r="W462" s="163" t="e">
        <f t="shared" ca="1" si="72"/>
        <v>#N/A</v>
      </c>
      <c r="X462" s="163" t="e">
        <f t="shared" ca="1" si="73"/>
        <v>#N/A</v>
      </c>
      <c r="Y462" s="163" t="e">
        <f t="shared" ca="1" si="74"/>
        <v>#N/A</v>
      </c>
    </row>
    <row r="463" spans="12:25" ht="14.4">
      <c r="L463" s="464"/>
      <c r="M463" s="129" t="e">
        <f t="shared" si="75"/>
        <v>#N/A</v>
      </c>
      <c r="N463" s="161">
        <f t="shared" si="70"/>
        <v>13</v>
      </c>
      <c r="O463" s="160" t="e">
        <f t="shared" ca="1" si="76"/>
        <v>#N/A</v>
      </c>
      <c r="P463" s="160" t="e">
        <f t="shared" ca="1" si="78"/>
        <v>#N/A</v>
      </c>
      <c r="Q463" s="160" t="e">
        <f t="shared" ca="1" si="79"/>
        <v>#N/A</v>
      </c>
      <c r="R463" s="160" t="e">
        <f t="shared" ca="1" si="79"/>
        <v>#N/A</v>
      </c>
      <c r="S463" s="160" t="e">
        <f t="shared" ca="1" si="79"/>
        <v>#N/A</v>
      </c>
      <c r="T463" s="160" t="e">
        <f t="shared" ca="1" si="77"/>
        <v>#N/A</v>
      </c>
      <c r="U463" s="160" t="e">
        <f t="shared" ca="1" si="77"/>
        <v>#N/A</v>
      </c>
      <c r="V463" s="163" t="e">
        <f t="shared" ca="1" si="71"/>
        <v>#N/A</v>
      </c>
      <c r="W463" s="163" t="e">
        <f t="shared" ca="1" si="72"/>
        <v>#N/A</v>
      </c>
      <c r="X463" s="163" t="e">
        <f t="shared" ca="1" si="73"/>
        <v>#N/A</v>
      </c>
      <c r="Y463" s="163" t="e">
        <f t="shared" ca="1" si="74"/>
        <v>#N/A</v>
      </c>
    </row>
    <row r="464" spans="12:25" ht="14.4">
      <c r="L464" s="464"/>
      <c r="M464" s="129" t="e">
        <f t="shared" si="75"/>
        <v>#N/A</v>
      </c>
      <c r="N464" s="161">
        <f t="shared" si="70"/>
        <v>13</v>
      </c>
      <c r="O464" s="160" t="e">
        <f t="shared" ca="1" si="76"/>
        <v>#N/A</v>
      </c>
      <c r="P464" s="160" t="e">
        <f t="shared" ca="1" si="78"/>
        <v>#N/A</v>
      </c>
      <c r="Q464" s="160" t="e">
        <f t="shared" ca="1" si="79"/>
        <v>#N/A</v>
      </c>
      <c r="R464" s="160" t="e">
        <f t="shared" ca="1" si="79"/>
        <v>#N/A</v>
      </c>
      <c r="S464" s="160" t="e">
        <f t="shared" ca="1" si="79"/>
        <v>#N/A</v>
      </c>
      <c r="T464" s="160" t="e">
        <f t="shared" ca="1" si="77"/>
        <v>#N/A</v>
      </c>
      <c r="U464" s="160" t="e">
        <f t="shared" ca="1" si="77"/>
        <v>#N/A</v>
      </c>
      <c r="V464" s="163" t="e">
        <f t="shared" ca="1" si="71"/>
        <v>#N/A</v>
      </c>
      <c r="W464" s="163" t="e">
        <f t="shared" ca="1" si="72"/>
        <v>#N/A</v>
      </c>
      <c r="X464" s="163" t="e">
        <f t="shared" ca="1" si="73"/>
        <v>#N/A</v>
      </c>
      <c r="Y464" s="163" t="e">
        <f t="shared" ca="1" si="74"/>
        <v>#N/A</v>
      </c>
    </row>
    <row r="465" spans="12:25" ht="14.4">
      <c r="L465" s="464"/>
      <c r="M465" s="129" t="e">
        <f t="shared" si="75"/>
        <v>#N/A</v>
      </c>
      <c r="N465" s="161">
        <f t="shared" si="70"/>
        <v>13</v>
      </c>
      <c r="O465" s="160" t="e">
        <f t="shared" ca="1" si="76"/>
        <v>#N/A</v>
      </c>
      <c r="P465" s="160" t="e">
        <f t="shared" ca="1" si="78"/>
        <v>#N/A</v>
      </c>
      <c r="Q465" s="160" t="e">
        <f t="shared" ca="1" si="79"/>
        <v>#N/A</v>
      </c>
      <c r="R465" s="160" t="e">
        <f t="shared" ca="1" si="79"/>
        <v>#N/A</v>
      </c>
      <c r="S465" s="160" t="e">
        <f t="shared" ca="1" si="79"/>
        <v>#N/A</v>
      </c>
      <c r="T465" s="160" t="e">
        <f t="shared" ca="1" si="77"/>
        <v>#N/A</v>
      </c>
      <c r="U465" s="160" t="e">
        <f t="shared" ca="1" si="77"/>
        <v>#N/A</v>
      </c>
      <c r="V465" s="163" t="e">
        <f t="shared" ca="1" si="71"/>
        <v>#N/A</v>
      </c>
      <c r="W465" s="163" t="e">
        <f t="shared" ca="1" si="72"/>
        <v>#N/A</v>
      </c>
      <c r="X465" s="163" t="e">
        <f t="shared" ca="1" si="73"/>
        <v>#N/A</v>
      </c>
      <c r="Y465" s="163" t="e">
        <f t="shared" ca="1" si="74"/>
        <v>#N/A</v>
      </c>
    </row>
    <row r="466" spans="12:25" ht="14.4">
      <c r="L466" s="464"/>
      <c r="M466" s="129" t="e">
        <f t="shared" si="75"/>
        <v>#N/A</v>
      </c>
      <c r="N466" s="161">
        <f t="shared" ref="N466:N529" si="80">N465</f>
        <v>13</v>
      </c>
      <c r="O466" s="160" t="e">
        <f t="shared" ca="1" si="76"/>
        <v>#N/A</v>
      </c>
      <c r="P466" s="160" t="e">
        <f t="shared" ca="1" si="78"/>
        <v>#N/A</v>
      </c>
      <c r="Q466" s="160" t="e">
        <f t="shared" ca="1" si="79"/>
        <v>#N/A</v>
      </c>
      <c r="R466" s="160" t="e">
        <f t="shared" ca="1" si="79"/>
        <v>#N/A</v>
      </c>
      <c r="S466" s="160" t="e">
        <f t="shared" ca="1" si="79"/>
        <v>#N/A</v>
      </c>
      <c r="T466" s="160" t="e">
        <f t="shared" ca="1" si="77"/>
        <v>#N/A</v>
      </c>
      <c r="U466" s="160" t="e">
        <f t="shared" ca="1" si="77"/>
        <v>#N/A</v>
      </c>
      <c r="V466" s="163" t="e">
        <f t="shared" ca="1" si="71"/>
        <v>#N/A</v>
      </c>
      <c r="W466" s="163" t="e">
        <f t="shared" ca="1" si="72"/>
        <v>#N/A</v>
      </c>
      <c r="X466" s="163" t="e">
        <f t="shared" ca="1" si="73"/>
        <v>#N/A</v>
      </c>
      <c r="Y466" s="163" t="e">
        <f t="shared" ca="1" si="74"/>
        <v>#N/A</v>
      </c>
    </row>
    <row r="467" spans="12:25" ht="14.4">
      <c r="L467" s="464"/>
      <c r="M467" s="129" t="e">
        <f t="shared" si="75"/>
        <v>#N/A</v>
      </c>
      <c r="N467" s="161">
        <f t="shared" si="80"/>
        <v>13</v>
      </c>
      <c r="O467" s="160" t="e">
        <f t="shared" ca="1" si="76"/>
        <v>#N/A</v>
      </c>
      <c r="P467" s="160" t="e">
        <f t="shared" ca="1" si="78"/>
        <v>#N/A</v>
      </c>
      <c r="Q467" s="160" t="e">
        <f t="shared" ca="1" si="79"/>
        <v>#N/A</v>
      </c>
      <c r="R467" s="160" t="e">
        <f t="shared" ca="1" si="79"/>
        <v>#N/A</v>
      </c>
      <c r="S467" s="160" t="e">
        <f t="shared" ca="1" si="79"/>
        <v>#N/A</v>
      </c>
      <c r="T467" s="160" t="e">
        <f t="shared" ca="1" si="77"/>
        <v>#N/A</v>
      </c>
      <c r="U467" s="160" t="e">
        <f t="shared" ca="1" si="77"/>
        <v>#N/A</v>
      </c>
      <c r="V467" s="163" t="e">
        <f t="shared" ca="1" si="71"/>
        <v>#N/A</v>
      </c>
      <c r="W467" s="163" t="e">
        <f t="shared" ca="1" si="72"/>
        <v>#N/A</v>
      </c>
      <c r="X467" s="163" t="e">
        <f t="shared" ca="1" si="73"/>
        <v>#N/A</v>
      </c>
      <c r="Y467" s="163" t="e">
        <f t="shared" ca="1" si="74"/>
        <v>#N/A</v>
      </c>
    </row>
    <row r="468" spans="12:25" ht="14.4">
      <c r="L468" s="464"/>
      <c r="M468" s="129" t="e">
        <f t="shared" si="75"/>
        <v>#N/A</v>
      </c>
      <c r="N468" s="161">
        <f t="shared" si="80"/>
        <v>13</v>
      </c>
      <c r="O468" s="160" t="e">
        <f t="shared" ca="1" si="76"/>
        <v>#N/A</v>
      </c>
      <c r="P468" s="160" t="e">
        <f t="shared" ca="1" si="78"/>
        <v>#N/A</v>
      </c>
      <c r="Q468" s="160" t="e">
        <f t="shared" ca="1" si="79"/>
        <v>#N/A</v>
      </c>
      <c r="R468" s="160" t="e">
        <f t="shared" ca="1" si="79"/>
        <v>#N/A</v>
      </c>
      <c r="S468" s="160" t="e">
        <f t="shared" ca="1" si="79"/>
        <v>#N/A</v>
      </c>
      <c r="T468" s="160" t="e">
        <f t="shared" ca="1" si="77"/>
        <v>#N/A</v>
      </c>
      <c r="U468" s="160" t="e">
        <f t="shared" ca="1" si="77"/>
        <v>#N/A</v>
      </c>
      <c r="V468" s="163" t="e">
        <f t="shared" ca="1" si="71"/>
        <v>#N/A</v>
      </c>
      <c r="W468" s="163" t="e">
        <f t="shared" ca="1" si="72"/>
        <v>#N/A</v>
      </c>
      <c r="X468" s="163" t="e">
        <f t="shared" ca="1" si="73"/>
        <v>#N/A</v>
      </c>
      <c r="Y468" s="163" t="e">
        <f t="shared" ca="1" si="74"/>
        <v>#N/A</v>
      </c>
    </row>
    <row r="469" spans="12:25" ht="14.4">
      <c r="L469" s="464"/>
      <c r="M469" s="129" t="e">
        <f t="shared" si="75"/>
        <v>#N/A</v>
      </c>
      <c r="N469" s="161">
        <f t="shared" si="80"/>
        <v>13</v>
      </c>
      <c r="O469" s="160" t="e">
        <f t="shared" ca="1" si="76"/>
        <v>#N/A</v>
      </c>
      <c r="P469" s="160" t="e">
        <f t="shared" ca="1" si="78"/>
        <v>#N/A</v>
      </c>
      <c r="Q469" s="160" t="e">
        <f t="shared" ca="1" si="79"/>
        <v>#N/A</v>
      </c>
      <c r="R469" s="160" t="e">
        <f t="shared" ca="1" si="79"/>
        <v>#N/A</v>
      </c>
      <c r="S469" s="160" t="e">
        <f t="shared" ca="1" si="79"/>
        <v>#N/A</v>
      </c>
      <c r="T469" s="160" t="e">
        <f t="shared" ca="1" si="77"/>
        <v>#N/A</v>
      </c>
      <c r="U469" s="160" t="e">
        <f t="shared" ca="1" si="77"/>
        <v>#N/A</v>
      </c>
      <c r="V469" s="163" t="e">
        <f t="shared" ca="1" si="71"/>
        <v>#N/A</v>
      </c>
      <c r="W469" s="163" t="e">
        <f t="shared" ca="1" si="72"/>
        <v>#N/A</v>
      </c>
      <c r="X469" s="163" t="e">
        <f t="shared" ca="1" si="73"/>
        <v>#N/A</v>
      </c>
      <c r="Y469" s="163" t="e">
        <f t="shared" ca="1" si="74"/>
        <v>#N/A</v>
      </c>
    </row>
    <row r="470" spans="12:25" ht="14.4">
      <c r="L470" s="464"/>
      <c r="M470" s="129" t="e">
        <f t="shared" si="75"/>
        <v>#N/A</v>
      </c>
      <c r="N470" s="161">
        <f t="shared" si="80"/>
        <v>13</v>
      </c>
      <c r="O470" s="160" t="e">
        <f t="shared" ca="1" si="76"/>
        <v>#N/A</v>
      </c>
      <c r="P470" s="160" t="e">
        <f t="shared" ca="1" si="78"/>
        <v>#N/A</v>
      </c>
      <c r="Q470" s="160" t="e">
        <f t="shared" ca="1" si="79"/>
        <v>#N/A</v>
      </c>
      <c r="R470" s="160" t="e">
        <f t="shared" ca="1" si="79"/>
        <v>#N/A</v>
      </c>
      <c r="S470" s="160" t="e">
        <f t="shared" ca="1" si="79"/>
        <v>#N/A</v>
      </c>
      <c r="T470" s="160" t="e">
        <f t="shared" ca="1" si="77"/>
        <v>#N/A</v>
      </c>
      <c r="U470" s="160" t="e">
        <f t="shared" ca="1" si="77"/>
        <v>#N/A</v>
      </c>
      <c r="V470" s="163" t="e">
        <f t="shared" ca="1" si="71"/>
        <v>#N/A</v>
      </c>
      <c r="W470" s="163" t="e">
        <f t="shared" ca="1" si="72"/>
        <v>#N/A</v>
      </c>
      <c r="X470" s="163" t="e">
        <f t="shared" ca="1" si="73"/>
        <v>#N/A</v>
      </c>
      <c r="Y470" s="163" t="e">
        <f t="shared" ca="1" si="74"/>
        <v>#N/A</v>
      </c>
    </row>
    <row r="471" spans="12:25" ht="14.4">
      <c r="L471" s="464"/>
      <c r="M471" s="129" t="e">
        <f t="shared" si="75"/>
        <v>#N/A</v>
      </c>
      <c r="N471" s="161">
        <f t="shared" si="80"/>
        <v>13</v>
      </c>
      <c r="O471" s="160" t="e">
        <f t="shared" ca="1" si="76"/>
        <v>#N/A</v>
      </c>
      <c r="P471" s="160" t="e">
        <f t="shared" ca="1" si="78"/>
        <v>#N/A</v>
      </c>
      <c r="Q471" s="160" t="e">
        <f t="shared" ca="1" si="79"/>
        <v>#N/A</v>
      </c>
      <c r="R471" s="160" t="e">
        <f t="shared" ca="1" si="79"/>
        <v>#N/A</v>
      </c>
      <c r="S471" s="160" t="e">
        <f t="shared" ca="1" si="79"/>
        <v>#N/A</v>
      </c>
      <c r="T471" s="160" t="e">
        <f t="shared" ca="1" si="77"/>
        <v>#N/A</v>
      </c>
      <c r="U471" s="160" t="e">
        <f t="shared" ca="1" si="77"/>
        <v>#N/A</v>
      </c>
      <c r="V471" s="163" t="e">
        <f t="shared" ca="1" si="71"/>
        <v>#N/A</v>
      </c>
      <c r="W471" s="163" t="e">
        <f t="shared" ca="1" si="72"/>
        <v>#N/A</v>
      </c>
      <c r="X471" s="163" t="e">
        <f t="shared" ca="1" si="73"/>
        <v>#N/A</v>
      </c>
      <c r="Y471" s="163" t="e">
        <f t="shared" ca="1" si="74"/>
        <v>#N/A</v>
      </c>
    </row>
    <row r="472" spans="12:25" ht="14.4">
      <c r="L472" s="464"/>
      <c r="M472" s="129" t="e">
        <f t="shared" si="75"/>
        <v>#N/A</v>
      </c>
      <c r="N472" s="161">
        <f t="shared" si="80"/>
        <v>13</v>
      </c>
      <c r="O472" s="160" t="e">
        <f t="shared" ca="1" si="76"/>
        <v>#N/A</v>
      </c>
      <c r="P472" s="160" t="e">
        <f t="shared" ca="1" si="78"/>
        <v>#N/A</v>
      </c>
      <c r="Q472" s="160" t="e">
        <f t="shared" ca="1" si="79"/>
        <v>#N/A</v>
      </c>
      <c r="R472" s="160" t="e">
        <f t="shared" ca="1" si="79"/>
        <v>#N/A</v>
      </c>
      <c r="S472" s="160" t="e">
        <f t="shared" ca="1" si="79"/>
        <v>#N/A</v>
      </c>
      <c r="T472" s="160" t="e">
        <f t="shared" ca="1" si="77"/>
        <v>#N/A</v>
      </c>
      <c r="U472" s="160" t="e">
        <f t="shared" ca="1" si="77"/>
        <v>#N/A</v>
      </c>
      <c r="V472" s="163" t="e">
        <f t="shared" ca="1" si="71"/>
        <v>#N/A</v>
      </c>
      <c r="W472" s="163" t="e">
        <f t="shared" ca="1" si="72"/>
        <v>#N/A</v>
      </c>
      <c r="X472" s="163" t="e">
        <f t="shared" ca="1" si="73"/>
        <v>#N/A</v>
      </c>
      <c r="Y472" s="163" t="e">
        <f t="shared" ca="1" si="74"/>
        <v>#N/A</v>
      </c>
    </row>
    <row r="473" spans="12:25" ht="14.4">
      <c r="L473" s="464"/>
      <c r="M473" s="129" t="e">
        <f t="shared" si="75"/>
        <v>#N/A</v>
      </c>
      <c r="N473" s="161">
        <f t="shared" si="80"/>
        <v>13</v>
      </c>
      <c r="O473" s="160" t="e">
        <f t="shared" ca="1" si="76"/>
        <v>#N/A</v>
      </c>
      <c r="P473" s="160" t="e">
        <f t="shared" ca="1" si="78"/>
        <v>#N/A</v>
      </c>
      <c r="Q473" s="160" t="e">
        <f t="shared" ca="1" si="79"/>
        <v>#N/A</v>
      </c>
      <c r="R473" s="160" t="e">
        <f t="shared" ca="1" si="79"/>
        <v>#N/A</v>
      </c>
      <c r="S473" s="160" t="e">
        <f t="shared" ca="1" si="79"/>
        <v>#N/A</v>
      </c>
      <c r="T473" s="160" t="e">
        <f t="shared" ca="1" si="77"/>
        <v>#N/A</v>
      </c>
      <c r="U473" s="160" t="e">
        <f t="shared" ca="1" si="77"/>
        <v>#N/A</v>
      </c>
      <c r="V473" s="163" t="e">
        <f t="shared" ca="1" si="71"/>
        <v>#N/A</v>
      </c>
      <c r="W473" s="163" t="e">
        <f t="shared" ca="1" si="72"/>
        <v>#N/A</v>
      </c>
      <c r="X473" s="163" t="e">
        <f t="shared" ca="1" si="73"/>
        <v>#N/A</v>
      </c>
      <c r="Y473" s="163" t="e">
        <f t="shared" ca="1" si="74"/>
        <v>#N/A</v>
      </c>
    </row>
    <row r="474" spans="12:25" ht="14.4">
      <c r="L474" s="464"/>
      <c r="M474" s="129" t="e">
        <f t="shared" si="75"/>
        <v>#N/A</v>
      </c>
      <c r="N474" s="161">
        <f t="shared" si="80"/>
        <v>13</v>
      </c>
      <c r="O474" s="160" t="e">
        <f t="shared" ca="1" si="76"/>
        <v>#N/A</v>
      </c>
      <c r="P474" s="160" t="e">
        <f t="shared" ca="1" si="78"/>
        <v>#N/A</v>
      </c>
      <c r="Q474" s="160" t="e">
        <f t="shared" ca="1" si="79"/>
        <v>#N/A</v>
      </c>
      <c r="R474" s="160" t="e">
        <f t="shared" ca="1" si="79"/>
        <v>#N/A</v>
      </c>
      <c r="S474" s="160" t="e">
        <f t="shared" ca="1" si="79"/>
        <v>#N/A</v>
      </c>
      <c r="T474" s="160" t="e">
        <f t="shared" ca="1" si="77"/>
        <v>#N/A</v>
      </c>
      <c r="U474" s="160" t="e">
        <f t="shared" ca="1" si="77"/>
        <v>#N/A</v>
      </c>
      <c r="V474" s="163" t="e">
        <f t="shared" ca="1" si="71"/>
        <v>#N/A</v>
      </c>
      <c r="W474" s="163" t="e">
        <f t="shared" ca="1" si="72"/>
        <v>#N/A</v>
      </c>
      <c r="X474" s="163" t="e">
        <f t="shared" ca="1" si="73"/>
        <v>#N/A</v>
      </c>
      <c r="Y474" s="163" t="e">
        <f t="shared" ca="1" si="74"/>
        <v>#N/A</v>
      </c>
    </row>
    <row r="475" spans="12:25" ht="14.4">
      <c r="L475" s="464"/>
      <c r="M475" s="129" t="e">
        <f t="shared" si="75"/>
        <v>#N/A</v>
      </c>
      <c r="N475" s="161">
        <f t="shared" si="80"/>
        <v>13</v>
      </c>
      <c r="O475" s="160" t="e">
        <f t="shared" ca="1" si="76"/>
        <v>#N/A</v>
      </c>
      <c r="P475" s="160" t="e">
        <f t="shared" ca="1" si="78"/>
        <v>#N/A</v>
      </c>
      <c r="Q475" s="160" t="e">
        <f t="shared" ca="1" si="79"/>
        <v>#N/A</v>
      </c>
      <c r="R475" s="160" t="e">
        <f t="shared" ca="1" si="79"/>
        <v>#N/A</v>
      </c>
      <c r="S475" s="160" t="e">
        <f t="shared" ca="1" si="79"/>
        <v>#N/A</v>
      </c>
      <c r="T475" s="160" t="e">
        <f t="shared" ca="1" si="77"/>
        <v>#N/A</v>
      </c>
      <c r="U475" s="160" t="e">
        <f t="shared" ca="1" si="77"/>
        <v>#N/A</v>
      </c>
      <c r="V475" s="163" t="e">
        <f t="shared" ca="1" si="71"/>
        <v>#N/A</v>
      </c>
      <c r="W475" s="163" t="e">
        <f t="shared" ca="1" si="72"/>
        <v>#N/A</v>
      </c>
      <c r="X475" s="163" t="e">
        <f t="shared" ca="1" si="73"/>
        <v>#N/A</v>
      </c>
      <c r="Y475" s="163" t="e">
        <f t="shared" ca="1" si="74"/>
        <v>#N/A</v>
      </c>
    </row>
    <row r="476" spans="12:25" ht="14.4">
      <c r="L476" s="464"/>
      <c r="M476" s="129" t="e">
        <f t="shared" si="75"/>
        <v>#N/A</v>
      </c>
      <c r="N476" s="161">
        <f t="shared" si="80"/>
        <v>13</v>
      </c>
      <c r="O476" s="160" t="e">
        <f t="shared" ca="1" si="76"/>
        <v>#N/A</v>
      </c>
      <c r="P476" s="160" t="e">
        <f t="shared" ca="1" si="78"/>
        <v>#N/A</v>
      </c>
      <c r="Q476" s="160" t="e">
        <f t="shared" ca="1" si="79"/>
        <v>#N/A</v>
      </c>
      <c r="R476" s="160" t="e">
        <f t="shared" ca="1" si="79"/>
        <v>#N/A</v>
      </c>
      <c r="S476" s="160" t="e">
        <f t="shared" ca="1" si="79"/>
        <v>#N/A</v>
      </c>
      <c r="T476" s="160" t="e">
        <f t="shared" ca="1" si="77"/>
        <v>#N/A</v>
      </c>
      <c r="U476" s="160" t="e">
        <f t="shared" ca="1" si="77"/>
        <v>#N/A</v>
      </c>
      <c r="V476" s="163" t="e">
        <f t="shared" ca="1" si="71"/>
        <v>#N/A</v>
      </c>
      <c r="W476" s="163" t="e">
        <f t="shared" ca="1" si="72"/>
        <v>#N/A</v>
      </c>
      <c r="X476" s="163" t="e">
        <f t="shared" ca="1" si="73"/>
        <v>#N/A</v>
      </c>
      <c r="Y476" s="163" t="e">
        <f t="shared" ca="1" si="74"/>
        <v>#N/A</v>
      </c>
    </row>
    <row r="477" spans="12:25" ht="14.4">
      <c r="L477" s="464"/>
      <c r="M477" s="129" t="e">
        <f t="shared" si="75"/>
        <v>#N/A</v>
      </c>
      <c r="N477" s="161">
        <f t="shared" si="80"/>
        <v>13</v>
      </c>
      <c r="O477" s="160" t="e">
        <f t="shared" ca="1" si="76"/>
        <v>#N/A</v>
      </c>
      <c r="P477" s="160" t="e">
        <f t="shared" ca="1" si="78"/>
        <v>#N/A</v>
      </c>
      <c r="Q477" s="160" t="e">
        <f t="shared" ca="1" si="79"/>
        <v>#N/A</v>
      </c>
      <c r="R477" s="160" t="e">
        <f t="shared" ca="1" si="79"/>
        <v>#N/A</v>
      </c>
      <c r="S477" s="160" t="e">
        <f t="shared" ca="1" si="79"/>
        <v>#N/A</v>
      </c>
      <c r="T477" s="160" t="e">
        <f t="shared" ca="1" si="77"/>
        <v>#N/A</v>
      </c>
      <c r="U477" s="160" t="e">
        <f t="shared" ca="1" si="77"/>
        <v>#N/A</v>
      </c>
      <c r="V477" s="163" t="e">
        <f t="shared" ca="1" si="71"/>
        <v>#N/A</v>
      </c>
      <c r="W477" s="163" t="e">
        <f t="shared" ca="1" si="72"/>
        <v>#N/A</v>
      </c>
      <c r="X477" s="163" t="e">
        <f t="shared" ca="1" si="73"/>
        <v>#N/A</v>
      </c>
      <c r="Y477" s="163" t="e">
        <f t="shared" ca="1" si="74"/>
        <v>#N/A</v>
      </c>
    </row>
    <row r="478" spans="12:25" ht="14.4">
      <c r="L478" s="464"/>
      <c r="M478" s="129" t="e">
        <f t="shared" si="75"/>
        <v>#N/A</v>
      </c>
      <c r="N478" s="161">
        <f t="shared" si="80"/>
        <v>13</v>
      </c>
      <c r="O478" s="160" t="e">
        <f t="shared" ca="1" si="76"/>
        <v>#N/A</v>
      </c>
      <c r="P478" s="160" t="e">
        <f t="shared" ca="1" si="78"/>
        <v>#N/A</v>
      </c>
      <c r="Q478" s="160" t="e">
        <f t="shared" ca="1" si="79"/>
        <v>#N/A</v>
      </c>
      <c r="R478" s="160" t="e">
        <f t="shared" ca="1" si="79"/>
        <v>#N/A</v>
      </c>
      <c r="S478" s="160" t="e">
        <f t="shared" ca="1" si="79"/>
        <v>#N/A</v>
      </c>
      <c r="T478" s="160" t="e">
        <f t="shared" ca="1" si="77"/>
        <v>#N/A</v>
      </c>
      <c r="U478" s="160" t="e">
        <f t="shared" ca="1" si="77"/>
        <v>#N/A</v>
      </c>
      <c r="V478" s="163" t="e">
        <f t="shared" ca="1" si="71"/>
        <v>#N/A</v>
      </c>
      <c r="W478" s="163" t="e">
        <f t="shared" ca="1" si="72"/>
        <v>#N/A</v>
      </c>
      <c r="X478" s="163" t="e">
        <f t="shared" ca="1" si="73"/>
        <v>#N/A</v>
      </c>
      <c r="Y478" s="163" t="e">
        <f t="shared" ca="1" si="74"/>
        <v>#N/A</v>
      </c>
    </row>
    <row r="479" spans="12:25" ht="14.4">
      <c r="L479" s="464"/>
      <c r="M479" s="129" t="e">
        <f t="shared" si="75"/>
        <v>#N/A</v>
      </c>
      <c r="N479" s="161">
        <f t="shared" si="80"/>
        <v>13</v>
      </c>
      <c r="O479" s="160" t="e">
        <f t="shared" ca="1" si="76"/>
        <v>#N/A</v>
      </c>
      <c r="P479" s="160" t="e">
        <f t="shared" ca="1" si="78"/>
        <v>#N/A</v>
      </c>
      <c r="Q479" s="160" t="e">
        <f t="shared" ca="1" si="79"/>
        <v>#N/A</v>
      </c>
      <c r="R479" s="160" t="e">
        <f t="shared" ca="1" si="79"/>
        <v>#N/A</v>
      </c>
      <c r="S479" s="160" t="e">
        <f t="shared" ca="1" si="79"/>
        <v>#N/A</v>
      </c>
      <c r="T479" s="160" t="e">
        <f t="shared" ca="1" si="77"/>
        <v>#N/A</v>
      </c>
      <c r="U479" s="160" t="e">
        <f t="shared" ca="1" si="77"/>
        <v>#N/A</v>
      </c>
      <c r="V479" s="163" t="e">
        <f t="shared" ref="V479:V542" ca="1" si="81">IF(Q479=0,0,IF(S479=180,IF(R479=0,"Slab on Grade",IF(R479=1,"Exposed Floor",IF(R479=3,"Internal Floor",U479))),IF(S479&lt;45,IF(R479=3,"Internal Ceiling",IF(R479=1,"Roof",U479)))))</f>
        <v>#N/A</v>
      </c>
      <c r="W479" s="163" t="e">
        <f t="shared" ref="W479:W542" ca="1" si="82">IF(ISNUMBER(SEARCH($W$29,U479))=TRUE,IF(ISNUMBER(SEARCH($W$27,U479))=TRUE,IF(R479=1,"eFrame",IF(R479=3,"iFrame")),IF(R479=1,"eWindow",IF(R479=3,"iWindow"))),U479)</f>
        <v>#N/A</v>
      </c>
      <c r="X479" s="163" t="e">
        <f t="shared" ref="X479:X542" ca="1" si="83">IF(ISNUMBER(SEARCH($X$29,U479))=TRUE,IF(ISNUMBER(SEARCH($X$27,U479))=TRUE,IF(R479=1,"eFrameDoor",IF(R479=3,"iFrameDoor")),IF(R479=1,"eDoor",IF(R479=3,"iDoor"))),U479)</f>
        <v>#N/A</v>
      </c>
      <c r="Y479" s="163" t="e">
        <f t="shared" ref="Y479:Y542" ca="1" si="84">IF(ISNUMBER(SEARCH($W$29,U479))=TRUE,"Substract",IF(ISNUMBER(SEARCH($X$29,U479))=TRUE, "Sunstract",IF(S479=90,IF(R479=1,"External Wall",IF(R479=3,"Internal Wall",IF(R479=0,"Below Grade Wall",U479))),V479)))</f>
        <v>#N/A</v>
      </c>
    </row>
    <row r="480" spans="12:25" ht="14.4">
      <c r="L480" s="464"/>
      <c r="M480" s="129" t="e">
        <f t="shared" ref="M480:M543" si="85">IF(M479="end","end",IF(M479=$K$1,"end",M479+1))</f>
        <v>#N/A</v>
      </c>
      <c r="N480" s="161">
        <f t="shared" si="80"/>
        <v>13</v>
      </c>
      <c r="O480" s="160" t="e">
        <f t="shared" ca="1" si="76"/>
        <v>#N/A</v>
      </c>
      <c r="P480" s="160" t="e">
        <f t="shared" ca="1" si="78"/>
        <v>#N/A</v>
      </c>
      <c r="Q480" s="160" t="e">
        <f t="shared" ca="1" si="79"/>
        <v>#N/A</v>
      </c>
      <c r="R480" s="160" t="e">
        <f t="shared" ca="1" si="79"/>
        <v>#N/A</v>
      </c>
      <c r="S480" s="160" t="e">
        <f t="shared" ca="1" si="79"/>
        <v>#N/A</v>
      </c>
      <c r="T480" s="160" t="e">
        <f t="shared" ca="1" si="77"/>
        <v>#N/A</v>
      </c>
      <c r="U480" s="160" t="e">
        <f t="shared" ca="1" si="77"/>
        <v>#N/A</v>
      </c>
      <c r="V480" s="163" t="e">
        <f t="shared" ca="1" si="81"/>
        <v>#N/A</v>
      </c>
      <c r="W480" s="163" t="e">
        <f t="shared" ca="1" si="82"/>
        <v>#N/A</v>
      </c>
      <c r="X480" s="163" t="e">
        <f t="shared" ca="1" si="83"/>
        <v>#N/A</v>
      </c>
      <c r="Y480" s="163" t="e">
        <f t="shared" ca="1" si="84"/>
        <v>#N/A</v>
      </c>
    </row>
    <row r="481" spans="12:25" ht="14.4">
      <c r="L481" s="464"/>
      <c r="M481" s="129" t="e">
        <f t="shared" si="85"/>
        <v>#N/A</v>
      </c>
      <c r="N481" s="161">
        <f t="shared" si="80"/>
        <v>13</v>
      </c>
      <c r="O481" s="160" t="e">
        <f t="shared" ca="1" si="76"/>
        <v>#N/A</v>
      </c>
      <c r="P481" s="160" t="e">
        <f t="shared" ca="1" si="78"/>
        <v>#N/A</v>
      </c>
      <c r="Q481" s="160" t="e">
        <f t="shared" ca="1" si="79"/>
        <v>#N/A</v>
      </c>
      <c r="R481" s="160" t="e">
        <f t="shared" ca="1" si="79"/>
        <v>#N/A</v>
      </c>
      <c r="S481" s="160" t="e">
        <f t="shared" ca="1" si="79"/>
        <v>#N/A</v>
      </c>
      <c r="T481" s="160" t="e">
        <f t="shared" ca="1" si="77"/>
        <v>#N/A</v>
      </c>
      <c r="U481" s="160" t="e">
        <f t="shared" ca="1" si="77"/>
        <v>#N/A</v>
      </c>
      <c r="V481" s="163" t="e">
        <f t="shared" ca="1" si="81"/>
        <v>#N/A</v>
      </c>
      <c r="W481" s="163" t="e">
        <f t="shared" ca="1" si="82"/>
        <v>#N/A</v>
      </c>
      <c r="X481" s="163" t="e">
        <f t="shared" ca="1" si="83"/>
        <v>#N/A</v>
      </c>
      <c r="Y481" s="163" t="e">
        <f t="shared" ca="1" si="84"/>
        <v>#N/A</v>
      </c>
    </row>
    <row r="482" spans="12:25" ht="14.4">
      <c r="L482" s="464"/>
      <c r="M482" s="129" t="e">
        <f t="shared" si="85"/>
        <v>#N/A</v>
      </c>
      <c r="N482" s="161">
        <f t="shared" si="80"/>
        <v>13</v>
      </c>
      <c r="O482" s="160" t="e">
        <f t="shared" ca="1" si="76"/>
        <v>#N/A</v>
      </c>
      <c r="P482" s="160" t="e">
        <f t="shared" ca="1" si="78"/>
        <v>#N/A</v>
      </c>
      <c r="Q482" s="160" t="e">
        <f t="shared" ca="1" si="79"/>
        <v>#N/A</v>
      </c>
      <c r="R482" s="160" t="e">
        <f t="shared" ca="1" si="79"/>
        <v>#N/A</v>
      </c>
      <c r="S482" s="160" t="e">
        <f t="shared" ca="1" si="79"/>
        <v>#N/A</v>
      </c>
      <c r="T482" s="160" t="e">
        <f t="shared" ca="1" si="77"/>
        <v>#N/A</v>
      </c>
      <c r="U482" s="160" t="e">
        <f t="shared" ca="1" si="77"/>
        <v>#N/A</v>
      </c>
      <c r="V482" s="163" t="e">
        <f t="shared" ca="1" si="81"/>
        <v>#N/A</v>
      </c>
      <c r="W482" s="163" t="e">
        <f t="shared" ca="1" si="82"/>
        <v>#N/A</v>
      </c>
      <c r="X482" s="163" t="e">
        <f t="shared" ca="1" si="83"/>
        <v>#N/A</v>
      </c>
      <c r="Y482" s="163" t="e">
        <f t="shared" ca="1" si="84"/>
        <v>#N/A</v>
      </c>
    </row>
    <row r="483" spans="12:25" ht="14.4">
      <c r="L483" s="464"/>
      <c r="M483" s="129" t="e">
        <f t="shared" si="85"/>
        <v>#N/A</v>
      </c>
      <c r="N483" s="161">
        <f t="shared" si="80"/>
        <v>13</v>
      </c>
      <c r="O483" s="160" t="e">
        <f t="shared" ca="1" si="76"/>
        <v>#N/A</v>
      </c>
      <c r="P483" s="160" t="e">
        <f t="shared" ca="1" si="78"/>
        <v>#N/A</v>
      </c>
      <c r="Q483" s="160" t="e">
        <f t="shared" ca="1" si="79"/>
        <v>#N/A</v>
      </c>
      <c r="R483" s="160" t="e">
        <f t="shared" ca="1" si="79"/>
        <v>#N/A</v>
      </c>
      <c r="S483" s="160" t="e">
        <f t="shared" ca="1" si="79"/>
        <v>#N/A</v>
      </c>
      <c r="T483" s="160" t="e">
        <f t="shared" ca="1" si="77"/>
        <v>#N/A</v>
      </c>
      <c r="U483" s="160" t="e">
        <f t="shared" ca="1" si="77"/>
        <v>#N/A</v>
      </c>
      <c r="V483" s="163" t="e">
        <f t="shared" ca="1" si="81"/>
        <v>#N/A</v>
      </c>
      <c r="W483" s="163" t="e">
        <f t="shared" ca="1" si="82"/>
        <v>#N/A</v>
      </c>
      <c r="X483" s="163" t="e">
        <f t="shared" ca="1" si="83"/>
        <v>#N/A</v>
      </c>
      <c r="Y483" s="163" t="e">
        <f t="shared" ca="1" si="84"/>
        <v>#N/A</v>
      </c>
    </row>
    <row r="484" spans="12:25" ht="14.4">
      <c r="L484" s="464"/>
      <c r="M484" s="129" t="e">
        <f t="shared" si="85"/>
        <v>#N/A</v>
      </c>
      <c r="N484" s="161">
        <f t="shared" si="80"/>
        <v>13</v>
      </c>
      <c r="O484" s="160" t="e">
        <f t="shared" ca="1" si="76"/>
        <v>#N/A</v>
      </c>
      <c r="P484" s="160" t="e">
        <f t="shared" ca="1" si="78"/>
        <v>#N/A</v>
      </c>
      <c r="Q484" s="160" t="e">
        <f t="shared" ca="1" si="79"/>
        <v>#N/A</v>
      </c>
      <c r="R484" s="160" t="e">
        <f t="shared" ca="1" si="79"/>
        <v>#N/A</v>
      </c>
      <c r="S484" s="160" t="e">
        <f t="shared" ca="1" si="79"/>
        <v>#N/A</v>
      </c>
      <c r="T484" s="160" t="e">
        <f t="shared" ca="1" si="77"/>
        <v>#N/A</v>
      </c>
      <c r="U484" s="160" t="e">
        <f t="shared" ca="1" si="77"/>
        <v>#N/A</v>
      </c>
      <c r="V484" s="163" t="e">
        <f t="shared" ca="1" si="81"/>
        <v>#N/A</v>
      </c>
      <c r="W484" s="163" t="e">
        <f t="shared" ca="1" si="82"/>
        <v>#N/A</v>
      </c>
      <c r="X484" s="163" t="e">
        <f t="shared" ca="1" si="83"/>
        <v>#N/A</v>
      </c>
      <c r="Y484" s="163" t="e">
        <f t="shared" ca="1" si="84"/>
        <v>#N/A</v>
      </c>
    </row>
    <row r="485" spans="12:25" ht="14.4">
      <c r="L485" s="464"/>
      <c r="M485" s="129" t="e">
        <f t="shared" si="85"/>
        <v>#N/A</v>
      </c>
      <c r="N485" s="161">
        <f t="shared" si="80"/>
        <v>13</v>
      </c>
      <c r="O485" s="160" t="e">
        <f t="shared" ca="1" si="76"/>
        <v>#N/A</v>
      </c>
      <c r="P485" s="160" t="e">
        <f t="shared" ca="1" si="78"/>
        <v>#N/A</v>
      </c>
      <c r="Q485" s="160" t="e">
        <f t="shared" ca="1" si="79"/>
        <v>#N/A</v>
      </c>
      <c r="R485" s="160" t="e">
        <f t="shared" ca="1" si="79"/>
        <v>#N/A</v>
      </c>
      <c r="S485" s="160" t="e">
        <f t="shared" ca="1" si="79"/>
        <v>#N/A</v>
      </c>
      <c r="T485" s="160" t="e">
        <f t="shared" ca="1" si="77"/>
        <v>#N/A</v>
      </c>
      <c r="U485" s="160" t="e">
        <f t="shared" ca="1" si="77"/>
        <v>#N/A</v>
      </c>
      <c r="V485" s="163" t="e">
        <f t="shared" ca="1" si="81"/>
        <v>#N/A</v>
      </c>
      <c r="W485" s="163" t="e">
        <f t="shared" ca="1" si="82"/>
        <v>#N/A</v>
      </c>
      <c r="X485" s="163" t="e">
        <f t="shared" ca="1" si="83"/>
        <v>#N/A</v>
      </c>
      <c r="Y485" s="163" t="e">
        <f t="shared" ca="1" si="84"/>
        <v>#N/A</v>
      </c>
    </row>
    <row r="486" spans="12:25" ht="14.4">
      <c r="L486" s="464"/>
      <c r="M486" s="129" t="e">
        <f t="shared" si="85"/>
        <v>#N/A</v>
      </c>
      <c r="N486" s="161">
        <f t="shared" si="80"/>
        <v>13</v>
      </c>
      <c r="O486" s="160" t="e">
        <f t="shared" ca="1" si="76"/>
        <v>#N/A</v>
      </c>
      <c r="P486" s="160" t="e">
        <f t="shared" ca="1" si="78"/>
        <v>#N/A</v>
      </c>
      <c r="Q486" s="160" t="e">
        <f t="shared" ca="1" si="79"/>
        <v>#N/A</v>
      </c>
      <c r="R486" s="160" t="e">
        <f t="shared" ca="1" si="79"/>
        <v>#N/A</v>
      </c>
      <c r="S486" s="160" t="e">
        <f t="shared" ca="1" si="79"/>
        <v>#N/A</v>
      </c>
      <c r="T486" s="160" t="e">
        <f t="shared" ca="1" si="77"/>
        <v>#N/A</v>
      </c>
      <c r="U486" s="160" t="e">
        <f t="shared" ca="1" si="77"/>
        <v>#N/A</v>
      </c>
      <c r="V486" s="163" t="e">
        <f t="shared" ca="1" si="81"/>
        <v>#N/A</v>
      </c>
      <c r="W486" s="163" t="e">
        <f t="shared" ca="1" si="82"/>
        <v>#N/A</v>
      </c>
      <c r="X486" s="163" t="e">
        <f t="shared" ca="1" si="83"/>
        <v>#N/A</v>
      </c>
      <c r="Y486" s="163" t="e">
        <f t="shared" ca="1" si="84"/>
        <v>#N/A</v>
      </c>
    </row>
    <row r="487" spans="12:25" ht="14.4">
      <c r="L487" s="464"/>
      <c r="M487" s="129" t="e">
        <f t="shared" si="85"/>
        <v>#N/A</v>
      </c>
      <c r="N487" s="161">
        <f t="shared" si="80"/>
        <v>13</v>
      </c>
      <c r="O487" s="160" t="e">
        <f t="shared" ca="1" si="76"/>
        <v>#N/A</v>
      </c>
      <c r="P487" s="160" t="e">
        <f t="shared" ca="1" si="78"/>
        <v>#N/A</v>
      </c>
      <c r="Q487" s="160" t="e">
        <f t="shared" ca="1" si="79"/>
        <v>#N/A</v>
      </c>
      <c r="R487" s="160" t="e">
        <f t="shared" ca="1" si="79"/>
        <v>#N/A</v>
      </c>
      <c r="S487" s="160" t="e">
        <f t="shared" ca="1" si="79"/>
        <v>#N/A</v>
      </c>
      <c r="T487" s="160" t="e">
        <f t="shared" ca="1" si="77"/>
        <v>#N/A</v>
      </c>
      <c r="U487" s="160" t="e">
        <f t="shared" ca="1" si="77"/>
        <v>#N/A</v>
      </c>
      <c r="V487" s="163" t="e">
        <f t="shared" ca="1" si="81"/>
        <v>#N/A</v>
      </c>
      <c r="W487" s="163" t="e">
        <f t="shared" ca="1" si="82"/>
        <v>#N/A</v>
      </c>
      <c r="X487" s="163" t="e">
        <f t="shared" ca="1" si="83"/>
        <v>#N/A</v>
      </c>
      <c r="Y487" s="163" t="e">
        <f t="shared" ca="1" si="84"/>
        <v>#N/A</v>
      </c>
    </row>
    <row r="488" spans="12:25" ht="14.4">
      <c r="L488" s="464"/>
      <c r="M488" s="129" t="e">
        <f t="shared" si="85"/>
        <v>#N/A</v>
      </c>
      <c r="N488" s="161">
        <f t="shared" si="80"/>
        <v>13</v>
      </c>
      <c r="O488" s="160" t="e">
        <f t="shared" ca="1" si="76"/>
        <v>#N/A</v>
      </c>
      <c r="P488" s="160" t="e">
        <f t="shared" ca="1" si="78"/>
        <v>#N/A</v>
      </c>
      <c r="Q488" s="160" t="e">
        <f t="shared" ca="1" si="79"/>
        <v>#N/A</v>
      </c>
      <c r="R488" s="160" t="e">
        <f t="shared" ca="1" si="79"/>
        <v>#N/A</v>
      </c>
      <c r="S488" s="160" t="e">
        <f t="shared" ca="1" si="79"/>
        <v>#N/A</v>
      </c>
      <c r="T488" s="160" t="e">
        <f t="shared" ca="1" si="77"/>
        <v>#N/A</v>
      </c>
      <c r="U488" s="160" t="e">
        <f t="shared" ca="1" si="77"/>
        <v>#N/A</v>
      </c>
      <c r="V488" s="163" t="e">
        <f t="shared" ca="1" si="81"/>
        <v>#N/A</v>
      </c>
      <c r="W488" s="163" t="e">
        <f t="shared" ca="1" si="82"/>
        <v>#N/A</v>
      </c>
      <c r="X488" s="163" t="e">
        <f t="shared" ca="1" si="83"/>
        <v>#N/A</v>
      </c>
      <c r="Y488" s="163" t="e">
        <f t="shared" ca="1" si="84"/>
        <v>#N/A</v>
      </c>
    </row>
    <row r="489" spans="12:25" ht="14.4">
      <c r="L489" s="464"/>
      <c r="M489" s="129" t="e">
        <f t="shared" si="85"/>
        <v>#N/A</v>
      </c>
      <c r="N489" s="161">
        <f t="shared" si="80"/>
        <v>13</v>
      </c>
      <c r="O489" s="160" t="e">
        <f t="shared" ref="O489:O552" ca="1" si="86">IF($M489="end",0,OFFSET($A$1,$M489-1,O$29,1,1))</f>
        <v>#N/A</v>
      </c>
      <c r="P489" s="160" t="e">
        <f t="shared" ca="1" si="78"/>
        <v>#N/A</v>
      </c>
      <c r="Q489" s="160" t="e">
        <f t="shared" ca="1" si="79"/>
        <v>#N/A</v>
      </c>
      <c r="R489" s="160" t="e">
        <f t="shared" ca="1" si="79"/>
        <v>#N/A</v>
      </c>
      <c r="S489" s="160" t="e">
        <f t="shared" ca="1" si="79"/>
        <v>#N/A</v>
      </c>
      <c r="T489" s="160" t="e">
        <f t="shared" ca="1" si="77"/>
        <v>#N/A</v>
      </c>
      <c r="U489" s="160" t="e">
        <f t="shared" ca="1" si="77"/>
        <v>#N/A</v>
      </c>
      <c r="V489" s="163" t="e">
        <f t="shared" ca="1" si="81"/>
        <v>#N/A</v>
      </c>
      <c r="W489" s="163" t="e">
        <f t="shared" ca="1" si="82"/>
        <v>#N/A</v>
      </c>
      <c r="X489" s="163" t="e">
        <f t="shared" ca="1" si="83"/>
        <v>#N/A</v>
      </c>
      <c r="Y489" s="163" t="e">
        <f t="shared" ca="1" si="84"/>
        <v>#N/A</v>
      </c>
    </row>
    <row r="490" spans="12:25" ht="14.4">
      <c r="L490" s="464"/>
      <c r="M490" s="129" t="e">
        <f t="shared" si="85"/>
        <v>#N/A</v>
      </c>
      <c r="N490" s="161">
        <f t="shared" si="80"/>
        <v>13</v>
      </c>
      <c r="O490" s="160" t="e">
        <f t="shared" ca="1" si="86"/>
        <v>#N/A</v>
      </c>
      <c r="P490" s="160" t="e">
        <f t="shared" ca="1" si="78"/>
        <v>#N/A</v>
      </c>
      <c r="Q490" s="160" t="e">
        <f t="shared" ca="1" si="79"/>
        <v>#N/A</v>
      </c>
      <c r="R490" s="160" t="e">
        <f t="shared" ca="1" si="79"/>
        <v>#N/A</v>
      </c>
      <c r="S490" s="160" t="e">
        <f t="shared" ca="1" si="79"/>
        <v>#N/A</v>
      </c>
      <c r="T490" s="160" t="e">
        <f t="shared" ca="1" si="77"/>
        <v>#N/A</v>
      </c>
      <c r="U490" s="160" t="e">
        <f t="shared" ca="1" si="77"/>
        <v>#N/A</v>
      </c>
      <c r="V490" s="163" t="e">
        <f t="shared" ca="1" si="81"/>
        <v>#N/A</v>
      </c>
      <c r="W490" s="163" t="e">
        <f t="shared" ca="1" si="82"/>
        <v>#N/A</v>
      </c>
      <c r="X490" s="163" t="e">
        <f t="shared" ca="1" si="83"/>
        <v>#N/A</v>
      </c>
      <c r="Y490" s="163" t="e">
        <f t="shared" ca="1" si="84"/>
        <v>#N/A</v>
      </c>
    </row>
    <row r="491" spans="12:25" ht="14.4">
      <c r="L491" s="464"/>
      <c r="M491" s="129" t="e">
        <f t="shared" si="85"/>
        <v>#N/A</v>
      </c>
      <c r="N491" s="161">
        <f t="shared" si="80"/>
        <v>13</v>
      </c>
      <c r="O491" s="160" t="e">
        <f t="shared" ca="1" si="86"/>
        <v>#N/A</v>
      </c>
      <c r="P491" s="160" t="e">
        <f t="shared" ca="1" si="78"/>
        <v>#N/A</v>
      </c>
      <c r="Q491" s="160" t="e">
        <f t="shared" ca="1" si="79"/>
        <v>#N/A</v>
      </c>
      <c r="R491" s="160" t="e">
        <f t="shared" ca="1" si="79"/>
        <v>#N/A</v>
      </c>
      <c r="S491" s="160" t="e">
        <f t="shared" ca="1" si="79"/>
        <v>#N/A</v>
      </c>
      <c r="T491" s="160" t="e">
        <f t="shared" ca="1" si="77"/>
        <v>#N/A</v>
      </c>
      <c r="U491" s="160" t="e">
        <f t="shared" ca="1" si="77"/>
        <v>#N/A</v>
      </c>
      <c r="V491" s="163" t="e">
        <f t="shared" ca="1" si="81"/>
        <v>#N/A</v>
      </c>
      <c r="W491" s="163" t="e">
        <f t="shared" ca="1" si="82"/>
        <v>#N/A</v>
      </c>
      <c r="X491" s="163" t="e">
        <f t="shared" ca="1" si="83"/>
        <v>#N/A</v>
      </c>
      <c r="Y491" s="163" t="e">
        <f t="shared" ca="1" si="84"/>
        <v>#N/A</v>
      </c>
    </row>
    <row r="492" spans="12:25" ht="14.4">
      <c r="L492" s="464"/>
      <c r="M492" s="129" t="e">
        <f t="shared" si="85"/>
        <v>#N/A</v>
      </c>
      <c r="N492" s="161">
        <f t="shared" si="80"/>
        <v>13</v>
      </c>
      <c r="O492" s="160" t="e">
        <f t="shared" ca="1" si="86"/>
        <v>#N/A</v>
      </c>
      <c r="P492" s="160" t="e">
        <f t="shared" ca="1" si="78"/>
        <v>#N/A</v>
      </c>
      <c r="Q492" s="160" t="e">
        <f t="shared" ca="1" si="79"/>
        <v>#N/A</v>
      </c>
      <c r="R492" s="160" t="e">
        <f t="shared" ca="1" si="79"/>
        <v>#N/A</v>
      </c>
      <c r="S492" s="160" t="e">
        <f t="shared" ca="1" si="79"/>
        <v>#N/A</v>
      </c>
      <c r="T492" s="160" t="e">
        <f t="shared" ca="1" si="77"/>
        <v>#N/A</v>
      </c>
      <c r="U492" s="160" t="e">
        <f t="shared" ca="1" si="77"/>
        <v>#N/A</v>
      </c>
      <c r="V492" s="163" t="e">
        <f t="shared" ca="1" si="81"/>
        <v>#N/A</v>
      </c>
      <c r="W492" s="163" t="e">
        <f t="shared" ca="1" si="82"/>
        <v>#N/A</v>
      </c>
      <c r="X492" s="163" t="e">
        <f t="shared" ca="1" si="83"/>
        <v>#N/A</v>
      </c>
      <c r="Y492" s="163" t="e">
        <f t="shared" ca="1" si="84"/>
        <v>#N/A</v>
      </c>
    </row>
    <row r="493" spans="12:25" ht="14.4">
      <c r="L493" s="464"/>
      <c r="M493" s="129" t="e">
        <f t="shared" si="85"/>
        <v>#N/A</v>
      </c>
      <c r="N493" s="161">
        <f t="shared" si="80"/>
        <v>13</v>
      </c>
      <c r="O493" s="160" t="e">
        <f t="shared" ca="1" si="86"/>
        <v>#N/A</v>
      </c>
      <c r="P493" s="160" t="e">
        <f t="shared" ca="1" si="78"/>
        <v>#N/A</v>
      </c>
      <c r="Q493" s="160" t="e">
        <f t="shared" ca="1" si="79"/>
        <v>#N/A</v>
      </c>
      <c r="R493" s="160" t="e">
        <f t="shared" ca="1" si="79"/>
        <v>#N/A</v>
      </c>
      <c r="S493" s="160" t="e">
        <f t="shared" ca="1" si="79"/>
        <v>#N/A</v>
      </c>
      <c r="T493" s="160" t="e">
        <f t="shared" ca="1" si="77"/>
        <v>#N/A</v>
      </c>
      <c r="U493" s="160" t="e">
        <f t="shared" ca="1" si="77"/>
        <v>#N/A</v>
      </c>
      <c r="V493" s="163" t="e">
        <f t="shared" ca="1" si="81"/>
        <v>#N/A</v>
      </c>
      <c r="W493" s="163" t="e">
        <f t="shared" ca="1" si="82"/>
        <v>#N/A</v>
      </c>
      <c r="X493" s="163" t="e">
        <f t="shared" ca="1" si="83"/>
        <v>#N/A</v>
      </c>
      <c r="Y493" s="163" t="e">
        <f t="shared" ca="1" si="84"/>
        <v>#N/A</v>
      </c>
    </row>
    <row r="494" spans="12:25" ht="14.4">
      <c r="L494" s="464"/>
      <c r="M494" s="129" t="e">
        <f t="shared" si="85"/>
        <v>#N/A</v>
      </c>
      <c r="N494" s="161">
        <f t="shared" si="80"/>
        <v>13</v>
      </c>
      <c r="O494" s="160" t="e">
        <f t="shared" ca="1" si="86"/>
        <v>#N/A</v>
      </c>
      <c r="P494" s="160" t="e">
        <f t="shared" ca="1" si="78"/>
        <v>#N/A</v>
      </c>
      <c r="Q494" s="160" t="e">
        <f t="shared" ca="1" si="79"/>
        <v>#N/A</v>
      </c>
      <c r="R494" s="160" t="e">
        <f t="shared" ca="1" si="79"/>
        <v>#N/A</v>
      </c>
      <c r="S494" s="160" t="e">
        <f t="shared" ca="1" si="79"/>
        <v>#N/A</v>
      </c>
      <c r="T494" s="160" t="e">
        <f t="shared" ca="1" si="77"/>
        <v>#N/A</v>
      </c>
      <c r="U494" s="160" t="e">
        <f t="shared" ca="1" si="77"/>
        <v>#N/A</v>
      </c>
      <c r="V494" s="163" t="e">
        <f t="shared" ca="1" si="81"/>
        <v>#N/A</v>
      </c>
      <c r="W494" s="163" t="e">
        <f t="shared" ca="1" si="82"/>
        <v>#N/A</v>
      </c>
      <c r="X494" s="163" t="e">
        <f t="shared" ca="1" si="83"/>
        <v>#N/A</v>
      </c>
      <c r="Y494" s="163" t="e">
        <f t="shared" ca="1" si="84"/>
        <v>#N/A</v>
      </c>
    </row>
    <row r="495" spans="12:25" ht="14.4">
      <c r="L495" s="464"/>
      <c r="M495" s="129" t="e">
        <f t="shared" si="85"/>
        <v>#N/A</v>
      </c>
      <c r="N495" s="161">
        <f t="shared" si="80"/>
        <v>13</v>
      </c>
      <c r="O495" s="160" t="e">
        <f t="shared" ca="1" si="86"/>
        <v>#N/A</v>
      </c>
      <c r="P495" s="160" t="e">
        <f t="shared" ca="1" si="78"/>
        <v>#N/A</v>
      </c>
      <c r="Q495" s="160" t="e">
        <f t="shared" ca="1" si="79"/>
        <v>#N/A</v>
      </c>
      <c r="R495" s="160" t="e">
        <f t="shared" ca="1" si="79"/>
        <v>#N/A</v>
      </c>
      <c r="S495" s="160" t="e">
        <f t="shared" ca="1" si="79"/>
        <v>#N/A</v>
      </c>
      <c r="T495" s="160" t="e">
        <f t="shared" ca="1" si="77"/>
        <v>#N/A</v>
      </c>
      <c r="U495" s="160" t="e">
        <f t="shared" ca="1" si="77"/>
        <v>#N/A</v>
      </c>
      <c r="V495" s="163" t="e">
        <f t="shared" ca="1" si="81"/>
        <v>#N/A</v>
      </c>
      <c r="W495" s="163" t="e">
        <f t="shared" ca="1" si="82"/>
        <v>#N/A</v>
      </c>
      <c r="X495" s="163" t="e">
        <f t="shared" ca="1" si="83"/>
        <v>#N/A</v>
      </c>
      <c r="Y495" s="163" t="e">
        <f t="shared" ca="1" si="84"/>
        <v>#N/A</v>
      </c>
    </row>
    <row r="496" spans="12:25" ht="14.4">
      <c r="L496" s="464"/>
      <c r="M496" s="129" t="e">
        <f t="shared" si="85"/>
        <v>#N/A</v>
      </c>
      <c r="N496" s="161">
        <f t="shared" si="80"/>
        <v>13</v>
      </c>
      <c r="O496" s="160" t="e">
        <f t="shared" ca="1" si="86"/>
        <v>#N/A</v>
      </c>
      <c r="P496" s="160" t="e">
        <f t="shared" ca="1" si="78"/>
        <v>#N/A</v>
      </c>
      <c r="Q496" s="160" t="e">
        <f t="shared" ca="1" si="79"/>
        <v>#N/A</v>
      </c>
      <c r="R496" s="160" t="e">
        <f t="shared" ca="1" si="79"/>
        <v>#N/A</v>
      </c>
      <c r="S496" s="160" t="e">
        <f t="shared" ca="1" si="79"/>
        <v>#N/A</v>
      </c>
      <c r="T496" s="160" t="e">
        <f t="shared" ca="1" si="77"/>
        <v>#N/A</v>
      </c>
      <c r="U496" s="160" t="e">
        <f t="shared" ca="1" si="77"/>
        <v>#N/A</v>
      </c>
      <c r="V496" s="163" t="e">
        <f t="shared" ca="1" si="81"/>
        <v>#N/A</v>
      </c>
      <c r="W496" s="163" t="e">
        <f t="shared" ca="1" si="82"/>
        <v>#N/A</v>
      </c>
      <c r="X496" s="163" t="e">
        <f t="shared" ca="1" si="83"/>
        <v>#N/A</v>
      </c>
      <c r="Y496" s="163" t="e">
        <f t="shared" ca="1" si="84"/>
        <v>#N/A</v>
      </c>
    </row>
    <row r="497" spans="12:25" ht="14.4">
      <c r="L497" s="464"/>
      <c r="M497" s="129" t="e">
        <f t="shared" si="85"/>
        <v>#N/A</v>
      </c>
      <c r="N497" s="161">
        <f t="shared" si="80"/>
        <v>13</v>
      </c>
      <c r="O497" s="160" t="e">
        <f t="shared" ca="1" si="86"/>
        <v>#N/A</v>
      </c>
      <c r="P497" s="160" t="e">
        <f t="shared" ca="1" si="78"/>
        <v>#N/A</v>
      </c>
      <c r="Q497" s="160" t="e">
        <f t="shared" ca="1" si="79"/>
        <v>#N/A</v>
      </c>
      <c r="R497" s="160" t="e">
        <f t="shared" ca="1" si="79"/>
        <v>#N/A</v>
      </c>
      <c r="S497" s="160" t="e">
        <f t="shared" ca="1" si="79"/>
        <v>#N/A</v>
      </c>
      <c r="T497" s="160" t="e">
        <f t="shared" ca="1" si="79"/>
        <v>#N/A</v>
      </c>
      <c r="U497" s="160" t="e">
        <f t="shared" ca="1" si="79"/>
        <v>#N/A</v>
      </c>
      <c r="V497" s="163" t="e">
        <f t="shared" ca="1" si="81"/>
        <v>#N/A</v>
      </c>
      <c r="W497" s="163" t="e">
        <f t="shared" ca="1" si="82"/>
        <v>#N/A</v>
      </c>
      <c r="X497" s="163" t="e">
        <f t="shared" ca="1" si="83"/>
        <v>#N/A</v>
      </c>
      <c r="Y497" s="163" t="e">
        <f t="shared" ca="1" si="84"/>
        <v>#N/A</v>
      </c>
    </row>
    <row r="498" spans="12:25" ht="14.4">
      <c r="L498" s="464"/>
      <c r="M498" s="129" t="e">
        <f t="shared" si="85"/>
        <v>#N/A</v>
      </c>
      <c r="N498" s="161">
        <f t="shared" si="80"/>
        <v>13</v>
      </c>
      <c r="O498" s="160" t="e">
        <f t="shared" ca="1" si="86"/>
        <v>#N/A</v>
      </c>
      <c r="P498" s="160" t="e">
        <f t="shared" ref="P498:P561" ca="1" si="87">IF($M498="end",0,OFFSET($A$1,$M498-1,P$29,1,1))</f>
        <v>#N/A</v>
      </c>
      <c r="Q498" s="160" t="e">
        <f t="shared" ref="Q498:T561" ca="1" si="88">IF($M498="end",0,OFFSET($A$1,$M498-1,Q$29,1,1))</f>
        <v>#N/A</v>
      </c>
      <c r="R498" s="160" t="e">
        <f t="shared" ca="1" si="88"/>
        <v>#N/A</v>
      </c>
      <c r="S498" s="160" t="e">
        <f t="shared" ca="1" si="88"/>
        <v>#N/A</v>
      </c>
      <c r="T498" s="160" t="e">
        <f t="shared" ca="1" si="88"/>
        <v>#N/A</v>
      </c>
      <c r="U498" s="160" t="e">
        <f t="shared" ref="U498:U561" ca="1" si="89">IF($M498="end",0,OFFSET($A$1,$M498-1,U$29,1,1))</f>
        <v>#N/A</v>
      </c>
      <c r="V498" s="163" t="e">
        <f t="shared" ca="1" si="81"/>
        <v>#N/A</v>
      </c>
      <c r="W498" s="163" t="e">
        <f t="shared" ca="1" si="82"/>
        <v>#N/A</v>
      </c>
      <c r="X498" s="163" t="e">
        <f t="shared" ca="1" si="83"/>
        <v>#N/A</v>
      </c>
      <c r="Y498" s="163" t="e">
        <f t="shared" ca="1" si="84"/>
        <v>#N/A</v>
      </c>
    </row>
    <row r="499" spans="12:25" ht="14.4">
      <c r="L499" s="464"/>
      <c r="M499" s="129" t="e">
        <f t="shared" si="85"/>
        <v>#N/A</v>
      </c>
      <c r="N499" s="161">
        <f t="shared" si="80"/>
        <v>13</v>
      </c>
      <c r="O499" s="160" t="e">
        <f t="shared" ca="1" si="86"/>
        <v>#N/A</v>
      </c>
      <c r="P499" s="160" t="e">
        <f t="shared" ca="1" si="87"/>
        <v>#N/A</v>
      </c>
      <c r="Q499" s="160" t="e">
        <f t="shared" ca="1" si="88"/>
        <v>#N/A</v>
      </c>
      <c r="R499" s="160" t="e">
        <f t="shared" ca="1" si="88"/>
        <v>#N/A</v>
      </c>
      <c r="S499" s="160" t="e">
        <f t="shared" ca="1" si="88"/>
        <v>#N/A</v>
      </c>
      <c r="T499" s="160" t="e">
        <f t="shared" ca="1" si="88"/>
        <v>#N/A</v>
      </c>
      <c r="U499" s="160" t="e">
        <f t="shared" ca="1" si="89"/>
        <v>#N/A</v>
      </c>
      <c r="V499" s="163" t="e">
        <f t="shared" ca="1" si="81"/>
        <v>#N/A</v>
      </c>
      <c r="W499" s="163" t="e">
        <f t="shared" ca="1" si="82"/>
        <v>#N/A</v>
      </c>
      <c r="X499" s="163" t="e">
        <f t="shared" ca="1" si="83"/>
        <v>#N/A</v>
      </c>
      <c r="Y499" s="163" t="e">
        <f t="shared" ca="1" si="84"/>
        <v>#N/A</v>
      </c>
    </row>
    <row r="500" spans="12:25" ht="14.4">
      <c r="L500" s="464"/>
      <c r="M500" s="129" t="e">
        <f t="shared" si="85"/>
        <v>#N/A</v>
      </c>
      <c r="N500" s="161">
        <f t="shared" si="80"/>
        <v>13</v>
      </c>
      <c r="O500" s="160" t="e">
        <f t="shared" ca="1" si="86"/>
        <v>#N/A</v>
      </c>
      <c r="P500" s="160" t="e">
        <f t="shared" ca="1" si="87"/>
        <v>#N/A</v>
      </c>
      <c r="Q500" s="160" t="e">
        <f t="shared" ca="1" si="88"/>
        <v>#N/A</v>
      </c>
      <c r="R500" s="160" t="e">
        <f t="shared" ca="1" si="88"/>
        <v>#N/A</v>
      </c>
      <c r="S500" s="160" t="e">
        <f t="shared" ca="1" si="88"/>
        <v>#N/A</v>
      </c>
      <c r="T500" s="160" t="e">
        <f t="shared" ca="1" si="88"/>
        <v>#N/A</v>
      </c>
      <c r="U500" s="160" t="e">
        <f t="shared" ca="1" si="89"/>
        <v>#N/A</v>
      </c>
      <c r="V500" s="163" t="e">
        <f t="shared" ca="1" si="81"/>
        <v>#N/A</v>
      </c>
      <c r="W500" s="163" t="e">
        <f t="shared" ca="1" si="82"/>
        <v>#N/A</v>
      </c>
      <c r="X500" s="163" t="e">
        <f t="shared" ca="1" si="83"/>
        <v>#N/A</v>
      </c>
      <c r="Y500" s="163" t="e">
        <f t="shared" ca="1" si="84"/>
        <v>#N/A</v>
      </c>
    </row>
    <row r="501" spans="12:25" ht="14.4">
      <c r="L501" s="464"/>
      <c r="M501" s="129" t="e">
        <f t="shared" si="85"/>
        <v>#N/A</v>
      </c>
      <c r="N501" s="161">
        <f t="shared" si="80"/>
        <v>13</v>
      </c>
      <c r="O501" s="160" t="e">
        <f t="shared" ca="1" si="86"/>
        <v>#N/A</v>
      </c>
      <c r="P501" s="160" t="e">
        <f t="shared" ca="1" si="87"/>
        <v>#N/A</v>
      </c>
      <c r="Q501" s="160" t="e">
        <f t="shared" ca="1" si="88"/>
        <v>#N/A</v>
      </c>
      <c r="R501" s="160" t="e">
        <f t="shared" ca="1" si="88"/>
        <v>#N/A</v>
      </c>
      <c r="S501" s="160" t="e">
        <f t="shared" ca="1" si="88"/>
        <v>#N/A</v>
      </c>
      <c r="T501" s="160" t="e">
        <f t="shared" ca="1" si="88"/>
        <v>#N/A</v>
      </c>
      <c r="U501" s="160" t="e">
        <f t="shared" ca="1" si="89"/>
        <v>#N/A</v>
      </c>
      <c r="V501" s="163" t="e">
        <f t="shared" ca="1" si="81"/>
        <v>#N/A</v>
      </c>
      <c r="W501" s="163" t="e">
        <f t="shared" ca="1" si="82"/>
        <v>#N/A</v>
      </c>
      <c r="X501" s="163" t="e">
        <f t="shared" ca="1" si="83"/>
        <v>#N/A</v>
      </c>
      <c r="Y501" s="163" t="e">
        <f t="shared" ca="1" si="84"/>
        <v>#N/A</v>
      </c>
    </row>
    <row r="502" spans="12:25" ht="14.4">
      <c r="L502" s="464"/>
      <c r="M502" s="129" t="e">
        <f t="shared" si="85"/>
        <v>#N/A</v>
      </c>
      <c r="N502" s="161">
        <f t="shared" si="80"/>
        <v>13</v>
      </c>
      <c r="O502" s="160" t="e">
        <f t="shared" ca="1" si="86"/>
        <v>#N/A</v>
      </c>
      <c r="P502" s="160" t="e">
        <f t="shared" ca="1" si="87"/>
        <v>#N/A</v>
      </c>
      <c r="Q502" s="160" t="e">
        <f t="shared" ca="1" si="88"/>
        <v>#N/A</v>
      </c>
      <c r="R502" s="160" t="e">
        <f t="shared" ca="1" si="88"/>
        <v>#N/A</v>
      </c>
      <c r="S502" s="160" t="e">
        <f t="shared" ca="1" si="88"/>
        <v>#N/A</v>
      </c>
      <c r="T502" s="160" t="e">
        <f t="shared" ca="1" si="88"/>
        <v>#N/A</v>
      </c>
      <c r="U502" s="160" t="e">
        <f t="shared" ca="1" si="89"/>
        <v>#N/A</v>
      </c>
      <c r="V502" s="163" t="e">
        <f t="shared" ca="1" si="81"/>
        <v>#N/A</v>
      </c>
      <c r="W502" s="163" t="e">
        <f t="shared" ca="1" si="82"/>
        <v>#N/A</v>
      </c>
      <c r="X502" s="163" t="e">
        <f t="shared" ca="1" si="83"/>
        <v>#N/A</v>
      </c>
      <c r="Y502" s="163" t="e">
        <f t="shared" ca="1" si="84"/>
        <v>#N/A</v>
      </c>
    </row>
    <row r="503" spans="12:25" ht="14.4">
      <c r="L503" s="464"/>
      <c r="M503" s="129" t="e">
        <f t="shared" si="85"/>
        <v>#N/A</v>
      </c>
      <c r="N503" s="161">
        <f t="shared" si="80"/>
        <v>13</v>
      </c>
      <c r="O503" s="160" t="e">
        <f t="shared" ca="1" si="86"/>
        <v>#N/A</v>
      </c>
      <c r="P503" s="160" t="e">
        <f t="shared" ca="1" si="87"/>
        <v>#N/A</v>
      </c>
      <c r="Q503" s="160" t="e">
        <f t="shared" ca="1" si="88"/>
        <v>#N/A</v>
      </c>
      <c r="R503" s="160" t="e">
        <f t="shared" ca="1" si="88"/>
        <v>#N/A</v>
      </c>
      <c r="S503" s="160" t="e">
        <f t="shared" ca="1" si="88"/>
        <v>#N/A</v>
      </c>
      <c r="T503" s="160" t="e">
        <f t="shared" ca="1" si="88"/>
        <v>#N/A</v>
      </c>
      <c r="U503" s="160" t="e">
        <f t="shared" ca="1" si="89"/>
        <v>#N/A</v>
      </c>
      <c r="V503" s="163" t="e">
        <f t="shared" ca="1" si="81"/>
        <v>#N/A</v>
      </c>
      <c r="W503" s="163" t="e">
        <f t="shared" ca="1" si="82"/>
        <v>#N/A</v>
      </c>
      <c r="X503" s="163" t="e">
        <f t="shared" ca="1" si="83"/>
        <v>#N/A</v>
      </c>
      <c r="Y503" s="163" t="e">
        <f t="shared" ca="1" si="84"/>
        <v>#N/A</v>
      </c>
    </row>
    <row r="504" spans="12:25" ht="14.4">
      <c r="L504" s="464"/>
      <c r="M504" s="129" t="e">
        <f t="shared" si="85"/>
        <v>#N/A</v>
      </c>
      <c r="N504" s="161">
        <f t="shared" si="80"/>
        <v>13</v>
      </c>
      <c r="O504" s="160" t="e">
        <f t="shared" ca="1" si="86"/>
        <v>#N/A</v>
      </c>
      <c r="P504" s="160" t="e">
        <f t="shared" ca="1" si="87"/>
        <v>#N/A</v>
      </c>
      <c r="Q504" s="160" t="e">
        <f t="shared" ca="1" si="88"/>
        <v>#N/A</v>
      </c>
      <c r="R504" s="160" t="e">
        <f t="shared" ca="1" si="88"/>
        <v>#N/A</v>
      </c>
      <c r="S504" s="160" t="e">
        <f t="shared" ca="1" si="88"/>
        <v>#N/A</v>
      </c>
      <c r="T504" s="160" t="e">
        <f t="shared" ca="1" si="88"/>
        <v>#N/A</v>
      </c>
      <c r="U504" s="160" t="e">
        <f t="shared" ca="1" si="89"/>
        <v>#N/A</v>
      </c>
      <c r="V504" s="163" t="e">
        <f t="shared" ca="1" si="81"/>
        <v>#N/A</v>
      </c>
      <c r="W504" s="163" t="e">
        <f t="shared" ca="1" si="82"/>
        <v>#N/A</v>
      </c>
      <c r="X504" s="163" t="e">
        <f t="shared" ca="1" si="83"/>
        <v>#N/A</v>
      </c>
      <c r="Y504" s="163" t="e">
        <f t="shared" ca="1" si="84"/>
        <v>#N/A</v>
      </c>
    </row>
    <row r="505" spans="12:25" ht="14.4">
      <c r="L505" s="464"/>
      <c r="M505" s="129" t="e">
        <f t="shared" si="85"/>
        <v>#N/A</v>
      </c>
      <c r="N505" s="161">
        <f t="shared" si="80"/>
        <v>13</v>
      </c>
      <c r="O505" s="160" t="e">
        <f t="shared" ca="1" si="86"/>
        <v>#N/A</v>
      </c>
      <c r="P505" s="160" t="e">
        <f t="shared" ca="1" si="87"/>
        <v>#N/A</v>
      </c>
      <c r="Q505" s="160" t="e">
        <f t="shared" ca="1" si="88"/>
        <v>#N/A</v>
      </c>
      <c r="R505" s="160" t="e">
        <f t="shared" ca="1" si="88"/>
        <v>#N/A</v>
      </c>
      <c r="S505" s="160" t="e">
        <f t="shared" ca="1" si="88"/>
        <v>#N/A</v>
      </c>
      <c r="T505" s="160" t="e">
        <f t="shared" ca="1" si="88"/>
        <v>#N/A</v>
      </c>
      <c r="U505" s="160" t="e">
        <f t="shared" ca="1" si="89"/>
        <v>#N/A</v>
      </c>
      <c r="V505" s="163" t="e">
        <f t="shared" ca="1" si="81"/>
        <v>#N/A</v>
      </c>
      <c r="W505" s="163" t="e">
        <f t="shared" ca="1" si="82"/>
        <v>#N/A</v>
      </c>
      <c r="X505" s="163" t="e">
        <f t="shared" ca="1" si="83"/>
        <v>#N/A</v>
      </c>
      <c r="Y505" s="163" t="e">
        <f t="shared" ca="1" si="84"/>
        <v>#N/A</v>
      </c>
    </row>
    <row r="506" spans="12:25" ht="14.4">
      <c r="L506" s="464"/>
      <c r="M506" s="129" t="e">
        <f t="shared" si="85"/>
        <v>#N/A</v>
      </c>
      <c r="N506" s="161">
        <f t="shared" si="80"/>
        <v>13</v>
      </c>
      <c r="O506" s="160" t="e">
        <f t="shared" ca="1" si="86"/>
        <v>#N/A</v>
      </c>
      <c r="P506" s="160" t="e">
        <f t="shared" ca="1" si="87"/>
        <v>#N/A</v>
      </c>
      <c r="Q506" s="160" t="e">
        <f t="shared" ca="1" si="88"/>
        <v>#N/A</v>
      </c>
      <c r="R506" s="160" t="e">
        <f t="shared" ca="1" si="88"/>
        <v>#N/A</v>
      </c>
      <c r="S506" s="160" t="e">
        <f t="shared" ca="1" si="88"/>
        <v>#N/A</v>
      </c>
      <c r="T506" s="160" t="e">
        <f t="shared" ca="1" si="88"/>
        <v>#N/A</v>
      </c>
      <c r="U506" s="160" t="e">
        <f t="shared" ca="1" si="89"/>
        <v>#N/A</v>
      </c>
      <c r="V506" s="163" t="e">
        <f t="shared" ca="1" si="81"/>
        <v>#N/A</v>
      </c>
      <c r="W506" s="163" t="e">
        <f t="shared" ca="1" si="82"/>
        <v>#N/A</v>
      </c>
      <c r="X506" s="163" t="e">
        <f t="shared" ca="1" si="83"/>
        <v>#N/A</v>
      </c>
      <c r="Y506" s="163" t="e">
        <f t="shared" ca="1" si="84"/>
        <v>#N/A</v>
      </c>
    </row>
    <row r="507" spans="12:25" ht="14.4">
      <c r="L507" s="464"/>
      <c r="M507" s="129" t="e">
        <f t="shared" si="85"/>
        <v>#N/A</v>
      </c>
      <c r="N507" s="161">
        <f t="shared" si="80"/>
        <v>13</v>
      </c>
      <c r="O507" s="160" t="e">
        <f t="shared" ca="1" si="86"/>
        <v>#N/A</v>
      </c>
      <c r="P507" s="160" t="e">
        <f t="shared" ca="1" si="87"/>
        <v>#N/A</v>
      </c>
      <c r="Q507" s="160" t="e">
        <f t="shared" ca="1" si="88"/>
        <v>#N/A</v>
      </c>
      <c r="R507" s="160" t="e">
        <f t="shared" ca="1" si="88"/>
        <v>#N/A</v>
      </c>
      <c r="S507" s="160" t="e">
        <f t="shared" ca="1" si="88"/>
        <v>#N/A</v>
      </c>
      <c r="T507" s="160" t="e">
        <f t="shared" ca="1" si="88"/>
        <v>#N/A</v>
      </c>
      <c r="U507" s="160" t="e">
        <f t="shared" ca="1" si="89"/>
        <v>#N/A</v>
      </c>
      <c r="V507" s="163" t="e">
        <f t="shared" ca="1" si="81"/>
        <v>#N/A</v>
      </c>
      <c r="W507" s="163" t="e">
        <f t="shared" ca="1" si="82"/>
        <v>#N/A</v>
      </c>
      <c r="X507" s="163" t="e">
        <f t="shared" ca="1" si="83"/>
        <v>#N/A</v>
      </c>
      <c r="Y507" s="163" t="e">
        <f t="shared" ca="1" si="84"/>
        <v>#N/A</v>
      </c>
    </row>
    <row r="508" spans="12:25" ht="14.4">
      <c r="L508" s="464"/>
      <c r="M508" s="129" t="e">
        <f t="shared" si="85"/>
        <v>#N/A</v>
      </c>
      <c r="N508" s="161">
        <f t="shared" si="80"/>
        <v>13</v>
      </c>
      <c r="O508" s="160" t="e">
        <f t="shared" ca="1" si="86"/>
        <v>#N/A</v>
      </c>
      <c r="P508" s="160" t="e">
        <f t="shared" ca="1" si="87"/>
        <v>#N/A</v>
      </c>
      <c r="Q508" s="160" t="e">
        <f t="shared" ca="1" si="88"/>
        <v>#N/A</v>
      </c>
      <c r="R508" s="160" t="e">
        <f t="shared" ca="1" si="88"/>
        <v>#N/A</v>
      </c>
      <c r="S508" s="160" t="e">
        <f t="shared" ca="1" si="88"/>
        <v>#N/A</v>
      </c>
      <c r="T508" s="160" t="e">
        <f t="shared" ca="1" si="88"/>
        <v>#N/A</v>
      </c>
      <c r="U508" s="160" t="e">
        <f t="shared" ca="1" si="89"/>
        <v>#N/A</v>
      </c>
      <c r="V508" s="163" t="e">
        <f t="shared" ca="1" si="81"/>
        <v>#N/A</v>
      </c>
      <c r="W508" s="163" t="e">
        <f t="shared" ca="1" si="82"/>
        <v>#N/A</v>
      </c>
      <c r="X508" s="163" t="e">
        <f t="shared" ca="1" si="83"/>
        <v>#N/A</v>
      </c>
      <c r="Y508" s="163" t="e">
        <f t="shared" ca="1" si="84"/>
        <v>#N/A</v>
      </c>
    </row>
    <row r="509" spans="12:25" ht="14.4">
      <c r="L509" s="464"/>
      <c r="M509" s="129" t="e">
        <f t="shared" si="85"/>
        <v>#N/A</v>
      </c>
      <c r="N509" s="161">
        <f t="shared" si="80"/>
        <v>13</v>
      </c>
      <c r="O509" s="160" t="e">
        <f t="shared" ca="1" si="86"/>
        <v>#N/A</v>
      </c>
      <c r="P509" s="160" t="e">
        <f t="shared" ca="1" si="87"/>
        <v>#N/A</v>
      </c>
      <c r="Q509" s="160" t="e">
        <f t="shared" ca="1" si="88"/>
        <v>#N/A</v>
      </c>
      <c r="R509" s="160" t="e">
        <f t="shared" ca="1" si="88"/>
        <v>#N/A</v>
      </c>
      <c r="S509" s="160" t="e">
        <f t="shared" ca="1" si="88"/>
        <v>#N/A</v>
      </c>
      <c r="T509" s="160" t="e">
        <f t="shared" ca="1" si="88"/>
        <v>#N/A</v>
      </c>
      <c r="U509" s="160" t="e">
        <f t="shared" ca="1" si="89"/>
        <v>#N/A</v>
      </c>
      <c r="V509" s="163" t="e">
        <f t="shared" ca="1" si="81"/>
        <v>#N/A</v>
      </c>
      <c r="W509" s="163" t="e">
        <f t="shared" ca="1" si="82"/>
        <v>#N/A</v>
      </c>
      <c r="X509" s="163" t="e">
        <f t="shared" ca="1" si="83"/>
        <v>#N/A</v>
      </c>
      <c r="Y509" s="163" t="e">
        <f t="shared" ca="1" si="84"/>
        <v>#N/A</v>
      </c>
    </row>
    <row r="510" spans="12:25" ht="14.4">
      <c r="L510" s="464"/>
      <c r="M510" s="129" t="e">
        <f t="shared" si="85"/>
        <v>#N/A</v>
      </c>
      <c r="N510" s="161">
        <f t="shared" si="80"/>
        <v>13</v>
      </c>
      <c r="O510" s="160" t="e">
        <f t="shared" ca="1" si="86"/>
        <v>#N/A</v>
      </c>
      <c r="P510" s="160" t="e">
        <f t="shared" ca="1" si="87"/>
        <v>#N/A</v>
      </c>
      <c r="Q510" s="160" t="e">
        <f t="shared" ca="1" si="88"/>
        <v>#N/A</v>
      </c>
      <c r="R510" s="160" t="e">
        <f t="shared" ca="1" si="88"/>
        <v>#N/A</v>
      </c>
      <c r="S510" s="160" t="e">
        <f t="shared" ca="1" si="88"/>
        <v>#N/A</v>
      </c>
      <c r="T510" s="160" t="e">
        <f t="shared" ca="1" si="88"/>
        <v>#N/A</v>
      </c>
      <c r="U510" s="160" t="e">
        <f t="shared" ca="1" si="89"/>
        <v>#N/A</v>
      </c>
      <c r="V510" s="163" t="e">
        <f t="shared" ca="1" si="81"/>
        <v>#N/A</v>
      </c>
      <c r="W510" s="163" t="e">
        <f t="shared" ca="1" si="82"/>
        <v>#N/A</v>
      </c>
      <c r="X510" s="163" t="e">
        <f t="shared" ca="1" si="83"/>
        <v>#N/A</v>
      </c>
      <c r="Y510" s="163" t="e">
        <f t="shared" ca="1" si="84"/>
        <v>#N/A</v>
      </c>
    </row>
    <row r="511" spans="12:25" ht="14.4">
      <c r="L511" s="464"/>
      <c r="M511" s="129" t="e">
        <f t="shared" si="85"/>
        <v>#N/A</v>
      </c>
      <c r="N511" s="161">
        <f t="shared" si="80"/>
        <v>13</v>
      </c>
      <c r="O511" s="160" t="e">
        <f t="shared" ca="1" si="86"/>
        <v>#N/A</v>
      </c>
      <c r="P511" s="160" t="e">
        <f t="shared" ca="1" si="87"/>
        <v>#N/A</v>
      </c>
      <c r="Q511" s="160" t="e">
        <f t="shared" ca="1" si="88"/>
        <v>#N/A</v>
      </c>
      <c r="R511" s="160" t="e">
        <f t="shared" ca="1" si="88"/>
        <v>#N/A</v>
      </c>
      <c r="S511" s="160" t="e">
        <f t="shared" ca="1" si="88"/>
        <v>#N/A</v>
      </c>
      <c r="T511" s="160" t="e">
        <f t="shared" ca="1" si="88"/>
        <v>#N/A</v>
      </c>
      <c r="U511" s="160" t="e">
        <f t="shared" ca="1" si="89"/>
        <v>#N/A</v>
      </c>
      <c r="V511" s="163" t="e">
        <f t="shared" ca="1" si="81"/>
        <v>#N/A</v>
      </c>
      <c r="W511" s="163" t="e">
        <f t="shared" ca="1" si="82"/>
        <v>#N/A</v>
      </c>
      <c r="X511" s="163" t="e">
        <f t="shared" ca="1" si="83"/>
        <v>#N/A</v>
      </c>
      <c r="Y511" s="163" t="e">
        <f t="shared" ca="1" si="84"/>
        <v>#N/A</v>
      </c>
    </row>
    <row r="512" spans="12:25" ht="14.4">
      <c r="L512" s="464"/>
      <c r="M512" s="129" t="e">
        <f t="shared" si="85"/>
        <v>#N/A</v>
      </c>
      <c r="N512" s="161">
        <f t="shared" si="80"/>
        <v>13</v>
      </c>
      <c r="O512" s="160" t="e">
        <f t="shared" ca="1" si="86"/>
        <v>#N/A</v>
      </c>
      <c r="P512" s="160" t="e">
        <f t="shared" ca="1" si="87"/>
        <v>#N/A</v>
      </c>
      <c r="Q512" s="160" t="e">
        <f t="shared" ca="1" si="88"/>
        <v>#N/A</v>
      </c>
      <c r="R512" s="160" t="e">
        <f t="shared" ca="1" si="88"/>
        <v>#N/A</v>
      </c>
      <c r="S512" s="160" t="e">
        <f t="shared" ca="1" si="88"/>
        <v>#N/A</v>
      </c>
      <c r="T512" s="160" t="e">
        <f t="shared" ca="1" si="88"/>
        <v>#N/A</v>
      </c>
      <c r="U512" s="160" t="e">
        <f t="shared" ca="1" si="89"/>
        <v>#N/A</v>
      </c>
      <c r="V512" s="163" t="e">
        <f t="shared" ca="1" si="81"/>
        <v>#N/A</v>
      </c>
      <c r="W512" s="163" t="e">
        <f t="shared" ca="1" si="82"/>
        <v>#N/A</v>
      </c>
      <c r="X512" s="163" t="e">
        <f t="shared" ca="1" si="83"/>
        <v>#N/A</v>
      </c>
      <c r="Y512" s="163" t="e">
        <f t="shared" ca="1" si="84"/>
        <v>#N/A</v>
      </c>
    </row>
    <row r="513" spans="12:25" ht="14.4">
      <c r="L513" s="464"/>
      <c r="M513" s="129" t="e">
        <f t="shared" si="85"/>
        <v>#N/A</v>
      </c>
      <c r="N513" s="161">
        <f t="shared" si="80"/>
        <v>13</v>
      </c>
      <c r="O513" s="160" t="e">
        <f t="shared" ca="1" si="86"/>
        <v>#N/A</v>
      </c>
      <c r="P513" s="160" t="e">
        <f t="shared" ca="1" si="87"/>
        <v>#N/A</v>
      </c>
      <c r="Q513" s="160" t="e">
        <f t="shared" ca="1" si="88"/>
        <v>#N/A</v>
      </c>
      <c r="R513" s="160" t="e">
        <f t="shared" ca="1" si="88"/>
        <v>#N/A</v>
      </c>
      <c r="S513" s="160" t="e">
        <f t="shared" ca="1" si="88"/>
        <v>#N/A</v>
      </c>
      <c r="T513" s="160" t="e">
        <f t="shared" ca="1" si="88"/>
        <v>#N/A</v>
      </c>
      <c r="U513" s="160" t="e">
        <f t="shared" ca="1" si="89"/>
        <v>#N/A</v>
      </c>
      <c r="V513" s="163" t="e">
        <f t="shared" ca="1" si="81"/>
        <v>#N/A</v>
      </c>
      <c r="W513" s="163" t="e">
        <f t="shared" ca="1" si="82"/>
        <v>#N/A</v>
      </c>
      <c r="X513" s="163" t="e">
        <f t="shared" ca="1" si="83"/>
        <v>#N/A</v>
      </c>
      <c r="Y513" s="163" t="e">
        <f t="shared" ca="1" si="84"/>
        <v>#N/A</v>
      </c>
    </row>
    <row r="514" spans="12:25" ht="14.4">
      <c r="L514" s="464"/>
      <c r="M514" s="129" t="e">
        <f t="shared" si="85"/>
        <v>#N/A</v>
      </c>
      <c r="N514" s="161">
        <f t="shared" si="80"/>
        <v>13</v>
      </c>
      <c r="O514" s="160" t="e">
        <f t="shared" ca="1" si="86"/>
        <v>#N/A</v>
      </c>
      <c r="P514" s="160" t="e">
        <f t="shared" ca="1" si="87"/>
        <v>#N/A</v>
      </c>
      <c r="Q514" s="160" t="e">
        <f t="shared" ca="1" si="88"/>
        <v>#N/A</v>
      </c>
      <c r="R514" s="160" t="e">
        <f t="shared" ca="1" si="88"/>
        <v>#N/A</v>
      </c>
      <c r="S514" s="160" t="e">
        <f t="shared" ca="1" si="88"/>
        <v>#N/A</v>
      </c>
      <c r="T514" s="160" t="e">
        <f t="shared" ca="1" si="88"/>
        <v>#N/A</v>
      </c>
      <c r="U514" s="160" t="e">
        <f t="shared" ca="1" si="89"/>
        <v>#N/A</v>
      </c>
      <c r="V514" s="163" t="e">
        <f t="shared" ca="1" si="81"/>
        <v>#N/A</v>
      </c>
      <c r="W514" s="163" t="e">
        <f t="shared" ca="1" si="82"/>
        <v>#N/A</v>
      </c>
      <c r="X514" s="163" t="e">
        <f t="shared" ca="1" si="83"/>
        <v>#N/A</v>
      </c>
      <c r="Y514" s="163" t="e">
        <f t="shared" ca="1" si="84"/>
        <v>#N/A</v>
      </c>
    </row>
    <row r="515" spans="12:25" ht="14.4">
      <c r="L515" s="464"/>
      <c r="M515" s="129" t="e">
        <f t="shared" si="85"/>
        <v>#N/A</v>
      </c>
      <c r="N515" s="161">
        <f t="shared" si="80"/>
        <v>13</v>
      </c>
      <c r="O515" s="160" t="e">
        <f t="shared" ca="1" si="86"/>
        <v>#N/A</v>
      </c>
      <c r="P515" s="160" t="e">
        <f t="shared" ca="1" si="87"/>
        <v>#N/A</v>
      </c>
      <c r="Q515" s="160" t="e">
        <f t="shared" ca="1" si="88"/>
        <v>#N/A</v>
      </c>
      <c r="R515" s="160" t="e">
        <f t="shared" ca="1" si="88"/>
        <v>#N/A</v>
      </c>
      <c r="S515" s="160" t="e">
        <f t="shared" ca="1" si="88"/>
        <v>#N/A</v>
      </c>
      <c r="T515" s="160" t="e">
        <f t="shared" ca="1" si="88"/>
        <v>#N/A</v>
      </c>
      <c r="U515" s="160" t="e">
        <f t="shared" ca="1" si="89"/>
        <v>#N/A</v>
      </c>
      <c r="V515" s="163" t="e">
        <f t="shared" ca="1" si="81"/>
        <v>#N/A</v>
      </c>
      <c r="W515" s="163" t="e">
        <f t="shared" ca="1" si="82"/>
        <v>#N/A</v>
      </c>
      <c r="X515" s="163" t="e">
        <f t="shared" ca="1" si="83"/>
        <v>#N/A</v>
      </c>
      <c r="Y515" s="163" t="e">
        <f t="shared" ca="1" si="84"/>
        <v>#N/A</v>
      </c>
    </row>
    <row r="516" spans="12:25" ht="14.4">
      <c r="L516" s="464"/>
      <c r="M516" s="129" t="e">
        <f t="shared" si="85"/>
        <v>#N/A</v>
      </c>
      <c r="N516" s="161">
        <f t="shared" si="80"/>
        <v>13</v>
      </c>
      <c r="O516" s="160" t="e">
        <f t="shared" ca="1" si="86"/>
        <v>#N/A</v>
      </c>
      <c r="P516" s="160" t="e">
        <f t="shared" ca="1" si="87"/>
        <v>#N/A</v>
      </c>
      <c r="Q516" s="160" t="e">
        <f t="shared" ca="1" si="88"/>
        <v>#N/A</v>
      </c>
      <c r="R516" s="160" t="e">
        <f t="shared" ca="1" si="88"/>
        <v>#N/A</v>
      </c>
      <c r="S516" s="160" t="e">
        <f t="shared" ca="1" si="88"/>
        <v>#N/A</v>
      </c>
      <c r="T516" s="160" t="e">
        <f t="shared" ca="1" si="88"/>
        <v>#N/A</v>
      </c>
      <c r="U516" s="160" t="e">
        <f t="shared" ca="1" si="89"/>
        <v>#N/A</v>
      </c>
      <c r="V516" s="163" t="e">
        <f t="shared" ca="1" si="81"/>
        <v>#N/A</v>
      </c>
      <c r="W516" s="163" t="e">
        <f t="shared" ca="1" si="82"/>
        <v>#N/A</v>
      </c>
      <c r="X516" s="163" t="e">
        <f t="shared" ca="1" si="83"/>
        <v>#N/A</v>
      </c>
      <c r="Y516" s="163" t="e">
        <f t="shared" ca="1" si="84"/>
        <v>#N/A</v>
      </c>
    </row>
    <row r="517" spans="12:25" ht="14.4">
      <c r="L517" s="464"/>
      <c r="M517" s="129" t="e">
        <f t="shared" si="85"/>
        <v>#N/A</v>
      </c>
      <c r="N517" s="161">
        <f t="shared" si="80"/>
        <v>13</v>
      </c>
      <c r="O517" s="160" t="e">
        <f t="shared" ca="1" si="86"/>
        <v>#N/A</v>
      </c>
      <c r="P517" s="160" t="e">
        <f t="shared" ca="1" si="87"/>
        <v>#N/A</v>
      </c>
      <c r="Q517" s="160" t="e">
        <f t="shared" ca="1" si="88"/>
        <v>#N/A</v>
      </c>
      <c r="R517" s="160" t="e">
        <f t="shared" ca="1" si="88"/>
        <v>#N/A</v>
      </c>
      <c r="S517" s="160" t="e">
        <f t="shared" ca="1" si="88"/>
        <v>#N/A</v>
      </c>
      <c r="T517" s="160" t="e">
        <f t="shared" ca="1" si="88"/>
        <v>#N/A</v>
      </c>
      <c r="U517" s="160" t="e">
        <f t="shared" ca="1" si="89"/>
        <v>#N/A</v>
      </c>
      <c r="V517" s="163" t="e">
        <f t="shared" ca="1" si="81"/>
        <v>#N/A</v>
      </c>
      <c r="W517" s="163" t="e">
        <f t="shared" ca="1" si="82"/>
        <v>#N/A</v>
      </c>
      <c r="X517" s="163" t="e">
        <f t="shared" ca="1" si="83"/>
        <v>#N/A</v>
      </c>
      <c r="Y517" s="163" t="e">
        <f t="shared" ca="1" si="84"/>
        <v>#N/A</v>
      </c>
    </row>
    <row r="518" spans="12:25" ht="14.4">
      <c r="L518" s="464"/>
      <c r="M518" s="129" t="e">
        <f t="shared" si="85"/>
        <v>#N/A</v>
      </c>
      <c r="N518" s="161">
        <f t="shared" si="80"/>
        <v>13</v>
      </c>
      <c r="O518" s="160" t="e">
        <f t="shared" ca="1" si="86"/>
        <v>#N/A</v>
      </c>
      <c r="P518" s="160" t="e">
        <f t="shared" ca="1" si="87"/>
        <v>#N/A</v>
      </c>
      <c r="Q518" s="160" t="e">
        <f t="shared" ca="1" si="88"/>
        <v>#N/A</v>
      </c>
      <c r="R518" s="160" t="e">
        <f t="shared" ca="1" si="88"/>
        <v>#N/A</v>
      </c>
      <c r="S518" s="160" t="e">
        <f t="shared" ca="1" si="88"/>
        <v>#N/A</v>
      </c>
      <c r="T518" s="160" t="e">
        <f t="shared" ca="1" si="88"/>
        <v>#N/A</v>
      </c>
      <c r="U518" s="160" t="e">
        <f t="shared" ca="1" si="89"/>
        <v>#N/A</v>
      </c>
      <c r="V518" s="163" t="e">
        <f t="shared" ca="1" si="81"/>
        <v>#N/A</v>
      </c>
      <c r="W518" s="163" t="e">
        <f t="shared" ca="1" si="82"/>
        <v>#N/A</v>
      </c>
      <c r="X518" s="163" t="e">
        <f t="shared" ca="1" si="83"/>
        <v>#N/A</v>
      </c>
      <c r="Y518" s="163" t="e">
        <f t="shared" ca="1" si="84"/>
        <v>#N/A</v>
      </c>
    </row>
    <row r="519" spans="12:25" ht="14.4">
      <c r="L519" s="464"/>
      <c r="M519" s="129" t="e">
        <f t="shared" si="85"/>
        <v>#N/A</v>
      </c>
      <c r="N519" s="161">
        <f t="shared" si="80"/>
        <v>13</v>
      </c>
      <c r="O519" s="160" t="e">
        <f t="shared" ca="1" si="86"/>
        <v>#N/A</v>
      </c>
      <c r="P519" s="160" t="e">
        <f t="shared" ca="1" si="87"/>
        <v>#N/A</v>
      </c>
      <c r="Q519" s="160" t="e">
        <f t="shared" ca="1" si="88"/>
        <v>#N/A</v>
      </c>
      <c r="R519" s="160" t="e">
        <f t="shared" ca="1" si="88"/>
        <v>#N/A</v>
      </c>
      <c r="S519" s="160" t="e">
        <f t="shared" ca="1" si="88"/>
        <v>#N/A</v>
      </c>
      <c r="T519" s="160" t="e">
        <f t="shared" ca="1" si="88"/>
        <v>#N/A</v>
      </c>
      <c r="U519" s="160" t="e">
        <f t="shared" ca="1" si="89"/>
        <v>#N/A</v>
      </c>
      <c r="V519" s="163" t="e">
        <f t="shared" ca="1" si="81"/>
        <v>#N/A</v>
      </c>
      <c r="W519" s="163" t="e">
        <f t="shared" ca="1" si="82"/>
        <v>#N/A</v>
      </c>
      <c r="X519" s="163" t="e">
        <f t="shared" ca="1" si="83"/>
        <v>#N/A</v>
      </c>
      <c r="Y519" s="163" t="e">
        <f t="shared" ca="1" si="84"/>
        <v>#N/A</v>
      </c>
    </row>
    <row r="520" spans="12:25" ht="14.4">
      <c r="L520" s="464"/>
      <c r="M520" s="129" t="e">
        <f t="shared" si="85"/>
        <v>#N/A</v>
      </c>
      <c r="N520" s="161">
        <f t="shared" si="80"/>
        <v>13</v>
      </c>
      <c r="O520" s="160" t="e">
        <f t="shared" ca="1" si="86"/>
        <v>#N/A</v>
      </c>
      <c r="P520" s="160" t="e">
        <f t="shared" ca="1" si="87"/>
        <v>#N/A</v>
      </c>
      <c r="Q520" s="160" t="e">
        <f t="shared" ca="1" si="88"/>
        <v>#N/A</v>
      </c>
      <c r="R520" s="160" t="e">
        <f t="shared" ca="1" si="88"/>
        <v>#N/A</v>
      </c>
      <c r="S520" s="160" t="e">
        <f t="shared" ca="1" si="88"/>
        <v>#N/A</v>
      </c>
      <c r="T520" s="160" t="e">
        <f t="shared" ca="1" si="88"/>
        <v>#N/A</v>
      </c>
      <c r="U520" s="160" t="e">
        <f t="shared" ca="1" si="89"/>
        <v>#N/A</v>
      </c>
      <c r="V520" s="163" t="e">
        <f t="shared" ca="1" si="81"/>
        <v>#N/A</v>
      </c>
      <c r="W520" s="163" t="e">
        <f t="shared" ca="1" si="82"/>
        <v>#N/A</v>
      </c>
      <c r="X520" s="163" t="e">
        <f t="shared" ca="1" si="83"/>
        <v>#N/A</v>
      </c>
      <c r="Y520" s="163" t="e">
        <f t="shared" ca="1" si="84"/>
        <v>#N/A</v>
      </c>
    </row>
    <row r="521" spans="12:25" ht="14.4">
      <c r="L521" s="464"/>
      <c r="M521" s="129" t="e">
        <f t="shared" si="85"/>
        <v>#N/A</v>
      </c>
      <c r="N521" s="161">
        <f t="shared" si="80"/>
        <v>13</v>
      </c>
      <c r="O521" s="160" t="e">
        <f t="shared" ca="1" si="86"/>
        <v>#N/A</v>
      </c>
      <c r="P521" s="160" t="e">
        <f t="shared" ca="1" si="87"/>
        <v>#N/A</v>
      </c>
      <c r="Q521" s="160" t="e">
        <f t="shared" ca="1" si="88"/>
        <v>#N/A</v>
      </c>
      <c r="R521" s="160" t="e">
        <f t="shared" ca="1" si="88"/>
        <v>#N/A</v>
      </c>
      <c r="S521" s="160" t="e">
        <f t="shared" ca="1" si="88"/>
        <v>#N/A</v>
      </c>
      <c r="T521" s="160" t="e">
        <f t="shared" ca="1" si="88"/>
        <v>#N/A</v>
      </c>
      <c r="U521" s="160" t="e">
        <f t="shared" ca="1" si="89"/>
        <v>#N/A</v>
      </c>
      <c r="V521" s="163" t="e">
        <f t="shared" ca="1" si="81"/>
        <v>#N/A</v>
      </c>
      <c r="W521" s="163" t="e">
        <f t="shared" ca="1" si="82"/>
        <v>#N/A</v>
      </c>
      <c r="X521" s="163" t="e">
        <f t="shared" ca="1" si="83"/>
        <v>#N/A</v>
      </c>
      <c r="Y521" s="163" t="e">
        <f t="shared" ca="1" si="84"/>
        <v>#N/A</v>
      </c>
    </row>
    <row r="522" spans="12:25" ht="14.4">
      <c r="L522" s="464"/>
      <c r="M522" s="129" t="e">
        <f t="shared" si="85"/>
        <v>#N/A</v>
      </c>
      <c r="N522" s="161">
        <f t="shared" si="80"/>
        <v>13</v>
      </c>
      <c r="O522" s="160" t="e">
        <f t="shared" ca="1" si="86"/>
        <v>#N/A</v>
      </c>
      <c r="P522" s="160" t="e">
        <f t="shared" ca="1" si="87"/>
        <v>#N/A</v>
      </c>
      <c r="Q522" s="160" t="e">
        <f t="shared" ca="1" si="88"/>
        <v>#N/A</v>
      </c>
      <c r="R522" s="160" t="e">
        <f t="shared" ca="1" si="88"/>
        <v>#N/A</v>
      </c>
      <c r="S522" s="160" t="e">
        <f t="shared" ca="1" si="88"/>
        <v>#N/A</v>
      </c>
      <c r="T522" s="160" t="e">
        <f t="shared" ca="1" si="88"/>
        <v>#N/A</v>
      </c>
      <c r="U522" s="160" t="e">
        <f t="shared" ca="1" si="89"/>
        <v>#N/A</v>
      </c>
      <c r="V522" s="163" t="e">
        <f t="shared" ca="1" si="81"/>
        <v>#N/A</v>
      </c>
      <c r="W522" s="163" t="e">
        <f t="shared" ca="1" si="82"/>
        <v>#N/A</v>
      </c>
      <c r="X522" s="163" t="e">
        <f t="shared" ca="1" si="83"/>
        <v>#N/A</v>
      </c>
      <c r="Y522" s="163" t="e">
        <f t="shared" ca="1" si="84"/>
        <v>#N/A</v>
      </c>
    </row>
    <row r="523" spans="12:25" ht="14.4">
      <c r="L523" s="464"/>
      <c r="M523" s="129" t="e">
        <f t="shared" si="85"/>
        <v>#N/A</v>
      </c>
      <c r="N523" s="161">
        <f t="shared" si="80"/>
        <v>13</v>
      </c>
      <c r="O523" s="160" t="e">
        <f t="shared" ca="1" si="86"/>
        <v>#N/A</v>
      </c>
      <c r="P523" s="160" t="e">
        <f t="shared" ca="1" si="87"/>
        <v>#N/A</v>
      </c>
      <c r="Q523" s="160" t="e">
        <f t="shared" ca="1" si="88"/>
        <v>#N/A</v>
      </c>
      <c r="R523" s="160" t="e">
        <f t="shared" ca="1" si="88"/>
        <v>#N/A</v>
      </c>
      <c r="S523" s="160" t="e">
        <f t="shared" ca="1" si="88"/>
        <v>#N/A</v>
      </c>
      <c r="T523" s="160" t="e">
        <f t="shared" ca="1" si="88"/>
        <v>#N/A</v>
      </c>
      <c r="U523" s="160" t="e">
        <f t="shared" ca="1" si="89"/>
        <v>#N/A</v>
      </c>
      <c r="V523" s="163" t="e">
        <f t="shared" ca="1" si="81"/>
        <v>#N/A</v>
      </c>
      <c r="W523" s="163" t="e">
        <f t="shared" ca="1" si="82"/>
        <v>#N/A</v>
      </c>
      <c r="X523" s="163" t="e">
        <f t="shared" ca="1" si="83"/>
        <v>#N/A</v>
      </c>
      <c r="Y523" s="163" t="e">
        <f t="shared" ca="1" si="84"/>
        <v>#N/A</v>
      </c>
    </row>
    <row r="524" spans="12:25" ht="14.4">
      <c r="L524" s="464"/>
      <c r="M524" s="129" t="e">
        <f t="shared" si="85"/>
        <v>#N/A</v>
      </c>
      <c r="N524" s="161">
        <f t="shared" si="80"/>
        <v>13</v>
      </c>
      <c r="O524" s="160" t="e">
        <f t="shared" ca="1" si="86"/>
        <v>#N/A</v>
      </c>
      <c r="P524" s="160" t="e">
        <f t="shared" ca="1" si="87"/>
        <v>#N/A</v>
      </c>
      <c r="Q524" s="160" t="e">
        <f t="shared" ca="1" si="88"/>
        <v>#N/A</v>
      </c>
      <c r="R524" s="160" t="e">
        <f t="shared" ca="1" si="88"/>
        <v>#N/A</v>
      </c>
      <c r="S524" s="160" t="e">
        <f t="shared" ca="1" si="88"/>
        <v>#N/A</v>
      </c>
      <c r="T524" s="160" t="e">
        <f t="shared" ca="1" si="88"/>
        <v>#N/A</v>
      </c>
      <c r="U524" s="160" t="e">
        <f t="shared" ca="1" si="89"/>
        <v>#N/A</v>
      </c>
      <c r="V524" s="163" t="e">
        <f t="shared" ca="1" si="81"/>
        <v>#N/A</v>
      </c>
      <c r="W524" s="163" t="e">
        <f t="shared" ca="1" si="82"/>
        <v>#N/A</v>
      </c>
      <c r="X524" s="163" t="e">
        <f t="shared" ca="1" si="83"/>
        <v>#N/A</v>
      </c>
      <c r="Y524" s="163" t="e">
        <f t="shared" ca="1" si="84"/>
        <v>#N/A</v>
      </c>
    </row>
    <row r="525" spans="12:25" ht="14.4">
      <c r="L525" s="464"/>
      <c r="M525" s="129" t="e">
        <f t="shared" si="85"/>
        <v>#N/A</v>
      </c>
      <c r="N525" s="161">
        <f t="shared" si="80"/>
        <v>13</v>
      </c>
      <c r="O525" s="160" t="e">
        <f t="shared" ca="1" si="86"/>
        <v>#N/A</v>
      </c>
      <c r="P525" s="160" t="e">
        <f t="shared" ca="1" si="87"/>
        <v>#N/A</v>
      </c>
      <c r="Q525" s="160" t="e">
        <f t="shared" ca="1" si="88"/>
        <v>#N/A</v>
      </c>
      <c r="R525" s="160" t="e">
        <f t="shared" ca="1" si="88"/>
        <v>#N/A</v>
      </c>
      <c r="S525" s="160" t="e">
        <f t="shared" ca="1" si="88"/>
        <v>#N/A</v>
      </c>
      <c r="T525" s="160" t="e">
        <f t="shared" ca="1" si="88"/>
        <v>#N/A</v>
      </c>
      <c r="U525" s="160" t="e">
        <f t="shared" ca="1" si="89"/>
        <v>#N/A</v>
      </c>
      <c r="V525" s="163" t="e">
        <f t="shared" ca="1" si="81"/>
        <v>#N/A</v>
      </c>
      <c r="W525" s="163" t="e">
        <f t="shared" ca="1" si="82"/>
        <v>#N/A</v>
      </c>
      <c r="X525" s="163" t="e">
        <f t="shared" ca="1" si="83"/>
        <v>#N/A</v>
      </c>
      <c r="Y525" s="163" t="e">
        <f t="shared" ca="1" si="84"/>
        <v>#N/A</v>
      </c>
    </row>
    <row r="526" spans="12:25" ht="14.4">
      <c r="L526" s="464"/>
      <c r="M526" s="129" t="e">
        <f t="shared" si="85"/>
        <v>#N/A</v>
      </c>
      <c r="N526" s="161">
        <f t="shared" si="80"/>
        <v>13</v>
      </c>
      <c r="O526" s="160" t="e">
        <f t="shared" ca="1" si="86"/>
        <v>#N/A</v>
      </c>
      <c r="P526" s="160" t="e">
        <f t="shared" ca="1" si="87"/>
        <v>#N/A</v>
      </c>
      <c r="Q526" s="160" t="e">
        <f t="shared" ca="1" si="88"/>
        <v>#N/A</v>
      </c>
      <c r="R526" s="160" t="e">
        <f t="shared" ca="1" si="88"/>
        <v>#N/A</v>
      </c>
      <c r="S526" s="160" t="e">
        <f t="shared" ca="1" si="88"/>
        <v>#N/A</v>
      </c>
      <c r="T526" s="160" t="e">
        <f t="shared" ca="1" si="88"/>
        <v>#N/A</v>
      </c>
      <c r="U526" s="160" t="e">
        <f t="shared" ca="1" si="89"/>
        <v>#N/A</v>
      </c>
      <c r="V526" s="163" t="e">
        <f t="shared" ca="1" si="81"/>
        <v>#N/A</v>
      </c>
      <c r="W526" s="163" t="e">
        <f t="shared" ca="1" si="82"/>
        <v>#N/A</v>
      </c>
      <c r="X526" s="163" t="e">
        <f t="shared" ca="1" si="83"/>
        <v>#N/A</v>
      </c>
      <c r="Y526" s="163" t="e">
        <f t="shared" ca="1" si="84"/>
        <v>#N/A</v>
      </c>
    </row>
    <row r="527" spans="12:25" ht="14.4">
      <c r="L527" s="464"/>
      <c r="M527" s="129" t="e">
        <f t="shared" si="85"/>
        <v>#N/A</v>
      </c>
      <c r="N527" s="161">
        <f t="shared" si="80"/>
        <v>13</v>
      </c>
      <c r="O527" s="160" t="e">
        <f t="shared" ca="1" si="86"/>
        <v>#N/A</v>
      </c>
      <c r="P527" s="160" t="e">
        <f t="shared" ca="1" si="87"/>
        <v>#N/A</v>
      </c>
      <c r="Q527" s="160" t="e">
        <f t="shared" ca="1" si="88"/>
        <v>#N/A</v>
      </c>
      <c r="R527" s="160" t="e">
        <f t="shared" ca="1" si="88"/>
        <v>#N/A</v>
      </c>
      <c r="S527" s="160" t="e">
        <f t="shared" ca="1" si="88"/>
        <v>#N/A</v>
      </c>
      <c r="T527" s="160" t="e">
        <f t="shared" ca="1" si="88"/>
        <v>#N/A</v>
      </c>
      <c r="U527" s="160" t="e">
        <f t="shared" ca="1" si="89"/>
        <v>#N/A</v>
      </c>
      <c r="V527" s="163" t="e">
        <f t="shared" ca="1" si="81"/>
        <v>#N/A</v>
      </c>
      <c r="W527" s="163" t="e">
        <f t="shared" ca="1" si="82"/>
        <v>#N/A</v>
      </c>
      <c r="X527" s="163" t="e">
        <f t="shared" ca="1" si="83"/>
        <v>#N/A</v>
      </c>
      <c r="Y527" s="163" t="e">
        <f t="shared" ca="1" si="84"/>
        <v>#N/A</v>
      </c>
    </row>
    <row r="528" spans="12:25" ht="14.4">
      <c r="L528" s="464"/>
      <c r="M528" s="129" t="e">
        <f t="shared" si="85"/>
        <v>#N/A</v>
      </c>
      <c r="N528" s="161">
        <f t="shared" si="80"/>
        <v>13</v>
      </c>
      <c r="O528" s="160" t="e">
        <f t="shared" ca="1" si="86"/>
        <v>#N/A</v>
      </c>
      <c r="P528" s="160" t="e">
        <f t="shared" ca="1" si="87"/>
        <v>#N/A</v>
      </c>
      <c r="Q528" s="160" t="e">
        <f t="shared" ca="1" si="88"/>
        <v>#N/A</v>
      </c>
      <c r="R528" s="160" t="e">
        <f t="shared" ca="1" si="88"/>
        <v>#N/A</v>
      </c>
      <c r="S528" s="160" t="e">
        <f t="shared" ca="1" si="88"/>
        <v>#N/A</v>
      </c>
      <c r="T528" s="160" t="e">
        <f t="shared" ca="1" si="88"/>
        <v>#N/A</v>
      </c>
      <c r="U528" s="160" t="e">
        <f t="shared" ca="1" si="89"/>
        <v>#N/A</v>
      </c>
      <c r="V528" s="163" t="e">
        <f t="shared" ca="1" si="81"/>
        <v>#N/A</v>
      </c>
      <c r="W528" s="163" t="e">
        <f t="shared" ca="1" si="82"/>
        <v>#N/A</v>
      </c>
      <c r="X528" s="163" t="e">
        <f t="shared" ca="1" si="83"/>
        <v>#N/A</v>
      </c>
      <c r="Y528" s="163" t="e">
        <f t="shared" ca="1" si="84"/>
        <v>#N/A</v>
      </c>
    </row>
    <row r="529" spans="12:25" ht="14.4">
      <c r="L529" s="464"/>
      <c r="M529" s="129" t="e">
        <f t="shared" si="85"/>
        <v>#N/A</v>
      </c>
      <c r="N529" s="161">
        <f t="shared" si="80"/>
        <v>13</v>
      </c>
      <c r="O529" s="160" t="e">
        <f t="shared" ca="1" si="86"/>
        <v>#N/A</v>
      </c>
      <c r="P529" s="160" t="e">
        <f t="shared" ca="1" si="87"/>
        <v>#N/A</v>
      </c>
      <c r="Q529" s="160" t="e">
        <f t="shared" ca="1" si="88"/>
        <v>#N/A</v>
      </c>
      <c r="R529" s="160" t="e">
        <f t="shared" ca="1" si="88"/>
        <v>#N/A</v>
      </c>
      <c r="S529" s="160" t="e">
        <f t="shared" ca="1" si="88"/>
        <v>#N/A</v>
      </c>
      <c r="T529" s="160" t="e">
        <f t="shared" ca="1" si="88"/>
        <v>#N/A</v>
      </c>
      <c r="U529" s="160" t="e">
        <f t="shared" ca="1" si="89"/>
        <v>#N/A</v>
      </c>
      <c r="V529" s="163" t="e">
        <f t="shared" ca="1" si="81"/>
        <v>#N/A</v>
      </c>
      <c r="W529" s="163" t="e">
        <f t="shared" ca="1" si="82"/>
        <v>#N/A</v>
      </c>
      <c r="X529" s="163" t="e">
        <f t="shared" ca="1" si="83"/>
        <v>#N/A</v>
      </c>
      <c r="Y529" s="163" t="e">
        <f t="shared" ca="1" si="84"/>
        <v>#N/A</v>
      </c>
    </row>
    <row r="530" spans="12:25" ht="14.4">
      <c r="L530" s="464"/>
      <c r="M530" s="129" t="e">
        <f t="shared" si="85"/>
        <v>#N/A</v>
      </c>
      <c r="N530" s="161">
        <f t="shared" ref="N530:N583" si="90">N529</f>
        <v>13</v>
      </c>
      <c r="O530" s="160" t="e">
        <f t="shared" ca="1" si="86"/>
        <v>#N/A</v>
      </c>
      <c r="P530" s="160" t="e">
        <f t="shared" ca="1" si="87"/>
        <v>#N/A</v>
      </c>
      <c r="Q530" s="160" t="e">
        <f t="shared" ca="1" si="88"/>
        <v>#N/A</v>
      </c>
      <c r="R530" s="160" t="e">
        <f t="shared" ca="1" si="88"/>
        <v>#N/A</v>
      </c>
      <c r="S530" s="160" t="e">
        <f t="shared" ca="1" si="88"/>
        <v>#N/A</v>
      </c>
      <c r="T530" s="160" t="e">
        <f t="shared" ca="1" si="88"/>
        <v>#N/A</v>
      </c>
      <c r="U530" s="160" t="e">
        <f t="shared" ca="1" si="89"/>
        <v>#N/A</v>
      </c>
      <c r="V530" s="163" t="e">
        <f t="shared" ca="1" si="81"/>
        <v>#N/A</v>
      </c>
      <c r="W530" s="163" t="e">
        <f t="shared" ca="1" si="82"/>
        <v>#N/A</v>
      </c>
      <c r="X530" s="163" t="e">
        <f t="shared" ca="1" si="83"/>
        <v>#N/A</v>
      </c>
      <c r="Y530" s="163" t="e">
        <f t="shared" ca="1" si="84"/>
        <v>#N/A</v>
      </c>
    </row>
    <row r="531" spans="12:25" ht="14.4">
      <c r="L531" s="464"/>
      <c r="M531" s="129" t="e">
        <f t="shared" si="85"/>
        <v>#N/A</v>
      </c>
      <c r="N531" s="161">
        <f t="shared" si="90"/>
        <v>13</v>
      </c>
      <c r="O531" s="160" t="e">
        <f t="shared" ca="1" si="86"/>
        <v>#N/A</v>
      </c>
      <c r="P531" s="160" t="e">
        <f t="shared" ca="1" si="87"/>
        <v>#N/A</v>
      </c>
      <c r="Q531" s="160" t="e">
        <f t="shared" ca="1" si="88"/>
        <v>#N/A</v>
      </c>
      <c r="R531" s="160" t="e">
        <f t="shared" ca="1" si="88"/>
        <v>#N/A</v>
      </c>
      <c r="S531" s="160" t="e">
        <f t="shared" ca="1" si="88"/>
        <v>#N/A</v>
      </c>
      <c r="T531" s="160" t="e">
        <f t="shared" ca="1" si="88"/>
        <v>#N/A</v>
      </c>
      <c r="U531" s="160" t="e">
        <f t="shared" ca="1" si="89"/>
        <v>#N/A</v>
      </c>
      <c r="V531" s="163" t="e">
        <f t="shared" ca="1" si="81"/>
        <v>#N/A</v>
      </c>
      <c r="W531" s="163" t="e">
        <f t="shared" ca="1" si="82"/>
        <v>#N/A</v>
      </c>
      <c r="X531" s="163" t="e">
        <f t="shared" ca="1" si="83"/>
        <v>#N/A</v>
      </c>
      <c r="Y531" s="163" t="e">
        <f t="shared" ca="1" si="84"/>
        <v>#N/A</v>
      </c>
    </row>
    <row r="532" spans="12:25" ht="14.4">
      <c r="L532" s="464"/>
      <c r="M532" s="129" t="e">
        <f t="shared" si="85"/>
        <v>#N/A</v>
      </c>
      <c r="N532" s="161">
        <f t="shared" si="90"/>
        <v>13</v>
      </c>
      <c r="O532" s="160" t="e">
        <f t="shared" ca="1" si="86"/>
        <v>#N/A</v>
      </c>
      <c r="P532" s="160" t="e">
        <f t="shared" ca="1" si="87"/>
        <v>#N/A</v>
      </c>
      <c r="Q532" s="160" t="e">
        <f t="shared" ca="1" si="88"/>
        <v>#N/A</v>
      </c>
      <c r="R532" s="160" t="e">
        <f t="shared" ca="1" si="88"/>
        <v>#N/A</v>
      </c>
      <c r="S532" s="160" t="e">
        <f t="shared" ca="1" si="88"/>
        <v>#N/A</v>
      </c>
      <c r="T532" s="160" t="e">
        <f t="shared" ca="1" si="88"/>
        <v>#N/A</v>
      </c>
      <c r="U532" s="160" t="e">
        <f t="shared" ca="1" si="89"/>
        <v>#N/A</v>
      </c>
      <c r="V532" s="163" t="e">
        <f t="shared" ca="1" si="81"/>
        <v>#N/A</v>
      </c>
      <c r="W532" s="163" t="e">
        <f t="shared" ca="1" si="82"/>
        <v>#N/A</v>
      </c>
      <c r="X532" s="163" t="e">
        <f t="shared" ca="1" si="83"/>
        <v>#N/A</v>
      </c>
      <c r="Y532" s="163" t="e">
        <f t="shared" ca="1" si="84"/>
        <v>#N/A</v>
      </c>
    </row>
    <row r="533" spans="12:25" ht="14.4">
      <c r="L533" s="464"/>
      <c r="M533" s="129" t="e">
        <f t="shared" si="85"/>
        <v>#N/A</v>
      </c>
      <c r="N533" s="161">
        <f t="shared" si="90"/>
        <v>13</v>
      </c>
      <c r="O533" s="160" t="e">
        <f t="shared" ca="1" si="86"/>
        <v>#N/A</v>
      </c>
      <c r="P533" s="160" t="e">
        <f t="shared" ca="1" si="87"/>
        <v>#N/A</v>
      </c>
      <c r="Q533" s="160" t="e">
        <f t="shared" ca="1" si="88"/>
        <v>#N/A</v>
      </c>
      <c r="R533" s="160" t="e">
        <f t="shared" ca="1" si="88"/>
        <v>#N/A</v>
      </c>
      <c r="S533" s="160" t="e">
        <f t="shared" ca="1" si="88"/>
        <v>#N/A</v>
      </c>
      <c r="T533" s="160" t="e">
        <f t="shared" ca="1" si="88"/>
        <v>#N/A</v>
      </c>
      <c r="U533" s="160" t="e">
        <f t="shared" ca="1" si="89"/>
        <v>#N/A</v>
      </c>
      <c r="V533" s="163" t="e">
        <f t="shared" ca="1" si="81"/>
        <v>#N/A</v>
      </c>
      <c r="W533" s="163" t="e">
        <f t="shared" ca="1" si="82"/>
        <v>#N/A</v>
      </c>
      <c r="X533" s="163" t="e">
        <f t="shared" ca="1" si="83"/>
        <v>#N/A</v>
      </c>
      <c r="Y533" s="163" t="e">
        <f t="shared" ca="1" si="84"/>
        <v>#N/A</v>
      </c>
    </row>
    <row r="534" spans="12:25" ht="14.4">
      <c r="L534" s="464"/>
      <c r="M534" s="129" t="e">
        <f t="shared" si="85"/>
        <v>#N/A</v>
      </c>
      <c r="N534" s="161">
        <f t="shared" si="90"/>
        <v>13</v>
      </c>
      <c r="O534" s="160" t="e">
        <f t="shared" ca="1" si="86"/>
        <v>#N/A</v>
      </c>
      <c r="P534" s="160" t="e">
        <f t="shared" ca="1" si="87"/>
        <v>#N/A</v>
      </c>
      <c r="Q534" s="160" t="e">
        <f t="shared" ca="1" si="88"/>
        <v>#N/A</v>
      </c>
      <c r="R534" s="160" t="e">
        <f t="shared" ca="1" si="88"/>
        <v>#N/A</v>
      </c>
      <c r="S534" s="160" t="e">
        <f t="shared" ca="1" si="88"/>
        <v>#N/A</v>
      </c>
      <c r="T534" s="160" t="e">
        <f t="shared" ca="1" si="88"/>
        <v>#N/A</v>
      </c>
      <c r="U534" s="160" t="e">
        <f t="shared" ca="1" si="89"/>
        <v>#N/A</v>
      </c>
      <c r="V534" s="163" t="e">
        <f t="shared" ca="1" si="81"/>
        <v>#N/A</v>
      </c>
      <c r="W534" s="163" t="e">
        <f t="shared" ca="1" si="82"/>
        <v>#N/A</v>
      </c>
      <c r="X534" s="163" t="e">
        <f t="shared" ca="1" si="83"/>
        <v>#N/A</v>
      </c>
      <c r="Y534" s="163" t="e">
        <f t="shared" ca="1" si="84"/>
        <v>#N/A</v>
      </c>
    </row>
    <row r="535" spans="12:25" ht="14.4">
      <c r="L535" s="464"/>
      <c r="M535" s="129" t="e">
        <f t="shared" si="85"/>
        <v>#N/A</v>
      </c>
      <c r="N535" s="161">
        <f t="shared" si="90"/>
        <v>13</v>
      </c>
      <c r="O535" s="160" t="e">
        <f t="shared" ca="1" si="86"/>
        <v>#N/A</v>
      </c>
      <c r="P535" s="160" t="e">
        <f t="shared" ca="1" si="87"/>
        <v>#N/A</v>
      </c>
      <c r="Q535" s="160" t="e">
        <f t="shared" ca="1" si="88"/>
        <v>#N/A</v>
      </c>
      <c r="R535" s="160" t="e">
        <f t="shared" ca="1" si="88"/>
        <v>#N/A</v>
      </c>
      <c r="S535" s="160" t="e">
        <f t="shared" ca="1" si="88"/>
        <v>#N/A</v>
      </c>
      <c r="T535" s="160" t="e">
        <f t="shared" ca="1" si="88"/>
        <v>#N/A</v>
      </c>
      <c r="U535" s="160" t="e">
        <f t="shared" ca="1" si="89"/>
        <v>#N/A</v>
      </c>
      <c r="V535" s="163" t="e">
        <f t="shared" ca="1" si="81"/>
        <v>#N/A</v>
      </c>
      <c r="W535" s="163" t="e">
        <f t="shared" ca="1" si="82"/>
        <v>#N/A</v>
      </c>
      <c r="X535" s="163" t="e">
        <f t="shared" ca="1" si="83"/>
        <v>#N/A</v>
      </c>
      <c r="Y535" s="163" t="e">
        <f t="shared" ca="1" si="84"/>
        <v>#N/A</v>
      </c>
    </row>
    <row r="536" spans="12:25" ht="14.4">
      <c r="L536" s="464"/>
      <c r="M536" s="129" t="e">
        <f t="shared" si="85"/>
        <v>#N/A</v>
      </c>
      <c r="N536" s="161">
        <f t="shared" si="90"/>
        <v>13</v>
      </c>
      <c r="O536" s="160" t="e">
        <f t="shared" ca="1" si="86"/>
        <v>#N/A</v>
      </c>
      <c r="P536" s="160" t="e">
        <f t="shared" ca="1" si="87"/>
        <v>#N/A</v>
      </c>
      <c r="Q536" s="160" t="e">
        <f t="shared" ca="1" si="88"/>
        <v>#N/A</v>
      </c>
      <c r="R536" s="160" t="e">
        <f t="shared" ca="1" si="88"/>
        <v>#N/A</v>
      </c>
      <c r="S536" s="160" t="e">
        <f t="shared" ca="1" si="88"/>
        <v>#N/A</v>
      </c>
      <c r="T536" s="160" t="e">
        <f t="shared" ca="1" si="88"/>
        <v>#N/A</v>
      </c>
      <c r="U536" s="160" t="e">
        <f t="shared" ca="1" si="89"/>
        <v>#N/A</v>
      </c>
      <c r="V536" s="163" t="e">
        <f t="shared" ca="1" si="81"/>
        <v>#N/A</v>
      </c>
      <c r="W536" s="163" t="e">
        <f t="shared" ca="1" si="82"/>
        <v>#N/A</v>
      </c>
      <c r="X536" s="163" t="e">
        <f t="shared" ca="1" si="83"/>
        <v>#N/A</v>
      </c>
      <c r="Y536" s="163" t="e">
        <f t="shared" ca="1" si="84"/>
        <v>#N/A</v>
      </c>
    </row>
    <row r="537" spans="12:25" ht="14.4">
      <c r="L537" s="464"/>
      <c r="M537" s="129" t="e">
        <f t="shared" si="85"/>
        <v>#N/A</v>
      </c>
      <c r="N537" s="161">
        <f t="shared" si="90"/>
        <v>13</v>
      </c>
      <c r="O537" s="160" t="e">
        <f t="shared" ca="1" si="86"/>
        <v>#N/A</v>
      </c>
      <c r="P537" s="160" t="e">
        <f t="shared" ca="1" si="87"/>
        <v>#N/A</v>
      </c>
      <c r="Q537" s="160" t="e">
        <f t="shared" ca="1" si="88"/>
        <v>#N/A</v>
      </c>
      <c r="R537" s="160" t="e">
        <f t="shared" ca="1" si="88"/>
        <v>#N/A</v>
      </c>
      <c r="S537" s="160" t="e">
        <f t="shared" ca="1" si="88"/>
        <v>#N/A</v>
      </c>
      <c r="T537" s="160" t="e">
        <f t="shared" ca="1" si="88"/>
        <v>#N/A</v>
      </c>
      <c r="U537" s="160" t="e">
        <f t="shared" ca="1" si="89"/>
        <v>#N/A</v>
      </c>
      <c r="V537" s="163" t="e">
        <f t="shared" ca="1" si="81"/>
        <v>#N/A</v>
      </c>
      <c r="W537" s="163" t="e">
        <f t="shared" ca="1" si="82"/>
        <v>#N/A</v>
      </c>
      <c r="X537" s="163" t="e">
        <f t="shared" ca="1" si="83"/>
        <v>#N/A</v>
      </c>
      <c r="Y537" s="163" t="e">
        <f t="shared" ca="1" si="84"/>
        <v>#N/A</v>
      </c>
    </row>
    <row r="538" spans="12:25" ht="14.4">
      <c r="L538" s="464"/>
      <c r="M538" s="129" t="e">
        <f t="shared" si="85"/>
        <v>#N/A</v>
      </c>
      <c r="N538" s="161">
        <f t="shared" si="90"/>
        <v>13</v>
      </c>
      <c r="O538" s="160" t="e">
        <f t="shared" ca="1" si="86"/>
        <v>#N/A</v>
      </c>
      <c r="P538" s="160" t="e">
        <f t="shared" ca="1" si="87"/>
        <v>#N/A</v>
      </c>
      <c r="Q538" s="160" t="e">
        <f t="shared" ca="1" si="88"/>
        <v>#N/A</v>
      </c>
      <c r="R538" s="160" t="e">
        <f t="shared" ca="1" si="88"/>
        <v>#N/A</v>
      </c>
      <c r="S538" s="160" t="e">
        <f t="shared" ca="1" si="88"/>
        <v>#N/A</v>
      </c>
      <c r="T538" s="160" t="e">
        <f t="shared" ca="1" si="88"/>
        <v>#N/A</v>
      </c>
      <c r="U538" s="160" t="e">
        <f t="shared" ca="1" si="89"/>
        <v>#N/A</v>
      </c>
      <c r="V538" s="163" t="e">
        <f t="shared" ca="1" si="81"/>
        <v>#N/A</v>
      </c>
      <c r="W538" s="163" t="e">
        <f t="shared" ca="1" si="82"/>
        <v>#N/A</v>
      </c>
      <c r="X538" s="163" t="e">
        <f t="shared" ca="1" si="83"/>
        <v>#N/A</v>
      </c>
      <c r="Y538" s="163" t="e">
        <f t="shared" ca="1" si="84"/>
        <v>#N/A</v>
      </c>
    </row>
    <row r="539" spans="12:25" ht="14.4">
      <c r="L539" s="464"/>
      <c r="M539" s="129" t="e">
        <f t="shared" si="85"/>
        <v>#N/A</v>
      </c>
      <c r="N539" s="161">
        <f t="shared" si="90"/>
        <v>13</v>
      </c>
      <c r="O539" s="160" t="e">
        <f t="shared" ca="1" si="86"/>
        <v>#N/A</v>
      </c>
      <c r="P539" s="160" t="e">
        <f t="shared" ca="1" si="87"/>
        <v>#N/A</v>
      </c>
      <c r="Q539" s="160" t="e">
        <f t="shared" ca="1" si="88"/>
        <v>#N/A</v>
      </c>
      <c r="R539" s="160" t="e">
        <f t="shared" ca="1" si="88"/>
        <v>#N/A</v>
      </c>
      <c r="S539" s="160" t="e">
        <f t="shared" ca="1" si="88"/>
        <v>#N/A</v>
      </c>
      <c r="T539" s="160" t="e">
        <f t="shared" ca="1" si="88"/>
        <v>#N/A</v>
      </c>
      <c r="U539" s="160" t="e">
        <f t="shared" ca="1" si="89"/>
        <v>#N/A</v>
      </c>
      <c r="V539" s="163" t="e">
        <f t="shared" ca="1" si="81"/>
        <v>#N/A</v>
      </c>
      <c r="W539" s="163" t="e">
        <f t="shared" ca="1" si="82"/>
        <v>#N/A</v>
      </c>
      <c r="X539" s="163" t="e">
        <f t="shared" ca="1" si="83"/>
        <v>#N/A</v>
      </c>
      <c r="Y539" s="163" t="e">
        <f t="shared" ca="1" si="84"/>
        <v>#N/A</v>
      </c>
    </row>
    <row r="540" spans="12:25" ht="14.4">
      <c r="L540" s="464"/>
      <c r="M540" s="129" t="e">
        <f t="shared" si="85"/>
        <v>#N/A</v>
      </c>
      <c r="N540" s="161">
        <f t="shared" si="90"/>
        <v>13</v>
      </c>
      <c r="O540" s="160" t="e">
        <f t="shared" ca="1" si="86"/>
        <v>#N/A</v>
      </c>
      <c r="P540" s="160" t="e">
        <f t="shared" ca="1" si="87"/>
        <v>#N/A</v>
      </c>
      <c r="Q540" s="160" t="e">
        <f t="shared" ca="1" si="88"/>
        <v>#N/A</v>
      </c>
      <c r="R540" s="160" t="e">
        <f t="shared" ca="1" si="88"/>
        <v>#N/A</v>
      </c>
      <c r="S540" s="160" t="e">
        <f t="shared" ca="1" si="88"/>
        <v>#N/A</v>
      </c>
      <c r="T540" s="160" t="e">
        <f t="shared" ca="1" si="88"/>
        <v>#N/A</v>
      </c>
      <c r="U540" s="160" t="e">
        <f t="shared" ca="1" si="89"/>
        <v>#N/A</v>
      </c>
      <c r="V540" s="163" t="e">
        <f t="shared" ca="1" si="81"/>
        <v>#N/A</v>
      </c>
      <c r="W540" s="163" t="e">
        <f t="shared" ca="1" si="82"/>
        <v>#N/A</v>
      </c>
      <c r="X540" s="163" t="e">
        <f t="shared" ca="1" si="83"/>
        <v>#N/A</v>
      </c>
      <c r="Y540" s="163" t="e">
        <f t="shared" ca="1" si="84"/>
        <v>#N/A</v>
      </c>
    </row>
    <row r="541" spans="12:25" ht="14.4">
      <c r="L541" s="464"/>
      <c r="M541" s="129" t="e">
        <f t="shared" si="85"/>
        <v>#N/A</v>
      </c>
      <c r="N541" s="161">
        <f t="shared" si="90"/>
        <v>13</v>
      </c>
      <c r="O541" s="160" t="e">
        <f t="shared" ca="1" si="86"/>
        <v>#N/A</v>
      </c>
      <c r="P541" s="160" t="e">
        <f t="shared" ca="1" si="87"/>
        <v>#N/A</v>
      </c>
      <c r="Q541" s="160" t="e">
        <f t="shared" ca="1" si="88"/>
        <v>#N/A</v>
      </c>
      <c r="R541" s="160" t="e">
        <f t="shared" ca="1" si="88"/>
        <v>#N/A</v>
      </c>
      <c r="S541" s="160" t="e">
        <f t="shared" ca="1" si="88"/>
        <v>#N/A</v>
      </c>
      <c r="T541" s="160" t="e">
        <f t="shared" ca="1" si="88"/>
        <v>#N/A</v>
      </c>
      <c r="U541" s="160" t="e">
        <f t="shared" ca="1" si="89"/>
        <v>#N/A</v>
      </c>
      <c r="V541" s="163" t="e">
        <f t="shared" ca="1" si="81"/>
        <v>#N/A</v>
      </c>
      <c r="W541" s="163" t="e">
        <f t="shared" ca="1" si="82"/>
        <v>#N/A</v>
      </c>
      <c r="X541" s="163" t="e">
        <f t="shared" ca="1" si="83"/>
        <v>#N/A</v>
      </c>
      <c r="Y541" s="163" t="e">
        <f t="shared" ca="1" si="84"/>
        <v>#N/A</v>
      </c>
    </row>
    <row r="542" spans="12:25" ht="14.4">
      <c r="L542" s="464"/>
      <c r="M542" s="129" t="e">
        <f t="shared" si="85"/>
        <v>#N/A</v>
      </c>
      <c r="N542" s="161">
        <f t="shared" si="90"/>
        <v>13</v>
      </c>
      <c r="O542" s="160" t="e">
        <f t="shared" ca="1" si="86"/>
        <v>#N/A</v>
      </c>
      <c r="P542" s="160" t="e">
        <f t="shared" ca="1" si="87"/>
        <v>#N/A</v>
      </c>
      <c r="Q542" s="160" t="e">
        <f t="shared" ca="1" si="88"/>
        <v>#N/A</v>
      </c>
      <c r="R542" s="160" t="e">
        <f t="shared" ca="1" si="88"/>
        <v>#N/A</v>
      </c>
      <c r="S542" s="160" t="e">
        <f t="shared" ca="1" si="88"/>
        <v>#N/A</v>
      </c>
      <c r="T542" s="160" t="e">
        <f t="shared" ca="1" si="88"/>
        <v>#N/A</v>
      </c>
      <c r="U542" s="160" t="e">
        <f t="shared" ca="1" si="89"/>
        <v>#N/A</v>
      </c>
      <c r="V542" s="163" t="e">
        <f t="shared" ca="1" si="81"/>
        <v>#N/A</v>
      </c>
      <c r="W542" s="163" t="e">
        <f t="shared" ca="1" si="82"/>
        <v>#N/A</v>
      </c>
      <c r="X542" s="163" t="e">
        <f t="shared" ca="1" si="83"/>
        <v>#N/A</v>
      </c>
      <c r="Y542" s="163" t="e">
        <f t="shared" ca="1" si="84"/>
        <v>#N/A</v>
      </c>
    </row>
    <row r="543" spans="12:25" ht="14.4">
      <c r="L543" s="464"/>
      <c r="M543" s="129" t="e">
        <f t="shared" si="85"/>
        <v>#N/A</v>
      </c>
      <c r="N543" s="161">
        <f t="shared" si="90"/>
        <v>13</v>
      </c>
      <c r="O543" s="160" t="e">
        <f t="shared" ca="1" si="86"/>
        <v>#N/A</v>
      </c>
      <c r="P543" s="160" t="e">
        <f t="shared" ca="1" si="87"/>
        <v>#N/A</v>
      </c>
      <c r="Q543" s="160" t="e">
        <f t="shared" ca="1" si="88"/>
        <v>#N/A</v>
      </c>
      <c r="R543" s="160" t="e">
        <f t="shared" ca="1" si="88"/>
        <v>#N/A</v>
      </c>
      <c r="S543" s="160" t="e">
        <f t="shared" ca="1" si="88"/>
        <v>#N/A</v>
      </c>
      <c r="T543" s="160" t="e">
        <f t="shared" ca="1" si="88"/>
        <v>#N/A</v>
      </c>
      <c r="U543" s="160" t="e">
        <f t="shared" ca="1" si="89"/>
        <v>#N/A</v>
      </c>
      <c r="V543" s="163" t="e">
        <f t="shared" ref="V543:V583" ca="1" si="91">IF(Q543=0,0,IF(S543=180,IF(R543=0,"Slab on Grade",IF(R543=1,"Exposed Floor",IF(R543=3,"Internal Floor",U543))),IF(S543&lt;45,IF(R543=3,"Internal Ceiling",IF(R543=1,"Roof",U543)))))</f>
        <v>#N/A</v>
      </c>
      <c r="W543" s="163" t="e">
        <f t="shared" ref="W543:W583" ca="1" si="92">IF(ISNUMBER(SEARCH($W$29,U543))=TRUE,IF(ISNUMBER(SEARCH($W$27,U543))=TRUE,IF(R543=1,"eFrame",IF(R543=3,"iFrame")),IF(R543=1,"eWindow",IF(R543=3,"iWindow"))),U543)</f>
        <v>#N/A</v>
      </c>
      <c r="X543" s="163" t="e">
        <f t="shared" ref="X543:X583" ca="1" si="93">IF(ISNUMBER(SEARCH($X$29,U543))=TRUE,IF(ISNUMBER(SEARCH($X$27,U543))=TRUE,IF(R543=1,"eFrameDoor",IF(R543=3,"iFrameDoor")),IF(R543=1,"eDoor",IF(R543=3,"iDoor"))),U543)</f>
        <v>#N/A</v>
      </c>
      <c r="Y543" s="163" t="e">
        <f t="shared" ref="Y543:Y583" ca="1" si="94">IF(ISNUMBER(SEARCH($W$29,U543))=TRUE,"Substract",IF(ISNUMBER(SEARCH($X$29,U543))=TRUE, "Sunstract",IF(S543=90,IF(R543=1,"External Wall",IF(R543=3,"Internal Wall",IF(R543=0,"Below Grade Wall",U543))),V543)))</f>
        <v>#N/A</v>
      </c>
    </row>
    <row r="544" spans="12:25" ht="14.4">
      <c r="L544" s="464"/>
      <c r="M544" s="129" t="e">
        <f t="shared" ref="M544:M583" si="95">IF(M543="end","end",IF(M543=$K$1,"end",M543+1))</f>
        <v>#N/A</v>
      </c>
      <c r="N544" s="161">
        <f t="shared" si="90"/>
        <v>13</v>
      </c>
      <c r="O544" s="160" t="e">
        <f t="shared" ca="1" si="86"/>
        <v>#N/A</v>
      </c>
      <c r="P544" s="160" t="e">
        <f t="shared" ca="1" si="87"/>
        <v>#N/A</v>
      </c>
      <c r="Q544" s="160" t="e">
        <f t="shared" ca="1" si="88"/>
        <v>#N/A</v>
      </c>
      <c r="R544" s="160" t="e">
        <f t="shared" ca="1" si="88"/>
        <v>#N/A</v>
      </c>
      <c r="S544" s="160" t="e">
        <f t="shared" ca="1" si="88"/>
        <v>#N/A</v>
      </c>
      <c r="T544" s="160" t="e">
        <f t="shared" ca="1" si="88"/>
        <v>#N/A</v>
      </c>
      <c r="U544" s="160" t="e">
        <f t="shared" ca="1" si="89"/>
        <v>#N/A</v>
      </c>
      <c r="V544" s="163" t="e">
        <f t="shared" ca="1" si="91"/>
        <v>#N/A</v>
      </c>
      <c r="W544" s="163" t="e">
        <f t="shared" ca="1" si="92"/>
        <v>#N/A</v>
      </c>
      <c r="X544" s="163" t="e">
        <f t="shared" ca="1" si="93"/>
        <v>#N/A</v>
      </c>
      <c r="Y544" s="163" t="e">
        <f t="shared" ca="1" si="94"/>
        <v>#N/A</v>
      </c>
    </row>
    <row r="545" spans="12:25" ht="14.4">
      <c r="L545" s="464"/>
      <c r="M545" s="129" t="e">
        <f t="shared" si="95"/>
        <v>#N/A</v>
      </c>
      <c r="N545" s="161">
        <f t="shared" si="90"/>
        <v>13</v>
      </c>
      <c r="O545" s="160" t="e">
        <f t="shared" ca="1" si="86"/>
        <v>#N/A</v>
      </c>
      <c r="P545" s="160" t="e">
        <f t="shared" ca="1" si="87"/>
        <v>#N/A</v>
      </c>
      <c r="Q545" s="160" t="e">
        <f t="shared" ca="1" si="88"/>
        <v>#N/A</v>
      </c>
      <c r="R545" s="160" t="e">
        <f t="shared" ca="1" si="88"/>
        <v>#N/A</v>
      </c>
      <c r="S545" s="160" t="e">
        <f t="shared" ca="1" si="88"/>
        <v>#N/A</v>
      </c>
      <c r="T545" s="160" t="e">
        <f t="shared" ca="1" si="88"/>
        <v>#N/A</v>
      </c>
      <c r="U545" s="160" t="e">
        <f t="shared" ca="1" si="89"/>
        <v>#N/A</v>
      </c>
      <c r="V545" s="163" t="e">
        <f t="shared" ca="1" si="91"/>
        <v>#N/A</v>
      </c>
      <c r="W545" s="163" t="e">
        <f t="shared" ca="1" si="92"/>
        <v>#N/A</v>
      </c>
      <c r="X545" s="163" t="e">
        <f t="shared" ca="1" si="93"/>
        <v>#N/A</v>
      </c>
      <c r="Y545" s="163" t="e">
        <f t="shared" ca="1" si="94"/>
        <v>#N/A</v>
      </c>
    </row>
    <row r="546" spans="12:25" ht="14.4">
      <c r="L546" s="464"/>
      <c r="M546" s="129" t="e">
        <f t="shared" si="95"/>
        <v>#N/A</v>
      </c>
      <c r="N546" s="161">
        <f t="shared" si="90"/>
        <v>13</v>
      </c>
      <c r="O546" s="160" t="e">
        <f t="shared" ca="1" si="86"/>
        <v>#N/A</v>
      </c>
      <c r="P546" s="160" t="e">
        <f t="shared" ca="1" si="87"/>
        <v>#N/A</v>
      </c>
      <c r="Q546" s="160" t="e">
        <f t="shared" ca="1" si="88"/>
        <v>#N/A</v>
      </c>
      <c r="R546" s="160" t="e">
        <f t="shared" ca="1" si="88"/>
        <v>#N/A</v>
      </c>
      <c r="S546" s="160" t="e">
        <f t="shared" ca="1" si="88"/>
        <v>#N/A</v>
      </c>
      <c r="T546" s="160" t="e">
        <f t="shared" ca="1" si="88"/>
        <v>#N/A</v>
      </c>
      <c r="U546" s="160" t="e">
        <f t="shared" ca="1" si="89"/>
        <v>#N/A</v>
      </c>
      <c r="V546" s="163" t="e">
        <f t="shared" ca="1" si="91"/>
        <v>#N/A</v>
      </c>
      <c r="W546" s="163" t="e">
        <f t="shared" ca="1" si="92"/>
        <v>#N/A</v>
      </c>
      <c r="X546" s="163" t="e">
        <f t="shared" ca="1" si="93"/>
        <v>#N/A</v>
      </c>
      <c r="Y546" s="163" t="e">
        <f t="shared" ca="1" si="94"/>
        <v>#N/A</v>
      </c>
    </row>
    <row r="547" spans="12:25" ht="14.4">
      <c r="L547" s="464"/>
      <c r="M547" s="129" t="e">
        <f t="shared" si="95"/>
        <v>#N/A</v>
      </c>
      <c r="N547" s="161">
        <f t="shared" si="90"/>
        <v>13</v>
      </c>
      <c r="O547" s="160" t="e">
        <f t="shared" ca="1" si="86"/>
        <v>#N/A</v>
      </c>
      <c r="P547" s="160" t="e">
        <f t="shared" ca="1" si="87"/>
        <v>#N/A</v>
      </c>
      <c r="Q547" s="160" t="e">
        <f t="shared" ca="1" si="88"/>
        <v>#N/A</v>
      </c>
      <c r="R547" s="160" t="e">
        <f t="shared" ca="1" si="88"/>
        <v>#N/A</v>
      </c>
      <c r="S547" s="160" t="e">
        <f t="shared" ca="1" si="88"/>
        <v>#N/A</v>
      </c>
      <c r="T547" s="160" t="e">
        <f t="shared" ca="1" si="88"/>
        <v>#N/A</v>
      </c>
      <c r="U547" s="160" t="e">
        <f t="shared" ca="1" si="89"/>
        <v>#N/A</v>
      </c>
      <c r="V547" s="163" t="e">
        <f t="shared" ca="1" si="91"/>
        <v>#N/A</v>
      </c>
      <c r="W547" s="163" t="e">
        <f t="shared" ca="1" si="92"/>
        <v>#N/A</v>
      </c>
      <c r="X547" s="163" t="e">
        <f t="shared" ca="1" si="93"/>
        <v>#N/A</v>
      </c>
      <c r="Y547" s="163" t="e">
        <f t="shared" ca="1" si="94"/>
        <v>#N/A</v>
      </c>
    </row>
    <row r="548" spans="12:25" ht="14.4">
      <c r="L548" s="464"/>
      <c r="M548" s="129" t="e">
        <f t="shared" si="95"/>
        <v>#N/A</v>
      </c>
      <c r="N548" s="161">
        <f t="shared" si="90"/>
        <v>13</v>
      </c>
      <c r="O548" s="160" t="e">
        <f t="shared" ca="1" si="86"/>
        <v>#N/A</v>
      </c>
      <c r="P548" s="160" t="e">
        <f t="shared" ca="1" si="87"/>
        <v>#N/A</v>
      </c>
      <c r="Q548" s="160" t="e">
        <f t="shared" ca="1" si="88"/>
        <v>#N/A</v>
      </c>
      <c r="R548" s="160" t="e">
        <f t="shared" ca="1" si="88"/>
        <v>#N/A</v>
      </c>
      <c r="S548" s="160" t="e">
        <f t="shared" ca="1" si="88"/>
        <v>#N/A</v>
      </c>
      <c r="T548" s="160" t="e">
        <f t="shared" ca="1" si="88"/>
        <v>#N/A</v>
      </c>
      <c r="U548" s="160" t="e">
        <f t="shared" ca="1" si="89"/>
        <v>#N/A</v>
      </c>
      <c r="V548" s="163" t="e">
        <f t="shared" ca="1" si="91"/>
        <v>#N/A</v>
      </c>
      <c r="W548" s="163" t="e">
        <f t="shared" ca="1" si="92"/>
        <v>#N/A</v>
      </c>
      <c r="X548" s="163" t="e">
        <f t="shared" ca="1" si="93"/>
        <v>#N/A</v>
      </c>
      <c r="Y548" s="163" t="e">
        <f t="shared" ca="1" si="94"/>
        <v>#N/A</v>
      </c>
    </row>
    <row r="549" spans="12:25" ht="14.4">
      <c r="L549" s="464"/>
      <c r="M549" s="129" t="e">
        <f t="shared" si="95"/>
        <v>#N/A</v>
      </c>
      <c r="N549" s="161">
        <f t="shared" si="90"/>
        <v>13</v>
      </c>
      <c r="O549" s="160" t="e">
        <f t="shared" ca="1" si="86"/>
        <v>#N/A</v>
      </c>
      <c r="P549" s="160" t="e">
        <f t="shared" ca="1" si="87"/>
        <v>#N/A</v>
      </c>
      <c r="Q549" s="160" t="e">
        <f t="shared" ca="1" si="88"/>
        <v>#N/A</v>
      </c>
      <c r="R549" s="160" t="e">
        <f t="shared" ca="1" si="88"/>
        <v>#N/A</v>
      </c>
      <c r="S549" s="160" t="e">
        <f t="shared" ca="1" si="88"/>
        <v>#N/A</v>
      </c>
      <c r="T549" s="160" t="e">
        <f t="shared" ca="1" si="88"/>
        <v>#N/A</v>
      </c>
      <c r="U549" s="160" t="e">
        <f t="shared" ca="1" si="89"/>
        <v>#N/A</v>
      </c>
      <c r="V549" s="163" t="e">
        <f t="shared" ca="1" si="91"/>
        <v>#N/A</v>
      </c>
      <c r="W549" s="163" t="e">
        <f t="shared" ca="1" si="92"/>
        <v>#N/A</v>
      </c>
      <c r="X549" s="163" t="e">
        <f t="shared" ca="1" si="93"/>
        <v>#N/A</v>
      </c>
      <c r="Y549" s="163" t="e">
        <f t="shared" ca="1" si="94"/>
        <v>#N/A</v>
      </c>
    </row>
    <row r="550" spans="12:25" ht="14.4">
      <c r="L550" s="464"/>
      <c r="M550" s="129" t="e">
        <f t="shared" si="95"/>
        <v>#N/A</v>
      </c>
      <c r="N550" s="161">
        <f t="shared" si="90"/>
        <v>13</v>
      </c>
      <c r="O550" s="160" t="e">
        <f t="shared" ca="1" si="86"/>
        <v>#N/A</v>
      </c>
      <c r="P550" s="160" t="e">
        <f t="shared" ca="1" si="87"/>
        <v>#N/A</v>
      </c>
      <c r="Q550" s="160" t="e">
        <f t="shared" ca="1" si="88"/>
        <v>#N/A</v>
      </c>
      <c r="R550" s="160" t="e">
        <f t="shared" ca="1" si="88"/>
        <v>#N/A</v>
      </c>
      <c r="S550" s="160" t="e">
        <f t="shared" ca="1" si="88"/>
        <v>#N/A</v>
      </c>
      <c r="T550" s="160" t="e">
        <f t="shared" ca="1" si="88"/>
        <v>#N/A</v>
      </c>
      <c r="U550" s="160" t="e">
        <f t="shared" ca="1" si="89"/>
        <v>#N/A</v>
      </c>
      <c r="V550" s="163" t="e">
        <f t="shared" ca="1" si="91"/>
        <v>#N/A</v>
      </c>
      <c r="W550" s="163" t="e">
        <f t="shared" ca="1" si="92"/>
        <v>#N/A</v>
      </c>
      <c r="X550" s="163" t="e">
        <f t="shared" ca="1" si="93"/>
        <v>#N/A</v>
      </c>
      <c r="Y550" s="163" t="e">
        <f t="shared" ca="1" si="94"/>
        <v>#N/A</v>
      </c>
    </row>
    <row r="551" spans="12:25" ht="14.4">
      <c r="L551" s="464"/>
      <c r="M551" s="129" t="e">
        <f t="shared" si="95"/>
        <v>#N/A</v>
      </c>
      <c r="N551" s="161">
        <f t="shared" si="90"/>
        <v>13</v>
      </c>
      <c r="O551" s="160" t="e">
        <f t="shared" ca="1" si="86"/>
        <v>#N/A</v>
      </c>
      <c r="P551" s="160" t="e">
        <f t="shared" ca="1" si="87"/>
        <v>#N/A</v>
      </c>
      <c r="Q551" s="160" t="e">
        <f t="shared" ca="1" si="88"/>
        <v>#N/A</v>
      </c>
      <c r="R551" s="160" t="e">
        <f t="shared" ca="1" si="88"/>
        <v>#N/A</v>
      </c>
      <c r="S551" s="160" t="e">
        <f t="shared" ca="1" si="88"/>
        <v>#N/A</v>
      </c>
      <c r="T551" s="160" t="e">
        <f t="shared" ca="1" si="88"/>
        <v>#N/A</v>
      </c>
      <c r="U551" s="160" t="e">
        <f t="shared" ca="1" si="89"/>
        <v>#N/A</v>
      </c>
      <c r="V551" s="163" t="e">
        <f t="shared" ca="1" si="91"/>
        <v>#N/A</v>
      </c>
      <c r="W551" s="163" t="e">
        <f t="shared" ca="1" si="92"/>
        <v>#N/A</v>
      </c>
      <c r="X551" s="163" t="e">
        <f t="shared" ca="1" si="93"/>
        <v>#N/A</v>
      </c>
      <c r="Y551" s="163" t="e">
        <f t="shared" ca="1" si="94"/>
        <v>#N/A</v>
      </c>
    </row>
    <row r="552" spans="12:25" ht="14.4">
      <c r="L552" s="464"/>
      <c r="M552" s="129" t="e">
        <f t="shared" si="95"/>
        <v>#N/A</v>
      </c>
      <c r="N552" s="161">
        <f t="shared" si="90"/>
        <v>13</v>
      </c>
      <c r="O552" s="160" t="e">
        <f t="shared" ca="1" si="86"/>
        <v>#N/A</v>
      </c>
      <c r="P552" s="160" t="e">
        <f t="shared" ca="1" si="87"/>
        <v>#N/A</v>
      </c>
      <c r="Q552" s="160" t="e">
        <f t="shared" ca="1" si="88"/>
        <v>#N/A</v>
      </c>
      <c r="R552" s="160" t="e">
        <f t="shared" ca="1" si="88"/>
        <v>#N/A</v>
      </c>
      <c r="S552" s="160" t="e">
        <f t="shared" ca="1" si="88"/>
        <v>#N/A</v>
      </c>
      <c r="T552" s="160" t="e">
        <f t="shared" ca="1" si="88"/>
        <v>#N/A</v>
      </c>
      <c r="U552" s="160" t="e">
        <f t="shared" ca="1" si="89"/>
        <v>#N/A</v>
      </c>
      <c r="V552" s="163" t="e">
        <f t="shared" ca="1" si="91"/>
        <v>#N/A</v>
      </c>
      <c r="W552" s="163" t="e">
        <f t="shared" ca="1" si="92"/>
        <v>#N/A</v>
      </c>
      <c r="X552" s="163" t="e">
        <f t="shared" ca="1" si="93"/>
        <v>#N/A</v>
      </c>
      <c r="Y552" s="163" t="e">
        <f t="shared" ca="1" si="94"/>
        <v>#N/A</v>
      </c>
    </row>
    <row r="553" spans="12:25" ht="14.4">
      <c r="L553" s="464"/>
      <c r="M553" s="129" t="e">
        <f t="shared" si="95"/>
        <v>#N/A</v>
      </c>
      <c r="N553" s="161">
        <f t="shared" si="90"/>
        <v>13</v>
      </c>
      <c r="O553" s="160" t="e">
        <f t="shared" ref="O553:O583" ca="1" si="96">IF($M553="end",0,OFFSET($A$1,$M553-1,O$29,1,1))</f>
        <v>#N/A</v>
      </c>
      <c r="P553" s="160" t="e">
        <f t="shared" ca="1" si="87"/>
        <v>#N/A</v>
      </c>
      <c r="Q553" s="160" t="e">
        <f t="shared" ca="1" si="88"/>
        <v>#N/A</v>
      </c>
      <c r="R553" s="160" t="e">
        <f t="shared" ca="1" si="88"/>
        <v>#N/A</v>
      </c>
      <c r="S553" s="160" t="e">
        <f t="shared" ca="1" si="88"/>
        <v>#N/A</v>
      </c>
      <c r="T553" s="160" t="e">
        <f t="shared" ca="1" si="88"/>
        <v>#N/A</v>
      </c>
      <c r="U553" s="160" t="e">
        <f t="shared" ca="1" si="89"/>
        <v>#N/A</v>
      </c>
      <c r="V553" s="163" t="e">
        <f t="shared" ca="1" si="91"/>
        <v>#N/A</v>
      </c>
      <c r="W553" s="163" t="e">
        <f t="shared" ca="1" si="92"/>
        <v>#N/A</v>
      </c>
      <c r="X553" s="163" t="e">
        <f t="shared" ca="1" si="93"/>
        <v>#N/A</v>
      </c>
      <c r="Y553" s="163" t="e">
        <f t="shared" ca="1" si="94"/>
        <v>#N/A</v>
      </c>
    </row>
    <row r="554" spans="12:25" ht="14.4">
      <c r="L554" s="464"/>
      <c r="M554" s="129" t="e">
        <f t="shared" si="95"/>
        <v>#N/A</v>
      </c>
      <c r="N554" s="161">
        <f t="shared" si="90"/>
        <v>13</v>
      </c>
      <c r="O554" s="160" t="e">
        <f t="shared" ca="1" si="96"/>
        <v>#N/A</v>
      </c>
      <c r="P554" s="160" t="e">
        <f t="shared" ca="1" si="87"/>
        <v>#N/A</v>
      </c>
      <c r="Q554" s="160" t="e">
        <f t="shared" ca="1" si="88"/>
        <v>#N/A</v>
      </c>
      <c r="R554" s="160" t="e">
        <f t="shared" ca="1" si="88"/>
        <v>#N/A</v>
      </c>
      <c r="S554" s="160" t="e">
        <f t="shared" ca="1" si="88"/>
        <v>#N/A</v>
      </c>
      <c r="T554" s="160" t="e">
        <f t="shared" ca="1" si="88"/>
        <v>#N/A</v>
      </c>
      <c r="U554" s="160" t="e">
        <f t="shared" ca="1" si="89"/>
        <v>#N/A</v>
      </c>
      <c r="V554" s="163" t="e">
        <f t="shared" ca="1" si="91"/>
        <v>#N/A</v>
      </c>
      <c r="W554" s="163" t="e">
        <f t="shared" ca="1" si="92"/>
        <v>#N/A</v>
      </c>
      <c r="X554" s="163" t="e">
        <f t="shared" ca="1" si="93"/>
        <v>#N/A</v>
      </c>
      <c r="Y554" s="163" t="e">
        <f t="shared" ca="1" si="94"/>
        <v>#N/A</v>
      </c>
    </row>
    <row r="555" spans="12:25" ht="14.4">
      <c r="L555" s="464"/>
      <c r="M555" s="129" t="e">
        <f t="shared" si="95"/>
        <v>#N/A</v>
      </c>
      <c r="N555" s="161">
        <f t="shared" si="90"/>
        <v>13</v>
      </c>
      <c r="O555" s="160" t="e">
        <f t="shared" ca="1" si="96"/>
        <v>#N/A</v>
      </c>
      <c r="P555" s="160" t="e">
        <f t="shared" ca="1" si="87"/>
        <v>#N/A</v>
      </c>
      <c r="Q555" s="160" t="e">
        <f t="shared" ca="1" si="88"/>
        <v>#N/A</v>
      </c>
      <c r="R555" s="160" t="e">
        <f t="shared" ca="1" si="88"/>
        <v>#N/A</v>
      </c>
      <c r="S555" s="160" t="e">
        <f t="shared" ca="1" si="88"/>
        <v>#N/A</v>
      </c>
      <c r="T555" s="160" t="e">
        <f t="shared" ca="1" si="88"/>
        <v>#N/A</v>
      </c>
      <c r="U555" s="160" t="e">
        <f t="shared" ca="1" si="89"/>
        <v>#N/A</v>
      </c>
      <c r="V555" s="163" t="e">
        <f t="shared" ca="1" si="91"/>
        <v>#N/A</v>
      </c>
      <c r="W555" s="163" t="e">
        <f t="shared" ca="1" si="92"/>
        <v>#N/A</v>
      </c>
      <c r="X555" s="163" t="e">
        <f t="shared" ca="1" si="93"/>
        <v>#N/A</v>
      </c>
      <c r="Y555" s="163" t="e">
        <f t="shared" ca="1" si="94"/>
        <v>#N/A</v>
      </c>
    </row>
    <row r="556" spans="12:25" ht="14.4">
      <c r="L556" s="464"/>
      <c r="M556" s="129" t="e">
        <f t="shared" si="95"/>
        <v>#N/A</v>
      </c>
      <c r="N556" s="161">
        <f t="shared" si="90"/>
        <v>13</v>
      </c>
      <c r="O556" s="160" t="e">
        <f t="shared" ca="1" si="96"/>
        <v>#N/A</v>
      </c>
      <c r="P556" s="160" t="e">
        <f t="shared" ca="1" si="87"/>
        <v>#N/A</v>
      </c>
      <c r="Q556" s="160" t="e">
        <f t="shared" ca="1" si="88"/>
        <v>#N/A</v>
      </c>
      <c r="R556" s="160" t="e">
        <f t="shared" ca="1" si="88"/>
        <v>#N/A</v>
      </c>
      <c r="S556" s="160" t="e">
        <f t="shared" ca="1" si="88"/>
        <v>#N/A</v>
      </c>
      <c r="T556" s="160" t="e">
        <f t="shared" ca="1" si="88"/>
        <v>#N/A</v>
      </c>
      <c r="U556" s="160" t="e">
        <f t="shared" ca="1" si="89"/>
        <v>#N/A</v>
      </c>
      <c r="V556" s="163" t="e">
        <f t="shared" ca="1" si="91"/>
        <v>#N/A</v>
      </c>
      <c r="W556" s="163" t="e">
        <f t="shared" ca="1" si="92"/>
        <v>#N/A</v>
      </c>
      <c r="X556" s="163" t="e">
        <f t="shared" ca="1" si="93"/>
        <v>#N/A</v>
      </c>
      <c r="Y556" s="163" t="e">
        <f t="shared" ca="1" si="94"/>
        <v>#N/A</v>
      </c>
    </row>
    <row r="557" spans="12:25" ht="14.4">
      <c r="L557" s="464"/>
      <c r="M557" s="129" t="e">
        <f t="shared" si="95"/>
        <v>#N/A</v>
      </c>
      <c r="N557" s="161">
        <f t="shared" si="90"/>
        <v>13</v>
      </c>
      <c r="O557" s="160" t="e">
        <f t="shared" ca="1" si="96"/>
        <v>#N/A</v>
      </c>
      <c r="P557" s="160" t="e">
        <f t="shared" ca="1" si="87"/>
        <v>#N/A</v>
      </c>
      <c r="Q557" s="160" t="e">
        <f t="shared" ca="1" si="88"/>
        <v>#N/A</v>
      </c>
      <c r="R557" s="160" t="e">
        <f t="shared" ca="1" si="88"/>
        <v>#N/A</v>
      </c>
      <c r="S557" s="160" t="e">
        <f t="shared" ca="1" si="88"/>
        <v>#N/A</v>
      </c>
      <c r="T557" s="160" t="e">
        <f t="shared" ca="1" si="88"/>
        <v>#N/A</v>
      </c>
      <c r="U557" s="160" t="e">
        <f t="shared" ca="1" si="89"/>
        <v>#N/A</v>
      </c>
      <c r="V557" s="163" t="e">
        <f t="shared" ca="1" si="91"/>
        <v>#N/A</v>
      </c>
      <c r="W557" s="163" t="e">
        <f t="shared" ca="1" si="92"/>
        <v>#N/A</v>
      </c>
      <c r="X557" s="163" t="e">
        <f t="shared" ca="1" si="93"/>
        <v>#N/A</v>
      </c>
      <c r="Y557" s="163" t="e">
        <f t="shared" ca="1" si="94"/>
        <v>#N/A</v>
      </c>
    </row>
    <row r="558" spans="12:25" ht="14.4">
      <c r="L558" s="464"/>
      <c r="M558" s="129" t="e">
        <f t="shared" si="95"/>
        <v>#N/A</v>
      </c>
      <c r="N558" s="161">
        <f t="shared" si="90"/>
        <v>13</v>
      </c>
      <c r="O558" s="160" t="e">
        <f t="shared" ca="1" si="96"/>
        <v>#N/A</v>
      </c>
      <c r="P558" s="160" t="e">
        <f t="shared" ca="1" si="87"/>
        <v>#N/A</v>
      </c>
      <c r="Q558" s="160" t="e">
        <f t="shared" ca="1" si="88"/>
        <v>#N/A</v>
      </c>
      <c r="R558" s="160" t="e">
        <f t="shared" ca="1" si="88"/>
        <v>#N/A</v>
      </c>
      <c r="S558" s="160" t="e">
        <f t="shared" ca="1" si="88"/>
        <v>#N/A</v>
      </c>
      <c r="T558" s="160" t="e">
        <f t="shared" ca="1" si="88"/>
        <v>#N/A</v>
      </c>
      <c r="U558" s="160" t="e">
        <f t="shared" ca="1" si="89"/>
        <v>#N/A</v>
      </c>
      <c r="V558" s="163" t="e">
        <f t="shared" ca="1" si="91"/>
        <v>#N/A</v>
      </c>
      <c r="W558" s="163" t="e">
        <f t="shared" ca="1" si="92"/>
        <v>#N/A</v>
      </c>
      <c r="X558" s="163" t="e">
        <f t="shared" ca="1" si="93"/>
        <v>#N/A</v>
      </c>
      <c r="Y558" s="163" t="e">
        <f t="shared" ca="1" si="94"/>
        <v>#N/A</v>
      </c>
    </row>
    <row r="559" spans="12:25" ht="14.4">
      <c r="L559" s="464"/>
      <c r="M559" s="129" t="e">
        <f t="shared" si="95"/>
        <v>#N/A</v>
      </c>
      <c r="N559" s="161">
        <f t="shared" si="90"/>
        <v>13</v>
      </c>
      <c r="O559" s="160" t="e">
        <f t="shared" ca="1" si="96"/>
        <v>#N/A</v>
      </c>
      <c r="P559" s="160" t="e">
        <f t="shared" ca="1" si="87"/>
        <v>#N/A</v>
      </c>
      <c r="Q559" s="160" t="e">
        <f t="shared" ca="1" si="88"/>
        <v>#N/A</v>
      </c>
      <c r="R559" s="160" t="e">
        <f t="shared" ca="1" si="88"/>
        <v>#N/A</v>
      </c>
      <c r="S559" s="160" t="e">
        <f t="shared" ca="1" si="88"/>
        <v>#N/A</v>
      </c>
      <c r="T559" s="160" t="e">
        <f t="shared" ca="1" si="88"/>
        <v>#N/A</v>
      </c>
      <c r="U559" s="160" t="e">
        <f t="shared" ca="1" si="89"/>
        <v>#N/A</v>
      </c>
      <c r="V559" s="163" t="e">
        <f t="shared" ca="1" si="91"/>
        <v>#N/A</v>
      </c>
      <c r="W559" s="163" t="e">
        <f t="shared" ca="1" si="92"/>
        <v>#N/A</v>
      </c>
      <c r="X559" s="163" t="e">
        <f t="shared" ca="1" si="93"/>
        <v>#N/A</v>
      </c>
      <c r="Y559" s="163" t="e">
        <f t="shared" ca="1" si="94"/>
        <v>#N/A</v>
      </c>
    </row>
    <row r="560" spans="12:25" ht="14.4">
      <c r="L560" s="464"/>
      <c r="M560" s="129" t="e">
        <f t="shared" si="95"/>
        <v>#N/A</v>
      </c>
      <c r="N560" s="161">
        <f t="shared" si="90"/>
        <v>13</v>
      </c>
      <c r="O560" s="160" t="e">
        <f t="shared" ca="1" si="96"/>
        <v>#N/A</v>
      </c>
      <c r="P560" s="160" t="e">
        <f t="shared" ca="1" si="87"/>
        <v>#N/A</v>
      </c>
      <c r="Q560" s="160" t="e">
        <f t="shared" ca="1" si="88"/>
        <v>#N/A</v>
      </c>
      <c r="R560" s="160" t="e">
        <f t="shared" ca="1" si="88"/>
        <v>#N/A</v>
      </c>
      <c r="S560" s="160" t="e">
        <f t="shared" ca="1" si="88"/>
        <v>#N/A</v>
      </c>
      <c r="T560" s="160" t="e">
        <f t="shared" ca="1" si="88"/>
        <v>#N/A</v>
      </c>
      <c r="U560" s="160" t="e">
        <f t="shared" ca="1" si="89"/>
        <v>#N/A</v>
      </c>
      <c r="V560" s="163" t="e">
        <f t="shared" ca="1" si="91"/>
        <v>#N/A</v>
      </c>
      <c r="W560" s="163" t="e">
        <f t="shared" ca="1" si="92"/>
        <v>#N/A</v>
      </c>
      <c r="X560" s="163" t="e">
        <f t="shared" ca="1" si="93"/>
        <v>#N/A</v>
      </c>
      <c r="Y560" s="163" t="e">
        <f t="shared" ca="1" si="94"/>
        <v>#N/A</v>
      </c>
    </row>
    <row r="561" spans="12:25" ht="14.4">
      <c r="L561" s="464"/>
      <c r="M561" s="129" t="e">
        <f t="shared" si="95"/>
        <v>#N/A</v>
      </c>
      <c r="N561" s="161">
        <f t="shared" si="90"/>
        <v>13</v>
      </c>
      <c r="O561" s="160" t="e">
        <f t="shared" ca="1" si="96"/>
        <v>#N/A</v>
      </c>
      <c r="P561" s="160" t="e">
        <f t="shared" ca="1" si="87"/>
        <v>#N/A</v>
      </c>
      <c r="Q561" s="160" t="e">
        <f t="shared" ca="1" si="88"/>
        <v>#N/A</v>
      </c>
      <c r="R561" s="160" t="e">
        <f t="shared" ca="1" si="88"/>
        <v>#N/A</v>
      </c>
      <c r="S561" s="160" t="e">
        <f t="shared" ca="1" si="88"/>
        <v>#N/A</v>
      </c>
      <c r="T561" s="160" t="e">
        <f t="shared" ref="T561:U583" ca="1" si="97">IF($M561="end",0,OFFSET($A$1,$M561-1,T$29,1,1))</f>
        <v>#N/A</v>
      </c>
      <c r="U561" s="160" t="e">
        <f t="shared" ca="1" si="89"/>
        <v>#N/A</v>
      </c>
      <c r="V561" s="163" t="e">
        <f t="shared" ca="1" si="91"/>
        <v>#N/A</v>
      </c>
      <c r="W561" s="163" t="e">
        <f t="shared" ca="1" si="92"/>
        <v>#N/A</v>
      </c>
      <c r="X561" s="163" t="e">
        <f t="shared" ca="1" si="93"/>
        <v>#N/A</v>
      </c>
      <c r="Y561" s="163" t="e">
        <f t="shared" ca="1" si="94"/>
        <v>#N/A</v>
      </c>
    </row>
    <row r="562" spans="12:25" ht="14.4">
      <c r="L562" s="464"/>
      <c r="M562" s="129" t="e">
        <f t="shared" si="95"/>
        <v>#N/A</v>
      </c>
      <c r="N562" s="161">
        <f t="shared" si="90"/>
        <v>13</v>
      </c>
      <c r="O562" s="160" t="e">
        <f t="shared" ca="1" si="96"/>
        <v>#N/A</v>
      </c>
      <c r="P562" s="160" t="e">
        <f t="shared" ref="P562:P583" ca="1" si="98">IF($M562="end",0,OFFSET($A$1,$M562-1,P$29,1,1))</f>
        <v>#N/A</v>
      </c>
      <c r="Q562" s="160" t="e">
        <f t="shared" ref="Q562:S583" ca="1" si="99">IF($M562="end",0,OFFSET($A$1,$M562-1,Q$29,1,1))</f>
        <v>#N/A</v>
      </c>
      <c r="R562" s="160" t="e">
        <f t="shared" ca="1" si="99"/>
        <v>#N/A</v>
      </c>
      <c r="S562" s="160" t="e">
        <f t="shared" ca="1" si="99"/>
        <v>#N/A</v>
      </c>
      <c r="T562" s="160" t="e">
        <f t="shared" ca="1" si="97"/>
        <v>#N/A</v>
      </c>
      <c r="U562" s="160" t="e">
        <f t="shared" ca="1" si="97"/>
        <v>#N/A</v>
      </c>
      <c r="V562" s="163" t="e">
        <f t="shared" ca="1" si="91"/>
        <v>#N/A</v>
      </c>
      <c r="W562" s="163" t="e">
        <f t="shared" ca="1" si="92"/>
        <v>#N/A</v>
      </c>
      <c r="X562" s="163" t="e">
        <f t="shared" ca="1" si="93"/>
        <v>#N/A</v>
      </c>
      <c r="Y562" s="163" t="e">
        <f t="shared" ca="1" si="94"/>
        <v>#N/A</v>
      </c>
    </row>
    <row r="563" spans="12:25" ht="14.4">
      <c r="L563" s="464"/>
      <c r="M563" s="129" t="e">
        <f t="shared" si="95"/>
        <v>#N/A</v>
      </c>
      <c r="N563" s="161">
        <f t="shared" si="90"/>
        <v>13</v>
      </c>
      <c r="O563" s="160" t="e">
        <f t="shared" ca="1" si="96"/>
        <v>#N/A</v>
      </c>
      <c r="P563" s="160" t="e">
        <f t="shared" ca="1" si="98"/>
        <v>#N/A</v>
      </c>
      <c r="Q563" s="160" t="e">
        <f t="shared" ca="1" si="99"/>
        <v>#N/A</v>
      </c>
      <c r="R563" s="160" t="e">
        <f t="shared" ca="1" si="99"/>
        <v>#N/A</v>
      </c>
      <c r="S563" s="160" t="e">
        <f t="shared" ca="1" si="99"/>
        <v>#N/A</v>
      </c>
      <c r="T563" s="160" t="e">
        <f t="shared" ca="1" si="97"/>
        <v>#N/A</v>
      </c>
      <c r="U563" s="160" t="e">
        <f t="shared" ca="1" si="97"/>
        <v>#N/A</v>
      </c>
      <c r="V563" s="163" t="e">
        <f t="shared" ca="1" si="91"/>
        <v>#N/A</v>
      </c>
      <c r="W563" s="163" t="e">
        <f t="shared" ca="1" si="92"/>
        <v>#N/A</v>
      </c>
      <c r="X563" s="163" t="e">
        <f t="shared" ca="1" si="93"/>
        <v>#N/A</v>
      </c>
      <c r="Y563" s="163" t="e">
        <f t="shared" ca="1" si="94"/>
        <v>#N/A</v>
      </c>
    </row>
    <row r="564" spans="12:25" ht="14.4">
      <c r="L564" s="464"/>
      <c r="M564" s="129" t="e">
        <f t="shared" si="95"/>
        <v>#N/A</v>
      </c>
      <c r="N564" s="161">
        <f t="shared" si="90"/>
        <v>13</v>
      </c>
      <c r="O564" s="160" t="e">
        <f t="shared" ca="1" si="96"/>
        <v>#N/A</v>
      </c>
      <c r="P564" s="160" t="e">
        <f t="shared" ca="1" si="98"/>
        <v>#N/A</v>
      </c>
      <c r="Q564" s="160" t="e">
        <f t="shared" ca="1" si="99"/>
        <v>#N/A</v>
      </c>
      <c r="R564" s="160" t="e">
        <f t="shared" ca="1" si="99"/>
        <v>#N/A</v>
      </c>
      <c r="S564" s="160" t="e">
        <f t="shared" ca="1" si="99"/>
        <v>#N/A</v>
      </c>
      <c r="T564" s="160" t="e">
        <f t="shared" ca="1" si="97"/>
        <v>#N/A</v>
      </c>
      <c r="U564" s="160" t="e">
        <f t="shared" ca="1" si="97"/>
        <v>#N/A</v>
      </c>
      <c r="V564" s="163" t="e">
        <f t="shared" ca="1" si="91"/>
        <v>#N/A</v>
      </c>
      <c r="W564" s="163" t="e">
        <f t="shared" ca="1" si="92"/>
        <v>#N/A</v>
      </c>
      <c r="X564" s="163" t="e">
        <f t="shared" ca="1" si="93"/>
        <v>#N/A</v>
      </c>
      <c r="Y564" s="163" t="e">
        <f t="shared" ca="1" si="94"/>
        <v>#N/A</v>
      </c>
    </row>
    <row r="565" spans="12:25" ht="14.4">
      <c r="L565" s="464"/>
      <c r="M565" s="129" t="e">
        <f t="shared" si="95"/>
        <v>#N/A</v>
      </c>
      <c r="N565" s="161">
        <f t="shared" si="90"/>
        <v>13</v>
      </c>
      <c r="O565" s="160" t="e">
        <f t="shared" ca="1" si="96"/>
        <v>#N/A</v>
      </c>
      <c r="P565" s="160" t="e">
        <f t="shared" ca="1" si="98"/>
        <v>#N/A</v>
      </c>
      <c r="Q565" s="160" t="e">
        <f t="shared" ca="1" si="99"/>
        <v>#N/A</v>
      </c>
      <c r="R565" s="160" t="e">
        <f t="shared" ca="1" si="99"/>
        <v>#N/A</v>
      </c>
      <c r="S565" s="160" t="e">
        <f t="shared" ca="1" si="99"/>
        <v>#N/A</v>
      </c>
      <c r="T565" s="160" t="e">
        <f t="shared" ca="1" si="97"/>
        <v>#N/A</v>
      </c>
      <c r="U565" s="160" t="e">
        <f t="shared" ca="1" si="97"/>
        <v>#N/A</v>
      </c>
      <c r="V565" s="163" t="e">
        <f t="shared" ca="1" si="91"/>
        <v>#N/A</v>
      </c>
      <c r="W565" s="163" t="e">
        <f t="shared" ca="1" si="92"/>
        <v>#N/A</v>
      </c>
      <c r="X565" s="163" t="e">
        <f t="shared" ca="1" si="93"/>
        <v>#N/A</v>
      </c>
      <c r="Y565" s="163" t="e">
        <f t="shared" ca="1" si="94"/>
        <v>#N/A</v>
      </c>
    </row>
    <row r="566" spans="12:25" ht="14.4">
      <c r="L566" s="464"/>
      <c r="M566" s="129" t="e">
        <f t="shared" si="95"/>
        <v>#N/A</v>
      </c>
      <c r="N566" s="161">
        <f t="shared" si="90"/>
        <v>13</v>
      </c>
      <c r="O566" s="160" t="e">
        <f t="shared" ca="1" si="96"/>
        <v>#N/A</v>
      </c>
      <c r="P566" s="160" t="e">
        <f t="shared" ca="1" si="98"/>
        <v>#N/A</v>
      </c>
      <c r="Q566" s="160" t="e">
        <f t="shared" ca="1" si="99"/>
        <v>#N/A</v>
      </c>
      <c r="R566" s="160" t="e">
        <f t="shared" ca="1" si="99"/>
        <v>#N/A</v>
      </c>
      <c r="S566" s="160" t="e">
        <f t="shared" ca="1" si="99"/>
        <v>#N/A</v>
      </c>
      <c r="T566" s="160" t="e">
        <f t="shared" ca="1" si="97"/>
        <v>#N/A</v>
      </c>
      <c r="U566" s="160" t="e">
        <f t="shared" ca="1" si="97"/>
        <v>#N/A</v>
      </c>
      <c r="V566" s="163" t="e">
        <f t="shared" ca="1" si="91"/>
        <v>#N/A</v>
      </c>
      <c r="W566" s="163" t="e">
        <f t="shared" ca="1" si="92"/>
        <v>#N/A</v>
      </c>
      <c r="X566" s="163" t="e">
        <f t="shared" ca="1" si="93"/>
        <v>#N/A</v>
      </c>
      <c r="Y566" s="163" t="e">
        <f t="shared" ca="1" si="94"/>
        <v>#N/A</v>
      </c>
    </row>
    <row r="567" spans="12:25" ht="14.4">
      <c r="L567" s="464"/>
      <c r="M567" s="129" t="e">
        <f t="shared" si="95"/>
        <v>#N/A</v>
      </c>
      <c r="N567" s="161">
        <f t="shared" si="90"/>
        <v>13</v>
      </c>
      <c r="O567" s="160" t="e">
        <f t="shared" ca="1" si="96"/>
        <v>#N/A</v>
      </c>
      <c r="P567" s="160" t="e">
        <f t="shared" ca="1" si="98"/>
        <v>#N/A</v>
      </c>
      <c r="Q567" s="160" t="e">
        <f t="shared" ca="1" si="99"/>
        <v>#N/A</v>
      </c>
      <c r="R567" s="160" t="e">
        <f t="shared" ca="1" si="99"/>
        <v>#N/A</v>
      </c>
      <c r="S567" s="160" t="e">
        <f t="shared" ca="1" si="99"/>
        <v>#N/A</v>
      </c>
      <c r="T567" s="160" t="e">
        <f t="shared" ca="1" si="97"/>
        <v>#N/A</v>
      </c>
      <c r="U567" s="160" t="e">
        <f t="shared" ca="1" si="97"/>
        <v>#N/A</v>
      </c>
      <c r="V567" s="163" t="e">
        <f t="shared" ca="1" si="91"/>
        <v>#N/A</v>
      </c>
      <c r="W567" s="163" t="e">
        <f t="shared" ca="1" si="92"/>
        <v>#N/A</v>
      </c>
      <c r="X567" s="163" t="e">
        <f t="shared" ca="1" si="93"/>
        <v>#N/A</v>
      </c>
      <c r="Y567" s="163" t="e">
        <f t="shared" ca="1" si="94"/>
        <v>#N/A</v>
      </c>
    </row>
    <row r="568" spans="12:25" ht="14.4">
      <c r="L568" s="464"/>
      <c r="M568" s="129" t="e">
        <f t="shared" si="95"/>
        <v>#N/A</v>
      </c>
      <c r="N568" s="161">
        <f t="shared" si="90"/>
        <v>13</v>
      </c>
      <c r="O568" s="160" t="e">
        <f t="shared" ca="1" si="96"/>
        <v>#N/A</v>
      </c>
      <c r="P568" s="160" t="e">
        <f t="shared" ca="1" si="98"/>
        <v>#N/A</v>
      </c>
      <c r="Q568" s="160" t="e">
        <f t="shared" ca="1" si="99"/>
        <v>#N/A</v>
      </c>
      <c r="R568" s="160" t="e">
        <f t="shared" ca="1" si="99"/>
        <v>#N/A</v>
      </c>
      <c r="S568" s="160" t="e">
        <f t="shared" ca="1" si="99"/>
        <v>#N/A</v>
      </c>
      <c r="T568" s="160" t="e">
        <f t="shared" ca="1" si="97"/>
        <v>#N/A</v>
      </c>
      <c r="U568" s="160" t="e">
        <f t="shared" ca="1" si="97"/>
        <v>#N/A</v>
      </c>
      <c r="V568" s="163" t="e">
        <f t="shared" ca="1" si="91"/>
        <v>#N/A</v>
      </c>
      <c r="W568" s="163" t="e">
        <f t="shared" ca="1" si="92"/>
        <v>#N/A</v>
      </c>
      <c r="X568" s="163" t="e">
        <f t="shared" ca="1" si="93"/>
        <v>#N/A</v>
      </c>
      <c r="Y568" s="163" t="e">
        <f t="shared" ca="1" si="94"/>
        <v>#N/A</v>
      </c>
    </row>
    <row r="569" spans="12:25" ht="14.4">
      <c r="L569" s="464"/>
      <c r="M569" s="129" t="e">
        <f t="shared" si="95"/>
        <v>#N/A</v>
      </c>
      <c r="N569" s="161">
        <f t="shared" si="90"/>
        <v>13</v>
      </c>
      <c r="O569" s="160" t="e">
        <f t="shared" ca="1" si="96"/>
        <v>#N/A</v>
      </c>
      <c r="P569" s="160" t="e">
        <f t="shared" ca="1" si="98"/>
        <v>#N/A</v>
      </c>
      <c r="Q569" s="160" t="e">
        <f t="shared" ca="1" si="99"/>
        <v>#N/A</v>
      </c>
      <c r="R569" s="160" t="e">
        <f t="shared" ca="1" si="99"/>
        <v>#N/A</v>
      </c>
      <c r="S569" s="160" t="e">
        <f t="shared" ca="1" si="99"/>
        <v>#N/A</v>
      </c>
      <c r="T569" s="160" t="e">
        <f t="shared" ca="1" si="97"/>
        <v>#N/A</v>
      </c>
      <c r="U569" s="160" t="e">
        <f t="shared" ca="1" si="97"/>
        <v>#N/A</v>
      </c>
      <c r="V569" s="163" t="e">
        <f t="shared" ca="1" si="91"/>
        <v>#N/A</v>
      </c>
      <c r="W569" s="163" t="e">
        <f t="shared" ca="1" si="92"/>
        <v>#N/A</v>
      </c>
      <c r="X569" s="163" t="e">
        <f t="shared" ca="1" si="93"/>
        <v>#N/A</v>
      </c>
      <c r="Y569" s="163" t="e">
        <f t="shared" ca="1" si="94"/>
        <v>#N/A</v>
      </c>
    </row>
    <row r="570" spans="12:25" ht="14.4">
      <c r="L570" s="464"/>
      <c r="M570" s="129" t="e">
        <f t="shared" si="95"/>
        <v>#N/A</v>
      </c>
      <c r="N570" s="161">
        <f t="shared" si="90"/>
        <v>13</v>
      </c>
      <c r="O570" s="160" t="e">
        <f t="shared" ca="1" si="96"/>
        <v>#N/A</v>
      </c>
      <c r="P570" s="160" t="e">
        <f t="shared" ca="1" si="98"/>
        <v>#N/A</v>
      </c>
      <c r="Q570" s="160" t="e">
        <f t="shared" ca="1" si="99"/>
        <v>#N/A</v>
      </c>
      <c r="R570" s="160" t="e">
        <f t="shared" ca="1" si="99"/>
        <v>#N/A</v>
      </c>
      <c r="S570" s="160" t="e">
        <f t="shared" ca="1" si="99"/>
        <v>#N/A</v>
      </c>
      <c r="T570" s="160" t="e">
        <f t="shared" ca="1" si="97"/>
        <v>#N/A</v>
      </c>
      <c r="U570" s="160" t="e">
        <f t="shared" ca="1" si="97"/>
        <v>#N/A</v>
      </c>
      <c r="V570" s="163" t="e">
        <f t="shared" ca="1" si="91"/>
        <v>#N/A</v>
      </c>
      <c r="W570" s="163" t="e">
        <f t="shared" ca="1" si="92"/>
        <v>#N/A</v>
      </c>
      <c r="X570" s="163" t="e">
        <f t="shared" ca="1" si="93"/>
        <v>#N/A</v>
      </c>
      <c r="Y570" s="163" t="e">
        <f t="shared" ca="1" si="94"/>
        <v>#N/A</v>
      </c>
    </row>
    <row r="571" spans="12:25" ht="14.4">
      <c r="L571" s="464"/>
      <c r="M571" s="129" t="e">
        <f t="shared" si="95"/>
        <v>#N/A</v>
      </c>
      <c r="N571" s="161">
        <f t="shared" si="90"/>
        <v>13</v>
      </c>
      <c r="O571" s="160" t="e">
        <f t="shared" ca="1" si="96"/>
        <v>#N/A</v>
      </c>
      <c r="P571" s="160" t="e">
        <f t="shared" ca="1" si="98"/>
        <v>#N/A</v>
      </c>
      <c r="Q571" s="160" t="e">
        <f t="shared" ca="1" si="99"/>
        <v>#N/A</v>
      </c>
      <c r="R571" s="160" t="e">
        <f t="shared" ca="1" si="99"/>
        <v>#N/A</v>
      </c>
      <c r="S571" s="160" t="e">
        <f t="shared" ca="1" si="99"/>
        <v>#N/A</v>
      </c>
      <c r="T571" s="160" t="e">
        <f t="shared" ca="1" si="97"/>
        <v>#N/A</v>
      </c>
      <c r="U571" s="160" t="e">
        <f t="shared" ca="1" si="97"/>
        <v>#N/A</v>
      </c>
      <c r="V571" s="163" t="e">
        <f t="shared" ca="1" si="91"/>
        <v>#N/A</v>
      </c>
      <c r="W571" s="163" t="e">
        <f t="shared" ca="1" si="92"/>
        <v>#N/A</v>
      </c>
      <c r="X571" s="163" t="e">
        <f t="shared" ca="1" si="93"/>
        <v>#N/A</v>
      </c>
      <c r="Y571" s="163" t="e">
        <f t="shared" ca="1" si="94"/>
        <v>#N/A</v>
      </c>
    </row>
    <row r="572" spans="12:25" ht="14.4">
      <c r="L572" s="464"/>
      <c r="M572" s="129" t="e">
        <f t="shared" si="95"/>
        <v>#N/A</v>
      </c>
      <c r="N572" s="161">
        <f t="shared" si="90"/>
        <v>13</v>
      </c>
      <c r="O572" s="160" t="e">
        <f t="shared" ca="1" si="96"/>
        <v>#N/A</v>
      </c>
      <c r="P572" s="160" t="e">
        <f t="shared" ca="1" si="98"/>
        <v>#N/A</v>
      </c>
      <c r="Q572" s="160" t="e">
        <f t="shared" ca="1" si="99"/>
        <v>#N/A</v>
      </c>
      <c r="R572" s="160" t="e">
        <f t="shared" ca="1" si="99"/>
        <v>#N/A</v>
      </c>
      <c r="S572" s="160" t="e">
        <f t="shared" ca="1" si="99"/>
        <v>#N/A</v>
      </c>
      <c r="T572" s="160" t="e">
        <f t="shared" ca="1" si="97"/>
        <v>#N/A</v>
      </c>
      <c r="U572" s="160" t="e">
        <f t="shared" ca="1" si="97"/>
        <v>#N/A</v>
      </c>
      <c r="V572" s="163" t="e">
        <f t="shared" ca="1" si="91"/>
        <v>#N/A</v>
      </c>
      <c r="W572" s="163" t="e">
        <f t="shared" ca="1" si="92"/>
        <v>#N/A</v>
      </c>
      <c r="X572" s="163" t="e">
        <f t="shared" ca="1" si="93"/>
        <v>#N/A</v>
      </c>
      <c r="Y572" s="163" t="e">
        <f t="shared" ca="1" si="94"/>
        <v>#N/A</v>
      </c>
    </row>
    <row r="573" spans="12:25" ht="14.4">
      <c r="L573" s="464"/>
      <c r="M573" s="129" t="e">
        <f t="shared" si="95"/>
        <v>#N/A</v>
      </c>
      <c r="N573" s="161">
        <f t="shared" si="90"/>
        <v>13</v>
      </c>
      <c r="O573" s="160" t="e">
        <f t="shared" ca="1" si="96"/>
        <v>#N/A</v>
      </c>
      <c r="P573" s="160" t="e">
        <f t="shared" ca="1" si="98"/>
        <v>#N/A</v>
      </c>
      <c r="Q573" s="160" t="e">
        <f t="shared" ca="1" si="99"/>
        <v>#N/A</v>
      </c>
      <c r="R573" s="160" t="e">
        <f t="shared" ca="1" si="99"/>
        <v>#N/A</v>
      </c>
      <c r="S573" s="160" t="e">
        <f t="shared" ca="1" si="99"/>
        <v>#N/A</v>
      </c>
      <c r="T573" s="160" t="e">
        <f t="shared" ca="1" si="97"/>
        <v>#N/A</v>
      </c>
      <c r="U573" s="160" t="e">
        <f t="shared" ca="1" si="97"/>
        <v>#N/A</v>
      </c>
      <c r="V573" s="163" t="e">
        <f t="shared" ca="1" si="91"/>
        <v>#N/A</v>
      </c>
      <c r="W573" s="163" t="e">
        <f t="shared" ca="1" si="92"/>
        <v>#N/A</v>
      </c>
      <c r="X573" s="163" t="e">
        <f t="shared" ca="1" si="93"/>
        <v>#N/A</v>
      </c>
      <c r="Y573" s="163" t="e">
        <f t="shared" ca="1" si="94"/>
        <v>#N/A</v>
      </c>
    </row>
    <row r="574" spans="12:25" ht="14.4">
      <c r="L574" s="464"/>
      <c r="M574" s="129" t="e">
        <f t="shared" si="95"/>
        <v>#N/A</v>
      </c>
      <c r="N574" s="161">
        <f t="shared" si="90"/>
        <v>13</v>
      </c>
      <c r="O574" s="160" t="e">
        <f t="shared" ca="1" si="96"/>
        <v>#N/A</v>
      </c>
      <c r="P574" s="160" t="e">
        <f t="shared" ca="1" si="98"/>
        <v>#N/A</v>
      </c>
      <c r="Q574" s="160" t="e">
        <f t="shared" ca="1" si="99"/>
        <v>#N/A</v>
      </c>
      <c r="R574" s="160" t="e">
        <f t="shared" ca="1" si="99"/>
        <v>#N/A</v>
      </c>
      <c r="S574" s="160" t="e">
        <f t="shared" ca="1" si="99"/>
        <v>#N/A</v>
      </c>
      <c r="T574" s="160" t="e">
        <f t="shared" ca="1" si="97"/>
        <v>#N/A</v>
      </c>
      <c r="U574" s="160" t="e">
        <f t="shared" ca="1" si="97"/>
        <v>#N/A</v>
      </c>
      <c r="V574" s="163" t="e">
        <f t="shared" ca="1" si="91"/>
        <v>#N/A</v>
      </c>
      <c r="W574" s="163" t="e">
        <f t="shared" ca="1" si="92"/>
        <v>#N/A</v>
      </c>
      <c r="X574" s="163" t="e">
        <f t="shared" ca="1" si="93"/>
        <v>#N/A</v>
      </c>
      <c r="Y574" s="163" t="e">
        <f t="shared" ca="1" si="94"/>
        <v>#N/A</v>
      </c>
    </row>
    <row r="575" spans="12:25" ht="14.4">
      <c r="L575" s="464"/>
      <c r="M575" s="129" t="e">
        <f t="shared" si="95"/>
        <v>#N/A</v>
      </c>
      <c r="N575" s="161">
        <f t="shared" si="90"/>
        <v>13</v>
      </c>
      <c r="O575" s="160" t="e">
        <f t="shared" ca="1" si="96"/>
        <v>#N/A</v>
      </c>
      <c r="P575" s="160" t="e">
        <f t="shared" ca="1" si="98"/>
        <v>#N/A</v>
      </c>
      <c r="Q575" s="160" t="e">
        <f t="shared" ca="1" si="99"/>
        <v>#N/A</v>
      </c>
      <c r="R575" s="160" t="e">
        <f t="shared" ca="1" si="99"/>
        <v>#N/A</v>
      </c>
      <c r="S575" s="160" t="e">
        <f t="shared" ca="1" si="99"/>
        <v>#N/A</v>
      </c>
      <c r="T575" s="160" t="e">
        <f t="shared" ca="1" si="97"/>
        <v>#N/A</v>
      </c>
      <c r="U575" s="160" t="e">
        <f t="shared" ca="1" si="97"/>
        <v>#N/A</v>
      </c>
      <c r="V575" s="163" t="e">
        <f t="shared" ca="1" si="91"/>
        <v>#N/A</v>
      </c>
      <c r="W575" s="163" t="e">
        <f t="shared" ca="1" si="92"/>
        <v>#N/A</v>
      </c>
      <c r="X575" s="163" t="e">
        <f t="shared" ca="1" si="93"/>
        <v>#N/A</v>
      </c>
      <c r="Y575" s="163" t="e">
        <f t="shared" ca="1" si="94"/>
        <v>#N/A</v>
      </c>
    </row>
    <row r="576" spans="12:25" ht="14.4">
      <c r="L576" s="464"/>
      <c r="M576" s="129" t="e">
        <f t="shared" si="95"/>
        <v>#N/A</v>
      </c>
      <c r="N576" s="161">
        <f t="shared" si="90"/>
        <v>13</v>
      </c>
      <c r="O576" s="160" t="e">
        <f t="shared" ca="1" si="96"/>
        <v>#N/A</v>
      </c>
      <c r="P576" s="160" t="e">
        <f t="shared" ca="1" si="98"/>
        <v>#N/A</v>
      </c>
      <c r="Q576" s="160" t="e">
        <f t="shared" ca="1" si="99"/>
        <v>#N/A</v>
      </c>
      <c r="R576" s="160" t="e">
        <f t="shared" ca="1" si="99"/>
        <v>#N/A</v>
      </c>
      <c r="S576" s="160" t="e">
        <f t="shared" ca="1" si="99"/>
        <v>#N/A</v>
      </c>
      <c r="T576" s="160" t="e">
        <f t="shared" ca="1" si="97"/>
        <v>#N/A</v>
      </c>
      <c r="U576" s="160" t="e">
        <f t="shared" ca="1" si="97"/>
        <v>#N/A</v>
      </c>
      <c r="V576" s="163" t="e">
        <f t="shared" ca="1" si="91"/>
        <v>#N/A</v>
      </c>
      <c r="W576" s="163" t="e">
        <f t="shared" ca="1" si="92"/>
        <v>#N/A</v>
      </c>
      <c r="X576" s="163" t="e">
        <f t="shared" ca="1" si="93"/>
        <v>#N/A</v>
      </c>
      <c r="Y576" s="163" t="e">
        <f t="shared" ca="1" si="94"/>
        <v>#N/A</v>
      </c>
    </row>
    <row r="577" spans="12:25" ht="14.4">
      <c r="L577" s="464"/>
      <c r="M577" s="129" t="e">
        <f t="shared" si="95"/>
        <v>#N/A</v>
      </c>
      <c r="N577" s="161">
        <f t="shared" si="90"/>
        <v>13</v>
      </c>
      <c r="O577" s="160" t="e">
        <f t="shared" ca="1" si="96"/>
        <v>#N/A</v>
      </c>
      <c r="P577" s="160" t="e">
        <f t="shared" ca="1" si="98"/>
        <v>#N/A</v>
      </c>
      <c r="Q577" s="160" t="e">
        <f t="shared" ca="1" si="99"/>
        <v>#N/A</v>
      </c>
      <c r="R577" s="160" t="e">
        <f t="shared" ca="1" si="99"/>
        <v>#N/A</v>
      </c>
      <c r="S577" s="160" t="e">
        <f t="shared" ca="1" si="99"/>
        <v>#N/A</v>
      </c>
      <c r="T577" s="160" t="e">
        <f t="shared" ca="1" si="97"/>
        <v>#N/A</v>
      </c>
      <c r="U577" s="160" t="e">
        <f t="shared" ca="1" si="97"/>
        <v>#N/A</v>
      </c>
      <c r="V577" s="163" t="e">
        <f t="shared" ca="1" si="91"/>
        <v>#N/A</v>
      </c>
      <c r="W577" s="163" t="e">
        <f t="shared" ca="1" si="92"/>
        <v>#N/A</v>
      </c>
      <c r="X577" s="163" t="e">
        <f t="shared" ca="1" si="93"/>
        <v>#N/A</v>
      </c>
      <c r="Y577" s="163" t="e">
        <f t="shared" ca="1" si="94"/>
        <v>#N/A</v>
      </c>
    </row>
    <row r="578" spans="12:25" ht="14.4">
      <c r="L578" s="464"/>
      <c r="M578" s="129" t="e">
        <f t="shared" si="95"/>
        <v>#N/A</v>
      </c>
      <c r="N578" s="161">
        <f t="shared" si="90"/>
        <v>13</v>
      </c>
      <c r="O578" s="160" t="e">
        <f t="shared" ca="1" si="96"/>
        <v>#N/A</v>
      </c>
      <c r="P578" s="160" t="e">
        <f t="shared" ca="1" si="98"/>
        <v>#N/A</v>
      </c>
      <c r="Q578" s="160" t="e">
        <f t="shared" ca="1" si="99"/>
        <v>#N/A</v>
      </c>
      <c r="R578" s="160" t="e">
        <f t="shared" ca="1" si="99"/>
        <v>#N/A</v>
      </c>
      <c r="S578" s="160" t="e">
        <f t="shared" ca="1" si="99"/>
        <v>#N/A</v>
      </c>
      <c r="T578" s="160" t="e">
        <f t="shared" ca="1" si="97"/>
        <v>#N/A</v>
      </c>
      <c r="U578" s="160" t="e">
        <f t="shared" ca="1" si="97"/>
        <v>#N/A</v>
      </c>
      <c r="V578" s="163" t="e">
        <f t="shared" ca="1" si="91"/>
        <v>#N/A</v>
      </c>
      <c r="W578" s="163" t="e">
        <f t="shared" ca="1" si="92"/>
        <v>#N/A</v>
      </c>
      <c r="X578" s="163" t="e">
        <f t="shared" ca="1" si="93"/>
        <v>#N/A</v>
      </c>
      <c r="Y578" s="163" t="e">
        <f t="shared" ca="1" si="94"/>
        <v>#N/A</v>
      </c>
    </row>
    <row r="579" spans="12:25" ht="14.4">
      <c r="L579" s="464"/>
      <c r="M579" s="129" t="e">
        <f t="shared" si="95"/>
        <v>#N/A</v>
      </c>
      <c r="N579" s="161">
        <f t="shared" si="90"/>
        <v>13</v>
      </c>
      <c r="O579" s="160" t="e">
        <f t="shared" ca="1" si="96"/>
        <v>#N/A</v>
      </c>
      <c r="P579" s="160" t="e">
        <f t="shared" ca="1" si="98"/>
        <v>#N/A</v>
      </c>
      <c r="Q579" s="160" t="e">
        <f t="shared" ca="1" si="99"/>
        <v>#N/A</v>
      </c>
      <c r="R579" s="160" t="e">
        <f t="shared" ca="1" si="99"/>
        <v>#N/A</v>
      </c>
      <c r="S579" s="160" t="e">
        <f t="shared" ca="1" si="99"/>
        <v>#N/A</v>
      </c>
      <c r="T579" s="160" t="e">
        <f t="shared" ca="1" si="97"/>
        <v>#N/A</v>
      </c>
      <c r="U579" s="160" t="e">
        <f t="shared" ca="1" si="97"/>
        <v>#N/A</v>
      </c>
      <c r="V579" s="163" t="e">
        <f t="shared" ca="1" si="91"/>
        <v>#N/A</v>
      </c>
      <c r="W579" s="163" t="e">
        <f t="shared" ca="1" si="92"/>
        <v>#N/A</v>
      </c>
      <c r="X579" s="163" t="e">
        <f t="shared" ca="1" si="93"/>
        <v>#N/A</v>
      </c>
      <c r="Y579" s="163" t="e">
        <f t="shared" ca="1" si="94"/>
        <v>#N/A</v>
      </c>
    </row>
    <row r="580" spans="12:25" ht="14.4">
      <c r="L580" s="464"/>
      <c r="M580" s="129" t="e">
        <f t="shared" si="95"/>
        <v>#N/A</v>
      </c>
      <c r="N580" s="161">
        <f t="shared" si="90"/>
        <v>13</v>
      </c>
      <c r="O580" s="160" t="e">
        <f t="shared" ca="1" si="96"/>
        <v>#N/A</v>
      </c>
      <c r="P580" s="160" t="e">
        <f t="shared" ca="1" si="98"/>
        <v>#N/A</v>
      </c>
      <c r="Q580" s="160" t="e">
        <f t="shared" ca="1" si="99"/>
        <v>#N/A</v>
      </c>
      <c r="R580" s="160" t="e">
        <f t="shared" ca="1" si="99"/>
        <v>#N/A</v>
      </c>
      <c r="S580" s="160" t="e">
        <f t="shared" ca="1" si="99"/>
        <v>#N/A</v>
      </c>
      <c r="T580" s="160" t="e">
        <f t="shared" ca="1" si="97"/>
        <v>#N/A</v>
      </c>
      <c r="U580" s="160" t="e">
        <f t="shared" ca="1" si="97"/>
        <v>#N/A</v>
      </c>
      <c r="V580" s="163" t="e">
        <f t="shared" ca="1" si="91"/>
        <v>#N/A</v>
      </c>
      <c r="W580" s="163" t="e">
        <f t="shared" ca="1" si="92"/>
        <v>#N/A</v>
      </c>
      <c r="X580" s="163" t="e">
        <f t="shared" ca="1" si="93"/>
        <v>#N/A</v>
      </c>
      <c r="Y580" s="163" t="e">
        <f t="shared" ca="1" si="94"/>
        <v>#N/A</v>
      </c>
    </row>
    <row r="581" spans="12:25" ht="14.4">
      <c r="L581" s="464"/>
      <c r="M581" s="129" t="e">
        <f t="shared" si="95"/>
        <v>#N/A</v>
      </c>
      <c r="N581" s="161">
        <f t="shared" si="90"/>
        <v>13</v>
      </c>
      <c r="O581" s="160" t="e">
        <f t="shared" ca="1" si="96"/>
        <v>#N/A</v>
      </c>
      <c r="P581" s="160" t="e">
        <f t="shared" ca="1" si="98"/>
        <v>#N/A</v>
      </c>
      <c r="Q581" s="160" t="e">
        <f t="shared" ca="1" si="99"/>
        <v>#N/A</v>
      </c>
      <c r="R581" s="160" t="e">
        <f t="shared" ca="1" si="99"/>
        <v>#N/A</v>
      </c>
      <c r="S581" s="160" t="e">
        <f t="shared" ca="1" si="99"/>
        <v>#N/A</v>
      </c>
      <c r="T581" s="160" t="e">
        <f t="shared" ca="1" si="97"/>
        <v>#N/A</v>
      </c>
      <c r="U581" s="160" t="e">
        <f t="shared" ca="1" si="97"/>
        <v>#N/A</v>
      </c>
      <c r="V581" s="163" t="e">
        <f t="shared" ca="1" si="91"/>
        <v>#N/A</v>
      </c>
      <c r="W581" s="163" t="e">
        <f t="shared" ca="1" si="92"/>
        <v>#N/A</v>
      </c>
      <c r="X581" s="163" t="e">
        <f t="shared" ca="1" si="93"/>
        <v>#N/A</v>
      </c>
      <c r="Y581" s="163" t="e">
        <f t="shared" ca="1" si="94"/>
        <v>#N/A</v>
      </c>
    </row>
    <row r="582" spans="12:25" ht="14.4">
      <c r="L582" s="464"/>
      <c r="M582" s="129" t="e">
        <f t="shared" si="95"/>
        <v>#N/A</v>
      </c>
      <c r="N582" s="161">
        <f t="shared" si="90"/>
        <v>13</v>
      </c>
      <c r="O582" s="160" t="e">
        <f t="shared" ca="1" si="96"/>
        <v>#N/A</v>
      </c>
      <c r="P582" s="160" t="e">
        <f t="shared" ca="1" si="98"/>
        <v>#N/A</v>
      </c>
      <c r="Q582" s="160" t="e">
        <f t="shared" ca="1" si="99"/>
        <v>#N/A</v>
      </c>
      <c r="R582" s="160" t="e">
        <f t="shared" ca="1" si="99"/>
        <v>#N/A</v>
      </c>
      <c r="S582" s="160" t="e">
        <f t="shared" ca="1" si="99"/>
        <v>#N/A</v>
      </c>
      <c r="T582" s="160" t="e">
        <f t="shared" ca="1" si="97"/>
        <v>#N/A</v>
      </c>
      <c r="U582" s="160" t="e">
        <f t="shared" ca="1" si="97"/>
        <v>#N/A</v>
      </c>
      <c r="V582" s="163" t="e">
        <f t="shared" ca="1" si="91"/>
        <v>#N/A</v>
      </c>
      <c r="W582" s="163" t="e">
        <f t="shared" ca="1" si="92"/>
        <v>#N/A</v>
      </c>
      <c r="X582" s="163" t="e">
        <f t="shared" ca="1" si="93"/>
        <v>#N/A</v>
      </c>
      <c r="Y582" s="163" t="e">
        <f t="shared" ca="1" si="94"/>
        <v>#N/A</v>
      </c>
    </row>
    <row r="583" spans="12:25" ht="14.4">
      <c r="L583" s="464"/>
      <c r="M583" s="129" t="e">
        <f t="shared" si="95"/>
        <v>#N/A</v>
      </c>
      <c r="N583" s="161">
        <f t="shared" si="90"/>
        <v>13</v>
      </c>
      <c r="O583" s="160" t="e">
        <f t="shared" ca="1" si="96"/>
        <v>#N/A</v>
      </c>
      <c r="P583" s="160" t="e">
        <f t="shared" ca="1" si="98"/>
        <v>#N/A</v>
      </c>
      <c r="Q583" s="160" t="e">
        <f t="shared" ca="1" si="99"/>
        <v>#N/A</v>
      </c>
      <c r="R583" s="160" t="e">
        <f t="shared" ca="1" si="99"/>
        <v>#N/A</v>
      </c>
      <c r="S583" s="160" t="e">
        <f t="shared" ca="1" si="99"/>
        <v>#N/A</v>
      </c>
      <c r="T583" s="160" t="e">
        <f t="shared" ca="1" si="97"/>
        <v>#N/A</v>
      </c>
      <c r="U583" s="160" t="e">
        <f t="shared" ca="1" si="97"/>
        <v>#N/A</v>
      </c>
      <c r="V583" s="163" t="e">
        <f t="shared" ca="1" si="91"/>
        <v>#N/A</v>
      </c>
      <c r="W583" s="163" t="e">
        <f t="shared" ca="1" si="92"/>
        <v>#N/A</v>
      </c>
      <c r="X583" s="163" t="e">
        <f t="shared" ca="1" si="93"/>
        <v>#N/A</v>
      </c>
      <c r="Y583" s="163" t="e">
        <f t="shared" ca="1" si="94"/>
        <v>#N/A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2022-05-18T13:16:52Z</cp:lastPrinted>
  <dcterms:created xsi:type="dcterms:W3CDTF">2011-08-17T14:29:03Z</dcterms:created>
  <dcterms:modified xsi:type="dcterms:W3CDTF">2022-05-18T13:28:23Z</dcterms:modified>
</cp:coreProperties>
</file>